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KU全周期汇总" sheetId="2" state="visible" r:id="rId2"/>
    <sheet name="SKU周度明细" sheetId="3" state="visible" r:id="rId3"/>
    <sheet name="GMV明细" sheetId="4" state="visible" r:id="rId4"/>
    <sheet name="GMV公式说明" sheetId="5" state="visible" r:id="rId5"/>
  </sheets>
  <definedNames/>
  <calcPr calcId="124519" calcMode="auto"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sz val="14"/>
    </font>
    <font>
      <b val="1"/>
      <color rgb="00FFFFFF"/>
    </font>
    <font>
      <b val="1"/>
    </font>
  </fonts>
  <fills count="4">
    <fill>
      <patternFill/>
    </fill>
    <fill>
      <patternFill patternType="gray125"/>
    </fill>
    <fill>
      <patternFill patternType="solid">
        <fgColor rgb="000F766E"/>
      </patternFill>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xf>
    <xf numFmtId="4" fontId="0" fillId="0" borderId="0" pivotButton="0" quotePrefix="0" xfId="0"/>
    <xf numFmtId="3" fontId="0" fillId="0" borderId="0" pivotButton="0" quotePrefix="0" xfId="0"/>
    <xf numFmtId="0" fontId="2" fillId="3" borderId="1" applyAlignment="1" pivotButton="0" quotePrefix="0" xfId="0">
      <alignment horizontal="center" vertical="center" wrapText="1"/>
    </xf>
    <xf numFmtId="4" fontId="2" fillId="3" borderId="1" applyAlignment="1" pivotButton="0" quotePrefix="0" xfId="0">
      <alignment horizontal="center" vertical="center" wrapText="1"/>
    </xf>
    <xf numFmtId="0" fontId="0" fillId="0" borderId="1" applyAlignment="1" pivotButton="0" quotePrefix="0" xfId="0">
      <alignment/>
    </xf>
    <xf numFmtId="3" fontId="0" fillId="0" borderId="1" applyAlignment="1" pivotButton="0" quotePrefix="0" xfId="0">
      <alignment/>
    </xf>
    <xf numFmtId="0" fontId="0" fillId="0" borderId="1" applyAlignment="1" pivotButton="0" quotePrefix="0" xfId="0">
      <alignment vertical="top"/>
    </xf>
    <xf numFmtId="4" fontId="0" fillId="0" borderId="1" applyAlignment="1" pivotButton="0" quotePrefix="0" xfId="0">
      <alignment vertical="top"/>
    </xf>
    <xf numFmtId="4" fontId="0" fillId="0" borderId="1" applyAlignment="1" pivotButton="0" quotePrefix="0" xfId="0">
      <alignment/>
    </xf>
    <xf numFmtId="164" fontId="0" fillId="0" borderId="1" applyAlignment="1" pivotButton="0" quotePrefix="0" xfId="0">
      <alignment/>
    </xf>
    <xf numFmtId="0" fontId="3" fillId="0" borderId="1" applyAlignment="1" pivotButton="0" quotePrefix="0" xfId="0">
      <alignment vertical="top"/>
    </xf>
    <xf numFmtId="0" fontId="0" fillId="0" borderId="1" applyAlignment="1" pivotButton="0" quotePrefix="0" xfId="0">
      <alignment vertical="center"/>
    </xf>
    <xf numFmtId="164" fontId="0" fillId="0" borderId="1" applyAlignment="1" pivotButton="0" quotePrefix="0" xfId="0">
      <alignment vertical="top"/>
    </xf>
    <xf numFmtId="0" fontId="0" fillId="0" borderId="1" applyAlignment="1" pivotButton="0" quotePrefix="0" xfId="0">
      <alignment vertical="top" wrapText="1"/>
    </xf>
    <xf numFmtId="4"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Top SKU GMV贡献</a:t>
            </a:r>
          </a:p>
        </rich>
      </tx>
    </title>
    <plotArea>
      <barChart>
        <barDir val="bar"/>
        <grouping val="clustered"/>
        <ser>
          <idx val="0"/>
          <order val="0"/>
          <tx>
            <strRef>
              <f>'Dashboard'!B18</f>
            </strRef>
          </tx>
          <spPr>
            <a:ln>
              <a:prstDash val="solid"/>
            </a:ln>
          </spPr>
          <cat>
            <numRef>
              <f>'Dashboard'!$A$19:$A$38</f>
            </numRef>
          </cat>
          <val>
            <numRef>
              <f>'Dashboard'!$B$19:$B$38</f>
            </numRef>
          </val>
        </ser>
        <gapWidth val="150"/>
        <axId val="10"/>
        <axId val="100"/>
      </barChart>
      <catAx>
        <axId val="10"/>
        <scaling>
          <orientation val="minMax"/>
        </scaling>
        <axPos val="l"/>
        <title>
          <tx>
            <rich>
              <a:bodyPr/>
              <a:p>
                <a:pPr>
                  <a:defRPr/>
                </a:pPr>
                <a:r>
                  <a:t>GMV</a:t>
                </a:r>
              </a:p>
            </rich>
          </tx>
        </title>
        <majorTickMark val="none"/>
        <minorTickMark val="none"/>
        <crossAx val="100"/>
        <lblOffset val="100"/>
      </catAx>
      <valAx>
        <axId val="100"/>
        <scaling>
          <orientation val="minMax"/>
        </scaling>
        <axPos val="l"/>
        <majorGridlines/>
        <title>
          <tx>
            <rich>
              <a:bodyPr/>
              <a:p>
                <a:pPr>
                  <a:defRPr/>
                </a:pPr>
                <a:r>
                  <a:t>SKU</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Nexosil 周度GMV&amp;销量联动分析</a:t>
            </a:r>
          </a:p>
        </rich>
      </tx>
    </title>
    <plotArea>
      <barChart>
        <barDir val="col"/>
        <grouping val="clustered"/>
        <ser>
          <idx val="0"/>
          <order val="0"/>
          <tx>
            <strRef>
              <f>'Dashboard'!W1</f>
            </strRef>
          </tx>
          <spPr>
            <a:solidFill>
              <a:srgbClr val="2F5597"/>
            </a:solidFill>
            <a:ln>
              <a:prstDash val="solid"/>
            </a:ln>
          </spPr>
          <dLbls>
            <dLblPos val="inEnd"/>
            <showVal val="1"/>
          </dLbls>
          <cat>
            <numRef>
              <f>'Dashboard'!$U$2:$U$6</f>
            </numRef>
          </cat>
          <val>
            <numRef>
              <f>'Dashboard'!$W$2:$W$6</f>
            </numRef>
          </val>
        </ser>
        <gapWidth val="150"/>
        <axId val="10"/>
        <axId val="100"/>
      </barChart>
      <lineChart>
        <grouping val="standard"/>
        <ser>
          <idx val="1"/>
          <order val="1"/>
          <tx>
            <strRef>
              <f>'Dashboard'!V1</f>
            </strRef>
          </tx>
          <spPr>
            <a:ln w="30000">
              <a:solidFill>
                <a:srgbClr val="00B050"/>
              </a:solidFill>
              <a:prstDash val="solid"/>
            </a:ln>
          </spPr>
          <marker>
            <symbol val="circle"/>
            <spPr>
              <a:solidFill>
                <a:srgbClr val="00B050"/>
              </a:solidFill>
              <a:ln>
                <a:prstDash val="solid"/>
              </a:ln>
            </spPr>
          </marker>
          <dLbls>
            <dLblPos val="r"/>
            <showVal val="1"/>
            <showLeaderLines val="1"/>
          </dLbls>
          <val>
            <numRef>
              <f>'Dashboard'!$V$2:$V$6</f>
            </numRef>
          </val>
          <smooth val="1"/>
        </ser>
        <axId val="10"/>
        <axId val="200"/>
      </lineChart>
      <catAx>
        <axId val="10"/>
        <scaling>
          <orientation val="minMax"/>
        </scaling>
        <axPos val="l"/>
        <title>
          <tx>
            <rich>
              <a:bodyPr/>
              <a:p>
                <a:pPr>
                  <a:defRPr/>
                </a:pPr>
                <a:r>
                  <a:t>统计周期</a:t>
                </a:r>
              </a:p>
            </rich>
          </tx>
        </title>
        <majorTickMark val="none"/>
        <minorTickMark val="none"/>
        <crossAx val="100"/>
        <lblOffset val="100"/>
      </catAx>
      <valAx>
        <axId val="100"/>
        <scaling>
          <orientation val="minMax"/>
        </scaling>
        <axPos val="l"/>
        <title>
          <tx>
            <rich>
              <a:bodyPr/>
              <a:p>
                <a:pPr>
                  <a:defRPr/>
                </a:pPr>
                <a:r>
                  <a:t>销量(件)</a:t>
                </a:r>
              </a:p>
            </rich>
          </tx>
        </title>
        <majorTickMark val="none"/>
        <minorTickMark val="none"/>
        <crossAx val="10"/>
      </valAx>
      <valAx>
        <axId val="200"/>
        <scaling>
          <orientation val="minMax"/>
        </scaling>
        <axPos val="l"/>
        <title>
          <tx>
            <rich>
              <a:bodyPr/>
              <a:p>
                <a:pPr>
                  <a:defRPr/>
                </a:pPr>
                <a:r>
                  <a:t>GMV总额(MX$)</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17</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13</col>
      <colOff>0</colOff>
      <row>9</row>
      <rowOff>0</rowOff>
    </from>
    <ext cx="720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W38"/>
  <sheetViews>
    <sheetView showGridLines="1" workbookViewId="0">
      <selection activeCell="A1" sqref="A1"/>
    </sheetView>
  </sheetViews>
  <sheetFormatPr baseColWidth="8" defaultRowHeight="15"/>
  <cols>
    <col width="16" customWidth="1" min="1" max="1"/>
    <col width="18" customWidth="1" min="2" max="2"/>
    <col width="13" customWidth="1" min="3" max="3"/>
    <col width="14"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4" customWidth="1" min="13" max="13"/>
    <col width="13" customWidth="1" min="14" max="14"/>
    <col width="13" customWidth="1" min="15" max="15"/>
  </cols>
  <sheetData>
    <row r="1" ht="21" customHeight="1">
      <c r="A1" s="1" t="inlineStr">
        <is>
          <t>Nexosil 5.1-6.4 GMV &amp; SKU贡献分析</t>
        </is>
      </c>
      <c r="B1" s="2" t="n"/>
      <c r="C1" s="2" t="n"/>
      <c r="D1" s="2" t="n"/>
      <c r="E1" s="2" t="n"/>
      <c r="F1" s="2" t="n"/>
      <c r="G1" s="2" t="n"/>
      <c r="H1" s="2" t="n"/>
      <c r="I1" s="2" t="n"/>
      <c r="J1" s="2" t="n"/>
      <c r="K1" s="2" t="n"/>
      <c r="L1" s="2" t="n"/>
      <c r="M1" s="2" t="n"/>
      <c r="N1" s="2" t="n"/>
      <c r="O1" s="2" t="n"/>
      <c r="U1" t="inlineStr">
        <is>
          <t>统计周期</t>
        </is>
      </c>
      <c r="V1" t="inlineStr">
        <is>
          <t>GMV</t>
        </is>
      </c>
      <c r="W1" t="inlineStr">
        <is>
          <t>销量</t>
        </is>
      </c>
    </row>
    <row r="2">
      <c r="A2" s="2" t="n"/>
      <c r="B2" s="2" t="n"/>
      <c r="C2" s="2" t="n"/>
      <c r="D2" s="2" t="n"/>
      <c r="E2" s="2" t="n"/>
      <c r="F2" s="2" t="n"/>
      <c r="G2" s="2" t="n"/>
      <c r="H2" s="2" t="n"/>
      <c r="I2" s="2" t="n"/>
      <c r="J2" s="2" t="n"/>
      <c r="K2" s="2" t="n"/>
      <c r="L2" s="2" t="n"/>
      <c r="M2" s="2" t="n"/>
      <c r="N2" s="2" t="n"/>
      <c r="O2" s="2" t="n"/>
      <c r="U2" t="inlineStr">
        <is>
          <t>5.1-5.7</t>
        </is>
      </c>
      <c r="V2" s="3" t="n">
        <v>167433.78</v>
      </c>
      <c r="W2" s="4" t="n">
        <v>1763</v>
      </c>
    </row>
    <row r="3">
      <c r="A3" s="5" t="inlineStr">
        <is>
          <t>全周期GMV</t>
        </is>
      </c>
      <c r="B3" s="6" t="n">
        <v>632120.37</v>
      </c>
      <c r="C3" s="2" t="n"/>
      <c r="D3" s="5" t="inlineStr">
        <is>
          <t>周期</t>
        </is>
      </c>
      <c r="E3" s="6" t="inlineStr">
        <is>
          <t>GMV</t>
        </is>
      </c>
      <c r="F3" s="5" t="inlineStr">
        <is>
          <t>订单行数</t>
        </is>
      </c>
      <c r="G3" s="5" t="inlineStr">
        <is>
          <t>订单数</t>
        </is>
      </c>
      <c r="H3" s="5" t="inlineStr">
        <is>
          <t>销量</t>
        </is>
      </c>
      <c r="I3" s="6" t="inlineStr">
        <is>
          <t>Base金额</t>
        </is>
      </c>
      <c r="J3" s="6" t="inlineStr">
        <is>
          <t>Shipping金额</t>
        </is>
      </c>
      <c r="K3" s="6" t="inlineStr">
        <is>
          <t>返还VAT</t>
        </is>
      </c>
      <c r="L3" s="6" t="inlineStr">
        <is>
          <t>ISR预扣</t>
        </is>
      </c>
      <c r="M3" s="6" t="inlineStr">
        <is>
          <t>退款</t>
        </is>
      </c>
      <c r="N3" s="6" t="inlineStr">
        <is>
          <t>客单价</t>
        </is>
      </c>
      <c r="O3" s="6" t="inlineStr">
        <is>
          <t>件单价</t>
        </is>
      </c>
      <c r="U3" t="inlineStr">
        <is>
          <t>5.8-5.14</t>
        </is>
      </c>
      <c r="V3" s="3" t="n">
        <v>57618.75</v>
      </c>
      <c r="W3" s="4" t="n">
        <v>753</v>
      </c>
    </row>
    <row r="4">
      <c r="A4" s="7" t="inlineStr">
        <is>
          <t>订单数</t>
        </is>
      </c>
      <c r="B4" s="8" t="n">
        <v>4490</v>
      </c>
      <c r="C4" s="2" t="n"/>
      <c r="D4" s="9" t="inlineStr">
        <is>
          <t>5.1-5.7</t>
        </is>
      </c>
      <c r="E4" s="10" t="n">
        <v>167433.78</v>
      </c>
      <c r="F4" s="9" t="n">
        <v>1059</v>
      </c>
      <c r="G4" s="9" t="n">
        <v>1031</v>
      </c>
      <c r="H4" s="9" t="n">
        <v>1763</v>
      </c>
      <c r="I4" s="10" t="n">
        <v>175031.89</v>
      </c>
      <c r="J4" s="10" t="n">
        <v>17688.26</v>
      </c>
      <c r="K4" s="10" t="n">
        <v>15302.13</v>
      </c>
      <c r="L4" s="10" t="n">
        <v>-4781.92</v>
      </c>
      <c r="M4" s="10" t="n">
        <v>1918.58</v>
      </c>
      <c r="N4" s="10" t="n">
        <v>162.4</v>
      </c>
      <c r="O4" s="10" t="n">
        <v>94.97</v>
      </c>
      <c r="U4" t="inlineStr">
        <is>
          <t>5.15-5.21</t>
        </is>
      </c>
      <c r="V4" s="3" t="n">
        <v>115529.63</v>
      </c>
      <c r="W4" s="4" t="n">
        <v>1330</v>
      </c>
    </row>
    <row r="5">
      <c r="A5" s="7" t="inlineStr">
        <is>
          <t>销量</t>
        </is>
      </c>
      <c r="B5" s="8" t="n">
        <v>7386</v>
      </c>
      <c r="C5" s="2" t="n"/>
      <c r="D5" s="9" t="inlineStr">
        <is>
          <t>5.8-5.14</t>
        </is>
      </c>
      <c r="E5" s="10" t="n">
        <v>57618.75</v>
      </c>
      <c r="F5" s="9" t="n">
        <v>529</v>
      </c>
      <c r="G5" s="9" t="n">
        <v>511</v>
      </c>
      <c r="H5" s="9" t="n">
        <v>753</v>
      </c>
      <c r="I5" s="10" t="n">
        <v>60269.21</v>
      </c>
      <c r="J5" s="10" t="n">
        <v>10887.08</v>
      </c>
      <c r="K5" s="10" t="n">
        <v>5520.05</v>
      </c>
      <c r="L5" s="10" t="n">
        <v>-1725.01</v>
      </c>
      <c r="M5" s="10" t="n">
        <v>404.57</v>
      </c>
      <c r="N5" s="10" t="n">
        <v>112.76</v>
      </c>
      <c r="O5" s="10" t="n">
        <v>76.52</v>
      </c>
      <c r="U5" t="inlineStr">
        <is>
          <t>5.22-5.28</t>
        </is>
      </c>
      <c r="V5" s="3" t="n">
        <v>137205.45</v>
      </c>
      <c r="W5" s="4" t="n">
        <v>1678</v>
      </c>
    </row>
    <row r="6">
      <c r="A6" s="7" t="inlineStr">
        <is>
          <t>客单价</t>
        </is>
      </c>
      <c r="B6" s="11" t="n">
        <v>140.78</v>
      </c>
      <c r="C6" s="2" t="n"/>
      <c r="D6" s="9" t="inlineStr">
        <is>
          <t>5.15-5.21</t>
        </is>
      </c>
      <c r="E6" s="10" t="n">
        <v>115529.63</v>
      </c>
      <c r="F6" s="9" t="n">
        <v>808</v>
      </c>
      <c r="G6" s="9" t="n">
        <v>800</v>
      </c>
      <c r="H6" s="9" t="n">
        <v>1330</v>
      </c>
      <c r="I6" s="10" t="n">
        <v>118362.27</v>
      </c>
      <c r="J6" s="10" t="n">
        <v>15839.25</v>
      </c>
      <c r="K6" s="10" t="n">
        <v>10948.44</v>
      </c>
      <c r="L6" s="10" t="n">
        <v>-3421.39</v>
      </c>
      <c r="M6" s="10" t="n">
        <v>342.94</v>
      </c>
      <c r="N6" s="10" t="n">
        <v>144.41</v>
      </c>
      <c r="O6" s="10" t="n">
        <v>86.86</v>
      </c>
      <c r="U6" t="inlineStr">
        <is>
          <t>5.29-6.4</t>
        </is>
      </c>
      <c r="V6" s="3" t="n">
        <v>154332.74</v>
      </c>
      <c r="W6" s="4" t="n">
        <v>1862</v>
      </c>
    </row>
    <row r="7">
      <c r="A7" s="7" t="inlineStr">
        <is>
          <t>件单价</t>
        </is>
      </c>
      <c r="B7" s="11" t="n">
        <v>85.58</v>
      </c>
      <c r="C7" s="2" t="n"/>
      <c r="D7" s="9" t="inlineStr">
        <is>
          <t>5.22-5.28</t>
        </is>
      </c>
      <c r="E7" s="10" t="n">
        <v>137205.45</v>
      </c>
      <c r="F7" s="9" t="n">
        <v>1030</v>
      </c>
      <c r="G7" s="9" t="n">
        <v>998</v>
      </c>
      <c r="H7" s="9" t="n">
        <v>1678</v>
      </c>
      <c r="I7" s="10" t="n">
        <v>141539.5</v>
      </c>
      <c r="J7" s="10" t="n">
        <v>20494.09</v>
      </c>
      <c r="K7" s="10" t="n">
        <v>13170.7</v>
      </c>
      <c r="L7" s="10" t="n">
        <v>-4115.84</v>
      </c>
      <c r="M7" s="10" t="n">
        <v>922.99</v>
      </c>
      <c r="N7" s="10" t="n">
        <v>137.48</v>
      </c>
      <c r="O7" s="10" t="n">
        <v>81.77</v>
      </c>
    </row>
    <row r="8">
      <c r="A8" s="7" t="inlineStr">
        <is>
          <t>5.29-6.4 GMV环比</t>
        </is>
      </c>
      <c r="B8" s="12" t="n">
        <v>0.1248295147491623</v>
      </c>
      <c r="C8" s="2" t="n"/>
      <c r="D8" s="9" t="inlineStr">
        <is>
          <t>5.29-6.4</t>
        </is>
      </c>
      <c r="E8" s="10" t="n">
        <v>154332.74</v>
      </c>
      <c r="F8" s="9" t="n">
        <v>1188</v>
      </c>
      <c r="G8" s="9" t="n">
        <v>1150</v>
      </c>
      <c r="H8" s="9" t="n">
        <v>1862</v>
      </c>
      <c r="I8" s="10" t="n">
        <v>159841.73</v>
      </c>
      <c r="J8" s="10" t="n">
        <v>23317.12</v>
      </c>
      <c r="K8" s="10" t="n">
        <v>15121.62</v>
      </c>
      <c r="L8" s="10" t="n">
        <v>-4725.51</v>
      </c>
      <c r="M8" s="10" t="n">
        <v>1206.22</v>
      </c>
      <c r="N8" s="10" t="n">
        <v>134.2</v>
      </c>
      <c r="O8" s="10" t="n">
        <v>82.89</v>
      </c>
    </row>
    <row r="9">
      <c r="A9" s="2" t="n"/>
      <c r="B9" s="2" t="n"/>
      <c r="C9" s="2" t="n"/>
      <c r="D9" s="2" t="n"/>
      <c r="E9" s="2" t="n"/>
      <c r="F9" s="2" t="n"/>
      <c r="G9" s="2" t="n"/>
      <c r="H9" s="2" t="n"/>
      <c r="I9" s="2" t="n"/>
      <c r="J9" s="2" t="n"/>
      <c r="K9" s="2" t="n"/>
      <c r="L9" s="2" t="n"/>
      <c r="M9" s="2" t="n"/>
      <c r="N9" s="2" t="n"/>
      <c r="O9" s="2" t="n"/>
    </row>
    <row r="10">
      <c r="A10" s="5" t="inlineStr">
        <is>
          <t>分析结论</t>
        </is>
      </c>
      <c r="B10" s="5" t="inlineStr">
        <is>
          <t>说明</t>
        </is>
      </c>
      <c r="C10" s="2" t="n"/>
      <c r="D10" s="2" t="n"/>
      <c r="E10" s="2" t="n"/>
      <c r="F10" s="2" t="n"/>
      <c r="G10" s="2" t="n"/>
      <c r="H10" s="2" t="n"/>
      <c r="I10" s="2" t="n"/>
      <c r="J10" s="2" t="n"/>
      <c r="K10" s="2" t="n"/>
      <c r="L10" s="2" t="n"/>
      <c r="M10" s="2" t="n"/>
      <c r="N10" s="2" t="n"/>
      <c r="O10" s="2" t="n"/>
    </row>
    <row r="11">
      <c r="A11" s="13" t="inlineStr">
        <is>
          <t>总览</t>
        </is>
      </c>
      <c r="B11" s="14" t="inlineStr">
        <is>
          <t>全周期 GMV 为 MX$632,120.37，订单数 4,490，销量 7,386，客单价 MX$140.78，件单价 MX$85.58。</t>
        </is>
      </c>
      <c r="C11" s="2" t="n"/>
      <c r="D11" s="2" t="n"/>
      <c r="E11" s="2" t="n"/>
      <c r="F11" s="2" t="n"/>
      <c r="G11" s="2" t="n"/>
      <c r="H11" s="2" t="n"/>
      <c r="I11" s="2" t="n"/>
      <c r="J11" s="2" t="n"/>
      <c r="K11" s="2" t="n"/>
      <c r="L11" s="2" t="n"/>
      <c r="M11" s="2" t="n"/>
      <c r="N11" s="2" t="n"/>
      <c r="O11" s="2" t="n"/>
    </row>
    <row r="12">
      <c r="A12" s="13" t="inlineStr">
        <is>
          <t>周度变化</t>
        </is>
      </c>
      <c r="B12" s="14" t="inlineStr">
        <is>
          <t>5.29-6.4 GMV 为 MX$154,332.74，较 5.22-5.28 增长 MX$17,127.29（+12.5%）；订单数 1,150，较上周 +152；客单价变化 MX$-3.28。</t>
        </is>
      </c>
      <c r="C12" s="2" t="n"/>
      <c r="D12" s="2" t="n"/>
      <c r="E12" s="2" t="n"/>
      <c r="F12" s="2" t="n"/>
      <c r="G12" s="2" t="n"/>
      <c r="H12" s="2" t="n"/>
      <c r="I12" s="2" t="n"/>
      <c r="J12" s="2" t="n"/>
      <c r="K12" s="2" t="n"/>
      <c r="L12" s="2" t="n"/>
      <c r="M12" s="2" t="n"/>
      <c r="N12" s="2" t="n"/>
      <c r="O12" s="2" t="n"/>
    </row>
    <row r="13">
      <c r="A13" s="13" t="inlineStr">
        <is>
          <t>第一贡献SKU</t>
        </is>
      </c>
      <c r="B13" s="14" t="inlineStr">
        <is>
          <t>LV64W25 全周期 GMV MX$278,611.67，占比 44.1%，销量 2,346，订单 1,263，是最核心业绩来源。</t>
        </is>
      </c>
      <c r="C13" s="2" t="n"/>
      <c r="D13" s="2" t="n"/>
      <c r="E13" s="2" t="n"/>
      <c r="F13" s="2" t="n"/>
      <c r="G13" s="2" t="n"/>
      <c r="H13" s="2" t="n"/>
      <c r="I13" s="2" t="n"/>
      <c r="J13" s="2" t="n"/>
      <c r="K13" s="2" t="n"/>
      <c r="L13" s="2" t="n"/>
      <c r="M13" s="2" t="n"/>
      <c r="N13" s="2" t="n"/>
      <c r="O13" s="2" t="n"/>
    </row>
    <row r="14">
      <c r="A14" s="13" t="inlineStr">
        <is>
          <t>第二贡献SKU</t>
        </is>
      </c>
      <c r="B14" s="14" t="inlineStr">
        <is>
          <t>LV54W25 全周期 GMV MX$182,982.10，占比 28.9%，销量 2,481，订单 1,513。 最新周 GMV 环比 +20.8%。</t>
        </is>
      </c>
      <c r="C14" s="2" t="n"/>
      <c r="D14" s="2" t="n"/>
      <c r="E14" s="2" t="n"/>
      <c r="F14" s="2" t="n"/>
      <c r="G14" s="2" t="n"/>
      <c r="H14" s="2" t="n"/>
      <c r="I14" s="2" t="n"/>
      <c r="J14" s="2" t="n"/>
      <c r="K14" s="2" t="n"/>
      <c r="L14" s="2" t="n"/>
      <c r="M14" s="2" t="n"/>
      <c r="N14" s="2" t="n"/>
      <c r="O14" s="2" t="n"/>
    </row>
    <row r="15">
      <c r="A15" s="13" t="inlineStr">
        <is>
          <t>增长SKU</t>
        </is>
      </c>
      <c r="B15" s="14" t="inlineStr">
        <is>
          <t>LV64W25（+MX$16,060.44，+36.5%）、LV54W25（+MX$10,359.92，+20.8%）、KTS-1936（+MX$1,128.37，+101.4%） 最新周 GMV 增长较明显，可作为增量 SKU 关注。</t>
        </is>
      </c>
      <c r="C15" s="2" t="n"/>
      <c r="D15" s="2" t="n"/>
      <c r="E15" s="2" t="n"/>
      <c r="F15" s="2" t="n"/>
      <c r="G15" s="2" t="n"/>
      <c r="H15" s="2" t="n"/>
      <c r="I15" s="2" t="n"/>
      <c r="J15" s="2" t="n"/>
      <c r="K15" s="2" t="n"/>
      <c r="L15" s="2" t="n"/>
      <c r="M15" s="2" t="n"/>
      <c r="N15" s="2" t="n"/>
      <c r="O15" s="2" t="n"/>
    </row>
    <row r="16">
      <c r="A16" s="13" t="inlineStr">
        <is>
          <t>风险SKU</t>
        </is>
      </c>
      <c r="B16" s="14" t="inlineStr">
        <is>
          <t>KTS-2031（-MX$5,322.13，-25.2%）、TL1455N20B（-MX$4,761.38，-67.9%）、TL2663N18C（-MX$1,104.84，-63.6%） 最新周 GMV 下滑明显，建议排查库存、价格、流量和活动变化。</t>
        </is>
      </c>
      <c r="C16" s="2" t="n"/>
      <c r="D16" s="2" t="n"/>
      <c r="E16" s="2" t="n"/>
      <c r="F16" s="2" t="n"/>
      <c r="G16" s="2" t="n"/>
      <c r="H16" s="2" t="n"/>
      <c r="I16" s="2" t="n"/>
      <c r="J16" s="2" t="n"/>
      <c r="K16" s="2" t="n"/>
      <c r="L16" s="2" t="n"/>
      <c r="M16" s="2" t="n"/>
      <c r="N16" s="2" t="n"/>
      <c r="O16" s="2" t="n"/>
    </row>
    <row r="17">
      <c r="A17" s="2" t="n"/>
      <c r="B17" s="2" t="n"/>
      <c r="C17" s="2" t="n"/>
      <c r="D17" s="2" t="n"/>
      <c r="E17" s="2" t="n"/>
      <c r="F17" s="2" t="n"/>
      <c r="G17" s="2" t="n"/>
      <c r="H17" s="2" t="n"/>
      <c r="I17" s="2" t="n"/>
      <c r="J17" s="2" t="n"/>
      <c r="K17" s="2" t="n"/>
      <c r="L17" s="2" t="n"/>
      <c r="M17" s="2" t="n"/>
      <c r="N17" s="2" t="n"/>
      <c r="O17" s="2" t="n"/>
    </row>
    <row r="18">
      <c r="A18" s="5" t="inlineStr">
        <is>
          <t>SKU</t>
        </is>
      </c>
      <c r="B18" s="5" t="inlineStr">
        <is>
          <t>GMV</t>
        </is>
      </c>
      <c r="C18" s="5" t="inlineStr">
        <is>
          <t>GMV占比</t>
        </is>
      </c>
      <c r="D18" s="5" t="inlineStr">
        <is>
          <t>销量</t>
        </is>
      </c>
      <c r="E18" s="5" t="inlineStr">
        <is>
          <t>订单数</t>
        </is>
      </c>
      <c r="F18" s="5" t="inlineStr">
        <is>
          <t>客单价</t>
        </is>
      </c>
      <c r="G18" s="5" t="inlineStr">
        <is>
          <t>件单价</t>
        </is>
      </c>
      <c r="H18" s="5" t="inlineStr">
        <is>
          <t>5.22-5.28 GMV</t>
        </is>
      </c>
      <c r="I18" s="5" t="inlineStr">
        <is>
          <t>5.29-6.4 GMV</t>
        </is>
      </c>
      <c r="J18" s="5" t="inlineStr">
        <is>
          <t>GMV变化</t>
        </is>
      </c>
      <c r="K18" s="5" t="inlineStr">
        <is>
          <t>GMV变化%</t>
        </is>
      </c>
      <c r="L18" s="2" t="n"/>
      <c r="M18" s="2" t="n"/>
      <c r="N18" s="2" t="n"/>
      <c r="O18" s="2" t="n"/>
    </row>
    <row r="19">
      <c r="A19" s="9" t="inlineStr">
        <is>
          <t>LV64W25</t>
        </is>
      </c>
      <c r="B19" s="10" t="n">
        <v>278611.67</v>
      </c>
      <c r="C19" s="15" t="n">
        <v>0.4407573080039093</v>
      </c>
      <c r="D19" s="9" t="n">
        <v>2346</v>
      </c>
      <c r="E19" s="9" t="n">
        <v>1263</v>
      </c>
      <c r="F19" s="10" t="n">
        <v>220.6</v>
      </c>
      <c r="G19" s="10" t="n">
        <v>118.76</v>
      </c>
      <c r="H19" s="10" t="n">
        <v>43948.38</v>
      </c>
      <c r="I19" s="10" t="n">
        <v>60008.82</v>
      </c>
      <c r="J19" s="10" t="n">
        <v>16060.44</v>
      </c>
      <c r="K19" s="15" t="n">
        <v>0.365438719484607</v>
      </c>
      <c r="L19" s="2" t="n"/>
      <c r="M19" s="2" t="n"/>
      <c r="N19" s="2" t="n"/>
      <c r="O19" s="2" t="n"/>
    </row>
    <row r="20">
      <c r="A20" s="9" t="inlineStr">
        <is>
          <t>LV54W25</t>
        </is>
      </c>
      <c r="B20" s="10" t="n">
        <v>182982.1</v>
      </c>
      <c r="C20" s="15" t="n">
        <v>0.2894735154468648</v>
      </c>
      <c r="D20" s="9" t="n">
        <v>2481</v>
      </c>
      <c r="E20" s="9" t="n">
        <v>1513</v>
      </c>
      <c r="F20" s="10" t="n">
        <v>120.94</v>
      </c>
      <c r="G20" s="10" t="n">
        <v>73.75</v>
      </c>
      <c r="H20" s="10" t="n">
        <v>49921.73</v>
      </c>
      <c r="I20" s="10" t="n">
        <v>60281.65</v>
      </c>
      <c r="J20" s="10" t="n">
        <v>10359.92</v>
      </c>
      <c r="K20" s="15" t="n">
        <v>0.2075233234996223</v>
      </c>
      <c r="L20" s="2" t="n"/>
      <c r="M20" s="2" t="n"/>
      <c r="N20" s="2" t="n"/>
      <c r="O20" s="2" t="n"/>
    </row>
    <row r="21">
      <c r="A21" s="9" t="inlineStr">
        <is>
          <t>KTS-2031</t>
        </is>
      </c>
      <c r="B21" s="10" t="n">
        <v>70896.33</v>
      </c>
      <c r="C21" s="15" t="n">
        <v>0.1121563788370728</v>
      </c>
      <c r="D21" s="9" t="n">
        <v>891</v>
      </c>
      <c r="E21" s="9" t="n">
        <v>621</v>
      </c>
      <c r="F21" s="10" t="n">
        <v>114.16</v>
      </c>
      <c r="G21" s="10" t="n">
        <v>79.56999999999999</v>
      </c>
      <c r="H21" s="10" t="n">
        <v>21157.93</v>
      </c>
      <c r="I21" s="10" t="n">
        <v>15835.8</v>
      </c>
      <c r="J21" s="10" t="n">
        <v>-5322.13</v>
      </c>
      <c r="K21" s="15" t="n">
        <v>-0.2515430860867208</v>
      </c>
      <c r="L21" s="2" t="n"/>
      <c r="M21" s="2" t="n"/>
      <c r="N21" s="2" t="n"/>
      <c r="O21" s="2" t="n"/>
    </row>
    <row r="22">
      <c r="A22" s="9" t="inlineStr">
        <is>
          <t>TL1455N20B</t>
        </is>
      </c>
      <c r="B22" s="10" t="n">
        <v>20698.77</v>
      </c>
      <c r="C22" s="15" t="n">
        <v>0.03274498116106574</v>
      </c>
      <c r="D22" s="9" t="n">
        <v>286</v>
      </c>
      <c r="E22" s="9" t="n">
        <v>156</v>
      </c>
      <c r="F22" s="10" t="n">
        <v>132.68</v>
      </c>
      <c r="G22" s="10" t="n">
        <v>72.37</v>
      </c>
      <c r="H22" s="10" t="n">
        <v>7010.22</v>
      </c>
      <c r="I22" s="10" t="n">
        <v>2248.84</v>
      </c>
      <c r="J22" s="10" t="n">
        <v>-4761.38</v>
      </c>
      <c r="K22" s="15" t="n">
        <v>-0.6792052518611603</v>
      </c>
      <c r="L22" s="2" t="n"/>
      <c r="M22" s="2" t="n"/>
      <c r="N22" s="2" t="n"/>
      <c r="O22" s="2" t="n"/>
    </row>
    <row r="23">
      <c r="A23" s="9" t="inlineStr">
        <is>
          <t>VB349T</t>
        </is>
      </c>
      <c r="B23" s="10" t="n">
        <v>13578.19</v>
      </c>
      <c r="C23" s="15" t="n">
        <v>0.02148038941239288</v>
      </c>
      <c r="D23" s="9" t="n">
        <v>174</v>
      </c>
      <c r="E23" s="9" t="n">
        <v>144</v>
      </c>
      <c r="F23" s="10" t="n">
        <v>94.29000000000001</v>
      </c>
      <c r="G23" s="10" t="n">
        <v>78.04000000000001</v>
      </c>
      <c r="H23" s="10" t="n">
        <v>2514.43</v>
      </c>
      <c r="I23" s="10" t="n">
        <v>2153.67</v>
      </c>
      <c r="J23" s="10" t="n">
        <v>-360.76</v>
      </c>
      <c r="K23" s="15" t="n">
        <v>-0.1434761218238489</v>
      </c>
      <c r="L23" s="2" t="n"/>
      <c r="M23" s="2" t="n"/>
      <c r="N23" s="2" t="n"/>
      <c r="O23" s="2" t="n"/>
    </row>
    <row r="24">
      <c r="A24" s="9" t="inlineStr">
        <is>
          <t>B03W10-10PZS</t>
        </is>
      </c>
      <c r="B24" s="10" t="n">
        <v>10235.14</v>
      </c>
      <c r="C24" s="15" t="n">
        <v>0.01619175747764692</v>
      </c>
      <c r="D24" s="9" t="n">
        <v>155</v>
      </c>
      <c r="E24" s="9" t="n">
        <v>123</v>
      </c>
      <c r="F24" s="10" t="n">
        <v>83.20999999999999</v>
      </c>
      <c r="G24" s="10" t="n">
        <v>66.03</v>
      </c>
      <c r="H24" s="10" t="n">
        <v>1655.32</v>
      </c>
      <c r="I24" s="10" t="n">
        <v>1701.17</v>
      </c>
      <c r="J24" s="10" t="n">
        <v>45.85</v>
      </c>
      <c r="K24" s="15" t="n">
        <v>0.02769898463063421</v>
      </c>
      <c r="L24" s="2" t="n"/>
      <c r="M24" s="2" t="n"/>
      <c r="N24" s="2" t="n"/>
      <c r="O24" s="2" t="n"/>
    </row>
    <row r="25">
      <c r="A25" s="9" t="inlineStr">
        <is>
          <t>TL2663N18C</t>
        </is>
      </c>
      <c r="B25" s="10" t="n">
        <v>9567.75</v>
      </c>
      <c r="C25" s="15" t="n">
        <v>0.01513596614937854</v>
      </c>
      <c r="D25" s="9" t="n">
        <v>192</v>
      </c>
      <c r="E25" s="9" t="n">
        <v>127</v>
      </c>
      <c r="F25" s="10" t="n">
        <v>75.34</v>
      </c>
      <c r="G25" s="10" t="n">
        <v>49.83</v>
      </c>
      <c r="H25" s="10" t="n">
        <v>1736.19</v>
      </c>
      <c r="I25" s="10" t="n">
        <v>631.36</v>
      </c>
      <c r="J25" s="10" t="n">
        <v>-1104.84</v>
      </c>
      <c r="K25" s="15" t="n">
        <v>-0.6363558738128648</v>
      </c>
      <c r="L25" s="2" t="n"/>
      <c r="M25" s="2" t="n"/>
      <c r="N25" s="2" t="n"/>
      <c r="O25" s="2" t="n"/>
    </row>
    <row r="26">
      <c r="A26" s="9" t="inlineStr">
        <is>
          <t>KTS-1936</t>
        </is>
      </c>
      <c r="B26" s="10" t="n">
        <v>6652.16</v>
      </c>
      <c r="C26" s="15" t="n">
        <v>0.01052356278364056</v>
      </c>
      <c r="D26" s="9" t="n">
        <v>30</v>
      </c>
      <c r="E26" s="9" t="n">
        <v>30</v>
      </c>
      <c r="F26" s="10" t="n">
        <v>221.74</v>
      </c>
      <c r="G26" s="10" t="n">
        <v>221.74</v>
      </c>
      <c r="H26" s="10" t="n">
        <v>1112.66</v>
      </c>
      <c r="I26" s="10" t="n">
        <v>2241.03</v>
      </c>
      <c r="J26" s="10" t="n">
        <v>1128.37</v>
      </c>
      <c r="K26" s="15" t="n">
        <v>1.014125602049868</v>
      </c>
      <c r="L26" s="2" t="n"/>
      <c r="M26" s="2" t="n"/>
      <c r="N26" s="2" t="n"/>
      <c r="O26" s="2" t="n"/>
    </row>
    <row r="27">
      <c r="A27" s="9" t="inlineStr">
        <is>
          <t>SB428T</t>
        </is>
      </c>
      <c r="B27" s="10" t="n">
        <v>5143.4</v>
      </c>
      <c r="C27" s="15" t="n">
        <v>0.008136736028703415</v>
      </c>
      <c r="D27" s="9" t="n">
        <v>54</v>
      </c>
      <c r="E27" s="9" t="n">
        <v>30</v>
      </c>
      <c r="F27" s="10" t="n">
        <v>171.45</v>
      </c>
      <c r="G27" s="10" t="n">
        <v>95.25</v>
      </c>
      <c r="H27" s="10" t="n">
        <v>1811.85</v>
      </c>
      <c r="I27" s="10" t="n">
        <v>1184.23</v>
      </c>
      <c r="J27" s="10" t="n">
        <v>-627.62</v>
      </c>
      <c r="K27" s="15" t="n">
        <v>-0.3463965087694703</v>
      </c>
      <c r="L27" s="2" t="n"/>
      <c r="M27" s="2" t="n"/>
      <c r="N27" s="2" t="n"/>
      <c r="O27" s="2" t="n"/>
    </row>
    <row r="28">
      <c r="A28" s="9" t="inlineStr">
        <is>
          <t>BG-115-B</t>
        </is>
      </c>
      <c r="B28" s="10" t="n">
        <v>4797.49</v>
      </c>
      <c r="C28" s="15" t="n">
        <v>0.007589514456605265</v>
      </c>
      <c r="D28" s="9" t="n">
        <v>65</v>
      </c>
      <c r="E28" s="9" t="n">
        <v>63</v>
      </c>
      <c r="F28" s="10" t="n">
        <v>76.15000000000001</v>
      </c>
      <c r="G28" s="10" t="n">
        <v>73.81</v>
      </c>
      <c r="H28" s="10" t="n">
        <v>1039.51</v>
      </c>
      <c r="I28" s="10" t="n">
        <v>1161.36</v>
      </c>
      <c r="J28" s="10" t="n">
        <v>121.86</v>
      </c>
      <c r="K28" s="15" t="n">
        <v>0.117224581888257</v>
      </c>
      <c r="L28" s="2" t="n"/>
      <c r="M28" s="2" t="n"/>
      <c r="N28" s="2" t="n"/>
      <c r="O28" s="2" t="n"/>
    </row>
    <row r="29">
      <c r="A29" s="9" t="inlineStr">
        <is>
          <t>BSC04</t>
        </is>
      </c>
      <c r="B29" s="10" t="n">
        <v>2997.75</v>
      </c>
      <c r="C29" s="15" t="n">
        <v>0.004742379956468455</v>
      </c>
      <c r="D29" s="9" t="n">
        <v>53</v>
      </c>
      <c r="E29" s="9" t="n">
        <v>51</v>
      </c>
      <c r="F29" s="10" t="n">
        <v>58.78</v>
      </c>
      <c r="G29" s="10" t="n">
        <v>56.56</v>
      </c>
      <c r="H29" s="10" t="n">
        <v>429.65</v>
      </c>
      <c r="I29" s="10" t="n">
        <v>387.32</v>
      </c>
      <c r="J29" s="10" t="n">
        <v>-42.33</v>
      </c>
      <c r="K29" s="15" t="n">
        <v>-0.09852045799620329</v>
      </c>
      <c r="L29" s="2" t="n"/>
      <c r="M29" s="2" t="n"/>
      <c r="N29" s="2" t="n"/>
      <c r="O29" s="2" t="n"/>
    </row>
    <row r="30">
      <c r="A30" s="9" t="inlineStr">
        <is>
          <t>BSC07</t>
        </is>
      </c>
      <c r="B30" s="10" t="n">
        <v>2485.06</v>
      </c>
      <c r="C30" s="15" t="n">
        <v>0.003931300962299704</v>
      </c>
      <c r="D30" s="9" t="n">
        <v>76</v>
      </c>
      <c r="E30" s="9" t="n">
        <v>64</v>
      </c>
      <c r="F30" s="10" t="n">
        <v>38.83</v>
      </c>
      <c r="G30" s="10" t="n">
        <v>32.7</v>
      </c>
      <c r="H30" s="10" t="n">
        <v>806.85</v>
      </c>
      <c r="I30" s="10" t="n">
        <v>615.25</v>
      </c>
      <c r="J30" s="10" t="n">
        <v>-191.6</v>
      </c>
      <c r="K30" s="15" t="n">
        <v>-0.2374666379872184</v>
      </c>
      <c r="L30" s="2" t="n"/>
      <c r="M30" s="2" t="n"/>
      <c r="N30" s="2" t="n"/>
      <c r="O30" s="2" t="n"/>
    </row>
    <row r="31">
      <c r="A31" s="9" t="inlineStr">
        <is>
          <t>VA371T</t>
        </is>
      </c>
      <c r="B31" s="10" t="n">
        <v>2399.94</v>
      </c>
      <c r="C31" s="15" t="n">
        <v>0.003796643617455153</v>
      </c>
      <c r="D31" s="9" t="n">
        <v>63</v>
      </c>
      <c r="E31" s="9" t="n">
        <v>54</v>
      </c>
      <c r="F31" s="10" t="n">
        <v>44.44</v>
      </c>
      <c r="G31" s="10" t="n">
        <v>38.09</v>
      </c>
      <c r="H31" s="10" t="n">
        <v>304.16</v>
      </c>
      <c r="I31" s="10" t="n">
        <v>690.27</v>
      </c>
      <c r="J31" s="10" t="n">
        <v>386.11</v>
      </c>
      <c r="K31" s="15" t="n">
        <v>1.269416084024142</v>
      </c>
      <c r="L31" s="2" t="n"/>
      <c r="M31" s="2" t="n"/>
      <c r="N31" s="2" t="n"/>
      <c r="O31" s="2" t="n"/>
    </row>
    <row r="32">
      <c r="A32" s="9" t="inlineStr">
        <is>
          <t>TL1412N17C</t>
        </is>
      </c>
      <c r="B32" s="10" t="n">
        <v>2291.78</v>
      </c>
      <c r="C32" s="15" t="n">
        <v>0.003625540840271602</v>
      </c>
      <c r="D32" s="9" t="n">
        <v>71</v>
      </c>
      <c r="E32" s="9" t="n">
        <v>47</v>
      </c>
      <c r="F32" s="10" t="n">
        <v>48.76</v>
      </c>
      <c r="G32" s="10" t="n">
        <v>32.28</v>
      </c>
      <c r="H32" s="10" t="n">
        <v>252.3</v>
      </c>
      <c r="I32" s="10" t="n">
        <v>521.45</v>
      </c>
      <c r="J32" s="10" t="n">
        <v>269.15</v>
      </c>
      <c r="K32" s="15" t="n">
        <v>1.066779666458384</v>
      </c>
      <c r="L32" s="2" t="n"/>
      <c r="M32" s="2" t="n"/>
      <c r="N32" s="2" t="n"/>
      <c r="O32" s="2" t="n"/>
    </row>
    <row r="33">
      <c r="A33" s="9" t="inlineStr">
        <is>
          <t>EM12W12</t>
        </is>
      </c>
      <c r="B33" s="10" t="n">
        <v>1861.68</v>
      </c>
      <c r="C33" s="15" t="n">
        <v>0.002945136326071337</v>
      </c>
      <c r="D33" s="9" t="n">
        <v>26</v>
      </c>
      <c r="E33" s="9" t="n">
        <v>13</v>
      </c>
      <c r="F33" s="10" t="n">
        <v>143.21</v>
      </c>
      <c r="G33" s="10" t="n">
        <v>71.59999999999999</v>
      </c>
      <c r="H33" s="10" t="n">
        <v>496.98</v>
      </c>
      <c r="I33" s="10" t="n">
        <v>306.42</v>
      </c>
      <c r="J33" s="10" t="n">
        <v>-190.56</v>
      </c>
      <c r="K33" s="15" t="n">
        <v>-0.3834363259649888</v>
      </c>
      <c r="L33" s="2" t="n"/>
      <c r="M33" s="2" t="n"/>
      <c r="N33" s="2" t="n"/>
      <c r="O33" s="2" t="n"/>
    </row>
    <row r="34">
      <c r="A34" s="9" t="inlineStr">
        <is>
          <t>BG-115-P</t>
        </is>
      </c>
      <c r="B34" s="10" t="n">
        <v>1714.58</v>
      </c>
      <c r="C34" s="15" t="n">
        <v>0.002712429616877656</v>
      </c>
      <c r="D34" s="9" t="n">
        <v>22</v>
      </c>
      <c r="E34" s="9" t="n">
        <v>22</v>
      </c>
      <c r="F34" s="10" t="n">
        <v>77.94</v>
      </c>
      <c r="G34" s="10" t="n">
        <v>77.94</v>
      </c>
      <c r="H34" s="10" t="n">
        <v>0</v>
      </c>
      <c r="I34" s="10" t="n">
        <v>0</v>
      </c>
      <c r="J34" s="10" t="n">
        <v>0</v>
      </c>
      <c r="K34" s="15" t="n">
        <v>0</v>
      </c>
      <c r="L34" s="2" t="n"/>
      <c r="M34" s="2" t="n"/>
      <c r="N34" s="2" t="n"/>
      <c r="O34" s="2" t="n"/>
    </row>
    <row r="35">
      <c r="A35" s="9" t="inlineStr">
        <is>
          <t>MB-174-N</t>
        </is>
      </c>
      <c r="B35" s="10" t="n">
        <v>1607.59</v>
      </c>
      <c r="C35" s="15" t="n">
        <v>0.00254316422710312</v>
      </c>
      <c r="D35" s="9" t="n">
        <v>17</v>
      </c>
      <c r="E35" s="9" t="n">
        <v>9</v>
      </c>
      <c r="F35" s="10" t="n">
        <v>178.62</v>
      </c>
      <c r="G35" s="10" t="n">
        <v>94.56</v>
      </c>
      <c r="H35" s="10" t="n">
        <v>94.92</v>
      </c>
      <c r="I35" s="10" t="n">
        <v>95.25</v>
      </c>
      <c r="J35" s="10" t="n">
        <v>0.33</v>
      </c>
      <c r="K35" s="15" t="n">
        <v>0.003475627936083642</v>
      </c>
      <c r="L35" s="2" t="n"/>
      <c r="M35" s="2" t="n"/>
      <c r="N35" s="2" t="n"/>
      <c r="O35" s="2" t="n"/>
    </row>
    <row r="36">
      <c r="A36" s="9" t="inlineStr">
        <is>
          <t>i12-B</t>
        </is>
      </c>
      <c r="B36" s="10" t="n">
        <v>1582.02</v>
      </c>
      <c r="C36" s="15" t="n">
        <v>0.002502724935146576</v>
      </c>
      <c r="D36" s="9" t="n">
        <v>41</v>
      </c>
      <c r="E36" s="9" t="n">
        <v>29</v>
      </c>
      <c r="F36" s="10" t="n">
        <v>54.55</v>
      </c>
      <c r="G36" s="10" t="n">
        <v>38.59</v>
      </c>
      <c r="H36" s="10" t="n">
        <v>262.11</v>
      </c>
      <c r="I36" s="10" t="n">
        <v>173.2</v>
      </c>
      <c r="J36" s="10" t="n">
        <v>-88.91</v>
      </c>
      <c r="K36" s="15" t="n">
        <v>-0.3392106527710403</v>
      </c>
      <c r="L36" s="2" t="n"/>
      <c r="M36" s="2" t="n"/>
      <c r="N36" s="2" t="n"/>
      <c r="O36" s="2" t="n"/>
    </row>
    <row r="37">
      <c r="A37" s="9" t="inlineStr">
        <is>
          <t>SA428T</t>
        </is>
      </c>
      <c r="B37" s="10" t="n">
        <v>1369.2</v>
      </c>
      <c r="C37" s="15" t="n">
        <v>0.002166041351265106</v>
      </c>
      <c r="D37" s="9" t="n">
        <v>17</v>
      </c>
      <c r="E37" s="9" t="n">
        <v>13</v>
      </c>
      <c r="F37" s="10" t="n">
        <v>105.32</v>
      </c>
      <c r="G37" s="10" t="n">
        <v>80.54000000000001</v>
      </c>
      <c r="H37" s="10" t="n">
        <v>307.25</v>
      </c>
      <c r="I37" s="10" t="n">
        <v>80.88</v>
      </c>
      <c r="J37" s="10" t="n">
        <v>-226.37</v>
      </c>
      <c r="K37" s="15" t="n">
        <v>-0.736760686577244</v>
      </c>
      <c r="L37" s="2" t="n"/>
      <c r="M37" s="2" t="n"/>
      <c r="N37" s="2" t="n"/>
      <c r="O37" s="2" t="n"/>
    </row>
    <row r="38">
      <c r="A38" s="9" t="inlineStr">
        <is>
          <t>SA323T</t>
        </is>
      </c>
      <c r="B38" s="10" t="n">
        <v>1158.36</v>
      </c>
      <c r="C38" s="15" t="n">
        <v>0.001832497754812093</v>
      </c>
      <c r="D38" s="9" t="n">
        <v>28</v>
      </c>
      <c r="E38" s="9" t="n">
        <v>24</v>
      </c>
      <c r="F38" s="10" t="n">
        <v>48.26</v>
      </c>
      <c r="G38" s="10" t="n">
        <v>41.37</v>
      </c>
      <c r="H38" s="10" t="n">
        <v>0</v>
      </c>
      <c r="I38" s="10" t="n">
        <v>0</v>
      </c>
      <c r="J38" s="10" t="n">
        <v>0</v>
      </c>
      <c r="K38" s="15" t="n">
        <v>0</v>
      </c>
      <c r="L38" s="2" t="n"/>
      <c r="M38" s="2" t="n"/>
      <c r="N38" s="2" t="n"/>
      <c r="O38" s="2" t="n"/>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ht="27.6" customHeight="1">
      <c r="A1" s="5" t="inlineStr">
        <is>
          <t>SKU</t>
        </is>
      </c>
      <c r="B1" s="5" t="inlineStr">
        <is>
          <t>商品名称</t>
        </is>
      </c>
      <c r="C1" s="5" t="inlineStr">
        <is>
          <t>GMV</t>
        </is>
      </c>
      <c r="D1" s="5" t="inlineStr">
        <is>
          <t>GMV占比</t>
        </is>
      </c>
      <c r="E1" s="5" t="inlineStr">
        <is>
          <t>销量</t>
        </is>
      </c>
      <c r="F1" s="5" t="inlineStr">
        <is>
          <t>订单数</t>
        </is>
      </c>
      <c r="G1" s="5" t="inlineStr">
        <is>
          <t>订单行数</t>
        </is>
      </c>
      <c r="H1" s="5" t="inlineStr">
        <is>
          <t>客单价</t>
        </is>
      </c>
      <c r="I1" s="5" t="inlineStr">
        <is>
          <t>件单价</t>
        </is>
      </c>
      <c r="J1" s="5" t="inlineStr">
        <is>
          <t>5.1-5.7 GMV</t>
        </is>
      </c>
      <c r="K1" s="5" t="inlineStr">
        <is>
          <t>5.8-5.14 GMV</t>
        </is>
      </c>
      <c r="L1" s="5" t="inlineStr">
        <is>
          <t>5.15-5.21 GMV</t>
        </is>
      </c>
      <c r="M1" s="5" t="inlineStr">
        <is>
          <t>5.22-5.28 GMV</t>
        </is>
      </c>
      <c r="N1" s="5" t="inlineStr">
        <is>
          <t>5.29-6.4 GMV</t>
        </is>
      </c>
      <c r="O1" s="5" t="inlineStr">
        <is>
          <t>GMV变化</t>
        </is>
      </c>
      <c r="P1" s="5" t="inlineStr">
        <is>
          <t>GMV变化%</t>
        </is>
      </c>
    </row>
    <row r="2">
      <c r="A2" s="16" t="inlineStr">
        <is>
          <t>LV64W25</t>
        </is>
      </c>
      <c r="B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C2" s="17" t="n">
        <v>278611.67</v>
      </c>
      <c r="D2" s="18" t="n">
        <v>0.4407573080039093</v>
      </c>
      <c r="E2" s="16" t="n">
        <v>2346</v>
      </c>
      <c r="F2" s="16" t="n">
        <v>1263</v>
      </c>
      <c r="G2" s="16" t="n">
        <v>1266</v>
      </c>
      <c r="H2" s="17" t="n">
        <v>220.6</v>
      </c>
      <c r="I2" s="17" t="n">
        <v>118.76</v>
      </c>
      <c r="J2" s="17" t="n">
        <v>109392.12</v>
      </c>
      <c r="K2" s="17" t="n">
        <v>13572.05</v>
      </c>
      <c r="L2" s="17" t="n">
        <v>51690.3</v>
      </c>
      <c r="M2" s="17" t="n">
        <v>43948.38</v>
      </c>
      <c r="N2" s="17" t="n">
        <v>60008.82</v>
      </c>
      <c r="O2" s="17" t="n">
        <v>16060.44</v>
      </c>
      <c r="P2" s="18" t="n">
        <v>0.365438719484607</v>
      </c>
    </row>
    <row r="3">
      <c r="A3" s="16" t="inlineStr">
        <is>
          <t>LV54W25</t>
        </is>
      </c>
      <c r="B3" s="16" t="inlineStr">
        <is>
          <t>TIANLAI Lámpara Ventilador E27 2 en 1, Silenciosa, LED Alta Luminosidad 180°, Instalación Rápida, Ahorro Energético para Dormitorio y Interiores Pequeños</t>
        </is>
      </c>
      <c r="C3" s="17" t="n">
        <v>182982.1</v>
      </c>
      <c r="D3" s="18" t="n">
        <v>0.2894735154468648</v>
      </c>
      <c r="E3" s="16" t="n">
        <v>2481</v>
      </c>
      <c r="F3" s="16" t="n">
        <v>1513</v>
      </c>
      <c r="G3" s="16" t="n">
        <v>1519</v>
      </c>
      <c r="H3" s="17" t="n">
        <v>120.94</v>
      </c>
      <c r="I3" s="17" t="n">
        <v>73.75</v>
      </c>
      <c r="J3" s="17" t="n">
        <v>32491.55</v>
      </c>
      <c r="K3" s="17" t="n">
        <v>15673.96</v>
      </c>
      <c r="L3" s="17" t="n">
        <v>24613.22</v>
      </c>
      <c r="M3" s="17" t="n">
        <v>49921.73</v>
      </c>
      <c r="N3" s="17" t="n">
        <v>60281.65</v>
      </c>
      <c r="O3" s="17" t="n">
        <v>10359.92</v>
      </c>
      <c r="P3" s="18" t="n">
        <v>0.2075233234996223</v>
      </c>
    </row>
    <row r="4">
      <c r="A4" s="16" t="inlineStr">
        <is>
          <t>KTS-2031</t>
        </is>
      </c>
      <c r="B4" s="16" t="inlineStr">
        <is>
          <t>Bocina inalámbrica de 3 pulgadas con linterna multifuncional y panel solar integrado.Altavoz Portátil con Linterna LED 4 Modos, Radio FM, Bluetooth, Carga Solar, Ideal para Apagones, Emergencias, Campo y Exteriores</t>
        </is>
      </c>
      <c r="C4" s="17" t="n">
        <v>70896.33</v>
      </c>
      <c r="D4" s="18" t="n">
        <v>0.1121563788370728</v>
      </c>
      <c r="E4" s="16" t="n">
        <v>891</v>
      </c>
      <c r="F4" s="16" t="n">
        <v>621</v>
      </c>
      <c r="G4" s="16" t="n">
        <v>625</v>
      </c>
      <c r="H4" s="17" t="n">
        <v>114.16</v>
      </c>
      <c r="I4" s="17" t="n">
        <v>79.56999999999999</v>
      </c>
      <c r="J4" s="17" t="n">
        <v>5407.67</v>
      </c>
      <c r="K4" s="17" t="n">
        <v>11685.96</v>
      </c>
      <c r="L4" s="17" t="n">
        <v>16808.98</v>
      </c>
      <c r="M4" s="17" t="n">
        <v>21157.93</v>
      </c>
      <c r="N4" s="17" t="n">
        <v>15835.8</v>
      </c>
      <c r="O4" s="17" t="n">
        <v>-5322.13</v>
      </c>
      <c r="P4" s="18" t="n">
        <v>-0.2515430860867208</v>
      </c>
    </row>
    <row r="5">
      <c r="A5" s="16" t="inlineStr">
        <is>
          <t>TL1455N20B</t>
        </is>
      </c>
      <c r="B5" s="16" t="inlineStr">
        <is>
          <t>LINK BITS Soporte para TV 14 A 55 Pulgadas, Base para TV Pantalla Articulado Inclinable y Giratorio, MAX VESA 400×400 mm, Soporta hasta 18kg (Acero Reforzado)</t>
        </is>
      </c>
      <c r="C5" s="17" t="n">
        <v>20698.77</v>
      </c>
      <c r="D5" s="18" t="n">
        <v>0.03274498116106574</v>
      </c>
      <c r="E5" s="16" t="n">
        <v>286</v>
      </c>
      <c r="F5" s="16" t="n">
        <v>156</v>
      </c>
      <c r="G5" s="16" t="n">
        <v>156</v>
      </c>
      <c r="H5" s="17" t="n">
        <v>132.68</v>
      </c>
      <c r="I5" s="17" t="n">
        <v>72.37</v>
      </c>
      <c r="J5" s="17" t="n">
        <v>760.51</v>
      </c>
      <c r="K5" s="17" t="n">
        <v>3277.03</v>
      </c>
      <c r="L5" s="17" t="n">
        <v>7402.16</v>
      </c>
      <c r="M5" s="17" t="n">
        <v>7010.22</v>
      </c>
      <c r="N5" s="17" t="n">
        <v>2248.84</v>
      </c>
      <c r="O5" s="17" t="n">
        <v>-4761.38</v>
      </c>
      <c r="P5" s="18" t="n">
        <v>-0.6792052518611603</v>
      </c>
    </row>
    <row r="6">
      <c r="A6" s="16" t="inlineStr">
        <is>
          <t>VB349T</t>
        </is>
      </c>
      <c r="B6" s="16" t="inlineStr">
        <is>
          <t>LINKBITS Altavoz Portátil de Doble Altavoz - 3 Pulgadas, Sonido HD, Emparejamiento Rápido de Bluetooth, Conectividad TWS, Reproducción Multimodo (Micro SD/USB/Radio FM) - Perfecto para Oficina, Viajes y Espacios Pequeños</t>
        </is>
      </c>
      <c r="C6" s="17" t="n">
        <v>13578.19</v>
      </c>
      <c r="D6" s="18" t="n">
        <v>0.02148038941239288</v>
      </c>
      <c r="E6" s="16" t="n">
        <v>174</v>
      </c>
      <c r="F6" s="16" t="n">
        <v>144</v>
      </c>
      <c r="G6" s="16" t="n">
        <v>144</v>
      </c>
      <c r="H6" s="17" t="n">
        <v>94.29000000000001</v>
      </c>
      <c r="I6" s="17" t="n">
        <v>78.04000000000001</v>
      </c>
      <c r="J6" s="17" t="n">
        <v>4018.69</v>
      </c>
      <c r="K6" s="17" t="n">
        <v>2489.07</v>
      </c>
      <c r="L6" s="17" t="n">
        <v>2402.34</v>
      </c>
      <c r="M6" s="17" t="n">
        <v>2514.43</v>
      </c>
      <c r="N6" s="17" t="n">
        <v>2153.67</v>
      </c>
      <c r="O6" s="17" t="n">
        <v>-360.76</v>
      </c>
      <c r="P6" s="18" t="n">
        <v>-0.1434761218238489</v>
      </c>
    </row>
    <row r="7">
      <c r="A7" s="16" t="inlineStr">
        <is>
          <t>B03W10-10PZS</t>
        </is>
      </c>
      <c r="B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C7" s="17" t="n">
        <v>10235.14</v>
      </c>
      <c r="D7" s="18" t="n">
        <v>0.01619175747764692</v>
      </c>
      <c r="E7" s="16" t="n">
        <v>155</v>
      </c>
      <c r="F7" s="16" t="n">
        <v>123</v>
      </c>
      <c r="G7" s="16" t="n">
        <v>123</v>
      </c>
      <c r="H7" s="17" t="n">
        <v>83.20999999999999</v>
      </c>
      <c r="I7" s="17" t="n">
        <v>66.03</v>
      </c>
      <c r="J7" s="17" t="n">
        <v>1533.46</v>
      </c>
      <c r="K7" s="17" t="n">
        <v>2124.1</v>
      </c>
      <c r="L7" s="17" t="n">
        <v>3221.09</v>
      </c>
      <c r="M7" s="17" t="n">
        <v>1655.32</v>
      </c>
      <c r="N7" s="17" t="n">
        <v>1701.17</v>
      </c>
      <c r="O7" s="17" t="n">
        <v>45.85</v>
      </c>
      <c r="P7" s="18" t="n">
        <v>0.02769898463063421</v>
      </c>
    </row>
    <row r="8">
      <c r="A8" s="16" t="inlineStr">
        <is>
          <t>TL2663N18C</t>
        </is>
      </c>
      <c r="B8" s="16" t="inlineStr">
        <is>
          <t>Linkbits，Soporte de pared fijo para televisores de 26"-63", Ultra-Delgado Compatible con VESA 400x400mm, Capacidad de Peso Fuerte de 25KG, Instalación Fácil Sin Electricidad</t>
        </is>
      </c>
      <c r="C8" s="17" t="n">
        <v>9567.75</v>
      </c>
      <c r="D8" s="18" t="n">
        <v>0.01513596614937854</v>
      </c>
      <c r="E8" s="16" t="n">
        <v>192</v>
      </c>
      <c r="F8" s="16" t="n">
        <v>127</v>
      </c>
      <c r="G8" s="16" t="n">
        <v>127</v>
      </c>
      <c r="H8" s="17" t="n">
        <v>75.34</v>
      </c>
      <c r="I8" s="17" t="n">
        <v>49.83</v>
      </c>
      <c r="J8" s="17" t="n">
        <v>2841.91</v>
      </c>
      <c r="K8" s="17" t="n">
        <v>1930.41</v>
      </c>
      <c r="L8" s="17" t="n">
        <v>2427.88</v>
      </c>
      <c r="M8" s="17" t="n">
        <v>1736.19</v>
      </c>
      <c r="N8" s="17" t="n">
        <v>631.36</v>
      </c>
      <c r="O8" s="17" t="n">
        <v>-1104.84</v>
      </c>
      <c r="P8" s="18" t="n">
        <v>-0.6363558738128648</v>
      </c>
    </row>
    <row r="9">
      <c r="A9" s="16" t="inlineStr">
        <is>
          <t>KTS-1936</t>
        </is>
      </c>
      <c r="B9" s="16" t="inlineStr">
        <is>
          <t>Espejo con Luz para Makeup，Espejo con Luz LED y Bocina Bluetooth，Espejo para Maquillaje con Aumentos y Luces LED de Intensidad Ajustable，Lente de Aumento 10X+Reproductor TF+ TWS，espejo de portátil y para estudiantes, oficina, dormitorio, mejor regalo</t>
        </is>
      </c>
      <c r="C9" s="17" t="n">
        <v>6652.16</v>
      </c>
      <c r="D9" s="18" t="n">
        <v>0.01052356278364056</v>
      </c>
      <c r="E9" s="16" t="n">
        <v>30</v>
      </c>
      <c r="F9" s="16" t="n">
        <v>30</v>
      </c>
      <c r="G9" s="16" t="n">
        <v>30</v>
      </c>
      <c r="H9" s="17" t="n">
        <v>221.74</v>
      </c>
      <c r="I9" s="17" t="n">
        <v>221.74</v>
      </c>
      <c r="J9" s="17" t="n">
        <v>1547.54</v>
      </c>
      <c r="K9" s="17" t="n">
        <v>905.1900000000001</v>
      </c>
      <c r="L9" s="17" t="n">
        <v>845.74</v>
      </c>
      <c r="M9" s="17" t="n">
        <v>1112.66</v>
      </c>
      <c r="N9" s="17" t="n">
        <v>2241.03</v>
      </c>
      <c r="O9" s="17" t="n">
        <v>1128.37</v>
      </c>
      <c r="P9" s="18" t="n">
        <v>1.014125602049868</v>
      </c>
    </row>
    <row r="10">
      <c r="A10" s="16" t="inlineStr">
        <is>
          <t>SB428T</t>
        </is>
      </c>
      <c r="B10" s="16" t="inlineStr">
        <is>
          <t>LINK BITS La bocina es tu compañero ideal para reuniones en México! Equipada con 2 altavoces de 4 pulgadas y potencia 5W×2, USB y TF, funciona sin internet—perfecta para picnics, fiestas en el jardín o relajación en la terraza.</t>
        </is>
      </c>
      <c r="C10" s="17" t="n">
        <v>5143.4</v>
      </c>
      <c r="D10" s="18" t="n">
        <v>0.008136736028703415</v>
      </c>
      <c r="E10" s="16" t="n">
        <v>54</v>
      </c>
      <c r="F10" s="16" t="n">
        <v>30</v>
      </c>
      <c r="G10" s="16" t="n">
        <v>30</v>
      </c>
      <c r="H10" s="17" t="n">
        <v>171.45</v>
      </c>
      <c r="I10" s="17" t="n">
        <v>95.25</v>
      </c>
      <c r="J10" s="17" t="n">
        <v>1109.74</v>
      </c>
      <c r="K10" s="17" t="n">
        <v>551.8</v>
      </c>
      <c r="L10" s="17" t="n">
        <v>485.77</v>
      </c>
      <c r="M10" s="17" t="n">
        <v>1811.85</v>
      </c>
      <c r="N10" s="17" t="n">
        <v>1184.23</v>
      </c>
      <c r="O10" s="17" t="n">
        <v>-627.62</v>
      </c>
      <c r="P10" s="18" t="n">
        <v>-0.3463965087694703</v>
      </c>
    </row>
    <row r="11">
      <c r="A11" s="16" t="inlineStr">
        <is>
          <t>BG-115-B</t>
        </is>
      </c>
      <c r="B11" s="16" t="inlineStr">
        <is>
          <t>LINK BITS Audífonos Inalámbricos con Luces Multicolor, Recargables y en Adorable Forma de Orejas de Gato - Conecta a Celulares y PCs, Tiene Radio FM, Tarjeta TF y AUX - 7 Horas de Reproducción, Plegables y Perfectos para Trabajo, Juegos y Estudio</t>
        </is>
      </c>
      <c r="C11" s="17" t="n">
        <v>4797.49</v>
      </c>
      <c r="D11" s="18" t="n">
        <v>0.007589514456605265</v>
      </c>
      <c r="E11" s="16" t="n">
        <v>65</v>
      </c>
      <c r="F11" s="16" t="n">
        <v>63</v>
      </c>
      <c r="G11" s="16" t="n">
        <v>64</v>
      </c>
      <c r="H11" s="17" t="n">
        <v>76.15000000000001</v>
      </c>
      <c r="I11" s="17" t="n">
        <v>73.81</v>
      </c>
      <c r="J11" s="17" t="n">
        <v>1273.97</v>
      </c>
      <c r="K11" s="17" t="n">
        <v>785.61</v>
      </c>
      <c r="L11" s="17" t="n">
        <v>537.04</v>
      </c>
      <c r="M11" s="17" t="n">
        <v>1039.51</v>
      </c>
      <c r="N11" s="17" t="n">
        <v>1161.36</v>
      </c>
      <c r="O11" s="17" t="n">
        <v>121.86</v>
      </c>
      <c r="P11" s="18" t="n">
        <v>0.117224581888257</v>
      </c>
    </row>
    <row r="12">
      <c r="A12" s="16" t="inlineStr">
        <is>
          <t>BSC04</t>
        </is>
      </c>
      <c r="B12" s="16" t="inlineStr">
        <is>
          <t>TIANLAI Báscula Digital BSC04/BSC07, Alta Precisión, Fácil Operación, Ligera y Portátil, Función Tara, Unidad Dual oz/g, Ideal para Cocina, Control de Porciones, Sellos y Objetos Pequeños, Uso en Hogar y Viaje</t>
        </is>
      </c>
      <c r="C12" s="17" t="n">
        <v>2997.75</v>
      </c>
      <c r="D12" s="18" t="n">
        <v>0.004742379956468455</v>
      </c>
      <c r="E12" s="16" t="n">
        <v>53</v>
      </c>
      <c r="F12" s="16" t="n">
        <v>51</v>
      </c>
      <c r="G12" s="16" t="n">
        <v>51</v>
      </c>
      <c r="H12" s="17" t="n">
        <v>58.78</v>
      </c>
      <c r="I12" s="17" t="n">
        <v>56.56</v>
      </c>
      <c r="J12" s="17" t="n">
        <v>832.78</v>
      </c>
      <c r="K12" s="17" t="n">
        <v>508.3</v>
      </c>
      <c r="L12" s="17" t="n">
        <v>839.7</v>
      </c>
      <c r="M12" s="17" t="n">
        <v>429.65</v>
      </c>
      <c r="N12" s="17" t="n">
        <v>387.32</v>
      </c>
      <c r="O12" s="17" t="n">
        <v>-42.33</v>
      </c>
      <c r="P12" s="18" t="n">
        <v>-0.09852045799620329</v>
      </c>
    </row>
    <row r="13">
      <c r="A13" s="16" t="inlineStr">
        <is>
          <t>BSC07</t>
        </is>
      </c>
      <c r="B13" s="16" t="inlineStr">
        <is>
          <t>TIANLAI Báscula Digital BSC04/BSC07, Alta Precisión, Fácil Operación, Ligera y Portátil, Función Tara, Unidad Dual oz/g, Ideal para Cocina, Control de Porciones, Sellos y Objetos Pequeños, Uso en Hogar y Viaje</t>
        </is>
      </c>
      <c r="C13" s="17" t="n">
        <v>2485.06</v>
      </c>
      <c r="D13" s="18" t="n">
        <v>0.003931300962299704</v>
      </c>
      <c r="E13" s="16" t="n">
        <v>76</v>
      </c>
      <c r="F13" s="16" t="n">
        <v>64</v>
      </c>
      <c r="G13" s="16" t="n">
        <v>64</v>
      </c>
      <c r="H13" s="17" t="n">
        <v>38.83</v>
      </c>
      <c r="I13" s="17" t="n">
        <v>32.7</v>
      </c>
      <c r="J13" s="17" t="n">
        <v>360.48</v>
      </c>
      <c r="K13" s="17" t="n">
        <v>132.28</v>
      </c>
      <c r="L13" s="17" t="n">
        <v>570.2</v>
      </c>
      <c r="M13" s="17" t="n">
        <v>806.85</v>
      </c>
      <c r="N13" s="17" t="n">
        <v>615.25</v>
      </c>
      <c r="O13" s="17" t="n">
        <v>-191.6</v>
      </c>
      <c r="P13" s="18" t="n">
        <v>-0.2374666379872184</v>
      </c>
    </row>
    <row r="14">
      <c r="A14" s="16" t="inlineStr">
        <is>
          <t>VA371T</t>
        </is>
      </c>
      <c r="B14" s="16" t="inlineStr">
        <is>
          <t>Linkbits Bocina Bluetooth Portátil 3" de Alta Gama，Hi-Res Audio y Graves Potentes，Luces LED + Soporte USB/TF/FM/TWS，Ideal para Hogar y Aire Libre</t>
        </is>
      </c>
      <c r="C14" s="17" t="n">
        <v>2399.94</v>
      </c>
      <c r="D14" s="18" t="n">
        <v>0.003796643617455153</v>
      </c>
      <c r="E14" s="16" t="n">
        <v>63</v>
      </c>
      <c r="F14" s="16" t="n">
        <v>54</v>
      </c>
      <c r="G14" s="16" t="n">
        <v>54</v>
      </c>
      <c r="H14" s="17" t="n">
        <v>44.44</v>
      </c>
      <c r="I14" s="17" t="n">
        <v>38.09</v>
      </c>
      <c r="J14" s="17" t="n">
        <v>605.29</v>
      </c>
      <c r="K14" s="17" t="n">
        <v>357.33</v>
      </c>
      <c r="L14" s="17" t="n">
        <v>442.89</v>
      </c>
      <c r="M14" s="17" t="n">
        <v>304.16</v>
      </c>
      <c r="N14" s="17" t="n">
        <v>690.27</v>
      </c>
      <c r="O14" s="17" t="n">
        <v>386.11</v>
      </c>
      <c r="P14" s="18" t="n">
        <v>1.269416084024142</v>
      </c>
    </row>
    <row r="15">
      <c r="A15" s="16" t="inlineStr">
        <is>
          <t>TL1412N17C</t>
        </is>
      </c>
      <c r="B15" s="16" t="inlineStr">
        <is>
          <t>Linkbits, Soporte de Pared Fijo para TV y Monitor de 14"-43", Ultra Delgado 2.3cm, Fuerte Capacidad de Peso de 25KG, Fácil Instalación con Accesorios Completos</t>
        </is>
      </c>
      <c r="C15" s="17" t="n">
        <v>2291.78</v>
      </c>
      <c r="D15" s="18" t="n">
        <v>0.003625540840271602</v>
      </c>
      <c r="E15" s="16" t="n">
        <v>71</v>
      </c>
      <c r="F15" s="16" t="n">
        <v>47</v>
      </c>
      <c r="G15" s="16" t="n">
        <v>47</v>
      </c>
      <c r="H15" s="17" t="n">
        <v>48.76</v>
      </c>
      <c r="I15" s="17" t="n">
        <v>32.28</v>
      </c>
      <c r="J15" s="17" t="n">
        <v>360.48</v>
      </c>
      <c r="K15" s="17" t="n">
        <v>851.41</v>
      </c>
      <c r="L15" s="17" t="n">
        <v>306.13</v>
      </c>
      <c r="M15" s="17" t="n">
        <v>252.3</v>
      </c>
      <c r="N15" s="17" t="n">
        <v>521.45</v>
      </c>
      <c r="O15" s="17" t="n">
        <v>269.15</v>
      </c>
      <c r="P15" s="18" t="n">
        <v>1.066779666458384</v>
      </c>
    </row>
    <row r="16">
      <c r="A16" s="16" t="inlineStr">
        <is>
          <t>EM12W12</t>
        </is>
      </c>
      <c r="B16" s="16" t="inlineStr">
        <is>
          <t>TIANLAI Lámpara Solar de Emergencia, 1pc 960lm IP4 5 Modos con SOS, Recargable USB+Solar con Gancho, Linterna Portátil para Camping Hogar Senderismo Pesca</t>
        </is>
      </c>
      <c r="C16" s="17" t="n">
        <v>1861.68</v>
      </c>
      <c r="D16" s="18" t="n">
        <v>0.002945136326071337</v>
      </c>
      <c r="E16" s="16" t="n">
        <v>26</v>
      </c>
      <c r="F16" s="16" t="n">
        <v>13</v>
      </c>
      <c r="G16" s="16" t="n">
        <v>13</v>
      </c>
      <c r="H16" s="17" t="n">
        <v>143.21</v>
      </c>
      <c r="I16" s="17" t="n">
        <v>71.59999999999999</v>
      </c>
      <c r="J16" s="17" t="n">
        <v>463.16</v>
      </c>
      <c r="K16" s="17" t="n">
        <v>230.03</v>
      </c>
      <c r="L16" s="17" t="n">
        <v>365.09</v>
      </c>
      <c r="M16" s="17" t="n">
        <v>496.98</v>
      </c>
      <c r="N16" s="17" t="n">
        <v>306.42</v>
      </c>
      <c r="O16" s="17" t="n">
        <v>-190.56</v>
      </c>
      <c r="P16" s="18" t="n">
        <v>-0.3834363259649888</v>
      </c>
    </row>
    <row r="17">
      <c r="A17" s="16" t="inlineStr">
        <is>
          <t>BG-115-P</t>
        </is>
      </c>
      <c r="B17" s="16" t="inlineStr">
        <is>
          <t>LINK BITS Audífonos Inalámbricos con Luces Multicolor, Recargables y en Adorable Forma de Orejas de Gato - Conecta a Celulares y PCs, Tiene Radio FM, Tarjeta TF y AUX - 7 Horas de Reproducción, Plegables y Perfectos para Trabajo, Juegos y Estudio</t>
        </is>
      </c>
      <c r="C17" s="17" t="n">
        <v>1714.58</v>
      </c>
      <c r="D17" s="18" t="n">
        <v>0.002712429616877656</v>
      </c>
      <c r="E17" s="16" t="n">
        <v>22</v>
      </c>
      <c r="F17" s="16" t="n">
        <v>22</v>
      </c>
      <c r="G17" s="16" t="n">
        <v>22</v>
      </c>
      <c r="H17" s="17" t="n">
        <v>77.94</v>
      </c>
      <c r="I17" s="17" t="n">
        <v>77.94</v>
      </c>
      <c r="J17" s="17" t="n">
        <v>1065.02</v>
      </c>
      <c r="K17" s="17" t="n">
        <v>564.02</v>
      </c>
      <c r="L17" s="17" t="n">
        <v>85.55</v>
      </c>
      <c r="M17" s="17" t="n">
        <v>0</v>
      </c>
      <c r="N17" s="17" t="n">
        <v>0</v>
      </c>
      <c r="O17" s="17" t="n">
        <v>0</v>
      </c>
      <c r="P17" s="18" t="n">
        <v>0</v>
      </c>
    </row>
    <row r="18">
      <c r="A18" s="16" t="inlineStr">
        <is>
          <t>MB-174-N</t>
        </is>
      </c>
      <c r="B18" s="16" t="inlineStr">
        <is>
          <t>LINK BITS MB-174 Mini Bocina Bluetooth Soporte para Celular Integrado TWS Luz Ambiental 5W 80dB Sonido Claro Carga TYPE-C Material ABS Portátil Ideal como Regalo para Hogar Oficina Exterior Picnic</t>
        </is>
      </c>
      <c r="C18" s="17" t="n">
        <v>1607.59</v>
      </c>
      <c r="D18" s="18" t="n">
        <v>0.00254316422710312</v>
      </c>
      <c r="E18" s="16" t="n">
        <v>17</v>
      </c>
      <c r="F18" s="16" t="n">
        <v>9</v>
      </c>
      <c r="G18" s="16" t="n">
        <v>9</v>
      </c>
      <c r="H18" s="17" t="n">
        <v>178.62</v>
      </c>
      <c r="I18" s="17" t="n">
        <v>94.56</v>
      </c>
      <c r="J18" s="17" t="n">
        <v>381.34</v>
      </c>
      <c r="K18" s="17" t="n">
        <v>95.04000000000001</v>
      </c>
      <c r="L18" s="17" t="n">
        <v>941.04</v>
      </c>
      <c r="M18" s="17" t="n">
        <v>94.92</v>
      </c>
      <c r="N18" s="17" t="n">
        <v>95.25</v>
      </c>
      <c r="O18" s="17" t="n">
        <v>0.33</v>
      </c>
      <c r="P18" s="18" t="n">
        <v>0.003475627936083642</v>
      </c>
    </row>
    <row r="19">
      <c r="A19" s="16" t="inlineStr">
        <is>
          <t>i12-B</t>
        </is>
      </c>
      <c r="B19" s="16" t="inlineStr">
        <is>
          <t>Auriculares Inalámbricos TWS - Ideales para Usuarios Android e iPhone, Entusiastas del Deporte &amp; Música, Controles Táctiles, Audífonos Para Correr y Jugar</t>
        </is>
      </c>
      <c r="C19" s="17" t="n">
        <v>1582.02</v>
      </c>
      <c r="D19" s="18" t="n">
        <v>0.002502724935146576</v>
      </c>
      <c r="E19" s="16" t="n">
        <v>41</v>
      </c>
      <c r="F19" s="16" t="n">
        <v>29</v>
      </c>
      <c r="G19" s="16" t="n">
        <v>29</v>
      </c>
      <c r="H19" s="17" t="n">
        <v>54.55</v>
      </c>
      <c r="I19" s="17" t="n">
        <v>38.59</v>
      </c>
      <c r="J19" s="17" t="n">
        <v>443.07</v>
      </c>
      <c r="K19" s="17" t="n">
        <v>408.02</v>
      </c>
      <c r="L19" s="17" t="n">
        <v>295.64</v>
      </c>
      <c r="M19" s="17" t="n">
        <v>262.11</v>
      </c>
      <c r="N19" s="17" t="n">
        <v>173.2</v>
      </c>
      <c r="O19" s="17" t="n">
        <v>-88.91</v>
      </c>
      <c r="P19" s="18" t="n">
        <v>-0.3392106527710403</v>
      </c>
    </row>
    <row r="20">
      <c r="A20" s="16" t="inlineStr">
        <is>
          <t>SA428T</t>
        </is>
      </c>
      <c r="B20"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C20" s="17" t="n">
        <v>1369.2</v>
      </c>
      <c r="D20" s="18" t="n">
        <v>0.002166041351265106</v>
      </c>
      <c r="E20" s="16" t="n">
        <v>17</v>
      </c>
      <c r="F20" s="16" t="n">
        <v>13</v>
      </c>
      <c r="G20" s="16" t="n">
        <v>13</v>
      </c>
      <c r="H20" s="17" t="n">
        <v>105.32</v>
      </c>
      <c r="I20" s="17" t="n">
        <v>80.54000000000001</v>
      </c>
      <c r="J20" s="17" t="n">
        <v>238.72</v>
      </c>
      <c r="K20" s="17" t="n">
        <v>666.99</v>
      </c>
      <c r="L20" s="17" t="n">
        <v>75.36</v>
      </c>
      <c r="M20" s="17" t="n">
        <v>307.25</v>
      </c>
      <c r="N20" s="17" t="n">
        <v>80.88</v>
      </c>
      <c r="O20" s="17" t="n">
        <v>-226.37</v>
      </c>
      <c r="P20" s="18" t="n">
        <v>-0.736760686577244</v>
      </c>
    </row>
    <row r="21">
      <c r="A21" s="16" t="inlineStr">
        <is>
          <t>SA323T</t>
        </is>
      </c>
      <c r="B21" s="16" t="inlineStr">
        <is>
          <t>Linkbits，Altavoz inalámbrico portátil，Bocina Portátil Parlantes BT Portátiles con Iluminación de Ambiente,1 Hora de Duración, FM, TWS, TF/Micro SD,Ideal para Bailes en Interiores, Celebraciones Navideñas, Entretenimiento Familiar y para Música en Vivo</t>
        </is>
      </c>
      <c r="C21" s="17" t="n">
        <v>1158.36</v>
      </c>
      <c r="D21" s="18" t="n">
        <v>0.001832497754812093</v>
      </c>
      <c r="E21" s="16" t="n">
        <v>28</v>
      </c>
      <c r="F21" s="16" t="n">
        <v>24</v>
      </c>
      <c r="G21" s="16" t="n">
        <v>24</v>
      </c>
      <c r="H21" s="17" t="n">
        <v>48.26</v>
      </c>
      <c r="I21" s="17" t="n">
        <v>41.37</v>
      </c>
      <c r="J21" s="17" t="n">
        <v>411.18</v>
      </c>
      <c r="K21" s="17" t="n">
        <v>289.08</v>
      </c>
      <c r="L21" s="17" t="n">
        <v>458.1</v>
      </c>
      <c r="M21" s="17" t="n">
        <v>0</v>
      </c>
      <c r="N21" s="17" t="n">
        <v>0</v>
      </c>
      <c r="O21" s="17" t="n">
        <v>0</v>
      </c>
      <c r="P21" s="18" t="n">
        <v>0</v>
      </c>
    </row>
    <row r="22">
      <c r="A22" s="16" t="inlineStr">
        <is>
          <t>TLCD02-8P-A</t>
        </is>
      </c>
      <c r="B2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22" s="17" t="n">
        <v>1034.4</v>
      </c>
      <c r="D22" s="18" t="n">
        <v>0.001636396099456028</v>
      </c>
      <c r="E22" s="16" t="n">
        <v>47</v>
      </c>
      <c r="F22" s="16" t="n">
        <v>14</v>
      </c>
      <c r="G22" s="16" t="n">
        <v>14</v>
      </c>
      <c r="H22" s="17" t="n">
        <v>73.89</v>
      </c>
      <c r="I22" s="17" t="n">
        <v>22.01</v>
      </c>
      <c r="J22" s="17" t="n">
        <v>48.95</v>
      </c>
      <c r="K22" s="17" t="n">
        <v>0</v>
      </c>
      <c r="L22" s="17" t="n">
        <v>0</v>
      </c>
      <c r="M22" s="17" t="n">
        <v>626.47</v>
      </c>
      <c r="N22" s="17" t="n">
        <v>358.98</v>
      </c>
      <c r="O22" s="17" t="n">
        <v>-267.48</v>
      </c>
      <c r="P22" s="18" t="n">
        <v>-0.4269733515178448</v>
      </c>
    </row>
    <row r="23">
      <c r="A23" s="16" t="inlineStr">
        <is>
          <t>KTS-1369</t>
        </is>
      </c>
      <c r="B23" s="16" t="inlineStr">
        <is>
          <t>Bocina 3 Pulgadas Portátil Bluetooth con Luces LED, Sonido Claro y Batería Larga Duración, TWS TF USB FM, Ideal para Hogar Oficina y Exterior</t>
        </is>
      </c>
      <c r="C23" s="17" t="n">
        <v>999.99</v>
      </c>
      <c r="D23" s="18" t="n">
        <v>0.00158195923601292</v>
      </c>
      <c r="E23" s="16" t="n">
        <v>21</v>
      </c>
      <c r="F23" s="16" t="n">
        <v>19</v>
      </c>
      <c r="G23" s="16" t="n">
        <v>19</v>
      </c>
      <c r="H23" s="17" t="n">
        <v>52.63</v>
      </c>
      <c r="I23" s="17" t="n">
        <v>47.62</v>
      </c>
      <c r="J23" s="17" t="n">
        <v>0</v>
      </c>
      <c r="K23" s="17" t="n">
        <v>0</v>
      </c>
      <c r="L23" s="17" t="n">
        <v>0</v>
      </c>
      <c r="M23" s="17" t="n">
        <v>479.04</v>
      </c>
      <c r="N23" s="17" t="n">
        <v>520.9400000000001</v>
      </c>
      <c r="O23" s="17" t="n">
        <v>41.9</v>
      </c>
      <c r="P23" s="18" t="n">
        <v>0.08746286883278208</v>
      </c>
    </row>
    <row r="24">
      <c r="A24" s="16" t="inlineStr">
        <is>
          <t>TLCD06-12P-N</t>
        </is>
      </c>
      <c r="B2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24" s="17" t="n">
        <v>805.61</v>
      </c>
      <c r="D24" s="18" t="n">
        <v>0.001274449051716773</v>
      </c>
      <c r="E24" s="16" t="n">
        <v>27</v>
      </c>
      <c r="F24" s="16" t="n">
        <v>26</v>
      </c>
      <c r="G24" s="16" t="n">
        <v>26</v>
      </c>
      <c r="H24" s="17" t="n">
        <v>30.98</v>
      </c>
      <c r="I24" s="17" t="n">
        <v>29.84</v>
      </c>
      <c r="J24" s="17" t="n">
        <v>0</v>
      </c>
      <c r="K24" s="17" t="n">
        <v>57.04</v>
      </c>
      <c r="L24" s="17" t="n">
        <v>0</v>
      </c>
      <c r="M24" s="17" t="n">
        <v>294.68</v>
      </c>
      <c r="N24" s="17" t="n">
        <v>453.89</v>
      </c>
      <c r="O24" s="17" t="n">
        <v>159.22</v>
      </c>
      <c r="P24" s="18" t="n">
        <v>0.5403190598189228</v>
      </c>
    </row>
    <row r="25">
      <c r="A25" s="16" t="inlineStr">
        <is>
          <t>TLCD02-8P-N</t>
        </is>
      </c>
      <c r="B2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25" s="17" t="n">
        <v>736.67</v>
      </c>
      <c r="D25" s="18" t="n">
        <v>0.001165389126115122</v>
      </c>
      <c r="E25" s="16" t="n">
        <v>34</v>
      </c>
      <c r="F25" s="16" t="n">
        <v>18</v>
      </c>
      <c r="G25" s="16" t="n">
        <v>18</v>
      </c>
      <c r="H25" s="17" t="n">
        <v>40.93</v>
      </c>
      <c r="I25" s="17" t="n">
        <v>21.67</v>
      </c>
      <c r="J25" s="17" t="n">
        <v>42.88</v>
      </c>
      <c r="K25" s="17" t="n">
        <v>0</v>
      </c>
      <c r="L25" s="17" t="n">
        <v>0</v>
      </c>
      <c r="M25" s="17" t="n">
        <v>138.7</v>
      </c>
      <c r="N25" s="17" t="n">
        <v>555.08</v>
      </c>
      <c r="O25" s="17" t="n">
        <v>416.39</v>
      </c>
      <c r="P25" s="18" t="n">
        <v>3.002081127565225</v>
      </c>
    </row>
    <row r="26">
      <c r="A26" s="16" t="inlineStr">
        <is>
          <t>MB-174-G</t>
        </is>
      </c>
      <c r="B26" s="16" t="inlineStr">
        <is>
          <t>LINK BITS MB-174 Mini Bocina Bluetooth Soporte para Celular Integrado TWS Luz Ambiental 5W 80dB Sonido Claro Carga TYPE-C Material ABS Portátil Ideal como Regalo para Hogar Oficina Exterior Picnic</t>
        </is>
      </c>
      <c r="C26" s="17" t="n">
        <v>699.5</v>
      </c>
      <c r="D26" s="18" t="n">
        <v>0.001106596683969643</v>
      </c>
      <c r="E26" s="16" t="n">
        <v>8</v>
      </c>
      <c r="F26" s="16" t="n">
        <v>8</v>
      </c>
      <c r="G26" s="16" t="n">
        <v>8</v>
      </c>
      <c r="H26" s="17" t="n">
        <v>87.44</v>
      </c>
      <c r="I26" s="17" t="n">
        <v>87.44</v>
      </c>
      <c r="J26" s="17" t="n">
        <v>456.02</v>
      </c>
      <c r="K26" s="17" t="n">
        <v>66.58</v>
      </c>
      <c r="L26" s="17" t="n">
        <v>94.39</v>
      </c>
      <c r="M26" s="17" t="n">
        <v>82.51000000000001</v>
      </c>
      <c r="N26" s="17" t="n">
        <v>0</v>
      </c>
      <c r="O26" s="17" t="n">
        <v>-82.51000000000001</v>
      </c>
      <c r="P26" s="18" t="n">
        <v>-1</v>
      </c>
    </row>
    <row r="27">
      <c r="A27" s="16" t="inlineStr">
        <is>
          <t>TLCD06-12P-R</t>
        </is>
      </c>
      <c r="B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27" s="17" t="n">
        <v>647.99</v>
      </c>
      <c r="D27" s="18" t="n">
        <v>0.001025104688400569</v>
      </c>
      <c r="E27" s="16" t="n">
        <v>21</v>
      </c>
      <c r="F27" s="16" t="n">
        <v>18</v>
      </c>
      <c r="G27" s="16" t="n">
        <v>18</v>
      </c>
      <c r="H27" s="17" t="n">
        <v>36</v>
      </c>
      <c r="I27" s="17" t="n">
        <v>30.86</v>
      </c>
      <c r="J27" s="17" t="n">
        <v>295.66</v>
      </c>
      <c r="K27" s="17" t="n">
        <v>0</v>
      </c>
      <c r="L27" s="17" t="n">
        <v>29.7</v>
      </c>
      <c r="M27" s="17" t="n">
        <v>147.8</v>
      </c>
      <c r="N27" s="17" t="n">
        <v>174.83</v>
      </c>
      <c r="O27" s="17" t="n">
        <v>27.03</v>
      </c>
      <c r="P27" s="18" t="n">
        <v>0.1829062136434048</v>
      </c>
    </row>
    <row r="28">
      <c r="A28" s="16" t="inlineStr">
        <is>
          <t>TLCD08-16P-N</t>
        </is>
      </c>
      <c r="B28"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C28" s="17" t="n">
        <v>481.23</v>
      </c>
      <c r="D28" s="18" t="n">
        <v>0.0007612886350335229</v>
      </c>
      <c r="E28" s="16" t="n">
        <v>8</v>
      </c>
      <c r="F28" s="16" t="n">
        <v>4</v>
      </c>
      <c r="G28" s="16" t="n">
        <v>4</v>
      </c>
      <c r="H28" s="17" t="n">
        <v>120.31</v>
      </c>
      <c r="I28" s="17" t="n">
        <v>60.15</v>
      </c>
      <c r="J28" s="17" t="n">
        <v>0</v>
      </c>
      <c r="K28" s="17" t="n">
        <v>0</v>
      </c>
      <c r="L28" s="17" t="n">
        <v>419.21</v>
      </c>
      <c r="M28" s="17" t="n">
        <v>0</v>
      </c>
      <c r="N28" s="17" t="n">
        <v>62.01</v>
      </c>
      <c r="O28" s="17" t="n">
        <v>62.01</v>
      </c>
      <c r="P28" s="18" t="n">
        <v>0</v>
      </c>
    </row>
    <row r="29">
      <c r="A29" s="16" t="inlineStr">
        <is>
          <t>i12-V</t>
        </is>
      </c>
      <c r="B29" s="16" t="inlineStr">
        <is>
          <t>Auriculares Inalámbricos TWS - Ideales para Usuarios Android e iPhone, Entusiastas del Deporte &amp; Música, Controles Táctiles, Audífonos Para Correr y Jugar</t>
        </is>
      </c>
      <c r="C29" s="17" t="n">
        <v>382.6</v>
      </c>
      <c r="D29" s="18" t="n">
        <v>0.0006052603603096191</v>
      </c>
      <c r="E29" s="16" t="n">
        <v>10</v>
      </c>
      <c r="F29" s="16" t="n">
        <v>9</v>
      </c>
      <c r="G29" s="16" t="n">
        <v>9</v>
      </c>
      <c r="H29" s="17" t="n">
        <v>42.51</v>
      </c>
      <c r="I29" s="17" t="n">
        <v>38.26</v>
      </c>
      <c r="J29" s="17" t="n">
        <v>43.64</v>
      </c>
      <c r="K29" s="17" t="n">
        <v>77.87</v>
      </c>
      <c r="L29" s="17" t="n">
        <v>125.26</v>
      </c>
      <c r="M29" s="17" t="n">
        <v>135.82</v>
      </c>
      <c r="N29" s="17" t="n">
        <v>0</v>
      </c>
      <c r="O29" s="17" t="n">
        <v>-135.82</v>
      </c>
      <c r="P29" s="18" t="n">
        <v>-1</v>
      </c>
    </row>
    <row r="30">
      <c r="A30" s="16" t="inlineStr">
        <is>
          <t>TLCD01-4P-nN</t>
        </is>
      </c>
      <c r="B3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0" s="17" t="n">
        <v>367.69</v>
      </c>
      <c r="D30" s="18" t="n">
        <v>0.0005816700746283755</v>
      </c>
      <c r="E30" s="16" t="n">
        <v>24</v>
      </c>
      <c r="F30" s="16" t="n">
        <v>20</v>
      </c>
      <c r="G30" s="16" t="n">
        <v>20</v>
      </c>
      <c r="H30" s="17" t="n">
        <v>18.38</v>
      </c>
      <c r="I30" s="17" t="n">
        <v>15.32</v>
      </c>
      <c r="J30" s="17" t="n">
        <v>0</v>
      </c>
      <c r="K30" s="17" t="n">
        <v>0</v>
      </c>
      <c r="L30" s="17" t="n">
        <v>16.33</v>
      </c>
      <c r="M30" s="17" t="n">
        <v>101.69</v>
      </c>
      <c r="N30" s="17" t="n">
        <v>249.67</v>
      </c>
      <c r="O30" s="17" t="n">
        <v>147.98</v>
      </c>
      <c r="P30" s="18" t="n">
        <v>1.455149464090709</v>
      </c>
    </row>
    <row r="31">
      <c r="A31" s="16" t="inlineStr">
        <is>
          <t>TLCD02-8P-V</t>
        </is>
      </c>
      <c r="B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1" s="17" t="n">
        <v>340.92</v>
      </c>
      <c r="D31" s="18" t="n">
        <v>0.0005393224435857806</v>
      </c>
      <c r="E31" s="16" t="n">
        <v>16</v>
      </c>
      <c r="F31" s="16" t="n">
        <v>6</v>
      </c>
      <c r="G31" s="16" t="n">
        <v>6</v>
      </c>
      <c r="H31" s="17" t="n">
        <v>56.82</v>
      </c>
      <c r="I31" s="17" t="n">
        <v>21.31</v>
      </c>
      <c r="J31" s="17" t="n">
        <v>0</v>
      </c>
      <c r="K31" s="17" t="n">
        <v>0</v>
      </c>
      <c r="L31" s="17" t="n">
        <v>0</v>
      </c>
      <c r="M31" s="17" t="n">
        <v>42.05</v>
      </c>
      <c r="N31" s="17" t="n">
        <v>298.86</v>
      </c>
      <c r="O31" s="17" t="n">
        <v>256.81</v>
      </c>
      <c r="P31" s="18" t="n">
        <v>6.106689653122492</v>
      </c>
    </row>
    <row r="32">
      <c r="A32" s="16" t="inlineStr">
        <is>
          <t>TLCD02-8P</t>
        </is>
      </c>
      <c r="B3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2" s="17" t="n">
        <v>323.57</v>
      </c>
      <c r="D32" s="18" t="n">
        <v>0.000511884552078342</v>
      </c>
      <c r="E32" s="16" t="n">
        <v>17</v>
      </c>
      <c r="F32" s="16" t="n">
        <v>4</v>
      </c>
      <c r="G32" s="16" t="n">
        <v>4</v>
      </c>
      <c r="H32" s="17" t="n">
        <v>80.89</v>
      </c>
      <c r="I32" s="17" t="n">
        <v>19.03</v>
      </c>
      <c r="J32" s="17" t="n">
        <v>323.57</v>
      </c>
      <c r="K32" s="17" t="n">
        <v>0</v>
      </c>
      <c r="L32" s="17" t="n">
        <v>0</v>
      </c>
      <c r="M32" s="17" t="n">
        <v>0</v>
      </c>
      <c r="N32" s="17" t="n">
        <v>0</v>
      </c>
      <c r="O32" s="17" t="n">
        <v>0</v>
      </c>
      <c r="P32" s="18" t="n">
        <v>0</v>
      </c>
    </row>
    <row r="33">
      <c r="A33" s="16" t="inlineStr">
        <is>
          <t>LE27M10W18</t>
        </is>
      </c>
      <c r="B33" s="16" t="inlineStr">
        <is>
          <t>Lámpara LED de Techo Tianlai LE27M10W18 - Plafón E27 18W 950LM, Diseño de Cielo Estrellado, 3 Tonos de Luz Ajustables, IP20 a Prueba de Polvo para Dormitorio, Cocina, Comedor y Baño</t>
        </is>
      </c>
      <c r="C33" s="17" t="n">
        <v>277.32</v>
      </c>
      <c r="D33" s="18" t="n">
        <v>0.0004387203217416606</v>
      </c>
      <c r="E33" s="16" t="n">
        <v>4</v>
      </c>
      <c r="F33" s="16" t="n">
        <v>4</v>
      </c>
      <c r="G33" s="16" t="n">
        <v>4</v>
      </c>
      <c r="H33" s="17" t="n">
        <v>69.33</v>
      </c>
      <c r="I33" s="17" t="n">
        <v>69.33</v>
      </c>
      <c r="J33" s="17" t="n">
        <v>277.32</v>
      </c>
      <c r="K33" s="17" t="n">
        <v>0</v>
      </c>
      <c r="L33" s="17" t="n">
        <v>0</v>
      </c>
      <c r="M33" s="17" t="n">
        <v>0</v>
      </c>
      <c r="N33" s="17" t="n">
        <v>0</v>
      </c>
      <c r="O33" s="17" t="n">
        <v>0</v>
      </c>
      <c r="P33" s="18" t="n">
        <v>0</v>
      </c>
    </row>
    <row r="34">
      <c r="A34" s="16" t="inlineStr">
        <is>
          <t>TLCD06-12P-A</t>
        </is>
      </c>
      <c r="B3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4" s="17" t="n">
        <v>266.84</v>
      </c>
      <c r="D34" s="18" t="n">
        <v>0.0004221407261820648</v>
      </c>
      <c r="E34" s="16" t="n">
        <v>10</v>
      </c>
      <c r="F34" s="16" t="n">
        <v>10</v>
      </c>
      <c r="G34" s="16" t="n">
        <v>10</v>
      </c>
      <c r="H34" s="17" t="n">
        <v>26.68</v>
      </c>
      <c r="I34" s="17" t="n">
        <v>26.68</v>
      </c>
      <c r="J34" s="17" t="n">
        <v>0</v>
      </c>
      <c r="K34" s="17" t="n">
        <v>32.22</v>
      </c>
      <c r="L34" s="17" t="n">
        <v>0</v>
      </c>
      <c r="M34" s="17" t="n">
        <v>118.39</v>
      </c>
      <c r="N34" s="17" t="n">
        <v>116.23</v>
      </c>
      <c r="O34" s="17" t="n">
        <v>-2.16</v>
      </c>
      <c r="P34" s="18" t="n">
        <v>-0.01822578690167529</v>
      </c>
    </row>
    <row r="35">
      <c r="A35" s="16" t="inlineStr">
        <is>
          <t>BG-139-N</t>
        </is>
      </c>
      <c r="B35" s="16" t="inlineStr">
        <is>
          <t>LINK BITS Audífonos Inalámbricos con Luces Multicolor, Recargables y en Adorable Forma de Orejas de Gato - Conecta a Celulares y PCs, Tiene Radio FM, Tarjeta TF y AUX - 7 Horas de Reproducción, Plegables y Perfectos para Trabajo, Juegos y Estudio</t>
        </is>
      </c>
      <c r="C35" s="17" t="n">
        <v>255.89</v>
      </c>
      <c r="D35" s="18" t="n">
        <v>0.0004048111943348601</v>
      </c>
      <c r="E35" s="16" t="n">
        <v>7</v>
      </c>
      <c r="F35" s="16" t="n">
        <v>5</v>
      </c>
      <c r="G35" s="16" t="n">
        <v>5</v>
      </c>
      <c r="H35" s="17" t="n">
        <v>51.18</v>
      </c>
      <c r="I35" s="17" t="n">
        <v>36.56</v>
      </c>
      <c r="J35" s="17" t="n">
        <v>0</v>
      </c>
      <c r="K35" s="17" t="n">
        <v>0</v>
      </c>
      <c r="L35" s="17" t="n">
        <v>0</v>
      </c>
      <c r="M35" s="17" t="n">
        <v>0</v>
      </c>
      <c r="N35" s="17" t="n">
        <v>255.89</v>
      </c>
      <c r="O35" s="17" t="n">
        <v>255.89</v>
      </c>
      <c r="P35" s="18" t="n">
        <v>0</v>
      </c>
    </row>
    <row r="36">
      <c r="A36" s="16" t="inlineStr">
        <is>
          <t>LMC01N</t>
        </is>
      </c>
      <c r="B36" s="16" t="inlineStr">
        <is>
          <t>Tira de poder de 16 en 1, montable en pared, con interruptor mecánico - 10 tomas CA EE.UU. espaciosas + 4 USB + 2 Tipo-C - Extensión blanca para oficina, hogar y estudio - Enchufe EE.UU., 125V/15A/1850W con protección contra sobrecarga</t>
        </is>
      </c>
      <c r="C36" s="17" t="n">
        <v>255.79</v>
      </c>
      <c r="D36" s="18" t="n">
        <v>0.0004046495953647532</v>
      </c>
      <c r="E36" s="16" t="n">
        <v>3</v>
      </c>
      <c r="F36" s="16" t="n">
        <v>3</v>
      </c>
      <c r="G36" s="16" t="n">
        <v>3</v>
      </c>
      <c r="H36" s="17" t="n">
        <v>85.26000000000001</v>
      </c>
      <c r="I36" s="17" t="n">
        <v>85.26000000000001</v>
      </c>
      <c r="J36" s="17" t="n">
        <v>0</v>
      </c>
      <c r="K36" s="17" t="n">
        <v>0</v>
      </c>
      <c r="L36" s="17" t="n">
        <v>0</v>
      </c>
      <c r="M36" s="17" t="n">
        <v>76.34</v>
      </c>
      <c r="N36" s="17" t="n">
        <v>179.44</v>
      </c>
      <c r="O36" s="17" t="n">
        <v>103.1</v>
      </c>
      <c r="P36" s="18" t="n">
        <v>1.350449903496208</v>
      </c>
    </row>
    <row r="37">
      <c r="A37" s="16" t="inlineStr">
        <is>
          <t>TLCD08-16P</t>
        </is>
      </c>
      <c r="B3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7" s="17" t="n">
        <v>249.65</v>
      </c>
      <c r="D37" s="18" t="n">
        <v>0.0003949427415157103</v>
      </c>
      <c r="E37" s="16" t="n">
        <v>4</v>
      </c>
      <c r="F37" s="16" t="n">
        <v>2</v>
      </c>
      <c r="G37" s="16" t="n">
        <v>2</v>
      </c>
      <c r="H37" s="17" t="n">
        <v>124.83</v>
      </c>
      <c r="I37" s="17" t="n">
        <v>62.41</v>
      </c>
      <c r="J37" s="17" t="n">
        <v>249.65</v>
      </c>
      <c r="K37" s="17" t="n">
        <v>0</v>
      </c>
      <c r="L37" s="17" t="n">
        <v>0</v>
      </c>
      <c r="M37" s="17" t="n">
        <v>0</v>
      </c>
      <c r="N37" s="17" t="n">
        <v>0</v>
      </c>
      <c r="O37" s="17" t="n">
        <v>0</v>
      </c>
      <c r="P37" s="18" t="n">
        <v>0</v>
      </c>
    </row>
    <row r="38">
      <c r="A38" s="16" t="inlineStr">
        <is>
          <t>TLCD04-10P-R</t>
        </is>
      </c>
      <c r="B3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38" s="17" t="n">
        <v>233.01</v>
      </c>
      <c r="D38" s="18" t="n">
        <v>0.0003686176127647405</v>
      </c>
      <c r="E38" s="16" t="n">
        <v>7</v>
      </c>
      <c r="F38" s="16" t="n">
        <v>7</v>
      </c>
      <c r="G38" s="16" t="n">
        <v>7</v>
      </c>
      <c r="H38" s="17" t="n">
        <v>33.29</v>
      </c>
      <c r="I38" s="17" t="n">
        <v>33.29</v>
      </c>
      <c r="J38" s="17" t="n">
        <v>0</v>
      </c>
      <c r="K38" s="17" t="n">
        <v>65.76000000000001</v>
      </c>
      <c r="L38" s="17" t="n">
        <v>30.51</v>
      </c>
      <c r="M38" s="17" t="n">
        <v>0</v>
      </c>
      <c r="N38" s="17" t="n">
        <v>136.74</v>
      </c>
      <c r="O38" s="17" t="n">
        <v>136.74</v>
      </c>
      <c r="P38" s="18" t="n">
        <v>0</v>
      </c>
    </row>
    <row r="39">
      <c r="A39" s="16" t="inlineStr">
        <is>
          <t>lV64W25l</t>
        </is>
      </c>
      <c r="B39" s="16" t="inlineStr">
        <is>
          <t>TIANLAI Ventilador de Techo Silencioso con Luz LED 3 Colores, Base E27 Fácil Instalación, 3 Velocidades con Control Remoto y Temporizador, Ahorro Energético, Ideal para Dormitorios, Salas, Cocinas, Baños y Apartamentos</t>
        </is>
      </c>
      <c r="C39" s="17" t="n">
        <v>221.6</v>
      </c>
      <c r="D39" s="18" t="n">
        <v>0.0003505688349874414</v>
      </c>
      <c r="E39" s="16" t="n">
        <v>2</v>
      </c>
      <c r="F39" s="16" t="n">
        <v>2</v>
      </c>
      <c r="G39" s="16" t="n">
        <v>2</v>
      </c>
      <c r="H39" s="17" t="n">
        <v>110.8</v>
      </c>
      <c r="I39" s="17" t="n">
        <v>110.8</v>
      </c>
      <c r="J39" s="17" t="n">
        <v>0</v>
      </c>
      <c r="K39" s="17" t="n">
        <v>221.6</v>
      </c>
      <c r="L39" s="17" t="n">
        <v>0</v>
      </c>
      <c r="M39" s="17" t="n">
        <v>0</v>
      </c>
      <c r="N39" s="17" t="n">
        <v>0</v>
      </c>
      <c r="O39" s="17" t="n">
        <v>0</v>
      </c>
      <c r="P39" s="18" t="n">
        <v>0</v>
      </c>
    </row>
    <row r="40">
      <c r="A40" s="16" t="inlineStr">
        <is>
          <t>TLCD02-8P-R</t>
        </is>
      </c>
      <c r="B4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40" s="17" t="n">
        <v>221.21</v>
      </c>
      <c r="D40" s="18" t="n">
        <v>0.0003499485417306722</v>
      </c>
      <c r="E40" s="16" t="n">
        <v>13</v>
      </c>
      <c r="F40" s="16" t="n">
        <v>10</v>
      </c>
      <c r="G40" s="16" t="n">
        <v>11</v>
      </c>
      <c r="H40" s="17" t="n">
        <v>22.12</v>
      </c>
      <c r="I40" s="17" t="n">
        <v>17.02</v>
      </c>
      <c r="J40" s="17" t="n">
        <v>0</v>
      </c>
      <c r="K40" s="17" t="n">
        <v>0</v>
      </c>
      <c r="L40" s="17" t="n">
        <v>0</v>
      </c>
      <c r="M40" s="17" t="n">
        <v>58.61</v>
      </c>
      <c r="N40" s="17" t="n">
        <v>162.6</v>
      </c>
      <c r="O40" s="17" t="n">
        <v>103.99</v>
      </c>
      <c r="P40" s="18" t="n">
        <v>1.774144648223865</v>
      </c>
    </row>
    <row r="41">
      <c r="A41" s="16" t="inlineStr">
        <is>
          <t>BG-139-P</t>
        </is>
      </c>
      <c r="B41" s="16" t="inlineStr">
        <is>
          <t>LINK BITS Audífonos Inalámbricos con Luces Multicolor, Recargables y en Adorable Forma de Orejas de Gato - Conecta a Celulares y PCs, Tiene Radio FM, Tarjeta TF y AUX - 7 Horas de Reproducción, Plegables y Perfectos para Trabajo, Juegos y Estudio</t>
        </is>
      </c>
      <c r="C41" s="17" t="n">
        <v>200.4</v>
      </c>
      <c r="D41" s="18" t="n">
        <v>0.0003170291783537051</v>
      </c>
      <c r="E41" s="16" t="n">
        <v>3</v>
      </c>
      <c r="F41" s="16" t="n">
        <v>3</v>
      </c>
      <c r="G41" s="16" t="n">
        <v>3</v>
      </c>
      <c r="H41" s="17" t="n">
        <v>66.8</v>
      </c>
      <c r="I41" s="17" t="n">
        <v>66.8</v>
      </c>
      <c r="J41" s="17" t="n">
        <v>0</v>
      </c>
      <c r="K41" s="17" t="n">
        <v>0</v>
      </c>
      <c r="L41" s="17" t="n">
        <v>0</v>
      </c>
      <c r="M41" s="17" t="n">
        <v>0</v>
      </c>
      <c r="N41" s="17" t="n">
        <v>200.4</v>
      </c>
      <c r="O41" s="17" t="n">
        <v>200.4</v>
      </c>
      <c r="P41" s="18" t="n">
        <v>0</v>
      </c>
    </row>
    <row r="42">
      <c r="A42" s="16" t="inlineStr">
        <is>
          <t>TLCD06-12P-V</t>
        </is>
      </c>
      <c r="B4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42" s="17" t="n">
        <v>186.86</v>
      </c>
      <c r="D42" s="18" t="n">
        <v>0.0002956031165692303</v>
      </c>
      <c r="E42" s="16" t="n">
        <v>7</v>
      </c>
      <c r="F42" s="16" t="n">
        <v>6</v>
      </c>
      <c r="G42" s="16" t="n">
        <v>6</v>
      </c>
      <c r="H42" s="17" t="n">
        <v>31.14</v>
      </c>
      <c r="I42" s="17" t="n">
        <v>26.69</v>
      </c>
      <c r="J42" s="17" t="n">
        <v>32.87</v>
      </c>
      <c r="K42" s="17" t="n">
        <v>0</v>
      </c>
      <c r="L42" s="17" t="n">
        <v>0</v>
      </c>
      <c r="M42" s="17" t="n">
        <v>40.92</v>
      </c>
      <c r="N42" s="17" t="n">
        <v>113.07</v>
      </c>
      <c r="O42" s="17" t="n">
        <v>72.14</v>
      </c>
      <c r="P42" s="18" t="n">
        <v>1.762949604248071</v>
      </c>
    </row>
    <row r="43">
      <c r="A43" s="16" t="inlineStr">
        <is>
          <t>TLCD08-16P-Vv</t>
        </is>
      </c>
      <c r="B4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C43" s="17" t="n">
        <v>124.54</v>
      </c>
      <c r="D43" s="18" t="n">
        <v>0.0001970273493096438</v>
      </c>
      <c r="E43" s="16" t="n">
        <v>2</v>
      </c>
      <c r="F43" s="16" t="n">
        <v>2</v>
      </c>
      <c r="G43" s="16" t="n">
        <v>2</v>
      </c>
      <c r="H43" s="17" t="n">
        <v>62.27</v>
      </c>
      <c r="I43" s="17" t="n">
        <v>62.27</v>
      </c>
      <c r="J43" s="17" t="n">
        <v>124.54</v>
      </c>
      <c r="K43" s="17" t="n">
        <v>0</v>
      </c>
      <c r="L43" s="17" t="n">
        <v>0</v>
      </c>
      <c r="M43" s="17" t="n">
        <v>0</v>
      </c>
      <c r="N43" s="17" t="n">
        <v>0</v>
      </c>
      <c r="O43" s="17" t="n">
        <v>0</v>
      </c>
      <c r="P43" s="18" t="n">
        <v>0</v>
      </c>
    </row>
    <row r="44">
      <c r="A44" s="16" t="inlineStr">
        <is>
          <t>LMC02</t>
        </is>
      </c>
      <c r="B44" s="16" t="inlineStr">
        <is>
          <t>Tira de poder de 16 en 1, montable en pared, con interruptor mecánico - 10 tomas CA EE.UU. espaciosas + 4 USB + 2 Tipo-C - Extensión blanca para oficina, hogar y estudio - Enchufe EE.UU., 125V/15A/1850W con protección contra sobrecarga</t>
        </is>
      </c>
      <c r="C44" s="17" t="n">
        <v>90.36</v>
      </c>
      <c r="D44" s="18" t="n">
        <v>0.0001429418430007577</v>
      </c>
      <c r="E44" s="16" t="n">
        <v>1</v>
      </c>
      <c r="F44" s="16" t="n">
        <v>1</v>
      </c>
      <c r="G44" s="16" t="n">
        <v>1</v>
      </c>
      <c r="H44" s="17" t="n">
        <v>90.36</v>
      </c>
      <c r="I44" s="17" t="n">
        <v>90.36</v>
      </c>
      <c r="J44" s="17" t="n">
        <v>0</v>
      </c>
      <c r="K44" s="17" t="n">
        <v>0</v>
      </c>
      <c r="L44" s="17" t="n">
        <v>0</v>
      </c>
      <c r="M44" s="17" t="n">
        <v>0</v>
      </c>
      <c r="N44" s="17" t="n">
        <v>90.36</v>
      </c>
      <c r="O44" s="17" t="n">
        <v>90.36</v>
      </c>
      <c r="P44" s="18" t="n">
        <v>0</v>
      </c>
    </row>
    <row r="45">
      <c r="A45" s="16" t="inlineStr">
        <is>
          <t>BG-139-V</t>
        </is>
      </c>
      <c r="B45" s="16" t="inlineStr">
        <is>
          <t>LINK BITS Audífonos Inalámbricos con Luces Multicolor, Recargables y en Adorable Forma de Orejas de Gato - Conecta a Celulares y PCs, Tiene Radio FM, Tarjeta TF y AUX - 7 Horas de Reproducción, Plegables y Perfectos para Trabajo, Juegos y Estudio</t>
        </is>
      </c>
      <c r="C45" s="17" t="n">
        <v>69.42</v>
      </c>
      <c r="D45" s="18" t="n">
        <v>0.0001098206193341609</v>
      </c>
      <c r="E45" s="16" t="n">
        <v>1</v>
      </c>
      <c r="F45" s="16" t="n">
        <v>1</v>
      </c>
      <c r="G45" s="16" t="n">
        <v>1</v>
      </c>
      <c r="H45" s="17" t="n">
        <v>69.42</v>
      </c>
      <c r="I45" s="17" t="n">
        <v>69.42</v>
      </c>
      <c r="J45" s="17" t="n">
        <v>0</v>
      </c>
      <c r="K45" s="17" t="n">
        <v>0</v>
      </c>
      <c r="L45" s="17" t="n">
        <v>0</v>
      </c>
      <c r="M45" s="17" t="n">
        <v>0</v>
      </c>
      <c r="N45" s="17" t="n">
        <v>69.42</v>
      </c>
      <c r="O45" s="17" t="n">
        <v>69.42</v>
      </c>
      <c r="P45" s="18" t="n">
        <v>0</v>
      </c>
    </row>
    <row r="46">
      <c r="A46" s="16" t="inlineStr">
        <is>
          <t>i12-N</t>
        </is>
      </c>
      <c r="B46" s="16" t="inlineStr">
        <is>
          <t>Auriculares Inalámbricos TWS - Ideales para Usuarios Android e iPhone, Entusiastas del Deporte &amp; Música, Controles Táctiles, Audífonos Para Correr y Jugar</t>
        </is>
      </c>
      <c r="C46" s="17" t="n">
        <v>16.36</v>
      </c>
      <c r="D46" s="18" t="n">
        <v>2.588802845297097e-05</v>
      </c>
      <c r="E46" s="16" t="n">
        <v>1</v>
      </c>
      <c r="F46" s="16" t="n">
        <v>1</v>
      </c>
      <c r="G46" s="16" t="n">
        <v>1</v>
      </c>
      <c r="H46" s="17" t="n">
        <v>16.36</v>
      </c>
      <c r="I46" s="17" t="n">
        <v>16.36</v>
      </c>
      <c r="J46" s="17" t="n">
        <v>0</v>
      </c>
      <c r="K46" s="17" t="n">
        <v>0</v>
      </c>
      <c r="L46" s="17" t="n">
        <v>0</v>
      </c>
      <c r="M46" s="17" t="n">
        <v>0</v>
      </c>
      <c r="N46" s="17" t="n">
        <v>16.36</v>
      </c>
      <c r="O46" s="17" t="n">
        <v>16.36</v>
      </c>
      <c r="P46" s="1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5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5" t="inlineStr">
        <is>
          <t>周期</t>
        </is>
      </c>
      <c r="B1" s="5" t="inlineStr">
        <is>
          <t>SKU</t>
        </is>
      </c>
      <c r="C1" s="5" t="inlineStr">
        <is>
          <t>商品名称</t>
        </is>
      </c>
      <c r="D1" s="5" t="inlineStr">
        <is>
          <t>GMV</t>
        </is>
      </c>
      <c r="E1" s="5" t="inlineStr">
        <is>
          <t>GMV占比</t>
        </is>
      </c>
      <c r="F1" s="5" t="inlineStr">
        <is>
          <t>销量</t>
        </is>
      </c>
      <c r="G1" s="5" t="inlineStr">
        <is>
          <t>订单数</t>
        </is>
      </c>
      <c r="H1" s="5" t="inlineStr">
        <is>
          <t>订单行数</t>
        </is>
      </c>
      <c r="I1" s="5" t="inlineStr">
        <is>
          <t>客单价</t>
        </is>
      </c>
      <c r="J1" s="5" t="inlineStr">
        <is>
          <t>件单价</t>
        </is>
      </c>
      <c r="K1" s="5" t="inlineStr">
        <is>
          <t>base</t>
        </is>
      </c>
      <c r="L1" s="5" t="inlineStr">
        <is>
          <t>shipping</t>
        </is>
      </c>
    </row>
    <row r="2">
      <c r="A2" s="16" t="inlineStr">
        <is>
          <t>5.1-5.7</t>
        </is>
      </c>
      <c r="B2" s="16" t="inlineStr">
        <is>
          <t>LV64W25</t>
        </is>
      </c>
      <c r="C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D2" s="17" t="n">
        <v>109392.12</v>
      </c>
      <c r="E2" s="18" t="n">
        <v>0.6533455885104139</v>
      </c>
      <c r="F2" s="16" t="n">
        <v>929</v>
      </c>
      <c r="G2" s="16" t="n">
        <v>497</v>
      </c>
      <c r="H2" s="16" t="n">
        <v>499</v>
      </c>
      <c r="I2" s="17" t="n">
        <v>220.1</v>
      </c>
      <c r="J2" s="17" t="n">
        <v>117.75</v>
      </c>
      <c r="K2" s="17" t="n">
        <v>114386</v>
      </c>
      <c r="L2" s="17" t="n">
        <v>6129.59</v>
      </c>
    </row>
    <row r="3">
      <c r="A3" s="16" t="inlineStr">
        <is>
          <t>5.1-5.7</t>
        </is>
      </c>
      <c r="B3" s="16" t="inlineStr">
        <is>
          <t>LV54W25</t>
        </is>
      </c>
      <c r="C3" s="16" t="inlineStr">
        <is>
          <t>TIANLAI Lámpara Ventilador E27 2 en 1, Silenciosa, LED Alta Luminosidad 180°, Instalación Rápida, Ahorro Energético para Dormitorio y Interiores Pequeños</t>
        </is>
      </c>
      <c r="D3" s="17" t="n">
        <v>32491.55</v>
      </c>
      <c r="E3" s="18" t="n">
        <v>0.1940561328848977</v>
      </c>
      <c r="F3" s="16" t="n">
        <v>427</v>
      </c>
      <c r="G3" s="16" t="n">
        <v>252</v>
      </c>
      <c r="H3" s="16" t="n">
        <v>253</v>
      </c>
      <c r="I3" s="17" t="n">
        <v>128.93</v>
      </c>
      <c r="J3" s="17" t="n">
        <v>76.09</v>
      </c>
      <c r="K3" s="17" t="n">
        <v>33786.7</v>
      </c>
      <c r="L3" s="17" t="n">
        <v>4686.95</v>
      </c>
    </row>
    <row r="4">
      <c r="A4" s="16" t="inlineStr">
        <is>
          <t>5.1-5.7</t>
        </is>
      </c>
      <c r="B4" s="16" t="inlineStr">
        <is>
          <t>KTS-2031</t>
        </is>
      </c>
      <c r="C4" s="16" t="inlineStr">
        <is>
          <t>Bocina inalámbrica de 3 pulgadas con linterna multifuncional y panel solar integrado.Altavoz Portátil con Linterna LED 4 Modos, Radio FM, Bluetooth, Carga Solar, Ideal para Apagones, Emergencias, Campo y Exteriores</t>
        </is>
      </c>
      <c r="D4" s="17" t="n">
        <v>5407.67</v>
      </c>
      <c r="E4" s="18" t="n">
        <v>0.03229736039731272</v>
      </c>
      <c r="F4" s="16" t="n">
        <v>78</v>
      </c>
      <c r="G4" s="16" t="n">
        <v>56</v>
      </c>
      <c r="H4" s="16" t="n">
        <v>56</v>
      </c>
      <c r="I4" s="17" t="n">
        <v>96.56999999999999</v>
      </c>
      <c r="J4" s="17" t="n">
        <v>69.33</v>
      </c>
      <c r="K4" s="17" t="n">
        <v>5597.13</v>
      </c>
      <c r="L4" s="17" t="n">
        <v>1257.02</v>
      </c>
    </row>
    <row r="5">
      <c r="A5" s="16" t="inlineStr">
        <is>
          <t>5.1-5.7</t>
        </is>
      </c>
      <c r="B5" s="16" t="inlineStr">
        <is>
          <t>VB349T</t>
        </is>
      </c>
      <c r="C5" s="16" t="inlineStr">
        <is>
          <t>LINKBITS Altavoz Portátil de Doble Altavoz - 3 Pulgadas, Sonido HD, Emparejamiento Rápido de Bluetooth, Conectividad TWS, Reproducción Multimodo (Micro SD/USB/Radio FM) - Perfecto para Oficina, Viajes y Espacios Pequeños</t>
        </is>
      </c>
      <c r="D5" s="17" t="n">
        <v>4018.69</v>
      </c>
      <c r="E5" s="18" t="n">
        <v>0.02400163882577448</v>
      </c>
      <c r="F5" s="16" t="n">
        <v>52</v>
      </c>
      <c r="G5" s="16" t="n">
        <v>36</v>
      </c>
      <c r="H5" s="16" t="n">
        <v>36</v>
      </c>
      <c r="I5" s="17" t="n">
        <v>111.63</v>
      </c>
      <c r="J5" s="17" t="n">
        <v>77.28</v>
      </c>
      <c r="K5" s="17" t="n">
        <v>4188</v>
      </c>
      <c r="L5" s="17" t="n">
        <v>724.08</v>
      </c>
    </row>
    <row r="6">
      <c r="A6" s="16" t="inlineStr">
        <is>
          <t>5.1-5.7</t>
        </is>
      </c>
      <c r="B6" s="16" t="inlineStr">
        <is>
          <t>TL2663N18C</t>
        </is>
      </c>
      <c r="C6" s="16" t="inlineStr">
        <is>
          <t>Linkbits，Soporte de pared fijo para televisores de 26"-63", Ultra-Delgado Compatible con VESA 400x400mm, Capacidad de Peso Fuerte de 25KG, Instalación Fácil Sin Electricidad</t>
        </is>
      </c>
      <c r="D6" s="17" t="n">
        <v>2841.91</v>
      </c>
      <c r="E6" s="18" t="n">
        <v>0.01697334964153953</v>
      </c>
      <c r="F6" s="16" t="n">
        <v>56</v>
      </c>
      <c r="G6" s="16" t="n">
        <v>34</v>
      </c>
      <c r="H6" s="16" t="n">
        <v>34</v>
      </c>
      <c r="I6" s="17" t="n">
        <v>83.59</v>
      </c>
      <c r="J6" s="17" t="n">
        <v>50.75</v>
      </c>
      <c r="K6" s="17" t="n">
        <v>2926</v>
      </c>
      <c r="L6" s="17" t="n">
        <v>775.8</v>
      </c>
    </row>
    <row r="7">
      <c r="A7" s="16" t="inlineStr">
        <is>
          <t>5.1-5.7</t>
        </is>
      </c>
      <c r="B7" s="16" t="inlineStr">
        <is>
          <t>KTS-1936</t>
        </is>
      </c>
      <c r="C7" s="16" t="inlineStr">
        <is>
          <t>Espejo con Luz para Makeup，Espejo con Luz LED y Bocina Bluetooth，Espejo para Maquillaje con Aumentos y Luces LED de Intensidad Ajustable，Lente de Aumento 10X+Reproductor TF+ TWS，espejo de portátil y para estudiantes, oficina, dormitorio, mejor regalo</t>
        </is>
      </c>
      <c r="D7" s="17" t="n">
        <v>1547.54</v>
      </c>
      <c r="E7" s="18" t="n">
        <v>0.00924271773108361</v>
      </c>
      <c r="F7" s="16" t="n">
        <v>7</v>
      </c>
      <c r="G7" s="16" t="n">
        <v>7</v>
      </c>
      <c r="H7" s="16" t="n">
        <v>7</v>
      </c>
      <c r="I7" s="17" t="n">
        <v>221.08</v>
      </c>
      <c r="J7" s="17" t="n">
        <v>221.08</v>
      </c>
      <c r="K7" s="17" t="n">
        <v>1524.25</v>
      </c>
      <c r="L7" s="17" t="n">
        <v>181.02</v>
      </c>
    </row>
    <row r="8">
      <c r="A8" s="16" t="inlineStr">
        <is>
          <t>5.1-5.7</t>
        </is>
      </c>
      <c r="B8" s="16" t="inlineStr">
        <is>
          <t>B03W10-10PZS</t>
        </is>
      </c>
      <c r="C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D8" s="17" t="n">
        <v>1533.46</v>
      </c>
      <c r="E8" s="18" t="n">
        <v>0.009158594325989595</v>
      </c>
      <c r="F8" s="16" t="n">
        <v>25</v>
      </c>
      <c r="G8" s="16" t="n">
        <v>21</v>
      </c>
      <c r="H8" s="16" t="n">
        <v>21</v>
      </c>
      <c r="I8" s="17" t="n">
        <v>73.02</v>
      </c>
      <c r="J8" s="17" t="n">
        <v>61.34</v>
      </c>
      <c r="K8" s="17" t="n">
        <v>1745</v>
      </c>
      <c r="L8" s="17" t="n">
        <v>433.16</v>
      </c>
    </row>
    <row r="9">
      <c r="A9" s="16" t="inlineStr">
        <is>
          <t>5.1-5.7</t>
        </is>
      </c>
      <c r="B9" s="16" t="inlineStr">
        <is>
          <t>BG-115-B</t>
        </is>
      </c>
      <c r="C9" s="16" t="inlineStr">
        <is>
          <t>LINK BITS Audífonos Inalámbricos con Luces Multicolor, Recargables y en Adorable Forma de Orejas de Gato - Conecta a Celulares y PCs, Tiene Radio FM, Tarjeta TF y AUX - 7 Horas de Reproducción, Plegables y Perfectos para Trabajo, Juegos y Estudio</t>
        </is>
      </c>
      <c r="D9" s="17" t="n">
        <v>1273.97</v>
      </c>
      <c r="E9" s="18" t="n">
        <v>0.007608775678294107</v>
      </c>
      <c r="F9" s="16" t="n">
        <v>17</v>
      </c>
      <c r="G9" s="16" t="n">
        <v>17</v>
      </c>
      <c r="H9" s="16" t="n">
        <v>17</v>
      </c>
      <c r="I9" s="17" t="n">
        <v>74.94</v>
      </c>
      <c r="J9" s="17" t="n">
        <v>74.94</v>
      </c>
      <c r="K9" s="17" t="n">
        <v>1293</v>
      </c>
      <c r="L9" s="17" t="n">
        <v>439.62</v>
      </c>
    </row>
    <row r="10">
      <c r="A10" s="16" t="inlineStr">
        <is>
          <t>5.1-5.7</t>
        </is>
      </c>
      <c r="B10" s="16" t="inlineStr">
        <is>
          <t>SB428T</t>
        </is>
      </c>
      <c r="C10" s="16" t="inlineStr">
        <is>
          <t>LINK BITS La bocina es tu compañero ideal para reuniones en México! Equipada con 2 altavoces de 4 pulgadas y potencia 5W×2, USB y TF, funciona sin internet—perfecta para picnics, fiestas en el jardín o relajación en la terraza.</t>
        </is>
      </c>
      <c r="D10" s="17" t="n">
        <v>1109.74</v>
      </c>
      <c r="E10" s="18" t="n">
        <v>0.006627908815478715</v>
      </c>
      <c r="F10" s="16" t="n">
        <v>12</v>
      </c>
      <c r="G10" s="16" t="n">
        <v>7</v>
      </c>
      <c r="H10" s="16" t="n">
        <v>7</v>
      </c>
      <c r="I10" s="17" t="n">
        <v>158.53</v>
      </c>
      <c r="J10" s="17" t="n">
        <v>92.48</v>
      </c>
      <c r="K10" s="17" t="n">
        <v>1158</v>
      </c>
      <c r="L10" s="17" t="n">
        <v>103.44</v>
      </c>
    </row>
    <row r="11">
      <c r="A11" s="16" t="inlineStr">
        <is>
          <t>5.1-5.7</t>
        </is>
      </c>
      <c r="B11" s="16" t="inlineStr">
        <is>
          <t>BG-115-P</t>
        </is>
      </c>
      <c r="C11" s="16" t="inlineStr">
        <is>
          <t>LINK BITS Audífonos Inalámbricos con Luces Multicolor, Recargables y en Adorable Forma de Orejas de Gato - Conecta a Celulares y PCs, Tiene Radio FM, Tarjeta TF y AUX - 7 Horas de Reproducción, Plegables y Perfectos para Trabajo, Juegos y Estudio</t>
        </is>
      </c>
      <c r="D11" s="17" t="n">
        <v>1065.02</v>
      </c>
      <c r="E11" s="18" t="n">
        <v>0.006360840252301639</v>
      </c>
      <c r="F11" s="16" t="n">
        <v>14</v>
      </c>
      <c r="G11" s="16" t="n">
        <v>14</v>
      </c>
      <c r="H11" s="16" t="n">
        <v>14</v>
      </c>
      <c r="I11" s="17" t="n">
        <v>76.06999999999999</v>
      </c>
      <c r="J11" s="17" t="n">
        <v>76.06999999999999</v>
      </c>
      <c r="K11" s="17" t="n">
        <v>1075</v>
      </c>
      <c r="L11" s="17" t="n">
        <v>362.04</v>
      </c>
    </row>
    <row r="12">
      <c r="A12" s="16" t="inlineStr">
        <is>
          <t>5.1-5.7</t>
        </is>
      </c>
      <c r="B12" s="16" t="inlineStr">
        <is>
          <t>BSC04</t>
        </is>
      </c>
      <c r="C12" s="16" t="inlineStr">
        <is>
          <t>TIANLAI Báscula Digital BSC04/BSC07, Alta Precisión, Fácil Operación, Ligera y Portátil, Función Tara, Unidad Dual oz/g, Ideal para Cocina, Control de Porciones, Sellos y Objetos Pequeños, Uso en Hogar y Viaje</t>
        </is>
      </c>
      <c r="D12" s="17" t="n">
        <v>832.78</v>
      </c>
      <c r="E12" s="18" t="n">
        <v>0.004973782066815153</v>
      </c>
      <c r="F12" s="16" t="n">
        <v>14</v>
      </c>
      <c r="G12" s="16" t="n">
        <v>13</v>
      </c>
      <c r="H12" s="16" t="n">
        <v>13</v>
      </c>
      <c r="I12" s="17" t="n">
        <v>64.06</v>
      </c>
      <c r="J12" s="17" t="n">
        <v>59.48</v>
      </c>
      <c r="K12" s="17" t="n">
        <v>841.4</v>
      </c>
      <c r="L12" s="17" t="n">
        <v>336.18</v>
      </c>
    </row>
    <row r="13">
      <c r="A13" s="16" t="inlineStr">
        <is>
          <t>5.1-5.7</t>
        </is>
      </c>
      <c r="B13" s="16" t="inlineStr">
        <is>
          <t>TL1455N20B</t>
        </is>
      </c>
      <c r="C13" s="16" t="inlineStr">
        <is>
          <t>LINK BITS Soporte para TV 14 A 55 Pulgadas, Base para TV Pantalla Articulado Inclinable y Giratorio, MAX VESA 400×400 mm, Soporta hasta 18kg (Acero Reforzado)</t>
        </is>
      </c>
      <c r="D13" s="17" t="n">
        <v>760.51</v>
      </c>
      <c r="E13" s="18" t="n">
        <v>0.00454217144160092</v>
      </c>
      <c r="F13" s="16" t="n">
        <v>11</v>
      </c>
      <c r="G13" s="16" t="n">
        <v>10</v>
      </c>
      <c r="H13" s="16" t="n">
        <v>10</v>
      </c>
      <c r="I13" s="17" t="n">
        <v>76.05</v>
      </c>
      <c r="J13" s="17" t="n">
        <v>69.14</v>
      </c>
      <c r="K13" s="17" t="n">
        <v>791.2</v>
      </c>
      <c r="L13" s="17" t="n">
        <v>223.99</v>
      </c>
    </row>
    <row r="14">
      <c r="A14" s="16" t="inlineStr">
        <is>
          <t>5.1-5.7</t>
        </is>
      </c>
      <c r="B14" s="16" t="inlineStr">
        <is>
          <t>VA371T</t>
        </is>
      </c>
      <c r="C14" s="16" t="inlineStr">
        <is>
          <t>Linkbits Bocina Bluetooth Portátil 3" de Alta Gama，Hi-Res Audio y Graves Potentes，Luces LED + Soporte USB/TF/FM/TWS，Ideal para Hogar y Aire Libre</t>
        </is>
      </c>
      <c r="D14" s="17" t="n">
        <v>605.29</v>
      </c>
      <c r="E14" s="18" t="n">
        <v>0.003615094201220421</v>
      </c>
      <c r="F14" s="16" t="n">
        <v>16</v>
      </c>
      <c r="G14" s="16" t="n">
        <v>14</v>
      </c>
      <c r="H14" s="16" t="n">
        <v>14</v>
      </c>
      <c r="I14" s="17" t="n">
        <v>43.23</v>
      </c>
      <c r="J14" s="17" t="n">
        <v>37.83</v>
      </c>
      <c r="K14" s="17" t="n">
        <v>728.47</v>
      </c>
      <c r="L14" s="17" t="n">
        <v>268.72</v>
      </c>
    </row>
    <row r="15">
      <c r="A15" s="16" t="inlineStr">
        <is>
          <t>5.1-5.7</t>
        </is>
      </c>
      <c r="B15" s="16" t="inlineStr">
        <is>
          <t>EM12W12</t>
        </is>
      </c>
      <c r="C15" s="16" t="inlineStr">
        <is>
          <t>TIANLAI Lámpara Solar de Emergencia, 1pc 960lm IP4 5 Modos con SOS, Recargable USB+Solar con Gancho, Linterna Portátil para Camping Hogar Senderismo Pesca</t>
        </is>
      </c>
      <c r="D15" s="17" t="n">
        <v>463.16</v>
      </c>
      <c r="E15" s="18" t="n">
        <v>0.002766215337071979</v>
      </c>
      <c r="F15" s="16" t="n">
        <v>7</v>
      </c>
      <c r="G15" s="16" t="n">
        <v>4</v>
      </c>
      <c r="H15" s="16" t="n">
        <v>4</v>
      </c>
      <c r="I15" s="17" t="n">
        <v>115.79</v>
      </c>
      <c r="J15" s="17" t="n">
        <v>66.17</v>
      </c>
      <c r="K15" s="17" t="n">
        <v>530</v>
      </c>
      <c r="L15" s="17" t="n">
        <v>25.86</v>
      </c>
    </row>
    <row r="16">
      <c r="A16" s="16" t="inlineStr">
        <is>
          <t>5.1-5.7</t>
        </is>
      </c>
      <c r="B16" s="16" t="inlineStr">
        <is>
          <t>MB-174-G</t>
        </is>
      </c>
      <c r="C16" s="16" t="inlineStr">
        <is>
          <t>LINK BITS MB-174 Mini Bocina Bluetooth Soporte para Celular Integrado TWS Luz Ambiental 5W 80dB Sonido Claro Carga TYPE-C Material ABS Portátil Ideal como Regalo para Hogar Oficina Exterior Picnic</t>
        </is>
      </c>
      <c r="D16" s="17" t="n">
        <v>456.02</v>
      </c>
      <c r="E16" s="18" t="n">
        <v>0.00272358833642328</v>
      </c>
      <c r="F16" s="16" t="n">
        <v>5</v>
      </c>
      <c r="G16" s="16" t="n">
        <v>5</v>
      </c>
      <c r="H16" s="16" t="n">
        <v>5</v>
      </c>
      <c r="I16" s="17" t="n">
        <v>91.2</v>
      </c>
      <c r="J16" s="17" t="n">
        <v>91.2</v>
      </c>
      <c r="K16" s="17" t="n">
        <v>466.4</v>
      </c>
      <c r="L16" s="17" t="n">
        <v>117.35</v>
      </c>
    </row>
    <row r="17">
      <c r="A17" s="16" t="inlineStr">
        <is>
          <t>5.1-5.7</t>
        </is>
      </c>
      <c r="B17" s="16" t="inlineStr">
        <is>
          <t>i12-B</t>
        </is>
      </c>
      <c r="C17" s="16" t="inlineStr">
        <is>
          <t>Auriculares Inalámbricos TWS - Ideales para Usuarios Android e iPhone, Entusiastas del Deporte &amp; Música, Controles Táctiles, Audífonos Para Correr y Jugar</t>
        </is>
      </c>
      <c r="D17" s="17" t="n">
        <v>443.07</v>
      </c>
      <c r="E17" s="18" t="n">
        <v>0.002646216555619369</v>
      </c>
      <c r="F17" s="16" t="n">
        <v>12</v>
      </c>
      <c r="G17" s="16" t="n">
        <v>8</v>
      </c>
      <c r="H17" s="16" t="n">
        <v>8</v>
      </c>
      <c r="I17" s="17" t="n">
        <v>55.38</v>
      </c>
      <c r="J17" s="17" t="n">
        <v>36.92</v>
      </c>
      <c r="K17" s="17" t="n">
        <v>534.8</v>
      </c>
      <c r="L17" s="17" t="n">
        <v>181.02</v>
      </c>
    </row>
    <row r="18">
      <c r="A18" s="16" t="inlineStr">
        <is>
          <t>5.1-5.7</t>
        </is>
      </c>
      <c r="B18" s="16" t="inlineStr">
        <is>
          <t>SA323T</t>
        </is>
      </c>
      <c r="C18" s="16" t="inlineStr">
        <is>
          <t>Linkbits，Altavoz inalámbrico portátil，Bocina Portátil Parlantes BT Portátiles con Iluminación de Ambiente,1 Hora de Duración, FM, TWS, TF/Micro SD,Ideal para Bailes en Interiores, Celebraciones Navideñas, Entretenimiento Familiar y para Música en Vivo</t>
        </is>
      </c>
      <c r="D18" s="17" t="n">
        <v>411.18</v>
      </c>
      <c r="E18" s="18" t="n">
        <v>0.002455804565135505</v>
      </c>
      <c r="F18" s="16" t="n">
        <v>10</v>
      </c>
      <c r="G18" s="16" t="n">
        <v>10</v>
      </c>
      <c r="H18" s="16" t="n">
        <v>10</v>
      </c>
      <c r="I18" s="17" t="n">
        <v>41.12</v>
      </c>
      <c r="J18" s="17" t="n">
        <v>41.12</v>
      </c>
      <c r="K18" s="17" t="n">
        <v>462</v>
      </c>
      <c r="L18" s="17" t="n">
        <v>232.74</v>
      </c>
    </row>
    <row r="19">
      <c r="A19" s="16" t="inlineStr">
        <is>
          <t>5.1-5.7</t>
        </is>
      </c>
      <c r="B19" s="16" t="inlineStr">
        <is>
          <t>MB-174-N</t>
        </is>
      </c>
      <c r="C19" s="16" t="inlineStr">
        <is>
          <t>LINK BITS MB-174 Mini Bocina Bluetooth Soporte para Celular Integrado TWS Luz Ambiental 5W 80dB Sonido Claro Carga TYPE-C Material ABS Portátil Ideal como Regalo para Hogar Oficina Exterior Picnic</t>
        </is>
      </c>
      <c r="D19" s="17" t="n">
        <v>381.34</v>
      </c>
      <c r="E19" s="18" t="n">
        <v>0.002277534090879117</v>
      </c>
      <c r="F19" s="16" t="n">
        <v>4</v>
      </c>
      <c r="G19" s="16" t="n">
        <v>3</v>
      </c>
      <c r="H19" s="16" t="n">
        <v>3</v>
      </c>
      <c r="I19" s="17" t="n">
        <v>127.11</v>
      </c>
      <c r="J19" s="17" t="n">
        <v>95.33</v>
      </c>
      <c r="K19" s="17" t="n">
        <v>376</v>
      </c>
      <c r="L19" s="17" t="n">
        <v>77.58</v>
      </c>
    </row>
    <row r="20">
      <c r="A20" s="16" t="inlineStr">
        <is>
          <t>5.1-5.7</t>
        </is>
      </c>
      <c r="B20" s="16" t="inlineStr">
        <is>
          <t>TL1412N17C</t>
        </is>
      </c>
      <c r="C20" s="16" t="inlineStr">
        <is>
          <t>Linkbits, Soporte de Pared Fijo para TV y Monitor de 14"-43", Ultra Delgado 2.3cm, Fuerte Capacidad de Peso de 25KG, Fácil Instalación con Accesorios Completos</t>
        </is>
      </c>
      <c r="D20" s="17" t="n">
        <v>360.48</v>
      </c>
      <c r="E20" s="18" t="n">
        <v>0.002152957380267001</v>
      </c>
      <c r="F20" s="16" t="n">
        <v>11</v>
      </c>
      <c r="G20" s="16" t="n">
        <v>11</v>
      </c>
      <c r="H20" s="16" t="n">
        <v>11</v>
      </c>
      <c r="I20" s="17" t="n">
        <v>32.77</v>
      </c>
      <c r="J20" s="17" t="n">
        <v>32.77</v>
      </c>
      <c r="K20" s="17" t="n">
        <v>403.88</v>
      </c>
      <c r="L20" s="17" t="n">
        <v>267.35</v>
      </c>
    </row>
    <row r="21">
      <c r="A21" s="16" t="inlineStr">
        <is>
          <t>5.1-5.7</t>
        </is>
      </c>
      <c r="B21" s="16" t="inlineStr">
        <is>
          <t>BSC07</t>
        </is>
      </c>
      <c r="C21" s="16" t="inlineStr">
        <is>
          <t>TIANLAI Báscula Digital BSC04/BSC07, Alta Precisión, Fácil Operación, Ligera y Portátil, Función Tara, Unidad Dual oz/g, Ideal para Cocina, Control de Porciones, Sellos y Objetos Pequeños, Uso en Hogar y Viaje</t>
        </is>
      </c>
      <c r="D21" s="17" t="n">
        <v>360.48</v>
      </c>
      <c r="E21" s="18" t="n">
        <v>0.002152948122876006</v>
      </c>
      <c r="F21" s="16" t="n">
        <v>11</v>
      </c>
      <c r="G21" s="16" t="n">
        <v>11</v>
      </c>
      <c r="H21" s="16" t="n">
        <v>11</v>
      </c>
      <c r="I21" s="17" t="n">
        <v>32.77</v>
      </c>
      <c r="J21" s="17" t="n">
        <v>32.77</v>
      </c>
      <c r="K21" s="17" t="n">
        <v>394</v>
      </c>
      <c r="L21" s="17" t="n">
        <v>284.46</v>
      </c>
    </row>
    <row r="22">
      <c r="A22" s="16" t="inlineStr">
        <is>
          <t>5.1-5.7</t>
        </is>
      </c>
      <c r="B22" s="16" t="inlineStr">
        <is>
          <t>TLCD02-8P</t>
        </is>
      </c>
      <c r="C2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22" s="17" t="n">
        <v>323.57</v>
      </c>
      <c r="E22" s="18" t="n">
        <v>0.001932540991068107</v>
      </c>
      <c r="F22" s="16" t="n">
        <v>17</v>
      </c>
      <c r="G22" s="16" t="n">
        <v>4</v>
      </c>
      <c r="H22" s="16" t="n">
        <v>4</v>
      </c>
      <c r="I22" s="17" t="n">
        <v>80.89</v>
      </c>
      <c r="J22" s="17" t="n">
        <v>19.03</v>
      </c>
      <c r="K22" s="17" t="n">
        <v>409</v>
      </c>
      <c r="L22" s="17" t="n">
        <v>51.72</v>
      </c>
    </row>
    <row r="23">
      <c r="A23" s="16" t="inlineStr">
        <is>
          <t>5.1-5.7</t>
        </is>
      </c>
      <c r="B23" s="16" t="inlineStr">
        <is>
          <t>TLCD06-12P-R</t>
        </is>
      </c>
      <c r="C2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23" s="17" t="n">
        <v>295.66</v>
      </c>
      <c r="E23" s="18" t="n">
        <v>0.001765815677883844</v>
      </c>
      <c r="F23" s="16" t="n">
        <v>9</v>
      </c>
      <c r="G23" s="16" t="n">
        <v>7</v>
      </c>
      <c r="H23" s="16" t="n">
        <v>7</v>
      </c>
      <c r="I23" s="17" t="n">
        <v>42.24</v>
      </c>
      <c r="J23" s="17" t="n">
        <v>32.85</v>
      </c>
      <c r="K23" s="17" t="n">
        <v>312</v>
      </c>
      <c r="L23" s="17" t="n">
        <v>181.02</v>
      </c>
    </row>
    <row r="24">
      <c r="A24" s="16" t="inlineStr">
        <is>
          <t>5.1-5.7</t>
        </is>
      </c>
      <c r="B24" s="16" t="inlineStr">
        <is>
          <t>LE27M10W18</t>
        </is>
      </c>
      <c r="C24" s="16" t="inlineStr">
        <is>
          <t>Lámpara LED de Techo Tianlai LE27M10W18 - Plafón E27 18W 950LM, Diseño de Cielo Estrellado, 3 Tonos de Luz Ajustables, IP20 a Prueba de Polvo para Dormitorio, Cocina, Comedor y Baño</t>
        </is>
      </c>
      <c r="D24" s="17" t="n">
        <v>277.32</v>
      </c>
      <c r="E24" s="18" t="n">
        <v>0.001656320750329243</v>
      </c>
      <c r="F24" s="16" t="n">
        <v>4</v>
      </c>
      <c r="G24" s="16" t="n">
        <v>4</v>
      </c>
      <c r="H24" s="16" t="n">
        <v>4</v>
      </c>
      <c r="I24" s="17" t="n">
        <v>69.33</v>
      </c>
      <c r="J24" s="17" t="n">
        <v>69.33</v>
      </c>
      <c r="K24" s="17" t="n">
        <v>294.5</v>
      </c>
      <c r="L24" s="17" t="n">
        <v>88.95</v>
      </c>
    </row>
    <row r="25">
      <c r="A25" s="16" t="inlineStr">
        <is>
          <t>5.1-5.7</t>
        </is>
      </c>
      <c r="B25" s="16" t="inlineStr">
        <is>
          <t>TLCD08-16P</t>
        </is>
      </c>
      <c r="C2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25" s="17" t="n">
        <v>249.65</v>
      </c>
      <c r="E25" s="18" t="n">
        <v>0.001491045264024914</v>
      </c>
      <c r="F25" s="16" t="n">
        <v>4</v>
      </c>
      <c r="G25" s="16" t="n">
        <v>2</v>
      </c>
      <c r="H25" s="16" t="n">
        <v>2</v>
      </c>
      <c r="I25" s="17" t="n">
        <v>124.83</v>
      </c>
      <c r="J25" s="17" t="n">
        <v>62.41</v>
      </c>
      <c r="K25" s="17" t="n">
        <v>246.5</v>
      </c>
      <c r="L25" s="17" t="n">
        <v>51.72</v>
      </c>
    </row>
    <row r="26">
      <c r="A26" s="16" t="inlineStr">
        <is>
          <t>5.1-5.7</t>
        </is>
      </c>
      <c r="B26" s="16" t="inlineStr">
        <is>
          <t>SA428T</t>
        </is>
      </c>
      <c r="C26"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D26" s="17" t="n">
        <v>238.72</v>
      </c>
      <c r="E26" s="18" t="n">
        <v>0.001425757961974933</v>
      </c>
      <c r="F26" s="16" t="n">
        <v>3</v>
      </c>
      <c r="G26" s="16" t="n">
        <v>2</v>
      </c>
      <c r="H26" s="16" t="n">
        <v>2</v>
      </c>
      <c r="I26" s="17" t="n">
        <v>119.36</v>
      </c>
      <c r="J26" s="17" t="n">
        <v>79.56999999999999</v>
      </c>
      <c r="K26" s="17" t="n">
        <v>258.66</v>
      </c>
      <c r="L26" s="17" t="n">
        <v>25.86</v>
      </c>
    </row>
    <row r="27">
      <c r="A27" s="16" t="inlineStr">
        <is>
          <t>5.1-5.7</t>
        </is>
      </c>
      <c r="B27" s="16" t="inlineStr">
        <is>
          <t>TLCD08-16P-Vv</t>
        </is>
      </c>
      <c r="C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27" s="17" t="n">
        <v>124.54</v>
      </c>
      <c r="E27" s="18" t="n">
        <v>0.0007438462976786742</v>
      </c>
      <c r="F27" s="16" t="n">
        <v>2</v>
      </c>
      <c r="G27" s="16" t="n">
        <v>2</v>
      </c>
      <c r="H27" s="16" t="n">
        <v>2</v>
      </c>
      <c r="I27" s="17" t="n">
        <v>62.27</v>
      </c>
      <c r="J27" s="17" t="n">
        <v>62.27</v>
      </c>
      <c r="K27" s="17" t="n">
        <v>125</v>
      </c>
      <c r="L27" s="17" t="n">
        <v>51.72</v>
      </c>
    </row>
    <row r="28">
      <c r="A28" s="16" t="inlineStr">
        <is>
          <t>5.1-5.7</t>
        </is>
      </c>
      <c r="B28" s="16" t="inlineStr">
        <is>
          <t>TLCD02-8P-A</t>
        </is>
      </c>
      <c r="C2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28" s="17" t="n">
        <v>48.95</v>
      </c>
      <c r="E28" s="18" t="n">
        <v>0.0002923525883614902</v>
      </c>
      <c r="F28" s="16" t="n">
        <v>2</v>
      </c>
      <c r="G28" s="16" t="n">
        <v>1</v>
      </c>
      <c r="H28" s="16" t="n">
        <v>1</v>
      </c>
      <c r="I28" s="17" t="n">
        <v>48.95</v>
      </c>
      <c r="J28" s="17" t="n">
        <v>24.47</v>
      </c>
      <c r="K28" s="17" t="n">
        <v>50</v>
      </c>
      <c r="L28" s="17" t="n">
        <v>25.86</v>
      </c>
    </row>
    <row r="29">
      <c r="A29" s="16" t="inlineStr">
        <is>
          <t>5.1-5.7</t>
        </is>
      </c>
      <c r="B29" s="16" t="inlineStr">
        <is>
          <t>i12-V</t>
        </is>
      </c>
      <c r="C29" s="16" t="inlineStr">
        <is>
          <t>Auriculares Inalámbricos TWS - Ideales para Usuarios Android e iPhone, Entusiastas del Deporte &amp; Música, Controles Táctiles, Audífonos Para Correr y Jugar</t>
        </is>
      </c>
      <c r="D29" s="17" t="n">
        <v>43.64</v>
      </c>
      <c r="E29" s="18" t="n">
        <v>0.0002606702128723412</v>
      </c>
      <c r="F29" s="16" t="n">
        <v>1</v>
      </c>
      <c r="G29" s="16" t="n">
        <v>1</v>
      </c>
      <c r="H29" s="16" t="n">
        <v>1</v>
      </c>
      <c r="I29" s="17" t="n">
        <v>43.64</v>
      </c>
      <c r="J29" s="17" t="n">
        <v>43.64</v>
      </c>
      <c r="K29" s="17" t="n">
        <v>45</v>
      </c>
      <c r="L29" s="17" t="n">
        <v>25.86</v>
      </c>
    </row>
    <row r="30">
      <c r="A30" s="16" t="inlineStr">
        <is>
          <t>5.1-5.7</t>
        </is>
      </c>
      <c r="B30" s="16" t="inlineStr">
        <is>
          <t>TLCD02-8P-N</t>
        </is>
      </c>
      <c r="C3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30" s="17" t="n">
        <v>42.88</v>
      </c>
      <c r="E30" s="18" t="n">
        <v>0.0002561209517623661</v>
      </c>
      <c r="F30" s="16" t="n">
        <v>2</v>
      </c>
      <c r="G30" s="16" t="n">
        <v>2</v>
      </c>
      <c r="H30" s="16" t="n">
        <v>2</v>
      </c>
      <c r="I30" s="17" t="n">
        <v>21.44</v>
      </c>
      <c r="J30" s="17" t="n">
        <v>21.44</v>
      </c>
      <c r="K30" s="17" t="n">
        <v>49</v>
      </c>
      <c r="L30" s="17" t="n">
        <v>51.72</v>
      </c>
    </row>
    <row r="31">
      <c r="A31" s="16" t="inlineStr">
        <is>
          <t>5.1-5.7</t>
        </is>
      </c>
      <c r="B31" s="16" t="inlineStr">
        <is>
          <t>TLCD06-12P-V</t>
        </is>
      </c>
      <c r="C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31" s="17" t="n">
        <v>32.87</v>
      </c>
      <c r="E31" s="18" t="n">
        <v>0.0001963101430493834</v>
      </c>
      <c r="F31" s="16" t="n">
        <v>1</v>
      </c>
      <c r="G31" s="16" t="n">
        <v>1</v>
      </c>
      <c r="H31" s="16" t="n">
        <v>1</v>
      </c>
      <c r="I31" s="17" t="n">
        <v>32.87</v>
      </c>
      <c r="J31" s="17" t="n">
        <v>32.87</v>
      </c>
      <c r="K31" s="17" t="n">
        <v>35</v>
      </c>
      <c r="L31" s="17" t="n">
        <v>25.86</v>
      </c>
    </row>
    <row r="32">
      <c r="A32" s="16" t="inlineStr">
        <is>
          <t>5.8-5.14</t>
        </is>
      </c>
      <c r="B32" s="16" t="inlineStr">
        <is>
          <t>LV54W25</t>
        </is>
      </c>
      <c r="C32" s="16" t="inlineStr">
        <is>
          <t>TIANLAI Lámpara Ventilador E27 2 en 1, Silenciosa, LED Alta Luminosidad 180°, Instalación Rápida, Ahorro Energético para Dormitorio y Interiores Pequeños</t>
        </is>
      </c>
      <c r="D32" s="17" t="n">
        <v>15673.96</v>
      </c>
      <c r="E32" s="18" t="n">
        <v>0.2720287525006247</v>
      </c>
      <c r="F32" s="16" t="n">
        <v>211</v>
      </c>
      <c r="G32" s="16" t="n">
        <v>124</v>
      </c>
      <c r="H32" s="16" t="n">
        <v>124</v>
      </c>
      <c r="I32" s="17" t="n">
        <v>126.4</v>
      </c>
      <c r="J32" s="17" t="n">
        <v>74.28</v>
      </c>
      <c r="K32" s="17" t="n">
        <v>16356.3</v>
      </c>
      <c r="L32" s="17" t="n">
        <v>2314.89</v>
      </c>
    </row>
    <row r="33">
      <c r="A33" s="16" t="inlineStr">
        <is>
          <t>5.8-5.14</t>
        </is>
      </c>
      <c r="B33" s="16" t="inlineStr">
        <is>
          <t>LV64W25</t>
        </is>
      </c>
      <c r="C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D33" s="17" t="n">
        <v>13572.05</v>
      </c>
      <c r="E33" s="18" t="n">
        <v>0.235549102548332</v>
      </c>
      <c r="F33" s="16" t="n">
        <v>117</v>
      </c>
      <c r="G33" s="16" t="n">
        <v>73</v>
      </c>
      <c r="H33" s="16" t="n">
        <v>73</v>
      </c>
      <c r="I33" s="17" t="n">
        <v>185.92</v>
      </c>
      <c r="J33" s="17" t="n">
        <v>116</v>
      </c>
      <c r="K33" s="17" t="n">
        <v>14154.72</v>
      </c>
      <c r="L33" s="17" t="n">
        <v>1189.56</v>
      </c>
    </row>
    <row r="34">
      <c r="A34" s="16" t="inlineStr">
        <is>
          <t>5.8-5.14</t>
        </is>
      </c>
      <c r="B34" s="16" t="inlineStr">
        <is>
          <t>KTS-2031</t>
        </is>
      </c>
      <c r="C34" s="16" t="inlineStr">
        <is>
          <t>Bocina inalámbrica de 3 pulgadas con linterna multifuncional y panel solar integrado.Altavoz Portátil con Linterna LED 4 Modos, Radio FM, Bluetooth, Carga Solar, Ideal para Apagones, Emergencias, Campo y Exteriores</t>
        </is>
      </c>
      <c r="D34" s="17" t="n">
        <v>11685.96</v>
      </c>
      <c r="E34" s="18" t="n">
        <v>0.2028152270684641</v>
      </c>
      <c r="F34" s="16" t="n">
        <v>157</v>
      </c>
      <c r="G34" s="16" t="n">
        <v>122</v>
      </c>
      <c r="H34" s="16" t="n">
        <v>123</v>
      </c>
      <c r="I34" s="17" t="n">
        <v>95.79000000000001</v>
      </c>
      <c r="J34" s="17" t="n">
        <v>74.43000000000001</v>
      </c>
      <c r="K34" s="17" t="n">
        <v>12111.26</v>
      </c>
      <c r="L34" s="17" t="n">
        <v>2805.22</v>
      </c>
    </row>
    <row r="35">
      <c r="A35" s="16" t="inlineStr">
        <is>
          <t>5.8-5.14</t>
        </is>
      </c>
      <c r="B35" s="16" t="inlineStr">
        <is>
          <t>TL1455N20B</t>
        </is>
      </c>
      <c r="C35" s="16" t="inlineStr">
        <is>
          <t>LINK BITS Soporte para TV 14 A 55 Pulgadas, Base para TV Pantalla Articulado Inclinable y Giratorio, MAX VESA 400×400 mm, Soporta hasta 18kg, adaptarse a la mayoría de los televisores de 14 Pulgadas/20 Pulgadas/32 Pulgadas/42 Pulgadas/55 pulgadas</t>
        </is>
      </c>
      <c r="D35" s="17" t="n">
        <v>3277.03</v>
      </c>
      <c r="E35" s="18" t="n">
        <v>0.05687437408723183</v>
      </c>
      <c r="F35" s="16" t="n">
        <v>49</v>
      </c>
      <c r="G35" s="16" t="n">
        <v>35</v>
      </c>
      <c r="H35" s="16" t="n">
        <v>35</v>
      </c>
      <c r="I35" s="17" t="n">
        <v>93.63</v>
      </c>
      <c r="J35" s="17" t="n">
        <v>66.88</v>
      </c>
      <c r="K35" s="17" t="n">
        <v>3415</v>
      </c>
      <c r="L35" s="17" t="n">
        <v>738.92</v>
      </c>
    </row>
    <row r="36">
      <c r="A36" s="16" t="inlineStr">
        <is>
          <t>5.8-5.14</t>
        </is>
      </c>
      <c r="B36" s="16" t="inlineStr">
        <is>
          <t>VB349T</t>
        </is>
      </c>
      <c r="C36" s="16" t="inlineStr">
        <is>
          <t>LINKBITS Altavoz Portátil de Doble Altavoz - 3 Pulgadas, Sonido HD, Emparejamiento Rápido de Bluetooth, Conectividad TWS, Reproducción Multimodo (Micro SD/USB/Radio FM) - Perfecto para Oficina, Viajes y Espacios Pequeños</t>
        </is>
      </c>
      <c r="D36" s="17" t="n">
        <v>2489.07</v>
      </c>
      <c r="E36" s="18" t="n">
        <v>0.04319894423120956</v>
      </c>
      <c r="F36" s="16" t="n">
        <v>32</v>
      </c>
      <c r="G36" s="16" t="n">
        <v>28</v>
      </c>
      <c r="H36" s="16" t="n">
        <v>28</v>
      </c>
      <c r="I36" s="17" t="n">
        <v>88.90000000000001</v>
      </c>
      <c r="J36" s="17" t="n">
        <v>77.78</v>
      </c>
      <c r="K36" s="17" t="n">
        <v>2574</v>
      </c>
      <c r="L36" s="17" t="n">
        <v>634.17</v>
      </c>
    </row>
    <row r="37">
      <c r="A37" s="16" t="inlineStr">
        <is>
          <t>5.8-5.14</t>
        </is>
      </c>
      <c r="B37" s="16" t="inlineStr">
        <is>
          <t>B03W10-10PZS</t>
        </is>
      </c>
      <c r="C3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D37" s="17" t="n">
        <v>2124.1</v>
      </c>
      <c r="E37" s="18" t="n">
        <v>0.0368647797801396</v>
      </c>
      <c r="F37" s="16" t="n">
        <v>35</v>
      </c>
      <c r="G37" s="16" t="n">
        <v>29</v>
      </c>
      <c r="H37" s="16" t="n">
        <v>29</v>
      </c>
      <c r="I37" s="17" t="n">
        <v>73.23999999999999</v>
      </c>
      <c r="J37" s="17" t="n">
        <v>60.69</v>
      </c>
      <c r="K37" s="17" t="n">
        <v>2430</v>
      </c>
      <c r="L37" s="17" t="n">
        <v>555.5700000000001</v>
      </c>
    </row>
    <row r="38">
      <c r="A38" s="16" t="inlineStr">
        <is>
          <t>5.8-5.14</t>
        </is>
      </c>
      <c r="B38" s="16" t="inlineStr">
        <is>
          <t>TL2663N18C</t>
        </is>
      </c>
      <c r="C38" s="16" t="inlineStr">
        <is>
          <t>Linkbits，Soporte de pared fijo para televisores de 26"-63", Ultra-Delgado Compatible con VESA 400x400mm, Capacidad de Peso Fuerte de 25KG, Instalación Fácil Sin Electricidad</t>
        </is>
      </c>
      <c r="D38" s="17" t="n">
        <v>1930.41</v>
      </c>
      <c r="E38" s="18" t="n">
        <v>0.03350324132932147</v>
      </c>
      <c r="F38" s="16" t="n">
        <v>38</v>
      </c>
      <c r="G38" s="16" t="n">
        <v>28</v>
      </c>
      <c r="H38" s="16" t="n">
        <v>28</v>
      </c>
      <c r="I38" s="17" t="n">
        <v>68.94</v>
      </c>
      <c r="J38" s="17" t="n">
        <v>50.8</v>
      </c>
      <c r="K38" s="17" t="n">
        <v>2042.5</v>
      </c>
      <c r="L38" s="17" t="n">
        <v>631.67</v>
      </c>
    </row>
    <row r="39">
      <c r="A39" s="16" t="inlineStr">
        <is>
          <t>5.8-5.14</t>
        </is>
      </c>
      <c r="B39" s="16" t="inlineStr">
        <is>
          <t>KTS-1936</t>
        </is>
      </c>
      <c r="C39" s="16" t="inlineStr">
        <is>
          <t>Espejo con Luz para Makeup，Espejo con Luz LED y Bocina Bluetooth，Espejo para Maquillaje con Aumentos y Luces LED de Intensidad Ajustable，Lente de Aumento 10X+Reproductor TF+ TWS，espejo de portátil y para estudiantes, oficina, dormitorio, mejor regalo</t>
        </is>
      </c>
      <c r="D39" s="17" t="n">
        <v>905.1900000000001</v>
      </c>
      <c r="E39" s="18" t="n">
        <v>0.01570993071094273</v>
      </c>
      <c r="F39" s="16" t="n">
        <v>4</v>
      </c>
      <c r="G39" s="16" t="n">
        <v>4</v>
      </c>
      <c r="H39" s="16" t="n">
        <v>4</v>
      </c>
      <c r="I39" s="17" t="n">
        <v>226.3</v>
      </c>
      <c r="J39" s="17" t="n">
        <v>226.3</v>
      </c>
      <c r="K39" s="17" t="n">
        <v>871</v>
      </c>
      <c r="L39" s="17" t="n">
        <v>103.44</v>
      </c>
    </row>
    <row r="40">
      <c r="A40" s="16" t="inlineStr">
        <is>
          <t>5.8-5.14</t>
        </is>
      </c>
      <c r="B40" s="16" t="inlineStr">
        <is>
          <t>TL1412N17C</t>
        </is>
      </c>
      <c r="C40" s="16" t="inlineStr">
        <is>
          <t>Linkbits, Soporte de Pared Fijo para TV y Monitor de 14"-43", Ultra Delgado 2.3cm, Fuerte Capacidad de Peso de 25KG, Fácil Instalación con Accesorios Completos</t>
        </is>
      </c>
      <c r="D40" s="17" t="n">
        <v>851.41</v>
      </c>
      <c r="E40" s="18" t="n">
        <v>0.01477668245014519</v>
      </c>
      <c r="F40" s="16" t="n">
        <v>24</v>
      </c>
      <c r="G40" s="16" t="n">
        <v>12</v>
      </c>
      <c r="H40" s="16" t="n">
        <v>12</v>
      </c>
      <c r="I40" s="17" t="n">
        <v>70.95</v>
      </c>
      <c r="J40" s="17" t="n">
        <v>35.48</v>
      </c>
      <c r="K40" s="17" t="n">
        <v>879.96</v>
      </c>
      <c r="L40" s="17" t="n">
        <v>284.46</v>
      </c>
    </row>
    <row r="41">
      <c r="A41" s="16" t="inlineStr">
        <is>
          <t>5.8-5.14</t>
        </is>
      </c>
      <c r="B41" s="16" t="inlineStr">
        <is>
          <t>BG-115-B</t>
        </is>
      </c>
      <c r="C41" s="16" t="inlineStr">
        <is>
          <t>LINK BITS Audífonos Inalámbricos con Luces Multicolor, Recargables y en Adorable Forma de Orejas de Gato - Conecta a Celulares y PCs, Tiene Radio FM, Tarjeta TF y AUX - 7 Horas de Reproducción, Plegables y Perfectos para Trabajo, Juegos y Estudio</t>
        </is>
      </c>
      <c r="D41" s="17" t="n">
        <v>785.61</v>
      </c>
      <c r="E41" s="18" t="n">
        <v>0.01363459679521451</v>
      </c>
      <c r="F41" s="16" t="n">
        <v>10</v>
      </c>
      <c r="G41" s="16" t="n">
        <v>9</v>
      </c>
      <c r="H41" s="16" t="n">
        <v>9</v>
      </c>
      <c r="I41" s="17" t="n">
        <v>87.29000000000001</v>
      </c>
      <c r="J41" s="17" t="n">
        <v>78.56</v>
      </c>
      <c r="K41" s="17" t="n">
        <v>785</v>
      </c>
      <c r="L41" s="17" t="n">
        <v>232.74</v>
      </c>
    </row>
    <row r="42">
      <c r="A42" s="16" t="inlineStr">
        <is>
          <t>5.8-5.14</t>
        </is>
      </c>
      <c r="B42" s="16" t="inlineStr">
        <is>
          <t>SA428T</t>
        </is>
      </c>
      <c r="C42"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D42" s="17" t="n">
        <v>666.99</v>
      </c>
      <c r="E42" s="18" t="n">
        <v>0.01157595622962461</v>
      </c>
      <c r="F42" s="16" t="n">
        <v>8</v>
      </c>
      <c r="G42" s="16" t="n">
        <v>6</v>
      </c>
      <c r="H42" s="16" t="n">
        <v>6</v>
      </c>
      <c r="I42" s="17" t="n">
        <v>111.17</v>
      </c>
      <c r="J42" s="17" t="n">
        <v>83.37</v>
      </c>
      <c r="K42" s="17" t="n">
        <v>683.13</v>
      </c>
      <c r="L42" s="17" t="n">
        <v>129.3</v>
      </c>
    </row>
    <row r="43">
      <c r="A43" s="16" t="inlineStr">
        <is>
          <t>5.8-5.14</t>
        </is>
      </c>
      <c r="B43" s="16" t="inlineStr">
        <is>
          <t>BG-115-P</t>
        </is>
      </c>
      <c r="C43" s="16" t="inlineStr">
        <is>
          <t>LINK BITS Audífonos Inalámbricos con Luces Multicolor, Recargables y en Adorable Forma de Orejas de Gato - Conecta a Celulares y PCs, Tiene Radio FM, Tarjeta TF y AUX - 7 Horas de Reproducción, Plegables y Perfectos para Trabajo, Juegos y Estudio</t>
        </is>
      </c>
      <c r="D43" s="17" t="n">
        <v>564.02</v>
      </c>
      <c r="E43" s="18" t="n">
        <v>0.009788749867037642</v>
      </c>
      <c r="F43" s="16" t="n">
        <v>7</v>
      </c>
      <c r="G43" s="16" t="n">
        <v>7</v>
      </c>
      <c r="H43" s="16" t="n">
        <v>7</v>
      </c>
      <c r="I43" s="17" t="n">
        <v>80.56999999999999</v>
      </c>
      <c r="J43" s="17" t="n">
        <v>80.56999999999999</v>
      </c>
      <c r="K43" s="17" t="n">
        <v>568</v>
      </c>
      <c r="L43" s="17" t="n">
        <v>181.02</v>
      </c>
    </row>
    <row r="44">
      <c r="A44" s="16" t="inlineStr">
        <is>
          <t>5.8-5.14</t>
        </is>
      </c>
      <c r="B44" s="16" t="inlineStr">
        <is>
          <t>SB428T</t>
        </is>
      </c>
      <c r="C44" s="16" t="inlineStr">
        <is>
          <t>LINK BITS La bocina es tu compañero ideal para reuniones en México! Equipada con 2 altavoces de 4 pulgadas y potencia 5W×2, USB y TF, funciona sin internet—perfecta para picnics, fiestas en el jardín o relajación en la terraza.</t>
        </is>
      </c>
      <c r="D44" s="17" t="n">
        <v>551.8</v>
      </c>
      <c r="E44" s="18" t="n">
        <v>0.009576790225475189</v>
      </c>
      <c r="F44" s="16" t="n">
        <v>6</v>
      </c>
      <c r="G44" s="16" t="n">
        <v>4</v>
      </c>
      <c r="H44" s="16" t="n">
        <v>4</v>
      </c>
      <c r="I44" s="17" t="n">
        <v>137.95</v>
      </c>
      <c r="J44" s="17" t="n">
        <v>91.97</v>
      </c>
      <c r="K44" s="17" t="n">
        <v>574</v>
      </c>
      <c r="L44" s="17" t="n">
        <v>69.33</v>
      </c>
    </row>
    <row r="45">
      <c r="A45" s="16" t="inlineStr">
        <is>
          <t>5.8-5.14</t>
        </is>
      </c>
      <c r="B45" s="16" t="inlineStr">
        <is>
          <t>BSC04</t>
        </is>
      </c>
      <c r="C45" s="16" t="inlineStr">
        <is>
          <t>TIANLAI Báscula Digital BSC04/BSC07, Alta Precisión, Fácil Operación, Ligera y Portátil, Función Tara, Unidad Dual oz/g, Ideal para Cocina, Control de Porciones, Sellos y Objetos Pequeños, Uso en Hogar y Viaje</t>
        </is>
      </c>
      <c r="D45" s="17" t="n">
        <v>508.3</v>
      </c>
      <c r="E45" s="18" t="n">
        <v>0.008821836350814811</v>
      </c>
      <c r="F45" s="16" t="n">
        <v>9</v>
      </c>
      <c r="G45" s="16" t="n">
        <v>9</v>
      </c>
      <c r="H45" s="16" t="n">
        <v>9</v>
      </c>
      <c r="I45" s="17" t="n">
        <v>56.48</v>
      </c>
      <c r="J45" s="17" t="n">
        <v>56.48</v>
      </c>
      <c r="K45" s="17" t="n">
        <v>519.5</v>
      </c>
      <c r="L45" s="17" t="n">
        <v>232.74</v>
      </c>
    </row>
    <row r="46">
      <c r="A46" s="16" t="inlineStr">
        <is>
          <t>5.8-5.14</t>
        </is>
      </c>
      <c r="B46" s="16" t="inlineStr">
        <is>
          <t>i12-B</t>
        </is>
      </c>
      <c r="C46" s="16" t="inlineStr">
        <is>
          <t>Auriculares Inalámbricos TWS - Ideales para Usuarios Android e iPhone, Entusiastas del Deporte &amp; Música, Controles Táctiles, Audífonos Para Correr y Jugar</t>
        </is>
      </c>
      <c r="D46" s="17" t="n">
        <v>408.02</v>
      </c>
      <c r="E46" s="18" t="n">
        <v>0.007081300558334377</v>
      </c>
      <c r="F46" s="16" t="n">
        <v>10</v>
      </c>
      <c r="G46" s="16" t="n">
        <v>6</v>
      </c>
      <c r="H46" s="16" t="n">
        <v>6</v>
      </c>
      <c r="I46" s="17" t="n">
        <v>68</v>
      </c>
      <c r="J46" s="17" t="n">
        <v>40.8</v>
      </c>
      <c r="K46" s="17" t="n">
        <v>439.6</v>
      </c>
      <c r="L46" s="17" t="n">
        <v>129.3</v>
      </c>
    </row>
    <row r="47">
      <c r="A47" s="16" t="inlineStr">
        <is>
          <t>5.8-5.14</t>
        </is>
      </c>
      <c r="B47" s="16" t="inlineStr">
        <is>
          <t>VA371T</t>
        </is>
      </c>
      <c r="C47" s="16" t="inlineStr">
        <is>
          <t>Linkbits Bocina Bluetooth Portátil 3" de Alta Gama，Hi-Res Audio y Graves Potentes，Luces LED + Soporte USB/TF/FM/TWS，Ideal para Hogar y Aire Libre</t>
        </is>
      </c>
      <c r="D47" s="17" t="n">
        <v>357.33</v>
      </c>
      <c r="E47" s="18" t="n">
        <v>0.006201711044004756</v>
      </c>
      <c r="F47" s="16" t="n">
        <v>9</v>
      </c>
      <c r="G47" s="16" t="n">
        <v>9</v>
      </c>
      <c r="H47" s="16" t="n">
        <v>9</v>
      </c>
      <c r="I47" s="17" t="n">
        <v>39.7</v>
      </c>
      <c r="J47" s="17" t="n">
        <v>39.7</v>
      </c>
      <c r="K47" s="17" t="n">
        <v>403.24</v>
      </c>
      <c r="L47" s="17" t="n">
        <v>215.13</v>
      </c>
    </row>
    <row r="48">
      <c r="A48" s="16" t="inlineStr">
        <is>
          <t>5.8-5.14</t>
        </is>
      </c>
      <c r="B48" s="16" t="inlineStr">
        <is>
          <t>SA323T</t>
        </is>
      </c>
      <c r="C48" s="16" t="inlineStr">
        <is>
          <t>Linkbits，Altavoz inalámbrico portátil，Bocina Portátil Parlantes BT Portátiles con Iluminación de Ambiente,1 Hora de Duración, FM, TWS, TF/Micro SD,Ideal para Bailes en Interiores, Celebraciones Navideñas, Entretenimiento Familiar y para Música en Vivo</t>
        </is>
      </c>
      <c r="D48" s="17" t="n">
        <v>289.08</v>
      </c>
      <c r="E48" s="18" t="n">
        <v>0.005017044633346179</v>
      </c>
      <c r="F48" s="16" t="n">
        <v>8</v>
      </c>
      <c r="G48" s="16" t="n">
        <v>5</v>
      </c>
      <c r="H48" s="16" t="n">
        <v>5</v>
      </c>
      <c r="I48" s="17" t="n">
        <v>57.82</v>
      </c>
      <c r="J48" s="17" t="n">
        <v>36.13</v>
      </c>
      <c r="K48" s="17" t="n">
        <v>375</v>
      </c>
      <c r="L48" s="17" t="n">
        <v>51.72</v>
      </c>
    </row>
    <row r="49">
      <c r="A49" s="16" t="inlineStr">
        <is>
          <t>5.8-5.14</t>
        </is>
      </c>
      <c r="B49" s="16" t="inlineStr">
        <is>
          <t>EM12W12</t>
        </is>
      </c>
      <c r="C49" s="16" t="inlineStr">
        <is>
          <t>TIANLAI Lámpara Solar de Emergencia, 1pc 960lm IP4 5 Modos con SOS, Recargable USB+Solar con Gancho, Linterna Portátil para Camping Hogar Senderismo Pesca</t>
        </is>
      </c>
      <c r="D49" s="17" t="n">
        <v>230.03</v>
      </c>
      <c r="E49" s="18" t="n">
        <v>0.003992338299851302</v>
      </c>
      <c r="F49" s="16" t="n">
        <v>3</v>
      </c>
      <c r="G49" s="16" t="n">
        <v>2</v>
      </c>
      <c r="H49" s="16" t="n">
        <v>2</v>
      </c>
      <c r="I49" s="17" t="n">
        <v>115.02</v>
      </c>
      <c r="J49" s="17" t="n">
        <v>76.68000000000001</v>
      </c>
      <c r="K49" s="17" t="n">
        <v>226</v>
      </c>
      <c r="L49" s="17" t="n">
        <v>51.72</v>
      </c>
    </row>
    <row r="50">
      <c r="A50" s="16" t="inlineStr">
        <is>
          <t>5.8-5.14</t>
        </is>
      </c>
      <c r="B50" s="16" t="inlineStr">
        <is>
          <t>lV64W25l</t>
        </is>
      </c>
      <c r="C50" s="16" t="inlineStr">
        <is>
          <t>TIANLAI Ventilador de Techo Silencioso con Luz LED 3 Colores, Base E27 Fácil Instalación, 3 Velocidades con Control Remoto y Temporizador, Ahorro Energético, Ideal para Dormitorios, Salas, Cocinas, Baños y Apartamentos</t>
        </is>
      </c>
      <c r="D50" s="17" t="n">
        <v>221.6</v>
      </c>
      <c r="E50" s="18" t="n">
        <v>0.003845999656233442</v>
      </c>
      <c r="F50" s="16" t="n">
        <v>2</v>
      </c>
      <c r="G50" s="16" t="n">
        <v>2</v>
      </c>
      <c r="H50" s="16" t="n">
        <v>2</v>
      </c>
      <c r="I50" s="17" t="n">
        <v>110.8</v>
      </c>
      <c r="J50" s="17" t="n">
        <v>110.8</v>
      </c>
      <c r="K50" s="17" t="n">
        <v>240</v>
      </c>
      <c r="L50" s="17" t="n">
        <v>25.86</v>
      </c>
    </row>
    <row r="51">
      <c r="A51" s="16" t="inlineStr">
        <is>
          <t>5.8-5.14</t>
        </is>
      </c>
      <c r="B51" s="16" t="inlineStr">
        <is>
          <t>BSC07</t>
        </is>
      </c>
      <c r="C51" s="16" t="inlineStr">
        <is>
          <t>TIANLAI Báscula Digital BSC04/BSC07, Alta Precisión, Fácil Operación, Ligera y Portátil, Función Tara, Unidad Dual oz/g, Ideal para Cocina, Control de Porciones, Sellos y Objetos Pequeños, Uso en Hogar y Viaje</t>
        </is>
      </c>
      <c r="D51" s="17" t="n">
        <v>132.28</v>
      </c>
      <c r="E51" s="18" t="n">
        <v>0.002295712691409409</v>
      </c>
      <c r="F51" s="16" t="n">
        <v>5</v>
      </c>
      <c r="G51" s="16" t="n">
        <v>5</v>
      </c>
      <c r="H51" s="16" t="n">
        <v>5</v>
      </c>
      <c r="I51" s="17" t="n">
        <v>26.46</v>
      </c>
      <c r="J51" s="17" t="n">
        <v>26.46</v>
      </c>
      <c r="K51" s="17" t="n">
        <v>178</v>
      </c>
      <c r="L51" s="17" t="n">
        <v>103.44</v>
      </c>
    </row>
    <row r="52">
      <c r="A52" s="16" t="inlineStr">
        <is>
          <t>5.8-5.14</t>
        </is>
      </c>
      <c r="B52" s="16" t="inlineStr">
        <is>
          <t>MB-174-N</t>
        </is>
      </c>
      <c r="C52" s="16" t="inlineStr">
        <is>
          <t>LINK BITS MB-174 Mini Bocina Bluetooth Soporte para Celular Integrado TWS Luz Ambiental 5W 80dB Sonido Claro Carga TYPE-C Material ABS Portátil Ideal como Regalo para Hogar Oficina Exterior Picnic</t>
        </is>
      </c>
      <c r="D52" s="17" t="n">
        <v>95.04000000000001</v>
      </c>
      <c r="E52" s="18" t="n">
        <v>0.001649525490676239</v>
      </c>
      <c r="F52" s="16" t="n">
        <v>1</v>
      </c>
      <c r="G52" s="16" t="n">
        <v>1</v>
      </c>
      <c r="H52" s="16" t="n">
        <v>1</v>
      </c>
      <c r="I52" s="17" t="n">
        <v>95.04000000000001</v>
      </c>
      <c r="J52" s="17" t="n">
        <v>95.04000000000001</v>
      </c>
      <c r="K52" s="17" t="n">
        <v>94.5</v>
      </c>
      <c r="L52" s="17" t="n">
        <v>25.86</v>
      </c>
    </row>
    <row r="53">
      <c r="A53" s="16" t="inlineStr">
        <is>
          <t>5.8-5.14</t>
        </is>
      </c>
      <c r="B53" s="16" t="inlineStr">
        <is>
          <t>i12-V</t>
        </is>
      </c>
      <c r="C53" s="16" t="inlineStr">
        <is>
          <t>Auriculares Inalámbricos TWS - Ideales para Usuarios Android e iPhone, Entusiastas del Deporte &amp; Música, Controles Táctiles, Audífonos Para Correr y Jugar</t>
        </is>
      </c>
      <c r="D53" s="17" t="n">
        <v>77.87</v>
      </c>
      <c r="E53" s="18" t="n">
        <v>0.001351409869744159</v>
      </c>
      <c r="F53" s="16" t="n">
        <v>2</v>
      </c>
      <c r="G53" s="16" t="n">
        <v>2</v>
      </c>
      <c r="H53" s="16" t="n">
        <v>2</v>
      </c>
      <c r="I53" s="17" t="n">
        <v>38.93</v>
      </c>
      <c r="J53" s="17" t="n">
        <v>38.93</v>
      </c>
      <c r="K53" s="17" t="n">
        <v>87</v>
      </c>
      <c r="L53" s="17" t="n">
        <v>51.72</v>
      </c>
    </row>
    <row r="54">
      <c r="A54" s="16" t="inlineStr">
        <is>
          <t>5.8-5.14</t>
        </is>
      </c>
      <c r="B54" s="16" t="inlineStr">
        <is>
          <t>MB-174-G</t>
        </is>
      </c>
      <c r="C54" s="16" t="inlineStr">
        <is>
          <t>LINK BITS MB-174 Mini Bocina Bluetooth Soporte para Celular Integrado TWS Luz Ambiental 5W 80dB Sonido Claro Carga TYPE-C Material ABS Portátil Ideal como Regalo para Hogar Oficina Exterior Picnic</t>
        </is>
      </c>
      <c r="D54" s="17" t="n">
        <v>66.58</v>
      </c>
      <c r="E54" s="18" t="n">
        <v>0.001155521385044094</v>
      </c>
      <c r="F54" s="16" t="n">
        <v>1</v>
      </c>
      <c r="G54" s="16" t="n">
        <v>1</v>
      </c>
      <c r="H54" s="16" t="n">
        <v>1</v>
      </c>
      <c r="I54" s="17" t="n">
        <v>66.58</v>
      </c>
      <c r="J54" s="17" t="n">
        <v>66.58</v>
      </c>
      <c r="K54" s="17" t="n">
        <v>92.5</v>
      </c>
      <c r="L54" s="17" t="n">
        <v>0</v>
      </c>
    </row>
    <row r="55">
      <c r="A55" s="16" t="inlineStr">
        <is>
          <t>5.8-5.14</t>
        </is>
      </c>
      <c r="B55" s="16" t="inlineStr">
        <is>
          <t>TLCD04-10P-R</t>
        </is>
      </c>
      <c r="C5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55" s="17" t="n">
        <v>65.76000000000001</v>
      </c>
      <c r="E55" s="18" t="n">
        <v>0.001141360196661948</v>
      </c>
      <c r="F55" s="16" t="n">
        <v>2</v>
      </c>
      <c r="G55" s="16" t="n">
        <v>2</v>
      </c>
      <c r="H55" s="16" t="n">
        <v>2</v>
      </c>
      <c r="I55" s="17" t="n">
        <v>32.88</v>
      </c>
      <c r="J55" s="17" t="n">
        <v>32.88</v>
      </c>
      <c r="K55" s="17" t="n">
        <v>70</v>
      </c>
      <c r="L55" s="17" t="n">
        <v>51.72</v>
      </c>
    </row>
    <row r="56">
      <c r="A56" s="16" t="inlineStr">
        <is>
          <t>5.8-5.14</t>
        </is>
      </c>
      <c r="B56" s="16" t="inlineStr">
        <is>
          <t>TLCD06-12P-N</t>
        </is>
      </c>
      <c r="C5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56" s="17" t="n">
        <v>57.04</v>
      </c>
      <c r="E56" s="18" t="n">
        <v>0.000989891278780025</v>
      </c>
      <c r="F56" s="16" t="n">
        <v>2</v>
      </c>
      <c r="G56" s="16" t="n">
        <v>2</v>
      </c>
      <c r="H56" s="16" t="n">
        <v>2</v>
      </c>
      <c r="I56" s="17" t="n">
        <v>28.52</v>
      </c>
      <c r="J56" s="17" t="n">
        <v>28.52</v>
      </c>
      <c r="K56" s="17" t="n">
        <v>64</v>
      </c>
      <c r="L56" s="17" t="n">
        <v>51.72</v>
      </c>
    </row>
    <row r="57">
      <c r="A57" s="16" t="inlineStr">
        <is>
          <t>5.8-5.14</t>
        </is>
      </c>
      <c r="B57" s="16" t="inlineStr">
        <is>
          <t>TLCD06-12P-A</t>
        </is>
      </c>
      <c r="C5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57" s="17" t="n">
        <v>32.22</v>
      </c>
      <c r="E57" s="18" t="n">
        <v>0.0005592207213360342</v>
      </c>
      <c r="F57" s="16" t="n">
        <v>1</v>
      </c>
      <c r="G57" s="16" t="n">
        <v>1</v>
      </c>
      <c r="H57" s="16" t="n">
        <v>1</v>
      </c>
      <c r="I57" s="17" t="n">
        <v>32.22</v>
      </c>
      <c r="J57" s="17" t="n">
        <v>32.22</v>
      </c>
      <c r="K57" s="17" t="n">
        <v>35</v>
      </c>
      <c r="L57" s="17" t="n">
        <v>25.86</v>
      </c>
    </row>
    <row r="58">
      <c r="A58" s="16" t="inlineStr">
        <is>
          <t>5.15-5.21</t>
        </is>
      </c>
      <c r="B58" s="16" t="inlineStr">
        <is>
          <t>LV64W25</t>
        </is>
      </c>
      <c r="C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D58" s="17" t="n">
        <v>51690.3</v>
      </c>
      <c r="E58" s="18" t="n">
        <v>0.4474203113401434</v>
      </c>
      <c r="F58" s="16" t="n">
        <v>433</v>
      </c>
      <c r="G58" s="16" t="n">
        <v>230</v>
      </c>
      <c r="H58" s="16" t="n">
        <v>230</v>
      </c>
      <c r="I58" s="17" t="n">
        <v>224.74</v>
      </c>
      <c r="J58" s="17" t="n">
        <v>119.38</v>
      </c>
      <c r="K58" s="17" t="n">
        <v>53001</v>
      </c>
      <c r="L58" s="17" t="n">
        <v>3015.6</v>
      </c>
    </row>
    <row r="59">
      <c r="A59" s="16" t="inlineStr">
        <is>
          <t>5.15-5.21</t>
        </is>
      </c>
      <c r="B59" s="16" t="inlineStr">
        <is>
          <t>LV54W25</t>
        </is>
      </c>
      <c r="C59" s="16" t="inlineStr">
        <is>
          <t>TIANLAI Lámpara Ventilador E27 2 en 1, Silenciosa, LED Alta Luminosidad 180°, Instalación Rápida, Ahorro Energético para Dormitorio y Interiores Pequeños</t>
        </is>
      </c>
      <c r="D59" s="17" t="n">
        <v>24613.22</v>
      </c>
      <c r="E59" s="18" t="n">
        <v>0.2130468010824105</v>
      </c>
      <c r="F59" s="16" t="n">
        <v>334</v>
      </c>
      <c r="G59" s="16" t="n">
        <v>211</v>
      </c>
      <c r="H59" s="16" t="n">
        <v>211</v>
      </c>
      <c r="I59" s="17" t="n">
        <v>116.65</v>
      </c>
      <c r="J59" s="17" t="n">
        <v>73.69</v>
      </c>
      <c r="K59" s="17" t="n">
        <v>25378.9</v>
      </c>
      <c r="L59" s="17" t="n">
        <v>4496.73</v>
      </c>
    </row>
    <row r="60">
      <c r="A60" s="16" t="inlineStr">
        <is>
          <t>5.15-5.21</t>
        </is>
      </c>
      <c r="B60" s="16" t="inlineStr">
        <is>
          <t>KTS-2031</t>
        </is>
      </c>
      <c r="C60" s="16" t="inlineStr">
        <is>
          <t>Bocina inalámbrica de 3 pulgadas con linterna multifuncional y panel solar integrado.Altavoz Portátil con Linterna LED 4 Modos, Radio FM, Bluetooth, Carga Solar, Ideal para Apagones, Emergencias, Campo y Exteriores</t>
        </is>
      </c>
      <c r="D60" s="17" t="n">
        <v>16808.98</v>
      </c>
      <c r="E60" s="18" t="n">
        <v>0.1454949768843459</v>
      </c>
      <c r="F60" s="16" t="n">
        <v>222</v>
      </c>
      <c r="G60" s="16" t="n">
        <v>162</v>
      </c>
      <c r="H60" s="16" t="n">
        <v>162</v>
      </c>
      <c r="I60" s="17" t="n">
        <v>103.76</v>
      </c>
      <c r="J60" s="17" t="n">
        <v>75.72</v>
      </c>
      <c r="K60" s="17" t="n">
        <v>17314.08</v>
      </c>
      <c r="L60" s="17" t="n">
        <v>3650.74</v>
      </c>
    </row>
    <row r="61">
      <c r="A61" s="16" t="inlineStr">
        <is>
          <t>5.15-5.21</t>
        </is>
      </c>
      <c r="B61" s="16" t="inlineStr">
        <is>
          <t>TL1455N20B</t>
        </is>
      </c>
      <c r="C61" s="16" t="inlineStr">
        <is>
          <t>LINK BITS Soporte para TV 14 A 55 Pulgadas, Base para TV Pantalla Articulado Inclinable y Giratorio, MAX VESA 400×400 mm, Soporta hasta 18kg, adaptarse a la mayoría de los televisores de 14 Pulgadas/20 Pulgadas/32 Pulgadas/42 Pulgadas/55 pulgadas</t>
        </is>
      </c>
      <c r="D61" s="17" t="n">
        <v>7402.16</v>
      </c>
      <c r="E61" s="18" t="n">
        <v>0.06407152615566987</v>
      </c>
      <c r="F61" s="16" t="n">
        <v>101</v>
      </c>
      <c r="G61" s="16" t="n">
        <v>28</v>
      </c>
      <c r="H61" s="16" t="n">
        <v>28</v>
      </c>
      <c r="I61" s="17" t="n">
        <v>264.36</v>
      </c>
      <c r="J61" s="17" t="n">
        <v>73.29000000000001</v>
      </c>
      <c r="K61" s="17" t="n">
        <v>7258</v>
      </c>
      <c r="L61" s="17" t="n">
        <v>517.2</v>
      </c>
    </row>
    <row r="62">
      <c r="A62" s="16" t="inlineStr">
        <is>
          <t>5.15-5.21</t>
        </is>
      </c>
      <c r="B62" s="16" t="inlineStr">
        <is>
          <t>B03W10-10PZS</t>
        </is>
      </c>
      <c r="C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D62" s="17" t="n">
        <v>3221.09</v>
      </c>
      <c r="E62" s="18" t="n">
        <v>0.02788107830836549</v>
      </c>
      <c r="F62" s="16" t="n">
        <v>46</v>
      </c>
      <c r="G62" s="16" t="n">
        <v>35</v>
      </c>
      <c r="H62" s="16" t="n">
        <v>35</v>
      </c>
      <c r="I62" s="17" t="n">
        <v>92.03</v>
      </c>
      <c r="J62" s="17" t="n">
        <v>70.02</v>
      </c>
      <c r="K62" s="17" t="n">
        <v>3299</v>
      </c>
      <c r="L62" s="17" t="n">
        <v>813.8</v>
      </c>
    </row>
    <row r="63">
      <c r="A63" s="16" t="inlineStr">
        <is>
          <t>5.15-5.21</t>
        </is>
      </c>
      <c r="B63" s="16" t="inlineStr">
        <is>
          <t>TL2663N18C</t>
        </is>
      </c>
      <c r="C63" s="16" t="inlineStr">
        <is>
          <t>Linkbits，Soporte de pared fijo para televisores de 26"-63", Ultra-Delgado Compatible con VESA 400x400mm, Capacidad de Peso Fuerte de 25KG, Instalación Fácil Sin Electricidad</t>
        </is>
      </c>
      <c r="D63" s="17" t="n">
        <v>2427.88</v>
      </c>
      <c r="E63" s="18" t="n">
        <v>0.02101520034798622</v>
      </c>
      <c r="F63" s="16" t="n">
        <v>47</v>
      </c>
      <c r="G63" s="16" t="n">
        <v>23</v>
      </c>
      <c r="H63" s="16" t="n">
        <v>23</v>
      </c>
      <c r="I63" s="17" t="n">
        <v>105.56</v>
      </c>
      <c r="J63" s="17" t="n">
        <v>51.66</v>
      </c>
      <c r="K63" s="17" t="n">
        <v>2507</v>
      </c>
      <c r="L63" s="17" t="n">
        <v>465.48</v>
      </c>
    </row>
    <row r="64">
      <c r="A64" s="16" t="inlineStr">
        <is>
          <t>5.15-5.21</t>
        </is>
      </c>
      <c r="B64" s="16" t="inlineStr">
        <is>
          <t>VB349T</t>
        </is>
      </c>
      <c r="C64" s="16" t="inlineStr">
        <is>
          <t>LINKBITS Altavoz Portátil de Doble Altavoz - 3 Pulgadas, Sonido HD, Emparejamiento Rápido de Bluetooth, Conectividad TWS, Reproducción Multimodo (Micro SD/USB/Radio FM) - Perfecto para Oficina, Viajes y Espacios Pequeños</t>
        </is>
      </c>
      <c r="D64" s="17" t="n">
        <v>2402.34</v>
      </c>
      <c r="E64" s="18" t="n">
        <v>0.02079414537108962</v>
      </c>
      <c r="F64" s="16" t="n">
        <v>30</v>
      </c>
      <c r="G64" s="16" t="n">
        <v>26</v>
      </c>
      <c r="H64" s="16" t="n">
        <v>26</v>
      </c>
      <c r="I64" s="17" t="n">
        <v>92.40000000000001</v>
      </c>
      <c r="J64" s="17" t="n">
        <v>80.08</v>
      </c>
      <c r="K64" s="17" t="n">
        <v>2412</v>
      </c>
      <c r="L64" s="17" t="n">
        <v>646.5</v>
      </c>
    </row>
    <row r="65">
      <c r="A65" s="16" t="inlineStr">
        <is>
          <t>5.15-5.21</t>
        </is>
      </c>
      <c r="B65" s="16" t="inlineStr">
        <is>
          <t>MB-174-N</t>
        </is>
      </c>
      <c r="C65" s="16" t="inlineStr">
        <is>
          <t>LINK BITS MB-174 Mini Bocina Bluetooth Soporte para Celular Integrado TWS Luz Ambiental 5W 80dB Sonido Claro Carga TYPE-C Material ABS Portátil Ideal como Regalo para Hogar Oficina Exterior Picnic</t>
        </is>
      </c>
      <c r="D65" s="17" t="n">
        <v>941.04</v>
      </c>
      <c r="E65" s="18" t="n">
        <v>0.008145443195796435</v>
      </c>
      <c r="F65" s="16" t="n">
        <v>10</v>
      </c>
      <c r="G65" s="16" t="n">
        <v>3</v>
      </c>
      <c r="H65" s="16" t="n">
        <v>3</v>
      </c>
      <c r="I65" s="17" t="n">
        <v>313.68</v>
      </c>
      <c r="J65" s="17" t="n">
        <v>94.09999999999999</v>
      </c>
      <c r="K65" s="17" t="n">
        <v>943.5</v>
      </c>
      <c r="L65" s="17" t="n">
        <v>51.72</v>
      </c>
    </row>
    <row r="66">
      <c r="A66" s="16" t="inlineStr">
        <is>
          <t>5.15-5.21</t>
        </is>
      </c>
      <c r="B66" s="16" t="inlineStr">
        <is>
          <t>KTS-1936</t>
        </is>
      </c>
      <c r="C66" s="16" t="inlineStr">
        <is>
          <t>Espejo con Luz para Makeup，Espejo con Luz LED y Bocina Bluetooth，Espejo para Maquillaje con Aumentos y Luces LED de Intensidad Ajustable，Lente de Aumento 10X+Reproductor TF+ TWS，espejo de portátil y para estudiantes, oficina, dormitorio, mejor regalo</t>
        </is>
      </c>
      <c r="D66" s="17" t="n">
        <v>845.74</v>
      </c>
      <c r="E66" s="18" t="n">
        <v>0.007320551357701295</v>
      </c>
      <c r="F66" s="16" t="n">
        <v>4</v>
      </c>
      <c r="G66" s="16" t="n">
        <v>4</v>
      </c>
      <c r="H66" s="16" t="n">
        <v>4</v>
      </c>
      <c r="I66" s="17" t="n">
        <v>211.44</v>
      </c>
      <c r="J66" s="17" t="n">
        <v>211.44</v>
      </c>
      <c r="K66" s="17" t="n">
        <v>820.75</v>
      </c>
      <c r="L66" s="17" t="n">
        <v>103.44</v>
      </c>
    </row>
    <row r="67">
      <c r="A67" s="16" t="inlineStr">
        <is>
          <t>5.15-5.21</t>
        </is>
      </c>
      <c r="B67" s="16" t="inlineStr">
        <is>
          <t>BSC04</t>
        </is>
      </c>
      <c r="C67" s="16" t="inlineStr">
        <is>
          <t>TIANLAI Báscula Digital BSC04/BSC07, Alta Precisión, Fácil Operación, Ligera y Portátil, Función Tara, Unidad Dual oz/g, Ideal para Cocina, Control de Porciones, Sellos y Objetos Pequeños, Uso en Hogar y Viaje</t>
        </is>
      </c>
      <c r="D67" s="17" t="n">
        <v>839.7</v>
      </c>
      <c r="E67" s="18" t="n">
        <v>0.007268284247291384</v>
      </c>
      <c r="F67" s="16" t="n">
        <v>15</v>
      </c>
      <c r="G67" s="16" t="n">
        <v>14</v>
      </c>
      <c r="H67" s="16" t="n">
        <v>14</v>
      </c>
      <c r="I67" s="17" t="n">
        <v>59.98</v>
      </c>
      <c r="J67" s="17" t="n">
        <v>55.98</v>
      </c>
      <c r="K67" s="17" t="n">
        <v>853.6</v>
      </c>
      <c r="L67" s="17" t="n">
        <v>362.04</v>
      </c>
    </row>
    <row r="68">
      <c r="A68" s="16" t="inlineStr">
        <is>
          <t>5.15-5.21</t>
        </is>
      </c>
      <c r="B68" s="16" t="inlineStr">
        <is>
          <t>BSC07</t>
        </is>
      </c>
      <c r="C68" s="16" t="inlineStr">
        <is>
          <t>TIANLAI Báscula Digital BSC04/BSC07, Alta Precisión, Fácil Operación, Ligera y Portátil, Función Tara, Unidad Dual oz/g, Ideal para Cocina, Control de Porciones, Sellos y Objetos Pequeños, Uso en Hogar y Viaje</t>
        </is>
      </c>
      <c r="D68" s="17" t="n">
        <v>570.2</v>
      </c>
      <c r="E68" s="18" t="n">
        <v>0.004935563223825884</v>
      </c>
      <c r="F68" s="16" t="n">
        <v>17</v>
      </c>
      <c r="G68" s="16" t="n">
        <v>14</v>
      </c>
      <c r="H68" s="16" t="n">
        <v>14</v>
      </c>
      <c r="I68" s="17" t="n">
        <v>40.73</v>
      </c>
      <c r="J68" s="17" t="n">
        <v>33.54</v>
      </c>
      <c r="K68" s="17" t="n">
        <v>634</v>
      </c>
      <c r="L68" s="17" t="n">
        <v>336.18</v>
      </c>
    </row>
    <row r="69">
      <c r="A69" s="16" t="inlineStr">
        <is>
          <t>5.15-5.21</t>
        </is>
      </c>
      <c r="B69" s="16" t="inlineStr">
        <is>
          <t>BG-115-B</t>
        </is>
      </c>
      <c r="C69" s="16" t="inlineStr">
        <is>
          <t>LINK BITS Audífonos Inalámbricos con Luces Multicolor, Recargables y en Adorable Forma de Orejas de Gato - Conecta a Celulares y PCs, Tiene Radio FM, Tarjeta TF y AUX - 7 Horas de Reproducción, Plegables y Perfectos para Trabajo, Juegos y Estudio</t>
        </is>
      </c>
      <c r="D69" s="17" t="n">
        <v>537.04</v>
      </c>
      <c r="E69" s="18" t="n">
        <v>0.00464852820434083</v>
      </c>
      <c r="F69" s="16" t="n">
        <v>7</v>
      </c>
      <c r="G69" s="16" t="n">
        <v>7</v>
      </c>
      <c r="H69" s="16" t="n">
        <v>7</v>
      </c>
      <c r="I69" s="17" t="n">
        <v>76.72</v>
      </c>
      <c r="J69" s="17" t="n">
        <v>76.72</v>
      </c>
      <c r="K69" s="17" t="n">
        <v>540.75</v>
      </c>
      <c r="L69" s="17" t="n">
        <v>181.02</v>
      </c>
    </row>
    <row r="70">
      <c r="A70" s="16" t="inlineStr">
        <is>
          <t>5.15-5.21</t>
        </is>
      </c>
      <c r="B70" s="16" t="inlineStr">
        <is>
          <t>SB428T</t>
        </is>
      </c>
      <c r="C70" s="16" t="inlineStr">
        <is>
          <t>LINK BITS Bocina Portátil con 2 Altavoces de 4" (5W×2), Sonido Potente, Luces LED, Bluetooth, USB/TF/FM - Ideal para Reuniones, Fiestas y Picnics en México</t>
        </is>
      </c>
      <c r="D70" s="17" t="n">
        <v>485.77</v>
      </c>
      <c r="E70" s="18" t="n">
        <v>0.004204721283305332</v>
      </c>
      <c r="F70" s="16" t="n">
        <v>5</v>
      </c>
      <c r="G70" s="16" t="n">
        <v>5</v>
      </c>
      <c r="H70" s="16" t="n">
        <v>5</v>
      </c>
      <c r="I70" s="17" t="n">
        <v>97.15000000000001</v>
      </c>
      <c r="J70" s="17" t="n">
        <v>97.15000000000001</v>
      </c>
      <c r="K70" s="17" t="n">
        <v>485</v>
      </c>
      <c r="L70" s="17" t="n">
        <v>129.3</v>
      </c>
    </row>
    <row r="71">
      <c r="A71" s="16" t="inlineStr">
        <is>
          <t>5.15-5.21</t>
        </is>
      </c>
      <c r="B71" s="16" t="inlineStr">
        <is>
          <t>SA323T</t>
        </is>
      </c>
      <c r="C71" s="16" t="inlineStr">
        <is>
          <t>Linkbits，Altavoz inalámbrico portátil，Bocina Portátil Parlantes BT Portátiles con Iluminación de Ambiente,1 Hora de Duración, FM, TWS, TF/Micro SD,Ideal para Bailes en Interiores, Celebraciones Navideñas, Entretenimiento Familiar y para Música en Vivo</t>
        </is>
      </c>
      <c r="D71" s="17" t="n">
        <v>458.1</v>
      </c>
      <c r="E71" s="18" t="n">
        <v>0.003965204808919697</v>
      </c>
      <c r="F71" s="16" t="n">
        <v>10</v>
      </c>
      <c r="G71" s="16" t="n">
        <v>9</v>
      </c>
      <c r="H71" s="16" t="n">
        <v>9</v>
      </c>
      <c r="I71" s="17" t="n">
        <v>50.9</v>
      </c>
      <c r="J71" s="17" t="n">
        <v>45.81</v>
      </c>
      <c r="K71" s="17" t="n">
        <v>475</v>
      </c>
      <c r="L71" s="17" t="n">
        <v>232.74</v>
      </c>
    </row>
    <row r="72">
      <c r="A72" s="16" t="inlineStr">
        <is>
          <t>5.15-5.21</t>
        </is>
      </c>
      <c r="B72" s="16" t="inlineStr">
        <is>
          <t>VA371T</t>
        </is>
      </c>
      <c r="C72" s="16" t="inlineStr">
        <is>
          <t>Linkbits Bocina Bluetooth Portátil 3" de Alta Gama，Hi-Res Audio y Graves Potentes，Luces LED + Soporte USB/TF/FM/TWS，Ideal para Hogar y Aire Libre</t>
        </is>
      </c>
      <c r="D72" s="17" t="n">
        <v>442.89</v>
      </c>
      <c r="E72" s="18" t="n">
        <v>0.003833525171274805</v>
      </c>
      <c r="F72" s="16" t="n">
        <v>11</v>
      </c>
      <c r="G72" s="16" t="n">
        <v>11</v>
      </c>
      <c r="H72" s="16" t="n">
        <v>11</v>
      </c>
      <c r="I72" s="17" t="n">
        <v>40.26</v>
      </c>
      <c r="J72" s="17" t="n">
        <v>40.26</v>
      </c>
      <c r="K72" s="17" t="n">
        <v>472.44</v>
      </c>
      <c r="L72" s="17" t="n">
        <v>284.46</v>
      </c>
    </row>
    <row r="73">
      <c r="A73" s="16" t="inlineStr">
        <is>
          <t>5.15-5.21</t>
        </is>
      </c>
      <c r="B73" s="16" t="inlineStr">
        <is>
          <t>TLCD08-16P-N</t>
        </is>
      </c>
      <c r="C73"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D73" s="17" t="n">
        <v>419.21</v>
      </c>
      <c r="E73" s="18" t="n">
        <v>0.003628611075097743</v>
      </c>
      <c r="F73" s="16" t="n">
        <v>7</v>
      </c>
      <c r="G73" s="16" t="n">
        <v>3</v>
      </c>
      <c r="H73" s="16" t="n">
        <v>3</v>
      </c>
      <c r="I73" s="17" t="n">
        <v>139.74</v>
      </c>
      <c r="J73" s="17" t="n">
        <v>59.89</v>
      </c>
      <c r="K73" s="17" t="n">
        <v>434</v>
      </c>
      <c r="L73" s="17" t="n">
        <v>51.72</v>
      </c>
    </row>
    <row r="74">
      <c r="A74" s="16" t="inlineStr">
        <is>
          <t>5.15-5.21</t>
        </is>
      </c>
      <c r="B74" s="16" t="inlineStr">
        <is>
          <t>EM12W12</t>
        </is>
      </c>
      <c r="C74" s="16" t="inlineStr">
        <is>
          <t>TIANLAI Lámpara Solar de Emergencia, 1pc 960lm IP4 5 Modos con SOS, Recargable USB+Solar con Gancho, Linterna Portátil para Camping Hogar Senderismo Pesca</t>
        </is>
      </c>
      <c r="D74" s="17" t="n">
        <v>365.09</v>
      </c>
      <c r="E74" s="18" t="n">
        <v>0.003160174109237225</v>
      </c>
      <c r="F74" s="16" t="n">
        <v>5</v>
      </c>
      <c r="G74" s="16" t="n">
        <v>2</v>
      </c>
      <c r="H74" s="16" t="n">
        <v>2</v>
      </c>
      <c r="I74" s="17" t="n">
        <v>182.55</v>
      </c>
      <c r="J74" s="17" t="n">
        <v>73.02</v>
      </c>
      <c r="K74" s="17" t="n">
        <v>375.5</v>
      </c>
      <c r="L74" s="17" t="n">
        <v>25.86</v>
      </c>
    </row>
    <row r="75">
      <c r="A75" s="16" t="inlineStr">
        <is>
          <t>5.15-5.21</t>
        </is>
      </c>
      <c r="B75" s="16" t="inlineStr">
        <is>
          <t>TL1412N17C</t>
        </is>
      </c>
      <c r="C75" s="16" t="inlineStr">
        <is>
          <t>Linkbits, Soporte de Pared Fijo para TV y Monitor de 14"-43", Ultra Delgado 2.3cm, Fuerte Capacidad de Peso de 25KG, Fácil Instalación con Accesorios Completos</t>
        </is>
      </c>
      <c r="D75" s="17" t="n">
        <v>306.13</v>
      </c>
      <c r="E75" s="18" t="n">
        <v>0.002649828847285667</v>
      </c>
      <c r="F75" s="16" t="n">
        <v>10</v>
      </c>
      <c r="G75" s="16" t="n">
        <v>9</v>
      </c>
      <c r="H75" s="16" t="n">
        <v>9</v>
      </c>
      <c r="I75" s="17" t="n">
        <v>34.01</v>
      </c>
      <c r="J75" s="17" t="n">
        <v>30.61</v>
      </c>
      <c r="K75" s="17" t="n">
        <v>367.56</v>
      </c>
      <c r="L75" s="17" t="n">
        <v>190.26</v>
      </c>
    </row>
    <row r="76">
      <c r="A76" s="16" t="inlineStr">
        <is>
          <t>5.15-5.21</t>
        </is>
      </c>
      <c r="B76" s="16" t="inlineStr">
        <is>
          <t>i12-B</t>
        </is>
      </c>
      <c r="C76" s="16" t="inlineStr">
        <is>
          <t>Auriculares Inalámbricos TWS - Ideales para Usuarios Android e iPhone, Entusiastas del Deporte &amp; Música, Controles Táctiles, Audífonos Para Correr y Jugar</t>
        </is>
      </c>
      <c r="D76" s="17" t="n">
        <v>295.64</v>
      </c>
      <c r="E76" s="18" t="n">
        <v>0.002558980292912109</v>
      </c>
      <c r="F76" s="16" t="n">
        <v>7</v>
      </c>
      <c r="G76" s="16" t="n">
        <v>3</v>
      </c>
      <c r="H76" s="16" t="n">
        <v>3</v>
      </c>
      <c r="I76" s="17" t="n">
        <v>98.55</v>
      </c>
      <c r="J76" s="17" t="n">
        <v>42.23</v>
      </c>
      <c r="K76" s="17" t="n">
        <v>313.6</v>
      </c>
      <c r="L76" s="17" t="n">
        <v>51.72</v>
      </c>
    </row>
    <row r="77">
      <c r="A77" s="16" t="inlineStr">
        <is>
          <t>5.15-5.21</t>
        </is>
      </c>
      <c r="B77" s="16" t="inlineStr">
        <is>
          <t>i12-V</t>
        </is>
      </c>
      <c r="C77" s="16" t="inlineStr">
        <is>
          <t>Auriculares Inalámbricos TWS - Ideales para Usuarios Android e iPhone, Entusiastas del Deporte &amp; Música, Controles Táctiles, Audífonos Para Correr y Jugar</t>
        </is>
      </c>
      <c r="D77" s="17" t="n">
        <v>125.26</v>
      </c>
      <c r="E77" s="18" t="n">
        <v>0.001084255601632604</v>
      </c>
      <c r="F77" s="16" t="n">
        <v>3</v>
      </c>
      <c r="G77" s="16" t="n">
        <v>3</v>
      </c>
      <c r="H77" s="16" t="n">
        <v>3</v>
      </c>
      <c r="I77" s="17" t="n">
        <v>41.75</v>
      </c>
      <c r="J77" s="17" t="n">
        <v>41.75</v>
      </c>
      <c r="K77" s="17" t="n">
        <v>132</v>
      </c>
      <c r="L77" s="17" t="n">
        <v>77.58</v>
      </c>
    </row>
    <row r="78">
      <c r="A78" s="16" t="inlineStr">
        <is>
          <t>5.15-5.21</t>
        </is>
      </c>
      <c r="B78" s="16" t="inlineStr">
        <is>
          <t>MB-174-G</t>
        </is>
      </c>
      <c r="C78" s="16" t="inlineStr">
        <is>
          <t>LINK BITS MB-174 Mini Bocina Bluetooth Soporte para Celular Integrado TWS Luz Ambiental 5W 80dB Sonido Claro Carga TYPE-C Material ABS Portátil Ideal como Regalo para Hogar Oficina Exterior Picnic</t>
        </is>
      </c>
      <c r="D78" s="17" t="n">
        <v>94.39</v>
      </c>
      <c r="E78" s="18" t="n">
        <v>0.0008170250251486565</v>
      </c>
      <c r="F78" s="16" t="n">
        <v>1</v>
      </c>
      <c r="G78" s="16" t="n">
        <v>1</v>
      </c>
      <c r="H78" s="16" t="n">
        <v>1</v>
      </c>
      <c r="I78" s="17" t="n">
        <v>94.39</v>
      </c>
      <c r="J78" s="17" t="n">
        <v>94.39</v>
      </c>
      <c r="K78" s="17" t="n">
        <v>93</v>
      </c>
      <c r="L78" s="17" t="n">
        <v>25.86</v>
      </c>
    </row>
    <row r="79">
      <c r="A79" s="16" t="inlineStr">
        <is>
          <t>5.15-5.21</t>
        </is>
      </c>
      <c r="B79" s="16" t="inlineStr">
        <is>
          <t>BG-115-P</t>
        </is>
      </c>
      <c r="C79" s="16" t="inlineStr">
        <is>
          <t>LINK BITS Audífonos Inalámbricos con Luces Multicolor, Recargables y en Adorable Forma de Orejas de Gato - Conecta a Celulares y PCs, Tiene Radio FM, Tarjeta TF y AUX - 7 Horas de Reproducción, Plegables y Perfectos para Trabajo, Juegos y Estudio</t>
        </is>
      </c>
      <c r="D79" s="17" t="n">
        <v>85.55</v>
      </c>
      <c r="E79" s="18" t="n">
        <v>0.00074047583259233</v>
      </c>
      <c r="F79" s="16" t="n">
        <v>1</v>
      </c>
      <c r="G79" s="16" t="n">
        <v>1</v>
      </c>
      <c r="H79" s="16" t="n">
        <v>1</v>
      </c>
      <c r="I79" s="17" t="n">
        <v>85.55</v>
      </c>
      <c r="J79" s="17" t="n">
        <v>85.55</v>
      </c>
      <c r="K79" s="17" t="n">
        <v>85</v>
      </c>
      <c r="L79" s="17" t="n">
        <v>25.86</v>
      </c>
    </row>
    <row r="80">
      <c r="A80" s="16" t="inlineStr">
        <is>
          <t>5.15-5.21</t>
        </is>
      </c>
      <c r="B80" s="16" t="inlineStr">
        <is>
          <t>SA428T</t>
        </is>
      </c>
      <c r="C80"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D80" s="17" t="n">
        <v>75.36</v>
      </c>
      <c r="E80" s="18" t="n">
        <v>0.0006522824411954283</v>
      </c>
      <c r="F80" s="16" t="n">
        <v>1</v>
      </c>
      <c r="G80" s="16" t="n">
        <v>1</v>
      </c>
      <c r="H80" s="16" t="n">
        <v>1</v>
      </c>
      <c r="I80" s="17" t="n">
        <v>75.36</v>
      </c>
      <c r="J80" s="17" t="n">
        <v>75.36</v>
      </c>
      <c r="K80" s="17" t="n">
        <v>79.59</v>
      </c>
      <c r="L80" s="17" t="n">
        <v>25.86</v>
      </c>
    </row>
    <row r="81">
      <c r="A81" s="16" t="inlineStr">
        <is>
          <t>5.15-5.21</t>
        </is>
      </c>
      <c r="B81" s="16" t="inlineStr">
        <is>
          <t>TLCD04-10P-R</t>
        </is>
      </c>
      <c r="C8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81" s="17" t="n">
        <v>30.51</v>
      </c>
      <c r="E81" s="18" t="n">
        <v>0.0002640928533249003</v>
      </c>
      <c r="F81" s="16" t="n">
        <v>1</v>
      </c>
      <c r="G81" s="16" t="n">
        <v>1</v>
      </c>
      <c r="H81" s="16" t="n">
        <v>1</v>
      </c>
      <c r="I81" s="17" t="n">
        <v>30.51</v>
      </c>
      <c r="J81" s="17" t="n">
        <v>30.51</v>
      </c>
      <c r="K81" s="17" t="n">
        <v>35</v>
      </c>
      <c r="L81" s="17" t="n">
        <v>25.86</v>
      </c>
    </row>
    <row r="82">
      <c r="A82" s="16" t="inlineStr">
        <is>
          <t>5.15-5.21</t>
        </is>
      </c>
      <c r="B82" s="16" t="inlineStr">
        <is>
          <t>TLCD06-12P-R</t>
        </is>
      </c>
      <c r="C8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82" s="17" t="n">
        <v>29.7</v>
      </c>
      <c r="E82" s="18" t="n">
        <v>0.0002571015733371413</v>
      </c>
      <c r="F82" s="16" t="n">
        <v>1</v>
      </c>
      <c r="G82" s="16" t="n">
        <v>1</v>
      </c>
      <c r="H82" s="16" t="n">
        <v>1</v>
      </c>
      <c r="I82" s="17" t="n">
        <v>29.7</v>
      </c>
      <c r="J82" s="17" t="n">
        <v>29.7</v>
      </c>
      <c r="K82" s="17" t="n">
        <v>32</v>
      </c>
      <c r="L82" s="17" t="n">
        <v>25.86</v>
      </c>
    </row>
    <row r="83">
      <c r="A83" s="16" t="inlineStr">
        <is>
          <t>5.15-5.21</t>
        </is>
      </c>
      <c r="B83" s="16" t="inlineStr">
        <is>
          <t>TLCD01-4P-nN</t>
        </is>
      </c>
      <c r="C8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83" s="17" t="n">
        <v>16.33</v>
      </c>
      <c r="E83" s="18" t="n">
        <v>0.0001413113657696652</v>
      </c>
      <c r="F83" s="16" t="n">
        <v>1</v>
      </c>
      <c r="G83" s="16" t="n">
        <v>1</v>
      </c>
      <c r="H83" s="16" t="n">
        <v>1</v>
      </c>
      <c r="I83" s="17" t="n">
        <v>16.33</v>
      </c>
      <c r="J83" s="17" t="n">
        <v>16.33</v>
      </c>
      <c r="K83" s="17" t="n">
        <v>20</v>
      </c>
      <c r="L83" s="17" t="n">
        <v>25.86</v>
      </c>
    </row>
    <row r="84">
      <c r="A84" s="16" t="inlineStr">
        <is>
          <t>5.22-5.28</t>
        </is>
      </c>
      <c r="B84" s="16" t="inlineStr">
        <is>
          <t>LV54W25</t>
        </is>
      </c>
      <c r="C84" s="16" t="inlineStr">
        <is>
          <t>TIANLAI Lámpara Ventilador E27 2 en 1, Silenciosa, LED Alta Luminosidad 180°, Instalación Rápida, Ahorro Energético para Dormitorio y Interiores Pequeños</t>
        </is>
      </c>
      <c r="D84" s="17" t="n">
        <v>49921.73</v>
      </c>
      <c r="E84" s="18" t="n">
        <v>0.3638465183155742</v>
      </c>
      <c r="F84" s="16" t="n">
        <v>689</v>
      </c>
      <c r="G84" s="16" t="n">
        <v>412</v>
      </c>
      <c r="H84" s="16" t="n">
        <v>414</v>
      </c>
      <c r="I84" s="17" t="n">
        <v>121.17</v>
      </c>
      <c r="J84" s="17" t="n">
        <v>72.45999999999999</v>
      </c>
      <c r="K84" s="17" t="n">
        <v>51319.7</v>
      </c>
      <c r="L84" s="17" t="n">
        <v>8799.48</v>
      </c>
    </row>
    <row r="85">
      <c r="A85" s="16" t="inlineStr">
        <is>
          <t>5.22-5.28</t>
        </is>
      </c>
      <c r="B85" s="16" t="inlineStr">
        <is>
          <t>LV64W25</t>
        </is>
      </c>
      <c r="C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D85" s="17" t="n">
        <v>43948.38</v>
      </c>
      <c r="E85" s="18" t="n">
        <v>0.3203107300237822</v>
      </c>
      <c r="F85" s="16" t="n">
        <v>358</v>
      </c>
      <c r="G85" s="16" t="n">
        <v>183</v>
      </c>
      <c r="H85" s="16" t="n">
        <v>183</v>
      </c>
      <c r="I85" s="17" t="n">
        <v>240.16</v>
      </c>
      <c r="J85" s="17" t="n">
        <v>122.76</v>
      </c>
      <c r="K85" s="17" t="n">
        <v>44653.4</v>
      </c>
      <c r="L85" s="17" t="n">
        <v>2541.42</v>
      </c>
    </row>
    <row r="86">
      <c r="A86" s="16" t="inlineStr">
        <is>
          <t>5.22-5.28</t>
        </is>
      </c>
      <c r="B86" s="16" t="inlineStr">
        <is>
          <t>KTS-2031</t>
        </is>
      </c>
      <c r="C86" s="16" t="inlineStr">
        <is>
          <t>Bocina inalámbrica de 3 pulgadas con linterna multifuncional y panel solar integrado.Altavoz Portátil con Linterna LED 4 Modos, Radio FM, Bluetooth, Carga Solar, Ideal para Apagones, Emergencias, Campo y Exteriores</t>
        </is>
      </c>
      <c r="D86" s="17" t="n">
        <v>21157.93</v>
      </c>
      <c r="E86" s="18" t="n">
        <v>0.1542061527108805</v>
      </c>
      <c r="F86" s="16" t="n">
        <v>253</v>
      </c>
      <c r="G86" s="16" t="n">
        <v>158</v>
      </c>
      <c r="H86" s="16" t="n">
        <v>159</v>
      </c>
      <c r="I86" s="17" t="n">
        <v>133.91</v>
      </c>
      <c r="J86" s="17" t="n">
        <v>83.63</v>
      </c>
      <c r="K86" s="17" t="n">
        <v>22325</v>
      </c>
      <c r="L86" s="17" t="n">
        <v>3180.79</v>
      </c>
    </row>
    <row r="87">
      <c r="A87" s="16" t="inlineStr">
        <is>
          <t>5.22-5.28</t>
        </is>
      </c>
      <c r="B87" s="16" t="inlineStr">
        <is>
          <t>TL1455N20B</t>
        </is>
      </c>
      <c r="C87" s="16" t="inlineStr">
        <is>
          <t>LINK BITS Soporte para TV 14 A 55 Pulgadas, Base para TV Pantalla Articulado Inclinable y Giratorio, MAX VESA 400×400 mm, Soporta hasta 18kg, adaptarse a la mayoría de los televisores de 14 Pulgadas/20 Pulgadas/32 Pulgadas/42 Pulgadas/55 pulgadas</t>
        </is>
      </c>
      <c r="D87" s="17" t="n">
        <v>7010.22</v>
      </c>
      <c r="E87" s="18" t="n">
        <v>0.05109289166774198</v>
      </c>
      <c r="F87" s="16" t="n">
        <v>97</v>
      </c>
      <c r="G87" s="16" t="n">
        <v>64</v>
      </c>
      <c r="H87" s="16" t="n">
        <v>64</v>
      </c>
      <c r="I87" s="17" t="n">
        <v>109.53</v>
      </c>
      <c r="J87" s="17" t="n">
        <v>72.27</v>
      </c>
      <c r="K87" s="17" t="n">
        <v>7145</v>
      </c>
      <c r="L87" s="17" t="n">
        <v>1370.58</v>
      </c>
    </row>
    <row r="88">
      <c r="A88" s="16" t="inlineStr">
        <is>
          <t>5.22-5.28</t>
        </is>
      </c>
      <c r="B88" s="16" t="inlineStr">
        <is>
          <t>VB349T</t>
        </is>
      </c>
      <c r="C88" s="16" t="inlineStr">
        <is>
          <t>LINKBITS Altavoz Portátil de Doble Altavoz - 3 Pulgadas, Sonido HD, Emparejamiento Rápido de Bluetooth, Conectividad TWS, Reproducción Multimodo (Micro SD/USB/Radio FM) - Perfecto para Oficina, Viajes y Espacios Pequeños</t>
        </is>
      </c>
      <c r="D88" s="17" t="n">
        <v>2514.43</v>
      </c>
      <c r="E88" s="18" t="n">
        <v>0.01832601238347056</v>
      </c>
      <c r="F88" s="16" t="n">
        <v>33</v>
      </c>
      <c r="G88" s="16" t="n">
        <v>28</v>
      </c>
      <c r="H88" s="16" t="n">
        <v>28</v>
      </c>
      <c r="I88" s="17" t="n">
        <v>89.8</v>
      </c>
      <c r="J88" s="17" t="n">
        <v>76.19</v>
      </c>
      <c r="K88" s="17" t="n">
        <v>2631</v>
      </c>
      <c r="L88" s="17" t="n">
        <v>620.64</v>
      </c>
    </row>
    <row r="89">
      <c r="A89" s="16" t="inlineStr">
        <is>
          <t>5.22-5.28</t>
        </is>
      </c>
      <c r="B89" s="16" t="inlineStr">
        <is>
          <t>SB428T</t>
        </is>
      </c>
      <c r="C89" s="16" t="inlineStr">
        <is>
          <t>LINK BITS Bocina Portátil con 2 Altavoces de 4" (5W×2), Sonido Potente, Luces LED, Bluetooth, USB/TF/FM - Ideal para Reuniones, Fiestas y Picnics en México</t>
        </is>
      </c>
      <c r="D89" s="17" t="n">
        <v>1811.85</v>
      </c>
      <c r="E89" s="18" t="n">
        <v>0.01320540799595131</v>
      </c>
      <c r="F89" s="16" t="n">
        <v>18</v>
      </c>
      <c r="G89" s="16" t="n">
        <v>5</v>
      </c>
      <c r="H89" s="16" t="n">
        <v>5</v>
      </c>
      <c r="I89" s="17" t="n">
        <v>362.37</v>
      </c>
      <c r="J89" s="17" t="n">
        <v>100.66</v>
      </c>
      <c r="K89" s="17" t="n">
        <v>1753.2</v>
      </c>
      <c r="L89" s="17" t="n">
        <v>103.44</v>
      </c>
    </row>
    <row r="90">
      <c r="A90" s="16" t="inlineStr">
        <is>
          <t>5.22-5.28</t>
        </is>
      </c>
      <c r="B90" s="16" t="inlineStr">
        <is>
          <t>TL2663N18C</t>
        </is>
      </c>
      <c r="C90" s="16" t="inlineStr">
        <is>
          <t>Linkbits，Soporte de pared fijo para televisores de 26"-63", Ultra-Delgado Compatible con VESA 400x400mm, Capacidad de Peso Fuerte de 25KG, Instalación Fácil Sin Electricidad</t>
        </is>
      </c>
      <c r="D90" s="17" t="n">
        <v>1736.19</v>
      </c>
      <c r="E90" s="18" t="n">
        <v>0.01265395214804874</v>
      </c>
      <c r="F90" s="16" t="n">
        <v>35</v>
      </c>
      <c r="G90" s="16" t="n">
        <v>30</v>
      </c>
      <c r="H90" s="16" t="n">
        <v>30</v>
      </c>
      <c r="I90" s="17" t="n">
        <v>57.87</v>
      </c>
      <c r="J90" s="17" t="n">
        <v>49.61</v>
      </c>
      <c r="K90" s="17" t="n">
        <v>1808.5</v>
      </c>
      <c r="L90" s="17" t="n">
        <v>724.08</v>
      </c>
    </row>
    <row r="91">
      <c r="A91" s="16" t="inlineStr">
        <is>
          <t>5.22-5.28</t>
        </is>
      </c>
      <c r="B91" s="16" t="inlineStr">
        <is>
          <t>B03W10-10PZS</t>
        </is>
      </c>
      <c r="C9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D91" s="17" t="n">
        <v>1655.32</v>
      </c>
      <c r="E91" s="18" t="n">
        <v>0.01206452623520909</v>
      </c>
      <c r="F91" s="16" t="n">
        <v>24</v>
      </c>
      <c r="G91" s="16" t="n">
        <v>22</v>
      </c>
      <c r="H91" s="16" t="n">
        <v>22</v>
      </c>
      <c r="I91" s="17" t="n">
        <v>75.23999999999999</v>
      </c>
      <c r="J91" s="17" t="n">
        <v>68.97</v>
      </c>
      <c r="K91" s="17" t="n">
        <v>1721</v>
      </c>
      <c r="L91" s="17" t="n">
        <v>517.2</v>
      </c>
    </row>
    <row r="92">
      <c r="A92" s="16" t="inlineStr">
        <is>
          <t>5.22-5.28</t>
        </is>
      </c>
      <c r="B92" s="16" t="inlineStr">
        <is>
          <t>KTS-1936</t>
        </is>
      </c>
      <c r="C92" s="16" t="inlineStr">
        <is>
          <t>Espejo con Luz para Makeup，Espejo con Luz LED y Bocina Bluetooth，Espejo para Maquillaje con Aumentos y Luces LED de Intensidad Ajustable，Lente de Aumento 10X+Reproductor TF+ TWS，espejo de portátil y para estudiantes, oficina, dormitorio, mejor regalo</t>
        </is>
      </c>
      <c r="D92" s="17" t="n">
        <v>1112.66</v>
      </c>
      <c r="E92" s="18" t="n">
        <v>0.008109422527726406</v>
      </c>
      <c r="F92" s="16" t="n">
        <v>5</v>
      </c>
      <c r="G92" s="16" t="n">
        <v>5</v>
      </c>
      <c r="H92" s="16" t="n">
        <v>5</v>
      </c>
      <c r="I92" s="17" t="n">
        <v>222.53</v>
      </c>
      <c r="J92" s="17" t="n">
        <v>222.53</v>
      </c>
      <c r="K92" s="17" t="n">
        <v>1072</v>
      </c>
      <c r="L92" s="17" t="n">
        <v>129.3</v>
      </c>
    </row>
    <row r="93">
      <c r="A93" s="16" t="inlineStr">
        <is>
          <t>5.22-5.28</t>
        </is>
      </c>
      <c r="B93" s="16" t="inlineStr">
        <is>
          <t>BG-115-B</t>
        </is>
      </c>
      <c r="C93" s="16" t="inlineStr">
        <is>
          <t>LINK BITS Audífonos Inalámbricos con Luces Multicolor, Recargables y en Adorable Forma de Orejas de Gato - Conecta a Celulares y PCs, Tiene Radio FM, Tarjeta TF y AUX - 7 Horas de Reproducción, Plegables y Perfectos para Trabajo, Juegos y Estudio</t>
        </is>
      </c>
      <c r="D93" s="17" t="n">
        <v>1039.51</v>
      </c>
      <c r="E93" s="18" t="n">
        <v>0.00757627899850968</v>
      </c>
      <c r="F93" s="16" t="n">
        <v>15</v>
      </c>
      <c r="G93" s="16" t="n">
        <v>15</v>
      </c>
      <c r="H93" s="16" t="n">
        <v>15</v>
      </c>
      <c r="I93" s="17" t="n">
        <v>69.3</v>
      </c>
      <c r="J93" s="17" t="n">
        <v>69.3</v>
      </c>
      <c r="K93" s="17" t="n">
        <v>1161.8</v>
      </c>
      <c r="L93" s="17" t="n">
        <v>284.46</v>
      </c>
    </row>
    <row r="94">
      <c r="A94" s="16" t="inlineStr">
        <is>
          <t>5.22-5.28</t>
        </is>
      </c>
      <c r="B94" s="16" t="inlineStr">
        <is>
          <t>BSC07</t>
        </is>
      </c>
      <c r="C94" s="16" t="inlineStr">
        <is>
          <t>TIANLAI Báscula Digital BSC04/BSC07, Alta Precisión, Fácil Operación, Ligera y Portátil, Función Tara, Unidad Dual oz/g, Ideal para Cocina, Control de Porciones, Sellos y Objetos Pequeños, Uso en Hogar y Viaje</t>
        </is>
      </c>
      <c r="D94" s="17" t="n">
        <v>806.85</v>
      </c>
      <c r="E94" s="18" t="n">
        <v>0.005880593855299442</v>
      </c>
      <c r="F94" s="16" t="n">
        <v>24</v>
      </c>
      <c r="G94" s="16" t="n">
        <v>15</v>
      </c>
      <c r="H94" s="16" t="n">
        <v>15</v>
      </c>
      <c r="I94" s="17" t="n">
        <v>53.79</v>
      </c>
      <c r="J94" s="17" t="n">
        <v>33.62</v>
      </c>
      <c r="K94" s="17" t="n">
        <v>866</v>
      </c>
      <c r="L94" s="17" t="n">
        <v>346.5</v>
      </c>
    </row>
    <row r="95">
      <c r="A95" s="16" t="inlineStr">
        <is>
          <t>5.22-5.28</t>
        </is>
      </c>
      <c r="B95" s="16" t="inlineStr">
        <is>
          <t>TLCD02-8P-A</t>
        </is>
      </c>
      <c r="C9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95" s="17" t="n">
        <v>626.47</v>
      </c>
      <c r="E95" s="18" t="n">
        <v>0.004565905957147335</v>
      </c>
      <c r="F95" s="16" t="n">
        <v>27</v>
      </c>
      <c r="G95" s="16" t="n">
        <v>4</v>
      </c>
      <c r="H95" s="16" t="n">
        <v>4</v>
      </c>
      <c r="I95" s="17" t="n">
        <v>156.62</v>
      </c>
      <c r="J95" s="17" t="n">
        <v>23.2</v>
      </c>
      <c r="K95" s="17" t="n">
        <v>671.4</v>
      </c>
      <c r="L95" s="17" t="n">
        <v>38.79</v>
      </c>
    </row>
    <row r="96">
      <c r="A96" s="16" t="inlineStr">
        <is>
          <t>5.22-5.28</t>
        </is>
      </c>
      <c r="B96" s="16" t="inlineStr">
        <is>
          <t>EM12W12</t>
        </is>
      </c>
      <c r="C96" s="16" t="inlineStr">
        <is>
          <t>TIANLAI Lámpara Solar de Emergencia, 1pc 960lm IP4 5 Modos con SOS, Recargable USB+Solar con Gancho, Linterna Portátil para Camping Hogar Senderismo Pesca</t>
        </is>
      </c>
      <c r="D96" s="17" t="n">
        <v>496.98</v>
      </c>
      <c r="E96" s="18" t="n">
        <v>0.003622139538409989</v>
      </c>
      <c r="F96" s="16" t="n">
        <v>7</v>
      </c>
      <c r="G96" s="16" t="n">
        <v>2</v>
      </c>
      <c r="H96" s="16" t="n">
        <v>2</v>
      </c>
      <c r="I96" s="17" t="n">
        <v>248.49</v>
      </c>
      <c r="J96" s="17" t="n">
        <v>71</v>
      </c>
      <c r="K96" s="17" t="n">
        <v>526.5</v>
      </c>
      <c r="L96" s="17" t="n">
        <v>0</v>
      </c>
    </row>
    <row r="97">
      <c r="A97" s="16" t="inlineStr">
        <is>
          <t>5.22-5.28</t>
        </is>
      </c>
      <c r="B97" s="16" t="inlineStr">
        <is>
          <t>KTS-1369</t>
        </is>
      </c>
      <c r="C97" s="16" t="inlineStr">
        <is>
          <t>Bocina 3 Pulgadas Portátil Bluetooth con Luces LED, Sonido Claro y Batería Larga Duración, TWS TF USB FM, Ideal para Hogar Oficina y Exterior</t>
        </is>
      </c>
      <c r="D97" s="17" t="n">
        <v>479.04</v>
      </c>
      <c r="E97" s="18" t="n">
        <v>0.003491442838893473</v>
      </c>
      <c r="F97" s="16" t="n">
        <v>10</v>
      </c>
      <c r="G97" s="16" t="n">
        <v>10</v>
      </c>
      <c r="H97" s="16" t="n">
        <v>10</v>
      </c>
      <c r="I97" s="17" t="n">
        <v>47.9</v>
      </c>
      <c r="J97" s="17" t="n">
        <v>47.9</v>
      </c>
      <c r="K97" s="17" t="n">
        <v>548</v>
      </c>
      <c r="L97" s="17" t="n">
        <v>206.88</v>
      </c>
    </row>
    <row r="98">
      <c r="A98" s="16" t="inlineStr">
        <is>
          <t>5.22-5.28</t>
        </is>
      </c>
      <c r="B98" s="16" t="inlineStr">
        <is>
          <t>BSC04</t>
        </is>
      </c>
      <c r="C98" s="16" t="inlineStr">
        <is>
          <t>TIANLAI Báscula Digital BSC04/BSC07, Alta Precisión, Fácil Operación, Ligera y Portátil, Función Tara, Unidad Dual oz/g, Ideal para Cocina, Control de Porciones, Sellos y Objetos Pequeños, Uso en Hogar y Viaje</t>
        </is>
      </c>
      <c r="D98" s="17" t="n">
        <v>429.65</v>
      </c>
      <c r="E98" s="18" t="n">
        <v>0.003131434190971944</v>
      </c>
      <c r="F98" s="16" t="n">
        <v>8</v>
      </c>
      <c r="G98" s="16" t="n">
        <v>8</v>
      </c>
      <c r="H98" s="16" t="n">
        <v>8</v>
      </c>
      <c r="I98" s="17" t="n">
        <v>53.71</v>
      </c>
      <c r="J98" s="17" t="n">
        <v>53.71</v>
      </c>
      <c r="K98" s="17" t="n">
        <v>451.4</v>
      </c>
      <c r="L98" s="17" t="n">
        <v>196.56</v>
      </c>
    </row>
    <row r="99">
      <c r="A99" s="16" t="inlineStr">
        <is>
          <t>5.22-5.28</t>
        </is>
      </c>
      <c r="B99" s="16" t="inlineStr">
        <is>
          <t>SA428T</t>
        </is>
      </c>
      <c r="C99"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D99" s="17" t="n">
        <v>307.25</v>
      </c>
      <c r="E99" s="18" t="n">
        <v>0.002239333356879774</v>
      </c>
      <c r="F99" s="16" t="n">
        <v>4</v>
      </c>
      <c r="G99" s="16" t="n">
        <v>3</v>
      </c>
      <c r="H99" s="16" t="n">
        <v>3</v>
      </c>
      <c r="I99" s="17" t="n">
        <v>102.42</v>
      </c>
      <c r="J99" s="17" t="n">
        <v>76.81</v>
      </c>
      <c r="K99" s="17" t="n">
        <v>335.18</v>
      </c>
      <c r="L99" s="17" t="n">
        <v>51.72</v>
      </c>
    </row>
    <row r="100">
      <c r="A100" s="16" t="inlineStr">
        <is>
          <t>5.22-5.28</t>
        </is>
      </c>
      <c r="B100" s="16" t="inlineStr">
        <is>
          <t>VA371T</t>
        </is>
      </c>
      <c r="C100" s="16" t="inlineStr">
        <is>
          <t>Linkbits Bocina Bluetooth Portátil 3" de Alta Gama，Hi-Res Audio y Graves Potentes，Luces LED + Soporte USB/TF/FM/TWS，Ideal para Hogar y Aire Libre</t>
        </is>
      </c>
      <c r="D100" s="17" t="n">
        <v>304.16</v>
      </c>
      <c r="E100" s="18" t="n">
        <v>0.002216822954349605</v>
      </c>
      <c r="F100" s="16" t="n">
        <v>9</v>
      </c>
      <c r="G100" s="16" t="n">
        <v>8</v>
      </c>
      <c r="H100" s="16" t="n">
        <v>8</v>
      </c>
      <c r="I100" s="17" t="n">
        <v>38.02</v>
      </c>
      <c r="J100" s="17" t="n">
        <v>33.8</v>
      </c>
      <c r="K100" s="17" t="n">
        <v>393.08</v>
      </c>
      <c r="L100" s="17" t="n">
        <v>139.27</v>
      </c>
    </row>
    <row r="101">
      <c r="A101" s="16" t="inlineStr">
        <is>
          <t>5.22-5.28</t>
        </is>
      </c>
      <c r="B101" s="16" t="inlineStr">
        <is>
          <t>TLCD06-12P-N</t>
        </is>
      </c>
      <c r="C10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01" s="17" t="n">
        <v>294.68</v>
      </c>
      <c r="E101" s="18" t="n">
        <v>0.002147692684961454</v>
      </c>
      <c r="F101" s="16" t="n">
        <v>10</v>
      </c>
      <c r="G101" s="16" t="n">
        <v>10</v>
      </c>
      <c r="H101" s="16" t="n">
        <v>10</v>
      </c>
      <c r="I101" s="17" t="n">
        <v>29.47</v>
      </c>
      <c r="J101" s="17" t="n">
        <v>29.47</v>
      </c>
      <c r="K101" s="17" t="n">
        <v>318.8</v>
      </c>
      <c r="L101" s="17" t="n">
        <v>258.6</v>
      </c>
    </row>
    <row r="102">
      <c r="A102" s="16" t="inlineStr">
        <is>
          <t>5.22-5.28</t>
        </is>
      </c>
      <c r="B102" s="16" t="inlineStr">
        <is>
          <t>i12-B</t>
        </is>
      </c>
      <c r="C102" s="16" t="inlineStr">
        <is>
          <t>Auriculares Inalámbricos TWS - Ideales para Usuarios Android e iPhone, Entusiastas del Deporte &amp; Música, Controles Táctiles, Audífonos Para Correr y Jugar</t>
        </is>
      </c>
      <c r="D102" s="17" t="n">
        <v>262.11</v>
      </c>
      <c r="E102" s="18" t="n">
        <v>0.001910320925759146</v>
      </c>
      <c r="F102" s="16" t="n">
        <v>6</v>
      </c>
      <c r="G102" s="16" t="n">
        <v>6</v>
      </c>
      <c r="H102" s="16" t="n">
        <v>6</v>
      </c>
      <c r="I102" s="17" t="n">
        <v>43.68</v>
      </c>
      <c r="J102" s="17" t="n">
        <v>43.68</v>
      </c>
      <c r="K102" s="17" t="n">
        <v>275</v>
      </c>
      <c r="L102" s="17" t="n">
        <v>155.16</v>
      </c>
    </row>
    <row r="103">
      <c r="A103" s="16" t="inlineStr">
        <is>
          <t>5.22-5.28</t>
        </is>
      </c>
      <c r="B103" s="16" t="inlineStr">
        <is>
          <t>TL1412N17C</t>
        </is>
      </c>
      <c r="C103" s="16" t="inlineStr">
        <is>
          <t>Linkbits, Soporte de Pared Fijo para TV y Monitor de 14"-43", Ultra Delgado 2.3cm, Fuerte Capacidad de Peso de 25KG, Fácil Instalación con Accesorios Completos</t>
        </is>
      </c>
      <c r="D103" s="17" t="n">
        <v>252.3</v>
      </c>
      <c r="E103" s="18" t="n">
        <v>0.001838858023151595</v>
      </c>
      <c r="F103" s="16" t="n">
        <v>8</v>
      </c>
      <c r="G103" s="16" t="n">
        <v>7</v>
      </c>
      <c r="H103" s="16" t="n">
        <v>7</v>
      </c>
      <c r="I103" s="17" t="n">
        <v>36.04</v>
      </c>
      <c r="J103" s="17" t="n">
        <v>31.54</v>
      </c>
      <c r="K103" s="17" t="n">
        <v>292.84</v>
      </c>
      <c r="L103" s="17" t="n">
        <v>155.16</v>
      </c>
    </row>
    <row r="104">
      <c r="A104" s="16" t="inlineStr">
        <is>
          <t>5.22-5.28</t>
        </is>
      </c>
      <c r="B104" s="16" t="inlineStr">
        <is>
          <t>TLCD06-12P-R</t>
        </is>
      </c>
      <c r="C10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04" s="17" t="n">
        <v>147.8</v>
      </c>
      <c r="E104" s="18" t="n">
        <v>0.001077203169679682</v>
      </c>
      <c r="F104" s="16" t="n">
        <v>5</v>
      </c>
      <c r="G104" s="16" t="n">
        <v>4</v>
      </c>
      <c r="H104" s="16" t="n">
        <v>4</v>
      </c>
      <c r="I104" s="17" t="n">
        <v>36.95</v>
      </c>
      <c r="J104" s="17" t="n">
        <v>29.56</v>
      </c>
      <c r="K104" s="17" t="n">
        <v>159.8</v>
      </c>
      <c r="L104" s="17" t="n">
        <v>103.44</v>
      </c>
    </row>
    <row r="105">
      <c r="A105" s="16" t="inlineStr">
        <is>
          <t>5.22-5.28</t>
        </is>
      </c>
      <c r="B105" s="16" t="inlineStr">
        <is>
          <t>TLCD02-8P-N</t>
        </is>
      </c>
      <c r="C10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05" s="17" t="n">
        <v>138.7</v>
      </c>
      <c r="E105" s="18" t="n">
        <v>0.001010884377449425</v>
      </c>
      <c r="F105" s="16" t="n">
        <v>7</v>
      </c>
      <c r="G105" s="16" t="n">
        <v>7</v>
      </c>
      <c r="H105" s="16" t="n">
        <v>7</v>
      </c>
      <c r="I105" s="17" t="n">
        <v>19.81</v>
      </c>
      <c r="J105" s="17" t="n">
        <v>19.81</v>
      </c>
      <c r="K105" s="17" t="n">
        <v>173.6</v>
      </c>
      <c r="L105" s="17" t="n">
        <v>168.25</v>
      </c>
    </row>
    <row r="106">
      <c r="A106" s="16" t="inlineStr">
        <is>
          <t>5.22-5.28</t>
        </is>
      </c>
      <c r="B106" s="16" t="inlineStr">
        <is>
          <t>i12-V</t>
        </is>
      </c>
      <c r="C106" s="16" t="inlineStr">
        <is>
          <t>Auriculares Inalámbricos TWS - Ideales para Usuarios Android e iPhone, Entusiastas del Deporte &amp; Música, Controles Táctiles, Audífonos Para Correr y Jugar</t>
        </is>
      </c>
      <c r="D106" s="17" t="n">
        <v>135.82</v>
      </c>
      <c r="E106" s="18" t="n">
        <v>0.0009899183741668468</v>
      </c>
      <c r="F106" s="16" t="n">
        <v>4</v>
      </c>
      <c r="G106" s="16" t="n">
        <v>3</v>
      </c>
      <c r="H106" s="16" t="n">
        <v>3</v>
      </c>
      <c r="I106" s="17" t="n">
        <v>45.27</v>
      </c>
      <c r="J106" s="17" t="n">
        <v>33.96</v>
      </c>
      <c r="K106" s="17" t="n">
        <v>168</v>
      </c>
      <c r="L106" s="17" t="n">
        <v>51.72</v>
      </c>
    </row>
    <row r="107">
      <c r="A107" s="16" t="inlineStr">
        <is>
          <t>5.22-5.28</t>
        </is>
      </c>
      <c r="B107" s="16" t="inlineStr">
        <is>
          <t>TLCD06-12P-A</t>
        </is>
      </c>
      <c r="C10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07" s="17" t="n">
        <v>118.39</v>
      </c>
      <c r="E107" s="18" t="n">
        <v>0.0008628662090710817</v>
      </c>
      <c r="F107" s="16" t="n">
        <v>4</v>
      </c>
      <c r="G107" s="16" t="n">
        <v>4</v>
      </c>
      <c r="H107" s="16" t="n">
        <v>4</v>
      </c>
      <c r="I107" s="17" t="n">
        <v>29.6</v>
      </c>
      <c r="J107" s="17" t="n">
        <v>29.6</v>
      </c>
      <c r="K107" s="17" t="n">
        <v>127.6</v>
      </c>
      <c r="L107" s="17" t="n">
        <v>103.44</v>
      </c>
    </row>
    <row r="108">
      <c r="A108" s="16" t="inlineStr">
        <is>
          <t>5.22-5.28</t>
        </is>
      </c>
      <c r="B108" s="16" t="inlineStr">
        <is>
          <t>TLCD01-4P-nN</t>
        </is>
      </c>
      <c r="C10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08" s="17" t="n">
        <v>101.69</v>
      </c>
      <c r="E108" s="18" t="n">
        <v>0.0007411633211238223</v>
      </c>
      <c r="F108" s="16" t="n">
        <v>6</v>
      </c>
      <c r="G108" s="16" t="n">
        <v>3</v>
      </c>
      <c r="H108" s="16" t="n">
        <v>3</v>
      </c>
      <c r="I108" s="17" t="n">
        <v>33.9</v>
      </c>
      <c r="J108" s="17" t="n">
        <v>16.95</v>
      </c>
      <c r="K108" s="17" t="n">
        <v>117</v>
      </c>
      <c r="L108" s="17" t="n">
        <v>69.25</v>
      </c>
    </row>
    <row r="109">
      <c r="A109" s="16" t="inlineStr">
        <is>
          <t>5.22-5.28</t>
        </is>
      </c>
      <c r="B109" s="16" t="inlineStr">
        <is>
          <t>MB-174-N</t>
        </is>
      </c>
      <c r="C109" s="16" t="inlineStr">
        <is>
          <t>LINK BITS MB-174 Mini Bocina Bluetooth Soporte para Celular Integrado TWS Luz Ambiental 5W 80dB Sonido Claro Carga TYPE-C Material ABS Portátil Ideal como Regalo para Hogar Oficina Exterior Picnic</t>
        </is>
      </c>
      <c r="D109" s="17" t="n">
        <v>94.92</v>
      </c>
      <c r="E109" s="18" t="n">
        <v>0.0006917953856660116</v>
      </c>
      <c r="F109" s="16" t="n">
        <v>1</v>
      </c>
      <c r="G109" s="16" t="n">
        <v>1</v>
      </c>
      <c r="H109" s="16" t="n">
        <v>1</v>
      </c>
      <c r="I109" s="17" t="n">
        <v>94.92</v>
      </c>
      <c r="J109" s="17" t="n">
        <v>94.92</v>
      </c>
      <c r="K109" s="17" t="n">
        <v>93.5</v>
      </c>
      <c r="L109" s="17" t="n">
        <v>25.86</v>
      </c>
    </row>
    <row r="110">
      <c r="A110" s="16" t="inlineStr">
        <is>
          <t>5.22-5.28</t>
        </is>
      </c>
      <c r="B110" s="16" t="inlineStr">
        <is>
          <t>MB-174-G</t>
        </is>
      </c>
      <c r="C110" s="16" t="inlineStr">
        <is>
          <t>LINK BITS MB-174 Mini Bocina Bluetooth Soporte para Celular Integrado TWS Luz Ambiental 5W 80dB Sonido Claro Carga TYPE-C Material ABS Portátil Ideal como Regalo para Hogar Oficina Exterior Picnic</t>
        </is>
      </c>
      <c r="D110" s="17" t="n">
        <v>82.51000000000001</v>
      </c>
      <c r="E110" s="18" t="n">
        <v>0.0006013704088609443</v>
      </c>
      <c r="F110" s="16" t="n">
        <v>1</v>
      </c>
      <c r="G110" s="16" t="n">
        <v>1</v>
      </c>
      <c r="H110" s="16" t="n">
        <v>1</v>
      </c>
      <c r="I110" s="17" t="n">
        <v>82.51000000000001</v>
      </c>
      <c r="J110" s="17" t="n">
        <v>82.51000000000001</v>
      </c>
      <c r="K110" s="17" t="n">
        <v>93</v>
      </c>
      <c r="L110" s="17" t="n">
        <v>14.6</v>
      </c>
    </row>
    <row r="111">
      <c r="A111" s="16" t="inlineStr">
        <is>
          <t>5.22-5.28</t>
        </is>
      </c>
      <c r="B111" s="16" t="inlineStr">
        <is>
          <t>LMC01N</t>
        </is>
      </c>
      <c r="C111" s="16" t="inlineStr">
        <is>
          <t>Tira de poder de 16 en 1, montable en pared, con interruptor mecánico - 10 tomas CA EE.UU. espaciosas + 4 USB + 2 Tipo-C - Extensión blanca para oficina, hogar y estudio - Enchufe EE.UU., 125V/15A/1850W con protección contra sobrecarga</t>
        </is>
      </c>
      <c r="D111" s="17" t="n">
        <v>76.34</v>
      </c>
      <c r="E111" s="18" t="n">
        <v>0.0005564221227836824</v>
      </c>
      <c r="F111" s="16" t="n">
        <v>1</v>
      </c>
      <c r="G111" s="16" t="n">
        <v>1</v>
      </c>
      <c r="H111" s="16" t="n">
        <v>1</v>
      </c>
      <c r="I111" s="17" t="n">
        <v>76.34</v>
      </c>
      <c r="J111" s="17" t="n">
        <v>76.34</v>
      </c>
      <c r="K111" s="17" t="n">
        <v>101</v>
      </c>
      <c r="L111" s="17" t="n">
        <v>0</v>
      </c>
    </row>
    <row r="112">
      <c r="A112" s="16" t="inlineStr">
        <is>
          <t>5.22-5.28</t>
        </is>
      </c>
      <c r="B112" s="16" t="inlineStr">
        <is>
          <t>TLCD02-8P-R</t>
        </is>
      </c>
      <c r="C11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12" s="17" t="n">
        <v>58.61</v>
      </c>
      <c r="E112" s="18" t="n">
        <v>0.0004271830912686668</v>
      </c>
      <c r="F112" s="16" t="n">
        <v>4</v>
      </c>
      <c r="G112" s="16" t="n">
        <v>3</v>
      </c>
      <c r="H112" s="16" t="n">
        <v>4</v>
      </c>
      <c r="I112" s="17" t="n">
        <v>19.54</v>
      </c>
      <c r="J112" s="17" t="n">
        <v>14.65</v>
      </c>
      <c r="K112" s="17" t="n">
        <v>98.59999999999999</v>
      </c>
      <c r="L112" s="17" t="n">
        <v>77.58</v>
      </c>
    </row>
    <row r="113">
      <c r="A113" s="16" t="inlineStr">
        <is>
          <t>5.22-5.28</t>
        </is>
      </c>
      <c r="B113" s="16" t="inlineStr">
        <is>
          <t>TLCD02-8P-V</t>
        </is>
      </c>
      <c r="C11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13" s="17" t="n">
        <v>42.05</v>
      </c>
      <c r="E113" s="18" t="n">
        <v>0.0003065020285904589</v>
      </c>
      <c r="F113" s="16" t="n">
        <v>3</v>
      </c>
      <c r="G113" s="16" t="n">
        <v>2</v>
      </c>
      <c r="H113" s="16" t="n">
        <v>2</v>
      </c>
      <c r="I113" s="17" t="n">
        <v>21.03</v>
      </c>
      <c r="J113" s="17" t="n">
        <v>14.02</v>
      </c>
      <c r="K113" s="17" t="n">
        <v>74.59999999999999</v>
      </c>
      <c r="L113" s="17" t="n">
        <v>25.72</v>
      </c>
    </row>
    <row r="114">
      <c r="A114" s="16" t="inlineStr">
        <is>
          <t>5.22-5.28</t>
        </is>
      </c>
      <c r="B114" s="16" t="inlineStr">
        <is>
          <t>TLCD06-12P-V</t>
        </is>
      </c>
      <c r="C11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14" s="17" t="n">
        <v>40.92</v>
      </c>
      <c r="E114" s="18" t="n">
        <v>0.0002982541786209701</v>
      </c>
      <c r="F114" s="16" t="n">
        <v>2</v>
      </c>
      <c r="G114" s="16" t="n">
        <v>2</v>
      </c>
      <c r="H114" s="16" t="n">
        <v>2</v>
      </c>
      <c r="I114" s="17" t="n">
        <v>20.46</v>
      </c>
      <c r="J114" s="17" t="n">
        <v>20.46</v>
      </c>
      <c r="K114" s="17" t="n">
        <v>64</v>
      </c>
      <c r="L114" s="17" t="n">
        <v>34.2</v>
      </c>
    </row>
    <row r="115">
      <c r="A115" s="16" t="inlineStr">
        <is>
          <t>5.29-6.4</t>
        </is>
      </c>
      <c r="B115" s="16" t="inlineStr">
        <is>
          <t>LV54W25</t>
        </is>
      </c>
      <c r="C115" s="16" t="inlineStr">
        <is>
          <t>TIANLAI Lámpara Ventilador E27 2 en 1, Silenciosa, LED Alta Luminosidad 180°, Instalación Rápida, Ahorro Energético para Dormitorio y Interiores Pequeños</t>
        </is>
      </c>
      <c r="D115" s="17" t="n">
        <v>60281.65</v>
      </c>
      <c r="E115" s="18" t="n">
        <v>0.3905953313628727</v>
      </c>
      <c r="F115" s="16" t="n">
        <v>820</v>
      </c>
      <c r="G115" s="16" t="n">
        <v>514</v>
      </c>
      <c r="H115" s="16" t="n">
        <v>517</v>
      </c>
      <c r="I115" s="17" t="n">
        <v>117.28</v>
      </c>
      <c r="J115" s="17" t="n">
        <v>73.51000000000001</v>
      </c>
      <c r="K115" s="17" t="n">
        <v>62211</v>
      </c>
      <c r="L115" s="17" t="n">
        <v>11312.22</v>
      </c>
    </row>
    <row r="116">
      <c r="A116" s="16" t="inlineStr">
        <is>
          <t>5.29-6.4</t>
        </is>
      </c>
      <c r="B116" s="16" t="inlineStr">
        <is>
          <t>LV64W25</t>
        </is>
      </c>
      <c r="C1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D116" s="17" t="n">
        <v>60008.82</v>
      </c>
      <c r="E116" s="18" t="n">
        <v>0.3888275221319965</v>
      </c>
      <c r="F116" s="16" t="n">
        <v>509</v>
      </c>
      <c r="G116" s="16" t="n">
        <v>280</v>
      </c>
      <c r="H116" s="16" t="n">
        <v>281</v>
      </c>
      <c r="I116" s="17" t="n">
        <v>214.32</v>
      </c>
      <c r="J116" s="17" t="n">
        <v>117.9</v>
      </c>
      <c r="K116" s="17" t="n">
        <v>61914.9</v>
      </c>
      <c r="L116" s="17" t="n">
        <v>3642.42</v>
      </c>
    </row>
    <row r="117">
      <c r="A117" s="16" t="inlineStr">
        <is>
          <t>5.29-6.4</t>
        </is>
      </c>
      <c r="B117" s="16" t="inlineStr">
        <is>
          <t>KTS-2031</t>
        </is>
      </c>
      <c r="C117" s="16" t="inlineStr">
        <is>
          <t>Bocina inalámbrica de 3 pulgadas con linterna multifuncional y panel solar integrado.Altavoz Portátil con Linterna LED 4 Modos, Radio FM, Bluetooth, Carga Solar, Ideal para Apagones, Emergencias, Campo y Exteriores</t>
        </is>
      </c>
      <c r="D117" s="17" t="n">
        <v>15835.8</v>
      </c>
      <c r="E117" s="18" t="n">
        <v>0.1026081371897175</v>
      </c>
      <c r="F117" s="16" t="n">
        <v>181</v>
      </c>
      <c r="G117" s="16" t="n">
        <v>123</v>
      </c>
      <c r="H117" s="16" t="n">
        <v>125</v>
      </c>
      <c r="I117" s="17" t="n">
        <v>128.75</v>
      </c>
      <c r="J117" s="17" t="n">
        <v>87.48999999999999</v>
      </c>
      <c r="K117" s="17" t="n">
        <v>16130</v>
      </c>
      <c r="L117" s="17" t="n">
        <v>2624.74</v>
      </c>
    </row>
    <row r="118">
      <c r="A118" s="16" t="inlineStr">
        <is>
          <t>5.29-6.4</t>
        </is>
      </c>
      <c r="B118" s="16" t="inlineStr">
        <is>
          <t>TL1455N20B</t>
        </is>
      </c>
      <c r="C118" s="16" t="inlineStr">
        <is>
          <t>LINK BITS Soporte para TV 14 A 55 Pulgadas, Base para TV Pantalla Articulado Inclinable y Giratorio, MAX VESA 400×400 mm, Soporta hasta 18kg, adaptarse a la mayoría de los televisores de 14 Pulgadas/20 Pulgadas/32 Pulgadas/42 Pulgadas/55 pulgadas</t>
        </is>
      </c>
      <c r="D118" s="17" t="n">
        <v>2248.84</v>
      </c>
      <c r="E118" s="18" t="n">
        <v>0.01457139157474309</v>
      </c>
      <c r="F118" s="16" t="n">
        <v>28</v>
      </c>
      <c r="G118" s="16" t="n">
        <v>19</v>
      </c>
      <c r="H118" s="16" t="n">
        <v>19</v>
      </c>
      <c r="I118" s="17" t="n">
        <v>118.36</v>
      </c>
      <c r="J118" s="17" t="n">
        <v>80.31999999999999</v>
      </c>
      <c r="K118" s="17" t="n">
        <v>2286.1</v>
      </c>
      <c r="L118" s="17" t="n">
        <v>401.13</v>
      </c>
    </row>
    <row r="119">
      <c r="A119" s="16" t="inlineStr">
        <is>
          <t>5.29-6.4</t>
        </is>
      </c>
      <c r="B119" s="16" t="inlineStr">
        <is>
          <t>KTS-1936</t>
        </is>
      </c>
      <c r="C119" s="16" t="inlineStr">
        <is>
          <t>Espejo con Luz para Makeup，Espejo con Luz LED y Bocina Bluetooth，Espejo para Maquillaje con Aumentos y Luces LED de Intensidad Ajustable，Lente de Aumento 10X+Reproductor TF+ TWS，espejo de portátil y para estudiantes, oficina, dormitorio, mejor regalo</t>
        </is>
      </c>
      <c r="D119" s="17" t="n">
        <v>2241.03</v>
      </c>
      <c r="E119" s="18" t="n">
        <v>0.01452077431892073</v>
      </c>
      <c r="F119" s="16" t="n">
        <v>10</v>
      </c>
      <c r="G119" s="16" t="n">
        <v>10</v>
      </c>
      <c r="H119" s="16" t="n">
        <v>10</v>
      </c>
      <c r="I119" s="17" t="n">
        <v>224.1</v>
      </c>
      <c r="J119" s="17" t="n">
        <v>224.1</v>
      </c>
      <c r="K119" s="17" t="n">
        <v>2162</v>
      </c>
      <c r="L119" s="17" t="n">
        <v>258.6</v>
      </c>
    </row>
    <row r="120">
      <c r="A120" s="16" t="inlineStr">
        <is>
          <t>5.29-6.4</t>
        </is>
      </c>
      <c r="B120" s="16" t="inlineStr">
        <is>
          <t>VB349T</t>
        </is>
      </c>
      <c r="C120" s="16" t="inlineStr">
        <is>
          <t>LINKBITS Altavoz Portátil de Doble Altavoz - 3 Pulgadas, Sonido HD, Emparejamiento Rápido de Bluetooth, Conectividad TWS, Reproducción Multimodo (Micro SD/USB/Radio FM) - Perfecto para Oficina, Viajes y Espacios Pequeños</t>
        </is>
      </c>
      <c r="D120" s="17" t="n">
        <v>2153.67</v>
      </c>
      <c r="E120" s="18" t="n">
        <v>0.0139547077956029</v>
      </c>
      <c r="F120" s="16" t="n">
        <v>27</v>
      </c>
      <c r="G120" s="16" t="n">
        <v>26</v>
      </c>
      <c r="H120" s="16" t="n">
        <v>26</v>
      </c>
      <c r="I120" s="17" t="n">
        <v>82.83</v>
      </c>
      <c r="J120" s="17" t="n">
        <v>79.77</v>
      </c>
      <c r="K120" s="17" t="n">
        <v>2157</v>
      </c>
      <c r="L120" s="17" t="n">
        <v>672.36</v>
      </c>
    </row>
    <row r="121">
      <c r="A121" s="16" t="inlineStr">
        <is>
          <t>5.29-6.4</t>
        </is>
      </c>
      <c r="B121" s="16" t="inlineStr">
        <is>
          <t>B03W10-10PZS</t>
        </is>
      </c>
      <c r="C12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D121" s="17" t="n">
        <v>1701.17</v>
      </c>
      <c r="E121" s="18" t="n">
        <v>0.01102273829002339</v>
      </c>
      <c r="F121" s="16" t="n">
        <v>25</v>
      </c>
      <c r="G121" s="16" t="n">
        <v>16</v>
      </c>
      <c r="H121" s="16" t="n">
        <v>16</v>
      </c>
      <c r="I121" s="17" t="n">
        <v>106.32</v>
      </c>
      <c r="J121" s="17" t="n">
        <v>68.05</v>
      </c>
      <c r="K121" s="17" t="n">
        <v>1812</v>
      </c>
      <c r="L121" s="17" t="n">
        <v>284.46</v>
      </c>
    </row>
    <row r="122">
      <c r="A122" s="16" t="inlineStr">
        <is>
          <t>5.29-6.4</t>
        </is>
      </c>
      <c r="B122" s="16" t="inlineStr">
        <is>
          <t>SB428T</t>
        </is>
      </c>
      <c r="C122" s="16" t="inlineStr">
        <is>
          <t>LINK BITS Bocina Portátil con 2 Altavoces de 4" (5W×2), Sonido Potente, Luces LED, Bluetooth, USB/TF/FM - Ideal para Reuniones, Fiestas y Picnics en México</t>
        </is>
      </c>
      <c r="D122" s="17" t="n">
        <v>1184.23</v>
      </c>
      <c r="E122" s="18" t="n">
        <v>0.007673252396121618</v>
      </c>
      <c r="F122" s="16" t="n">
        <v>13</v>
      </c>
      <c r="G122" s="16" t="n">
        <v>9</v>
      </c>
      <c r="H122" s="16" t="n">
        <v>9</v>
      </c>
      <c r="I122" s="17" t="n">
        <v>131.58</v>
      </c>
      <c r="J122" s="17" t="n">
        <v>91.09</v>
      </c>
      <c r="K122" s="17" t="n">
        <v>1231</v>
      </c>
      <c r="L122" s="17" t="n">
        <v>171.11</v>
      </c>
    </row>
    <row r="123">
      <c r="A123" s="16" t="inlineStr">
        <is>
          <t>5.29-6.4</t>
        </is>
      </c>
      <c r="B123" s="16" t="inlineStr">
        <is>
          <t>BG-115-B</t>
        </is>
      </c>
      <c r="C123" s="16" t="inlineStr">
        <is>
          <t>LINK BITS Audífonos Inalámbricos con Luces Multicolor, Recargables y en Adorable Forma de Orejas de Gato - Conecta a Celulares y PCs, Tiene Radio FM, Tarjeta TF y AUX - 7 Horas de Reproducción, Plegables y Perfectos para Trabajo, Juegos y Estudio</t>
        </is>
      </c>
      <c r="D123" s="17" t="n">
        <v>1161.36</v>
      </c>
      <c r="E123" s="18" t="n">
        <v>0.007525056042173933</v>
      </c>
      <c r="F123" s="16" t="n">
        <v>16</v>
      </c>
      <c r="G123" s="16" t="n">
        <v>15</v>
      </c>
      <c r="H123" s="16" t="n">
        <v>16</v>
      </c>
      <c r="I123" s="17" t="n">
        <v>77.42</v>
      </c>
      <c r="J123" s="17" t="n">
        <v>72.59</v>
      </c>
      <c r="K123" s="17" t="n">
        <v>1234</v>
      </c>
      <c r="L123" s="17" t="n">
        <v>348.81</v>
      </c>
    </row>
    <row r="124">
      <c r="A124" s="16" t="inlineStr">
        <is>
          <t>5.29-6.4</t>
        </is>
      </c>
      <c r="B124" s="16" t="inlineStr">
        <is>
          <t>VA371T</t>
        </is>
      </c>
      <c r="C124" s="16" t="inlineStr">
        <is>
          <t>Linkbits Bocina Bluetooth Portátil 3" de Alta Gama，Hi-Res Audio y Graves Potentes，Luces LED + Soporte USB/TF/FM/TWS，Ideal para Hogar y Aire Libre</t>
        </is>
      </c>
      <c r="D124" s="17" t="n">
        <v>690.27</v>
      </c>
      <c r="E124" s="18" t="n">
        <v>0.004472583268902579</v>
      </c>
      <c r="F124" s="16" t="n">
        <v>18</v>
      </c>
      <c r="G124" s="16" t="n">
        <v>12</v>
      </c>
      <c r="H124" s="16" t="n">
        <v>12</v>
      </c>
      <c r="I124" s="17" t="n">
        <v>57.52</v>
      </c>
      <c r="J124" s="17" t="n">
        <v>38.35</v>
      </c>
      <c r="K124" s="17" t="n">
        <v>777.5</v>
      </c>
      <c r="L124" s="17" t="n">
        <v>243.58</v>
      </c>
    </row>
    <row r="125">
      <c r="A125" s="16" t="inlineStr">
        <is>
          <t>5.29-6.4</t>
        </is>
      </c>
      <c r="B125" s="16" t="inlineStr">
        <is>
          <t>TL2663N18C</t>
        </is>
      </c>
      <c r="C125" s="16" t="inlineStr">
        <is>
          <t>Linkbits，Soporte de pared fijo para televisores de 26"-63", Ultra-Delgado Compatible con VESA 400x400mm, Capacidad de Peso Fuerte de 25KG, Instalación Fácil Sin Electricidad</t>
        </is>
      </c>
      <c r="D125" s="17" t="n">
        <v>631.36</v>
      </c>
      <c r="E125" s="18" t="n">
        <v>0.004090873604714355</v>
      </c>
      <c r="F125" s="16" t="n">
        <v>16</v>
      </c>
      <c r="G125" s="16" t="n">
        <v>12</v>
      </c>
      <c r="H125" s="16" t="n">
        <v>12</v>
      </c>
      <c r="I125" s="17" t="n">
        <v>52.61</v>
      </c>
      <c r="J125" s="17" t="n">
        <v>39.46</v>
      </c>
      <c r="K125" s="17" t="n">
        <v>754</v>
      </c>
      <c r="L125" s="17" t="n">
        <v>248.38</v>
      </c>
    </row>
    <row r="126">
      <c r="A126" s="16" t="inlineStr">
        <is>
          <t>5.29-6.4</t>
        </is>
      </c>
      <c r="B126" s="16" t="inlineStr">
        <is>
          <t>BSC07</t>
        </is>
      </c>
      <c r="C126" s="16" t="inlineStr">
        <is>
          <t>TIANLAI Báscula Digital BSC04/BSC07, Alta Precisión, Fácil Operación, Ligera y Portátil, Función Tara, Unidad Dual oz/g, Ideal para Cocina, Control de Porciones, Sellos y Objetos Pequeños, Uso en Hogar y Viaje</t>
        </is>
      </c>
      <c r="D126" s="17" t="n">
        <v>615.25</v>
      </c>
      <c r="E126" s="18" t="n">
        <v>0.003986514351122051</v>
      </c>
      <c r="F126" s="16" t="n">
        <v>19</v>
      </c>
      <c r="G126" s="16" t="n">
        <v>19</v>
      </c>
      <c r="H126" s="16" t="n">
        <v>19</v>
      </c>
      <c r="I126" s="17" t="n">
        <v>32.38</v>
      </c>
      <c r="J126" s="17" t="n">
        <v>32.38</v>
      </c>
      <c r="K126" s="17" t="n">
        <v>700</v>
      </c>
      <c r="L126" s="17" t="n">
        <v>449.3</v>
      </c>
    </row>
    <row r="127">
      <c r="A127" s="16" t="inlineStr">
        <is>
          <t>5.29-6.4</t>
        </is>
      </c>
      <c r="B127" s="16" t="inlineStr">
        <is>
          <t>TLCD02-8P-N</t>
        </is>
      </c>
      <c r="C1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27" s="17" t="n">
        <v>555.08</v>
      </c>
      <c r="E127" s="18" t="n">
        <v>0.003596670638610552</v>
      </c>
      <c r="F127" s="16" t="n">
        <v>25</v>
      </c>
      <c r="G127" s="16" t="n">
        <v>9</v>
      </c>
      <c r="H127" s="16" t="n">
        <v>9</v>
      </c>
      <c r="I127" s="17" t="n">
        <v>61.68</v>
      </c>
      <c r="J127" s="17" t="n">
        <v>22.2</v>
      </c>
      <c r="K127" s="17" t="n">
        <v>625</v>
      </c>
      <c r="L127" s="17" t="n">
        <v>168.16</v>
      </c>
    </row>
    <row r="128">
      <c r="A128" s="16" t="inlineStr">
        <is>
          <t>5.29-6.4</t>
        </is>
      </c>
      <c r="B128" s="16" t="inlineStr">
        <is>
          <t>TL1412N17C</t>
        </is>
      </c>
      <c r="C128" s="16" t="inlineStr">
        <is>
          <t>Linkbits, Soporte de Pared Fijo para TV y Monitor de 14"-43", Ultra Delgado 2.3cm, Fuerte Capacidad de Peso de 25KG, Fácil Instalación con Accesorios Completos</t>
        </is>
      </c>
      <c r="D128" s="17" t="n">
        <v>521.45</v>
      </c>
      <c r="E128" s="18" t="n">
        <v>0.003378747020699482</v>
      </c>
      <c r="F128" s="16" t="n">
        <v>18</v>
      </c>
      <c r="G128" s="16" t="n">
        <v>8</v>
      </c>
      <c r="H128" s="16" t="n">
        <v>8</v>
      </c>
      <c r="I128" s="17" t="n">
        <v>65.18000000000001</v>
      </c>
      <c r="J128" s="17" t="n">
        <v>28.97</v>
      </c>
      <c r="K128" s="17" t="n">
        <v>658.04</v>
      </c>
      <c r="L128" s="17" t="n">
        <v>113.66</v>
      </c>
    </row>
    <row r="129">
      <c r="A129" s="16" t="inlineStr">
        <is>
          <t>5.29-6.4</t>
        </is>
      </c>
      <c r="B129" s="16" t="inlineStr">
        <is>
          <t>KTS-1369</t>
        </is>
      </c>
      <c r="C129" s="16" t="inlineStr">
        <is>
          <t>Bocina 3 Pulgadas Portátil Bluetooth con Luces LED, Sonido Claro y Batería Larga Duración, TWS TF USB FM, Ideal para Hogar Oficina y Exterior</t>
        </is>
      </c>
      <c r="D129" s="17" t="n">
        <v>520.9400000000001</v>
      </c>
      <c r="E129" s="18" t="n">
        <v>0.003375457699290066</v>
      </c>
      <c r="F129" s="16" t="n">
        <v>11</v>
      </c>
      <c r="G129" s="16" t="n">
        <v>9</v>
      </c>
      <c r="H129" s="16" t="n">
        <v>9</v>
      </c>
      <c r="I129" s="17" t="n">
        <v>57.88</v>
      </c>
      <c r="J129" s="17" t="n">
        <v>47.36</v>
      </c>
      <c r="K129" s="17" t="n">
        <v>585</v>
      </c>
      <c r="L129" s="17" t="n">
        <v>180.09</v>
      </c>
    </row>
    <row r="130">
      <c r="A130" s="16" t="inlineStr">
        <is>
          <t>5.29-6.4</t>
        </is>
      </c>
      <c r="B130" s="16" t="inlineStr">
        <is>
          <t>TLCD06-12P-N</t>
        </is>
      </c>
      <c r="C13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30" s="17" t="n">
        <v>453.89</v>
      </c>
      <c r="E130" s="18" t="n">
        <v>0.00294100744504159</v>
      </c>
      <c r="F130" s="16" t="n">
        <v>15</v>
      </c>
      <c r="G130" s="16" t="n">
        <v>14</v>
      </c>
      <c r="H130" s="16" t="n">
        <v>14</v>
      </c>
      <c r="I130" s="17" t="n">
        <v>32.42</v>
      </c>
      <c r="J130" s="17" t="n">
        <v>30.26</v>
      </c>
      <c r="K130" s="17" t="n">
        <v>498</v>
      </c>
      <c r="L130" s="17" t="n">
        <v>349.1</v>
      </c>
    </row>
    <row r="131">
      <c r="A131" s="16" t="inlineStr">
        <is>
          <t>5.29-6.4</t>
        </is>
      </c>
      <c r="B131" s="16" t="inlineStr">
        <is>
          <t>BSC04</t>
        </is>
      </c>
      <c r="C131" s="16" t="inlineStr">
        <is>
          <t>TIANLAI Báscula Digital BSC04/BSC07, Alta Precisión, Fácil Operación, Ligera y Portátil, Función Tara, Unidad Dual oz/g, Ideal para Cocina, Control de Porciones, Sellos y Objetos Pequeños, Uso en Hogar y Viaje</t>
        </is>
      </c>
      <c r="D131" s="17" t="n">
        <v>387.32</v>
      </c>
      <c r="E131" s="18" t="n">
        <v>0.002509645971480337</v>
      </c>
      <c r="F131" s="16" t="n">
        <v>7</v>
      </c>
      <c r="G131" s="16" t="n">
        <v>7</v>
      </c>
      <c r="H131" s="16" t="n">
        <v>7</v>
      </c>
      <c r="I131" s="17" t="n">
        <v>55.33</v>
      </c>
      <c r="J131" s="17" t="n">
        <v>55.33</v>
      </c>
      <c r="K131" s="17" t="n">
        <v>394</v>
      </c>
      <c r="L131" s="17" t="n">
        <v>181.02</v>
      </c>
    </row>
    <row r="132">
      <c r="A132" s="16" t="inlineStr">
        <is>
          <t>5.29-6.4</t>
        </is>
      </c>
      <c r="B132" s="16" t="inlineStr">
        <is>
          <t>TLCD02-8P-A</t>
        </is>
      </c>
      <c r="C13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32" s="17" t="n">
        <v>358.98</v>
      </c>
      <c r="E132" s="18" t="n">
        <v>0.002326028748003024</v>
      </c>
      <c r="F132" s="16" t="n">
        <v>18</v>
      </c>
      <c r="G132" s="16" t="n">
        <v>9</v>
      </c>
      <c r="H132" s="16" t="n">
        <v>9</v>
      </c>
      <c r="I132" s="17" t="n">
        <v>39.89</v>
      </c>
      <c r="J132" s="17" t="n">
        <v>19.94</v>
      </c>
      <c r="K132" s="17" t="n">
        <v>444.8</v>
      </c>
      <c r="L132" s="17" t="n">
        <v>168.09</v>
      </c>
    </row>
    <row r="133">
      <c r="A133" s="16" t="inlineStr">
        <is>
          <t>5.29-6.4</t>
        </is>
      </c>
      <c r="B133" s="16" t="inlineStr">
        <is>
          <t>EM12W12</t>
        </is>
      </c>
      <c r="C133" s="16" t="inlineStr">
        <is>
          <t>TIANLAI Lámpara Solar de Emergencia, 1pc 960lm IP4 5 Modos con SOS, Recargable USB+Solar con Gancho, Linterna Portátil para Camping Hogar Senderismo Pesca</t>
        </is>
      </c>
      <c r="D133" s="17" t="n">
        <v>306.42</v>
      </c>
      <c r="E133" s="18" t="n">
        <v>0.001985438355222715</v>
      </c>
      <c r="F133" s="16" t="n">
        <v>4</v>
      </c>
      <c r="G133" s="16" t="n">
        <v>3</v>
      </c>
      <c r="H133" s="16" t="n">
        <v>3</v>
      </c>
      <c r="I133" s="17" t="n">
        <v>102.14</v>
      </c>
      <c r="J133" s="17" t="n">
        <v>76.59999999999999</v>
      </c>
      <c r="K133" s="17" t="n">
        <v>321.2</v>
      </c>
      <c r="L133" s="17" t="n">
        <v>51.72</v>
      </c>
    </row>
    <row r="134">
      <c r="A134" s="16" t="inlineStr">
        <is>
          <t>5.29-6.4</t>
        </is>
      </c>
      <c r="B134" s="16" t="inlineStr">
        <is>
          <t>TLCD02-8P-V</t>
        </is>
      </c>
      <c r="C13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34" s="17" t="n">
        <v>298.86</v>
      </c>
      <c r="E134" s="18" t="n">
        <v>0.001936484388685881</v>
      </c>
      <c r="F134" s="16" t="n">
        <v>13</v>
      </c>
      <c r="G134" s="16" t="n">
        <v>4</v>
      </c>
      <c r="H134" s="16" t="n">
        <v>4</v>
      </c>
      <c r="I134" s="17" t="n">
        <v>74.72</v>
      </c>
      <c r="J134" s="17" t="n">
        <v>22.99</v>
      </c>
      <c r="K134" s="17" t="n">
        <v>324</v>
      </c>
      <c r="L134" s="17" t="n">
        <v>77.58</v>
      </c>
    </row>
    <row r="135">
      <c r="A135" s="16" t="inlineStr">
        <is>
          <t>5.29-6.4</t>
        </is>
      </c>
      <c r="B135" s="16" t="inlineStr">
        <is>
          <t>BG-139-N</t>
        </is>
      </c>
      <c r="C135" s="16" t="inlineStr">
        <is>
          <t>LINK BITS Audífonos Inalámbricos con Luces Multicolor, Recargables y en Adorable Forma de Orejas de Gato - Conecta a Celulares y PCs, Tiene Radio FM, Tarjeta TF y AUX - 7 Horas de Reproducción, Plegables y Perfectos para Trabajo, Juegos y Estudio</t>
        </is>
      </c>
      <c r="D135" s="17" t="n">
        <v>255.89</v>
      </c>
      <c r="E135" s="18" t="n">
        <v>0.001658036997661292</v>
      </c>
      <c r="F135" s="16" t="n">
        <v>7</v>
      </c>
      <c r="G135" s="16" t="n">
        <v>5</v>
      </c>
      <c r="H135" s="16" t="n">
        <v>5</v>
      </c>
      <c r="I135" s="17" t="n">
        <v>51.18</v>
      </c>
      <c r="J135" s="17" t="n">
        <v>36.56</v>
      </c>
      <c r="K135" s="17" t="n">
        <v>308</v>
      </c>
      <c r="L135" s="17" t="n">
        <v>77.58</v>
      </c>
    </row>
    <row r="136">
      <c r="A136" s="16" t="inlineStr">
        <is>
          <t>5.29-6.4</t>
        </is>
      </c>
      <c r="B136" s="16" t="inlineStr">
        <is>
          <t>TLCD01-4P-nN</t>
        </is>
      </c>
      <c r="C13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36" s="17" t="n">
        <v>249.67</v>
      </c>
      <c r="E136" s="18" t="n">
        <v>0.001617726692623841</v>
      </c>
      <c r="F136" s="16" t="n">
        <v>17</v>
      </c>
      <c r="G136" s="16" t="n">
        <v>16</v>
      </c>
      <c r="H136" s="16" t="n">
        <v>16</v>
      </c>
      <c r="I136" s="17" t="n">
        <v>15.6</v>
      </c>
      <c r="J136" s="17" t="n">
        <v>14.69</v>
      </c>
      <c r="K136" s="17" t="n">
        <v>333</v>
      </c>
      <c r="L136" s="17" t="n">
        <v>387.9</v>
      </c>
    </row>
    <row r="137">
      <c r="A137" s="16" t="inlineStr">
        <is>
          <t>5.29-6.4</t>
        </is>
      </c>
      <c r="B137" s="16" t="inlineStr">
        <is>
          <t>BG-139-P</t>
        </is>
      </c>
      <c r="C137" s="16" t="inlineStr">
        <is>
          <t>LINK BITS Audífonos Inalámbricos con Luces Multicolor, Recargables y en Adorable Forma de Orejas de Gato - Conecta a Celulares y PCs, Tiene Radio FM, Tarjeta TF y AUX - 7 Horas de Reproducción, Plegables y Perfectos para Trabajo, Juegos y Estudio</t>
        </is>
      </c>
      <c r="D137" s="17" t="n">
        <v>200.4</v>
      </c>
      <c r="E137" s="18" t="n">
        <v>0.001298496964522648</v>
      </c>
      <c r="F137" s="16" t="n">
        <v>3</v>
      </c>
      <c r="G137" s="16" t="n">
        <v>3</v>
      </c>
      <c r="H137" s="16" t="n">
        <v>3</v>
      </c>
      <c r="I137" s="17" t="n">
        <v>66.8</v>
      </c>
      <c r="J137" s="17" t="n">
        <v>66.8</v>
      </c>
      <c r="K137" s="17" t="n">
        <v>207</v>
      </c>
      <c r="L137" s="17" t="n">
        <v>77.58</v>
      </c>
    </row>
    <row r="138">
      <c r="A138" s="16" t="inlineStr">
        <is>
          <t>5.29-6.4</t>
        </is>
      </c>
      <c r="B138" s="16" t="inlineStr">
        <is>
          <t>LMC01N</t>
        </is>
      </c>
      <c r="C138" s="16" t="inlineStr">
        <is>
          <t>Tira de poder de 16 en 1, montable en pared, con interruptor mecánico - 10 tomas CA EE.UU. espaciosas + 4 USB + 2 Tipo-C - Extensión blanca para oficina, hogar y estudio - Enchufe EE.UU., 125V/15A/1850W con protección contra sobrecarga</t>
        </is>
      </c>
      <c r="D138" s="17" t="n">
        <v>179.44</v>
      </c>
      <c r="E138" s="18" t="n">
        <v>0.001162702709745051</v>
      </c>
      <c r="F138" s="16" t="n">
        <v>2</v>
      </c>
      <c r="G138" s="16" t="n">
        <v>2</v>
      </c>
      <c r="H138" s="16" t="n">
        <v>2</v>
      </c>
      <c r="I138" s="17" t="n">
        <v>89.72</v>
      </c>
      <c r="J138" s="17" t="n">
        <v>89.72</v>
      </c>
      <c r="K138" s="17" t="n">
        <v>201.5</v>
      </c>
      <c r="L138" s="17" t="n">
        <v>25.86</v>
      </c>
    </row>
    <row r="139">
      <c r="A139" s="16" t="inlineStr">
        <is>
          <t>5.29-6.4</t>
        </is>
      </c>
      <c r="B139" s="16" t="inlineStr">
        <is>
          <t>TLCD06-12P-R</t>
        </is>
      </c>
      <c r="C13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39" s="17" t="n">
        <v>174.83</v>
      </c>
      <c r="E139" s="18" t="n">
        <v>0.00113282084623697</v>
      </c>
      <c r="F139" s="16" t="n">
        <v>6</v>
      </c>
      <c r="G139" s="16" t="n">
        <v>6</v>
      </c>
      <c r="H139" s="16" t="n">
        <v>6</v>
      </c>
      <c r="I139" s="17" t="n">
        <v>29.14</v>
      </c>
      <c r="J139" s="17" t="n">
        <v>29.14</v>
      </c>
      <c r="K139" s="17" t="n">
        <v>204</v>
      </c>
      <c r="L139" s="17" t="n">
        <v>142.23</v>
      </c>
    </row>
    <row r="140">
      <c r="A140" s="16" t="inlineStr">
        <is>
          <t>5.29-6.4</t>
        </is>
      </c>
      <c r="B140" s="16" t="inlineStr">
        <is>
          <t>i12-B</t>
        </is>
      </c>
      <c r="C140" s="16" t="inlineStr">
        <is>
          <t>Auriculares Inalámbricos TWS - Ideales para Usuarios Android e iPhone, Entusiastas del Deporte &amp; Música, Controles Táctiles, Audífonos Para Correr y Jugar</t>
        </is>
      </c>
      <c r="D140" s="17" t="n">
        <v>173.2</v>
      </c>
      <c r="E140" s="18" t="n">
        <v>0.001122232036924908</v>
      </c>
      <c r="F140" s="16" t="n">
        <v>6</v>
      </c>
      <c r="G140" s="16" t="n">
        <v>6</v>
      </c>
      <c r="H140" s="16" t="n">
        <v>6</v>
      </c>
      <c r="I140" s="17" t="n">
        <v>28.87</v>
      </c>
      <c r="J140" s="17" t="n">
        <v>28.87</v>
      </c>
      <c r="K140" s="17" t="n">
        <v>267</v>
      </c>
      <c r="L140" s="17" t="n">
        <v>129.3</v>
      </c>
    </row>
    <row r="141">
      <c r="A141" s="16" t="inlineStr">
        <is>
          <t>5.29-6.4</t>
        </is>
      </c>
      <c r="B141" s="16" t="inlineStr">
        <is>
          <t>TLCD02-8P-R</t>
        </is>
      </c>
      <c r="C14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41" s="17" t="n">
        <v>162.6</v>
      </c>
      <c r="E141" s="18" t="n">
        <v>0.001053553157092406</v>
      </c>
      <c r="F141" s="16" t="n">
        <v>9</v>
      </c>
      <c r="G141" s="16" t="n">
        <v>7</v>
      </c>
      <c r="H141" s="16" t="n">
        <v>7</v>
      </c>
      <c r="I141" s="17" t="n">
        <v>23.23</v>
      </c>
      <c r="J141" s="17" t="n">
        <v>18.07</v>
      </c>
      <c r="K141" s="17" t="n">
        <v>220</v>
      </c>
      <c r="L141" s="17" t="n">
        <v>142.23</v>
      </c>
    </row>
    <row r="142">
      <c r="A142" s="16" t="inlineStr">
        <is>
          <t>5.29-6.4</t>
        </is>
      </c>
      <c r="B142" s="16" t="inlineStr">
        <is>
          <t>TLCD04-10P-R</t>
        </is>
      </c>
      <c r="C14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42" s="17" t="n">
        <v>136.74</v>
      </c>
      <c r="E142" s="18" t="n">
        <v>0.0008859843749956566</v>
      </c>
      <c r="F142" s="16" t="n">
        <v>4</v>
      </c>
      <c r="G142" s="16" t="n">
        <v>4</v>
      </c>
      <c r="H142" s="16" t="n">
        <v>4</v>
      </c>
      <c r="I142" s="17" t="n">
        <v>34.18</v>
      </c>
      <c r="J142" s="17" t="n">
        <v>34.18</v>
      </c>
      <c r="K142" s="17" t="n">
        <v>144</v>
      </c>
      <c r="L142" s="17" t="n">
        <v>103.44</v>
      </c>
    </row>
    <row r="143">
      <c r="A143" s="16" t="inlineStr">
        <is>
          <t>5.29-6.4</t>
        </is>
      </c>
      <c r="B143" s="16" t="inlineStr">
        <is>
          <t>TLCD06-12P-A</t>
        </is>
      </c>
      <c r="C14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43" s="17" t="n">
        <v>116.23</v>
      </c>
      <c r="E143" s="18" t="n">
        <v>0.0007531272804561928</v>
      </c>
      <c r="F143" s="16" t="n">
        <v>5</v>
      </c>
      <c r="G143" s="16" t="n">
        <v>5</v>
      </c>
      <c r="H143" s="16" t="n">
        <v>5</v>
      </c>
      <c r="I143" s="17" t="n">
        <v>23.25</v>
      </c>
      <c r="J143" s="17" t="n">
        <v>23.25</v>
      </c>
      <c r="K143" s="17" t="n">
        <v>169</v>
      </c>
      <c r="L143" s="17" t="n">
        <v>90.51000000000001</v>
      </c>
    </row>
    <row r="144">
      <c r="A144" s="16" t="inlineStr">
        <is>
          <t>5.29-6.4</t>
        </is>
      </c>
      <c r="B144" s="16" t="inlineStr">
        <is>
          <t>TLCD06-12P-V</t>
        </is>
      </c>
      <c r="C14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D144" s="17" t="n">
        <v>113.07</v>
      </c>
      <c r="E144" s="18" t="n">
        <v>0.0007326099235313085</v>
      </c>
      <c r="F144" s="16" t="n">
        <v>4</v>
      </c>
      <c r="G144" s="16" t="n">
        <v>3</v>
      </c>
      <c r="H144" s="16" t="n">
        <v>3</v>
      </c>
      <c r="I144" s="17" t="n">
        <v>37.69</v>
      </c>
      <c r="J144" s="17" t="n">
        <v>28.27</v>
      </c>
      <c r="K144" s="17" t="n">
        <v>131</v>
      </c>
      <c r="L144" s="17" t="n">
        <v>64.66</v>
      </c>
    </row>
    <row r="145">
      <c r="A145" s="16" t="inlineStr">
        <is>
          <t>5.29-6.4</t>
        </is>
      </c>
      <c r="B145" s="16" t="inlineStr">
        <is>
          <t>MB-174-N</t>
        </is>
      </c>
      <c r="C145" s="16" t="inlineStr">
        <is>
          <t>LINK BITS MB-174 Mini Bocina Bluetooth Soporte para Celular Integrado TWS Luz Ambiental 5W 80dB Sonido Claro Carga TYPE-C Material ABS Portátil Ideal como Regalo para Hogar Oficina Exterior Picnic</t>
        </is>
      </c>
      <c r="D145" s="17" t="n">
        <v>95.25</v>
      </c>
      <c r="E145" s="18" t="n">
        <v>0.0006171600228584801</v>
      </c>
      <c r="F145" s="16" t="n">
        <v>1</v>
      </c>
      <c r="G145" s="16" t="n">
        <v>1</v>
      </c>
      <c r="H145" s="16" t="n">
        <v>1</v>
      </c>
      <c r="I145" s="17" t="n">
        <v>95.25</v>
      </c>
      <c r="J145" s="17" t="n">
        <v>95.25</v>
      </c>
      <c r="K145" s="17" t="n">
        <v>93.59999999999999</v>
      </c>
      <c r="L145" s="17" t="n">
        <v>25.86</v>
      </c>
    </row>
    <row r="146">
      <c r="A146" s="16" t="inlineStr">
        <is>
          <t>5.29-6.4</t>
        </is>
      </c>
      <c r="B146" s="16" t="inlineStr">
        <is>
          <t>LMC02</t>
        </is>
      </c>
      <c r="C146" s="16" t="inlineStr">
        <is>
          <t>Tira de poder de 16 en 1, montable en pared, con interruptor mecánico - 10 tomas CA EE.UU. espaciosas + 4 USB + 2 Tipo-C - Extensión blanca para oficina, hogar y estudio - Enchufe EE.UU., 125V/15A/1850W con protección contra sobrecarga</t>
        </is>
      </c>
      <c r="D146" s="17" t="n">
        <v>90.36</v>
      </c>
      <c r="E146" s="18" t="n">
        <v>0.0005854651934676961</v>
      </c>
      <c r="F146" s="16" t="n">
        <v>1</v>
      </c>
      <c r="G146" s="16" t="n">
        <v>1</v>
      </c>
      <c r="H146" s="16" t="n">
        <v>1</v>
      </c>
      <c r="I146" s="17" t="n">
        <v>90.36</v>
      </c>
      <c r="J146" s="17" t="n">
        <v>90.36</v>
      </c>
      <c r="K146" s="17" t="n">
        <v>88.5</v>
      </c>
      <c r="L146" s="17" t="n">
        <v>25.86</v>
      </c>
    </row>
    <row r="147">
      <c r="A147" s="16" t="inlineStr">
        <is>
          <t>5.29-6.4</t>
        </is>
      </c>
      <c r="B147" s="16" t="inlineStr">
        <is>
          <t>SA428T</t>
        </is>
      </c>
      <c r="C147"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D147" s="17" t="n">
        <v>80.88</v>
      </c>
      <c r="E147" s="18" t="n">
        <v>0.0005240621513395844</v>
      </c>
      <c r="F147" s="16" t="n">
        <v>1</v>
      </c>
      <c r="G147" s="16" t="n">
        <v>1</v>
      </c>
      <c r="H147" s="16" t="n">
        <v>1</v>
      </c>
      <c r="I147" s="17" t="n">
        <v>80.88</v>
      </c>
      <c r="J147" s="17" t="n">
        <v>80.88</v>
      </c>
      <c r="K147" s="17" t="n">
        <v>79.59</v>
      </c>
      <c r="L147" s="17" t="n">
        <v>25.86</v>
      </c>
    </row>
    <row r="148">
      <c r="A148" s="16" t="inlineStr">
        <is>
          <t>5.29-6.4</t>
        </is>
      </c>
      <c r="B148" s="16" t="inlineStr">
        <is>
          <t>BG-139-V</t>
        </is>
      </c>
      <c r="C148" s="16" t="inlineStr">
        <is>
          <t>LINK BITS Audífonos Inalámbricos con Luces Multicolor, Recargables y en Adorable Forma de Orejas de Gato - Conecta a Celulares y PCs, Tiene Radio FM, Tarjeta TF y AUX - 7 Horas de Reproducción, Plegables y Perfectos para Trabajo, Juegos y Estudio</t>
        </is>
      </c>
      <c r="D148" s="17" t="n">
        <v>69.42</v>
      </c>
      <c r="E148" s="18" t="n">
        <v>0.00044980636037326</v>
      </c>
      <c r="F148" s="16" t="n">
        <v>1</v>
      </c>
      <c r="G148" s="16" t="n">
        <v>1</v>
      </c>
      <c r="H148" s="16" t="n">
        <v>1</v>
      </c>
      <c r="I148" s="17" t="n">
        <v>69.42</v>
      </c>
      <c r="J148" s="17" t="n">
        <v>69.42</v>
      </c>
      <c r="K148" s="17" t="n">
        <v>69</v>
      </c>
      <c r="L148" s="17" t="n">
        <v>25.86</v>
      </c>
    </row>
    <row r="149">
      <c r="A149" s="16" t="inlineStr">
        <is>
          <t>5.29-6.4</t>
        </is>
      </c>
      <c r="B149" s="16" t="inlineStr">
        <is>
          <t>TLCD08-16P-N</t>
        </is>
      </c>
      <c r="C149"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D149" s="17" t="n">
        <v>62.01</v>
      </c>
      <c r="E149" s="18" t="n">
        <v>0.0004018197841376685</v>
      </c>
      <c r="F149" s="16" t="n">
        <v>1</v>
      </c>
      <c r="G149" s="16" t="n">
        <v>1</v>
      </c>
      <c r="H149" s="16" t="n">
        <v>1</v>
      </c>
      <c r="I149" s="17" t="n">
        <v>62.01</v>
      </c>
      <c r="J149" s="17" t="n">
        <v>62.01</v>
      </c>
      <c r="K149" s="17" t="n">
        <v>62</v>
      </c>
      <c r="L149" s="17" t="n">
        <v>25.86</v>
      </c>
    </row>
    <row r="150">
      <c r="A150" s="16" t="inlineStr">
        <is>
          <t>5.29-6.4</t>
        </is>
      </c>
      <c r="B150" s="16" t="inlineStr">
        <is>
          <t>i12-N</t>
        </is>
      </c>
      <c r="C150" s="16" t="inlineStr">
        <is>
          <t>Auriculares Inalámbricos TWS - Ideales para Usuarios Android e iPhone, Entusiastas del Deporte &amp; Música, Controles Táctiles, Audífonos Para Correr y Jugar</t>
        </is>
      </c>
      <c r="D150" s="17" t="n">
        <v>16.36</v>
      </c>
      <c r="E150" s="18" t="n">
        <v>0.0001060329100880247</v>
      </c>
      <c r="F150" s="16" t="n">
        <v>1</v>
      </c>
      <c r="G150" s="16" t="n">
        <v>1</v>
      </c>
      <c r="H150" s="16" t="n">
        <v>1</v>
      </c>
      <c r="I150" s="17" t="n">
        <v>16.36</v>
      </c>
      <c r="J150" s="17" t="n">
        <v>16.36</v>
      </c>
      <c r="K150" s="17" t="n">
        <v>45</v>
      </c>
      <c r="L150" s="1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615"/>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22" customWidth="1" min="4" max="4"/>
    <col width="13" customWidth="1" min="5" max="5"/>
    <col width="16"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69" customHeight="1">
      <c r="A1" s="5" t="inlineStr">
        <is>
          <t>周期</t>
        </is>
      </c>
      <c r="B1" s="5" t="inlineStr">
        <is>
          <t>订单ID</t>
        </is>
      </c>
      <c r="C1" s="5" t="inlineStr">
        <is>
          <t>订单状态</t>
        </is>
      </c>
      <c r="D1" s="5" t="inlineStr">
        <is>
          <t>订单行ID</t>
        </is>
      </c>
      <c r="E1" s="5" t="inlineStr">
        <is>
          <t>订单行状态</t>
        </is>
      </c>
      <c r="F1" s="5" t="inlineStr">
        <is>
          <t>SKU</t>
        </is>
      </c>
      <c r="G1" s="5" t="inlineStr">
        <is>
          <t>商品名称</t>
        </is>
      </c>
      <c r="H1" s="5" t="inlineStr">
        <is>
          <t>规格</t>
        </is>
      </c>
      <c r="I1" s="5" t="inlineStr">
        <is>
          <t>销量</t>
        </is>
      </c>
      <c r="J1" s="5" t="inlineStr">
        <is>
          <t>Base price total</t>
        </is>
      </c>
      <c r="K1" s="5" t="inlineStr">
        <is>
          <t>Retail after discounts tax excl.</t>
        </is>
      </c>
      <c r="L1" s="5" t="inlineStr">
        <is>
          <t>Shipping tax excl.</t>
        </is>
      </c>
      <c r="M1" s="5" t="inlineStr">
        <is>
          <t>Product refund</t>
        </is>
      </c>
      <c r="N1" s="5" t="inlineStr">
        <is>
          <t>返还VAT（应收）</t>
        </is>
      </c>
      <c r="O1" s="5" t="inlineStr">
        <is>
          <t>ISR预扣（应扣）</t>
        </is>
      </c>
      <c r="P1" s="5" t="inlineStr">
        <is>
          <t>尾程预估（应扣）</t>
        </is>
      </c>
      <c r="Q1" s="5" t="inlineStr">
        <is>
          <t>GMV</t>
        </is>
      </c>
    </row>
    <row r="2">
      <c r="A2" s="16" t="inlineStr">
        <is>
          <t>5.1-5.7</t>
        </is>
      </c>
      <c r="B2" s="16" t="inlineStr">
        <is>
          <t>PO-128-08362347387513885</t>
        </is>
      </c>
      <c r="C2" s="16" t="inlineStr">
        <is>
          <t>Shipped</t>
        </is>
      </c>
      <c r="D2" s="16" t="inlineStr">
        <is>
          <t>128-08362305444473885</t>
        </is>
      </c>
      <c r="E2" s="16" t="inlineStr">
        <is>
          <t>Shipped</t>
        </is>
      </c>
      <c r="F2" s="16" t="inlineStr">
        <is>
          <t>LV64W25</t>
        </is>
      </c>
      <c r="G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 s="16" t="inlineStr">
        <is>
          <t>Blanco</t>
        </is>
      </c>
      <c r="I2" s="16" t="n">
        <v>1</v>
      </c>
      <c r="J2" s="17" t="n">
        <v>125</v>
      </c>
      <c r="K2" s="17" t="n">
        <v>130.39</v>
      </c>
      <c r="L2" s="17" t="n">
        <v>25.86</v>
      </c>
      <c r="M2" s="17" t="n">
        <v>0</v>
      </c>
      <c r="N2" s="17">
        <f>K2*0.08+L2*0.08</f>
        <v/>
      </c>
      <c r="O2" s="17">
        <f>-(K2*0.025+L2*0.025)</f>
        <v/>
      </c>
      <c r="P2" s="17">
        <f>32</f>
        <v/>
      </c>
      <c r="Q2" s="17">
        <f>J2+L2+N2+O2-P2-M2</f>
        <v/>
      </c>
    </row>
    <row r="3">
      <c r="A3" s="16" t="inlineStr">
        <is>
          <t>5.1-5.7</t>
        </is>
      </c>
      <c r="B3" s="16" t="inlineStr">
        <is>
          <t>PO-128-02765830124153579</t>
        </is>
      </c>
      <c r="C3" s="16" t="inlineStr">
        <is>
          <t>Shipped</t>
        </is>
      </c>
      <c r="D3" s="16" t="inlineStr">
        <is>
          <t>128-02765851095673579</t>
        </is>
      </c>
      <c r="E3" s="16" t="inlineStr">
        <is>
          <t>Shipped</t>
        </is>
      </c>
      <c r="F3" s="16" t="inlineStr">
        <is>
          <t>VA371T</t>
        </is>
      </c>
      <c r="G3" s="16" t="inlineStr">
        <is>
          <t>Linkbits Bocina Bluetooth Portátil 3" de Alta Gama，Hi-Res Audio y Graves Potentes，Luces LED + Soporte USB/TF/FM/TWS，Ideal para Hogar y Aire Libre</t>
        </is>
      </c>
      <c r="H3" s="16" t="inlineStr">
        <is>
          <t>VA371T</t>
        </is>
      </c>
      <c r="I3" s="16" t="n">
        <v>1</v>
      </c>
      <c r="J3" s="17" t="n">
        <v>42</v>
      </c>
      <c r="K3" s="17" t="n">
        <v>50.38</v>
      </c>
      <c r="L3" s="17" t="n">
        <v>25.86</v>
      </c>
      <c r="M3" s="17" t="n">
        <v>0</v>
      </c>
      <c r="N3" s="17">
        <f>K3*0.08+L3*0.08</f>
        <v/>
      </c>
      <c r="O3" s="17">
        <f>-(K3*0.025+L3*0.025)</f>
        <v/>
      </c>
      <c r="P3" s="17">
        <f>32</f>
        <v/>
      </c>
      <c r="Q3" s="17">
        <f>J3+L3+N3+O3-P3-M3</f>
        <v/>
      </c>
    </row>
    <row r="4">
      <c r="A4" s="16" t="inlineStr">
        <is>
          <t>5.1-5.7</t>
        </is>
      </c>
      <c r="B4" s="16" t="inlineStr">
        <is>
          <t>PO-128-18648305500791966</t>
        </is>
      </c>
      <c r="C4" s="16" t="inlineStr">
        <is>
          <t>Shipped</t>
        </is>
      </c>
      <c r="D4" s="16" t="inlineStr">
        <is>
          <t>128-18648357929591966</t>
        </is>
      </c>
      <c r="E4" s="16" t="inlineStr">
        <is>
          <t>Shipped</t>
        </is>
      </c>
      <c r="F4" s="16" t="inlineStr">
        <is>
          <t>LV64W25</t>
        </is>
      </c>
      <c r="G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 s="16" t="inlineStr">
        <is>
          <t>Blanco</t>
        </is>
      </c>
      <c r="I4" s="16" t="n">
        <v>1</v>
      </c>
      <c r="J4" s="17" t="n">
        <v>123</v>
      </c>
      <c r="K4" s="17" t="n">
        <v>120.08</v>
      </c>
      <c r="L4" s="17" t="n">
        <v>25.86</v>
      </c>
      <c r="M4" s="17" t="n">
        <v>0</v>
      </c>
      <c r="N4" s="17">
        <f>K4*0.08+L4*0.08</f>
        <v/>
      </c>
      <c r="O4" s="17">
        <f>-(K4*0.025+L4*0.025)</f>
        <v/>
      </c>
      <c r="P4" s="17">
        <f>32</f>
        <v/>
      </c>
      <c r="Q4" s="17">
        <f>J4+L4+N4+O4-P4-M4</f>
        <v/>
      </c>
    </row>
    <row r="5">
      <c r="A5" s="16" t="inlineStr">
        <is>
          <t>5.1-5.7</t>
        </is>
      </c>
      <c r="B5" s="16" t="inlineStr">
        <is>
          <t>PO-128-11143693194873819</t>
        </is>
      </c>
      <c r="C5" s="16" t="inlineStr">
        <is>
          <t>Delivered</t>
        </is>
      </c>
      <c r="D5" s="16" t="inlineStr">
        <is>
          <t>128-11143703680633819</t>
        </is>
      </c>
      <c r="E5" s="16" t="inlineStr">
        <is>
          <t>Delivered</t>
        </is>
      </c>
      <c r="F5" s="16" t="inlineStr">
        <is>
          <t>i12-B</t>
        </is>
      </c>
      <c r="G5" s="16" t="inlineStr">
        <is>
          <t>Auriculares Inalámbricos TWS - Ideales para Usuarios Android e iPhone, Entusiastas del Deporte &amp; Música, Controles Táctiles, Audífonos Para Correr y Jugar</t>
        </is>
      </c>
      <c r="H5" s="16" t="inlineStr">
        <is>
          <t>Blanco</t>
        </is>
      </c>
      <c r="I5" s="16" t="n">
        <v>1</v>
      </c>
      <c r="J5" s="17" t="n">
        <v>44.8</v>
      </c>
      <c r="K5" s="17" t="n">
        <v>60.98</v>
      </c>
      <c r="L5" s="17" t="n">
        <v>25.86</v>
      </c>
      <c r="M5" s="17" t="n">
        <v>0</v>
      </c>
      <c r="N5" s="17">
        <f>K5*0.08+L5*0.08</f>
        <v/>
      </c>
      <c r="O5" s="17">
        <f>-(K5*0.025+L5*0.025)</f>
        <v/>
      </c>
      <c r="P5" s="17">
        <f>32</f>
        <v/>
      </c>
      <c r="Q5" s="17">
        <f>J5+L5+N5+O5-P5-M5</f>
        <v/>
      </c>
    </row>
    <row r="6">
      <c r="A6" s="16" t="inlineStr">
        <is>
          <t>5.1-5.7</t>
        </is>
      </c>
      <c r="B6" s="16" t="inlineStr">
        <is>
          <t>PO-128-11190445640312322</t>
        </is>
      </c>
      <c r="C6" s="16" t="inlineStr">
        <is>
          <t>Delivered</t>
        </is>
      </c>
      <c r="D6" s="16" t="inlineStr">
        <is>
          <t>128-11190487583352322</t>
        </is>
      </c>
      <c r="E6" s="16" t="inlineStr">
        <is>
          <t>Delivered</t>
        </is>
      </c>
      <c r="F6" s="16" t="inlineStr">
        <is>
          <t>BG-115-B</t>
        </is>
      </c>
      <c r="G6" s="16" t="inlineStr">
        <is>
          <t>LINK BITS Audífonos Inalámbricos con Luces Multicolor, Recargables y en Adorable Forma de Orejas de Gato - Conecta a Celulares y PCs, Tiene Radio FM, Tarjeta TF y AUX - 7 Horas de Reproducción, Plegables y Perfectos para Trabajo, Juegos y Estudio</t>
        </is>
      </c>
      <c r="H6" s="16" t="inlineStr">
        <is>
          <t>blanco</t>
        </is>
      </c>
      <c r="I6" s="16" t="n">
        <v>1</v>
      </c>
      <c r="J6" s="17" t="n">
        <v>80</v>
      </c>
      <c r="K6" s="17" t="n">
        <v>7.98</v>
      </c>
      <c r="L6" s="17" t="n">
        <v>25.86</v>
      </c>
      <c r="M6" s="17" t="n">
        <v>0</v>
      </c>
      <c r="N6" s="17">
        <f>K6*0.08+L6*0.08</f>
        <v/>
      </c>
      <c r="O6" s="17">
        <f>-(K6*0.025+L6*0.025)</f>
        <v/>
      </c>
      <c r="P6" s="17">
        <f>32</f>
        <v/>
      </c>
      <c r="Q6" s="17">
        <f>J6+L6+N6+O6-P6-M6</f>
        <v/>
      </c>
    </row>
    <row r="7">
      <c r="A7" s="16" t="inlineStr">
        <is>
          <t>5.1-5.7</t>
        </is>
      </c>
      <c r="B7" s="16" t="inlineStr">
        <is>
          <t>PO-128-11024514355833377</t>
        </is>
      </c>
      <c r="C7" s="16" t="inlineStr">
        <is>
          <t>Delivered</t>
        </is>
      </c>
      <c r="D7" s="16" t="inlineStr">
        <is>
          <t>128-11024619213433377</t>
        </is>
      </c>
      <c r="E7" s="16" t="inlineStr">
        <is>
          <t>Delivered</t>
        </is>
      </c>
      <c r="F7" s="16" t="inlineStr">
        <is>
          <t>TL2663N18C</t>
        </is>
      </c>
      <c r="G7" s="16" t="inlineStr">
        <is>
          <t>Linkbits，Soporte de pared fijo para televisores de 26"-63", Ultra-Delgado Compatible con VESA 400x400mm, Capacidad de Peso Fuerte de 25KG, Instalación Fácil Sin Electricidad</t>
        </is>
      </c>
      <c r="H7" s="16" t="inlineStr">
        <is>
          <t>NEGRO</t>
        </is>
      </c>
      <c r="I7" s="16" t="n">
        <v>1</v>
      </c>
      <c r="J7" s="17" t="n">
        <v>55.5</v>
      </c>
      <c r="K7" s="17" t="n">
        <v>70.48999999999999</v>
      </c>
      <c r="L7" s="17" t="n">
        <v>25.86</v>
      </c>
      <c r="M7" s="17" t="n">
        <v>0</v>
      </c>
      <c r="N7" s="17">
        <f>K7*0.08+L7*0.08</f>
        <v/>
      </c>
      <c r="O7" s="17">
        <f>-(K7*0.025+L7*0.025)</f>
        <v/>
      </c>
      <c r="P7" s="17">
        <f>32</f>
        <v/>
      </c>
      <c r="Q7" s="17">
        <f>J7+L7+N7+O7-P7-M7</f>
        <v/>
      </c>
    </row>
    <row r="8">
      <c r="A8" s="16" t="inlineStr">
        <is>
          <t>5.1-5.7</t>
        </is>
      </c>
      <c r="B8" s="16" t="inlineStr">
        <is>
          <t>PO-128-11074823783033141</t>
        </is>
      </c>
      <c r="C8" s="16" t="inlineStr">
        <is>
          <t>Delivered</t>
        </is>
      </c>
      <c r="D8" s="16" t="inlineStr">
        <is>
          <t>128-11074834268793141</t>
        </is>
      </c>
      <c r="E8" s="16" t="inlineStr">
        <is>
          <t>Delivered</t>
        </is>
      </c>
      <c r="F8" s="16" t="inlineStr">
        <is>
          <t>LV54W25</t>
        </is>
      </c>
      <c r="G8" s="16" t="inlineStr">
        <is>
          <t>TIANLAI Lámpara Ventilador E27 2 en 1, Silenciosa, LED Alta Luminosidad 180°, Instalación Rápida, Ahorro Energético para Dormitorio y Interiores Pequeños</t>
        </is>
      </c>
      <c r="H8" s="16" t="inlineStr">
        <is>
          <t>1 Pieza</t>
        </is>
      </c>
      <c r="I8" s="16" t="n">
        <v>1</v>
      </c>
      <c r="J8" s="17" t="n">
        <v>79</v>
      </c>
      <c r="K8" s="17" t="n">
        <v>96.2</v>
      </c>
      <c r="L8" s="17" t="n">
        <v>25.86</v>
      </c>
      <c r="M8" s="17" t="n">
        <v>0</v>
      </c>
      <c r="N8" s="17">
        <f>K8*0.08+L8*0.08</f>
        <v/>
      </c>
      <c r="O8" s="17">
        <f>-(K8*0.025+L8*0.025)</f>
        <v/>
      </c>
      <c r="P8" s="17">
        <f>32</f>
        <v/>
      </c>
      <c r="Q8" s="17">
        <f>J8+L8+N8+O8-P8-M8</f>
        <v/>
      </c>
    </row>
    <row r="9">
      <c r="A9" s="16" t="inlineStr">
        <is>
          <t>5.1-5.7</t>
        </is>
      </c>
      <c r="B9" s="16" t="inlineStr">
        <is>
          <t>PO-128-11609411338870979</t>
        </is>
      </c>
      <c r="C9" s="16" t="inlineStr">
        <is>
          <t>Delivered</t>
        </is>
      </c>
      <c r="D9" s="16" t="inlineStr">
        <is>
          <t>128-11609390367350979</t>
        </is>
      </c>
      <c r="E9" s="16" t="inlineStr">
        <is>
          <t>Delivered</t>
        </is>
      </c>
      <c r="F9" s="16" t="inlineStr">
        <is>
          <t>LV54W25</t>
        </is>
      </c>
      <c r="G9" s="16" t="inlineStr">
        <is>
          <t>TIANLAI Lámpara Ventilador E27 2 en 1, Silenciosa, LED Alta Luminosidad 180°, Instalación Rápida, Ahorro Energético para Dormitorio y Interiores Pequeños</t>
        </is>
      </c>
      <c r="H9" s="16" t="inlineStr">
        <is>
          <t>1 Pieza</t>
        </is>
      </c>
      <c r="I9" s="16" t="n">
        <v>1</v>
      </c>
      <c r="J9" s="17" t="n">
        <v>79</v>
      </c>
      <c r="K9" s="17" t="n">
        <v>96.2</v>
      </c>
      <c r="L9" s="17" t="n">
        <v>25.86</v>
      </c>
      <c r="M9" s="17" t="n">
        <v>0</v>
      </c>
      <c r="N9" s="17">
        <f>K9*0.08+L9*0.08</f>
        <v/>
      </c>
      <c r="O9" s="17">
        <f>-(K9*0.025+L9*0.025)</f>
        <v/>
      </c>
      <c r="P9" s="17">
        <f>32</f>
        <v/>
      </c>
      <c r="Q9" s="17">
        <f>J9+L9+N9+O9-P9-M9</f>
        <v/>
      </c>
    </row>
    <row r="10">
      <c r="A10" s="16" t="inlineStr">
        <is>
          <t>5.1-5.7</t>
        </is>
      </c>
      <c r="B10" s="16" t="inlineStr">
        <is>
          <t>PO-128-11347363272311453</t>
        </is>
      </c>
      <c r="C10" s="16" t="inlineStr">
        <is>
          <t>Delivered</t>
        </is>
      </c>
      <c r="D10" s="16" t="inlineStr">
        <is>
          <t>128-11347368515191453</t>
        </is>
      </c>
      <c r="E10" s="16" t="inlineStr">
        <is>
          <t>Delivered</t>
        </is>
      </c>
      <c r="F10" s="16" t="inlineStr">
        <is>
          <t>TL2663N18C</t>
        </is>
      </c>
      <c r="G10" s="16" t="inlineStr">
        <is>
          <t>Linkbits，Soporte de pared fijo para televisores de 26"-63", Ultra-Delgado Compatible con VESA 400x400mm, Capacidad de Peso Fuerte de 25KG, Instalación Fácil Sin Electricidad</t>
        </is>
      </c>
      <c r="H10" s="16" t="inlineStr">
        <is>
          <t>NEGRO</t>
        </is>
      </c>
      <c r="I10" s="16" t="n">
        <v>1</v>
      </c>
      <c r="J10" s="17" t="n">
        <v>55.5</v>
      </c>
      <c r="K10" s="17" t="n">
        <v>49.67</v>
      </c>
      <c r="L10" s="17" t="n">
        <v>25.86</v>
      </c>
      <c r="M10" s="17" t="n">
        <v>0</v>
      </c>
      <c r="N10" s="17">
        <f>K10*0.08+L10*0.08</f>
        <v/>
      </c>
      <c r="O10" s="17">
        <f>-(K10*0.025+L10*0.025)</f>
        <v/>
      </c>
      <c r="P10" s="17">
        <f>32</f>
        <v/>
      </c>
      <c r="Q10" s="17">
        <f>J10+L10+N10+O10-P10-M10</f>
        <v/>
      </c>
    </row>
    <row r="11">
      <c r="A11" s="16" t="inlineStr">
        <is>
          <t>5.1-5.7</t>
        </is>
      </c>
      <c r="B11" s="16" t="inlineStr">
        <is>
          <t>PO-128-11370100040311317</t>
        </is>
      </c>
      <c r="C11" s="16" t="inlineStr">
        <is>
          <t>Delivered</t>
        </is>
      </c>
      <c r="D11" s="16" t="inlineStr">
        <is>
          <t>128-11370110526071317</t>
        </is>
      </c>
      <c r="E11" s="16" t="inlineStr">
        <is>
          <t>Delivered</t>
        </is>
      </c>
      <c r="F11" s="16" t="inlineStr">
        <is>
          <t>KTS-2031</t>
        </is>
      </c>
      <c r="G11" s="16" t="inlineStr">
        <is>
          <t>Bocina inalámbrica de 3 pulgadas con linterna multifuncional y panel solar integrado.Altavoz Portátil con Linterna LED 4 Modos, Radio FM, Bluetooth, Carga Solar, Ideal para Apagones, Emergencias, Campo y Exteriores</t>
        </is>
      </c>
      <c r="H11" s="16" t="inlineStr">
        <is>
          <t>NEGRO</t>
        </is>
      </c>
      <c r="I11" s="16" t="n">
        <v>1</v>
      </c>
      <c r="J11" s="17" t="n">
        <v>105.26</v>
      </c>
      <c r="K11" s="17" t="n">
        <v>114.5</v>
      </c>
      <c r="L11" s="17" t="n">
        <v>25.86</v>
      </c>
      <c r="M11" s="17" t="n">
        <v>0</v>
      </c>
      <c r="N11" s="17">
        <f>K11*0.08+L11*0.08</f>
        <v/>
      </c>
      <c r="O11" s="17">
        <f>-(K11*0.025+L11*0.025)</f>
        <v/>
      </c>
      <c r="P11" s="17">
        <f>32</f>
        <v/>
      </c>
      <c r="Q11" s="17">
        <f>J11+L11+N11+O11-P11-M11</f>
        <v/>
      </c>
    </row>
    <row r="12">
      <c r="A12" s="16" t="inlineStr">
        <is>
          <t>5.1-5.7</t>
        </is>
      </c>
      <c r="B12" s="16" t="inlineStr">
        <is>
          <t>PO-128-11298816318072700</t>
        </is>
      </c>
      <c r="C12" s="16" t="inlineStr">
        <is>
          <t>Delivered</t>
        </is>
      </c>
      <c r="D12" s="16" t="inlineStr">
        <is>
          <t>128-11298805832312700</t>
        </is>
      </c>
      <c r="E12" s="16" t="inlineStr">
        <is>
          <t>Delivered</t>
        </is>
      </c>
      <c r="F12" s="16" t="inlineStr">
        <is>
          <t>LV54W25</t>
        </is>
      </c>
      <c r="G12" s="16" t="inlineStr">
        <is>
          <t>TIANLAI Lámpara Ventilador E27 2 en 1, Silenciosa, LED Alta Luminosidad 180°, Instalación Rápida, Ahorro Energético para Dormitorio y Interiores Pequeños</t>
        </is>
      </c>
      <c r="H12" s="16" t="inlineStr">
        <is>
          <t>1 Pieza</t>
        </is>
      </c>
      <c r="I12" s="16" t="n">
        <v>3</v>
      </c>
      <c r="J12" s="17" t="n">
        <v>237</v>
      </c>
      <c r="K12" s="17" t="n">
        <v>241.25</v>
      </c>
      <c r="L12" s="17" t="n">
        <v>0</v>
      </c>
      <c r="M12" s="17" t="n">
        <v>0</v>
      </c>
      <c r="N12" s="17">
        <f>K12*0.08+L12*0.08</f>
        <v/>
      </c>
      <c r="O12" s="17">
        <f>-(K12*0.025+L12*0.025)</f>
        <v/>
      </c>
      <c r="P12" s="17">
        <f>32</f>
        <v/>
      </c>
      <c r="Q12" s="17">
        <f>J12+L12+N12+O12-P12-M12</f>
        <v/>
      </c>
    </row>
    <row r="13">
      <c r="A13" s="16" t="inlineStr">
        <is>
          <t>5.1-5.7</t>
        </is>
      </c>
      <c r="B13" s="16" t="inlineStr">
        <is>
          <t>PO-128-11346570619511456</t>
        </is>
      </c>
      <c r="C13" s="16" t="inlineStr">
        <is>
          <t>Delivered</t>
        </is>
      </c>
      <c r="D13" s="16" t="inlineStr">
        <is>
          <t>128-11346528676471456</t>
        </is>
      </c>
      <c r="E13" s="16" t="inlineStr">
        <is>
          <t>Delivered</t>
        </is>
      </c>
      <c r="F13" s="16" t="inlineStr">
        <is>
          <t>LV54W25</t>
        </is>
      </c>
      <c r="G13" s="16" t="inlineStr">
        <is>
          <t>TIANLAI Lámpara Ventilador E27 2 en 1, Silenciosa, LED Alta Luminosidad 180°, Instalación Rápida, Ahorro Energético para Dormitorio y Interiores Pequeños</t>
        </is>
      </c>
      <c r="H13" s="16" t="inlineStr">
        <is>
          <t>1 Pieza</t>
        </is>
      </c>
      <c r="I13" s="16" t="n">
        <v>3</v>
      </c>
      <c r="J13" s="17" t="n">
        <v>279.42</v>
      </c>
      <c r="K13" s="17" t="n">
        <v>264.81</v>
      </c>
      <c r="L13" s="17" t="n">
        <v>0</v>
      </c>
      <c r="M13" s="17" t="n">
        <v>0</v>
      </c>
      <c r="N13" s="17">
        <f>K13*0.08+L13*0.08</f>
        <v/>
      </c>
      <c r="O13" s="17">
        <f>-(K13*0.025+L13*0.025)</f>
        <v/>
      </c>
      <c r="P13" s="17">
        <f>32</f>
        <v/>
      </c>
      <c r="Q13" s="17">
        <f>J13+L13+N13+O13-P13-M13</f>
        <v/>
      </c>
    </row>
    <row r="14">
      <c r="A14" s="16" t="inlineStr">
        <is>
          <t>5.1-5.7</t>
        </is>
      </c>
      <c r="B14" s="16" t="inlineStr">
        <is>
          <t>PO-128-11537646418550319</t>
        </is>
      </c>
      <c r="C14" s="16" t="inlineStr">
        <is>
          <t>Delivered</t>
        </is>
      </c>
      <c r="D14" s="16" t="inlineStr">
        <is>
          <t>128-11537593989750319</t>
        </is>
      </c>
      <c r="E14" s="16" t="inlineStr">
        <is>
          <t>Delivered</t>
        </is>
      </c>
      <c r="F14" s="16" t="inlineStr">
        <is>
          <t>TL2663N18C</t>
        </is>
      </c>
      <c r="G14" s="16" t="inlineStr">
        <is>
          <t>Linkbits，Soporte de pared fijo para televisores de 26"-63", Ultra-Delgado Compatible con VESA 400x400mm, Capacidad de Peso Fuerte de 25KG, Instalación Fácil Sin Electricidad</t>
        </is>
      </c>
      <c r="H14" s="16" t="inlineStr">
        <is>
          <t>NEGRO</t>
        </is>
      </c>
      <c r="I14" s="16" t="n">
        <v>1</v>
      </c>
      <c r="J14" s="17" t="n">
        <v>55.5</v>
      </c>
      <c r="K14" s="17" t="n">
        <v>59.92</v>
      </c>
      <c r="L14" s="17" t="n">
        <v>25.86</v>
      </c>
      <c r="M14" s="17" t="n">
        <v>0</v>
      </c>
      <c r="N14" s="17">
        <f>K14*0.08+L14*0.08</f>
        <v/>
      </c>
      <c r="O14" s="17">
        <f>-(K14*0.025+L14*0.025)</f>
        <v/>
      </c>
      <c r="P14" s="17">
        <f>32</f>
        <v/>
      </c>
      <c r="Q14" s="17">
        <f>J14+L14+N14+O14-P14-M14</f>
        <v/>
      </c>
    </row>
    <row r="15">
      <c r="A15" s="16" t="inlineStr">
        <is>
          <t>5.1-5.7</t>
        </is>
      </c>
      <c r="B15" s="16" t="inlineStr">
        <is>
          <t>PO-128-11336088146552670</t>
        </is>
      </c>
      <c r="C15" s="16" t="inlineStr">
        <is>
          <t>Delivered</t>
        </is>
      </c>
      <c r="D15" s="16" t="inlineStr">
        <is>
          <t>128-11336098632312670</t>
        </is>
      </c>
      <c r="E15" s="16" t="inlineStr">
        <is>
          <t>Delivered</t>
        </is>
      </c>
      <c r="F15" s="16" t="inlineStr">
        <is>
          <t>LV54W25</t>
        </is>
      </c>
      <c r="G15" s="16" t="inlineStr">
        <is>
          <t>TIANLAI Lámpara Ventilador E27 2 en 1, Silenciosa, LED Alta Luminosidad 180°, Instalación Rápida, Ahorro Energético para Dormitorio y Interiores Pequeños</t>
        </is>
      </c>
      <c r="H15" s="16" t="inlineStr">
        <is>
          <t>1 Pieza</t>
        </is>
      </c>
      <c r="I15" s="16" t="n">
        <v>2</v>
      </c>
      <c r="J15" s="17" t="n">
        <v>186.28</v>
      </c>
      <c r="K15" s="17" t="n">
        <v>220.68</v>
      </c>
      <c r="L15" s="17" t="n">
        <v>25.86</v>
      </c>
      <c r="M15" s="17" t="n">
        <v>0</v>
      </c>
      <c r="N15" s="17">
        <f>K15*0.08+L15*0.08</f>
        <v/>
      </c>
      <c r="O15" s="17">
        <f>-(K15*0.025+L15*0.025)</f>
        <v/>
      </c>
      <c r="P15" s="17">
        <f>32</f>
        <v/>
      </c>
      <c r="Q15" s="17">
        <f>J15+L15+N15+O15-P15-M15</f>
        <v/>
      </c>
    </row>
    <row r="16">
      <c r="A16" s="16" t="inlineStr">
        <is>
          <t>5.1-5.7</t>
        </is>
      </c>
      <c r="B16" s="16" t="inlineStr">
        <is>
          <t>PO-128-11129349376633774</t>
        </is>
      </c>
      <c r="C16" s="16" t="inlineStr">
        <is>
          <t>Delivered</t>
        </is>
      </c>
      <c r="D16" s="16" t="inlineStr">
        <is>
          <t>128-11129380833913774</t>
        </is>
      </c>
      <c r="E16" s="16" t="inlineStr">
        <is>
          <t>Delivered</t>
        </is>
      </c>
      <c r="F16" s="16" t="inlineStr">
        <is>
          <t>BG-115-P</t>
        </is>
      </c>
      <c r="G16" s="16" t="inlineStr">
        <is>
          <t>LINK BITS Audífonos Inalámbricos con Luces Multicolor, Recargables y en Adorable Forma de Orejas de Gato - Conecta a Celulares y PCs, Tiene Radio FM, Tarjeta TF y AUX - 7 Horas de Reproducción, Plegables y Perfectos para Trabajo, Juegos y Estudio</t>
        </is>
      </c>
      <c r="H16" s="16" t="inlineStr">
        <is>
          <t>rosa</t>
        </is>
      </c>
      <c r="I16" s="16" t="n">
        <v>1</v>
      </c>
      <c r="J16" s="17" t="n">
        <v>85</v>
      </c>
      <c r="K16" s="17" t="n">
        <v>95.73999999999999</v>
      </c>
      <c r="L16" s="17" t="n">
        <v>25.86</v>
      </c>
      <c r="M16" s="17" t="n">
        <v>0</v>
      </c>
      <c r="N16" s="17">
        <f>K16*0.08+L16*0.08</f>
        <v/>
      </c>
      <c r="O16" s="17">
        <f>-(K16*0.025+L16*0.025)</f>
        <v/>
      </c>
      <c r="P16" s="17">
        <f>32</f>
        <v/>
      </c>
      <c r="Q16" s="17">
        <f>J16+L16+N16+O16-P16-M16</f>
        <v/>
      </c>
    </row>
    <row r="17">
      <c r="A17" s="16" t="inlineStr">
        <is>
          <t>5.1-5.7</t>
        </is>
      </c>
      <c r="B17" s="16" t="inlineStr">
        <is>
          <t>PO-128-11308607693432770</t>
        </is>
      </c>
      <c r="C17" s="16" t="inlineStr">
        <is>
          <t>Delivered</t>
        </is>
      </c>
      <c r="D17" s="16" t="inlineStr">
        <is>
          <t>128-11308591964792770</t>
        </is>
      </c>
      <c r="E17" s="16" t="inlineStr">
        <is>
          <t>Delivered</t>
        </is>
      </c>
      <c r="F17" s="16" t="inlineStr">
        <is>
          <t>VB349T</t>
        </is>
      </c>
      <c r="G17" s="16" t="inlineStr">
        <is>
          <t>LINKBITS Altavoz Portátil de Doble Altavoz - 3 Pulgadas, Sonido HD, Emparejamiento Rápido de Bluetooth, Conectividad TWS, Reproducción Multimodo (Micro SD/USB/Radio FM) - Perfecto para Oficina, Viajes y Espacios Pequeños</t>
        </is>
      </c>
      <c r="H17" s="16" t="inlineStr">
        <is>
          <t>NEGRO</t>
        </is>
      </c>
      <c r="I17" s="16" t="n">
        <v>1</v>
      </c>
      <c r="J17" s="17" t="n">
        <v>81</v>
      </c>
      <c r="K17" s="17" t="n">
        <v>94.27</v>
      </c>
      <c r="L17" s="17" t="n">
        <v>25.86</v>
      </c>
      <c r="M17" s="17" t="n">
        <v>0</v>
      </c>
      <c r="N17" s="17">
        <f>K17*0.08+L17*0.08</f>
        <v/>
      </c>
      <c r="O17" s="17">
        <f>-(K17*0.025+L17*0.025)</f>
        <v/>
      </c>
      <c r="P17" s="17">
        <f>32</f>
        <v/>
      </c>
      <c r="Q17" s="17">
        <f>J17+L17+N17+O17-P17-M17</f>
        <v/>
      </c>
    </row>
    <row r="18">
      <c r="A18" s="16" t="inlineStr">
        <is>
          <t>5.1-5.7</t>
        </is>
      </c>
      <c r="B18" s="16" t="inlineStr">
        <is>
          <t>PO-128-11662079939190537</t>
        </is>
      </c>
      <c r="C18" s="16" t="inlineStr">
        <is>
          <t>Delivered</t>
        </is>
      </c>
      <c r="D18" s="16" t="inlineStr">
        <is>
          <t>128-11662037996150537</t>
        </is>
      </c>
      <c r="E18" s="16" t="inlineStr">
        <is>
          <t>Delivered</t>
        </is>
      </c>
      <c r="F18" s="16" t="inlineStr">
        <is>
          <t>KTS-2031</t>
        </is>
      </c>
      <c r="G18" s="16" t="inlineStr">
        <is>
          <t>Bocina inalámbrica de 3 pulgadas con linterna multifuncional y panel solar integrado.Altavoz Portátil con Linterna LED 4 Modos, Radio FM, Bluetooth, Carga Solar, Ideal para Apagones, Emergencias, Campo y Exteriores</t>
        </is>
      </c>
      <c r="H18" s="16" t="inlineStr">
        <is>
          <t>NEGRO</t>
        </is>
      </c>
      <c r="I18" s="16" t="n">
        <v>1</v>
      </c>
      <c r="J18" s="17" t="n">
        <v>75</v>
      </c>
      <c r="K18" s="17" t="n">
        <v>67.39</v>
      </c>
      <c r="L18" s="17" t="n">
        <v>25.86</v>
      </c>
      <c r="M18" s="17" t="n">
        <v>13.96</v>
      </c>
      <c r="N18" s="17">
        <f>K18*0.08+L18*0.08</f>
        <v/>
      </c>
      <c r="O18" s="17">
        <f>-(K18*0.025+L18*0.025)</f>
        <v/>
      </c>
      <c r="P18" s="17">
        <f>32</f>
        <v/>
      </c>
      <c r="Q18" s="17">
        <f>J18+L18+N18+O18-P18-M18</f>
        <v/>
      </c>
    </row>
    <row r="19">
      <c r="A19" s="16" t="inlineStr">
        <is>
          <t>5.1-5.7</t>
        </is>
      </c>
      <c r="B19" s="16" t="inlineStr">
        <is>
          <t>PO-128-11021079020153332</t>
        </is>
      </c>
      <c r="C19" s="16" t="inlineStr">
        <is>
          <t>Delivered</t>
        </is>
      </c>
      <c r="D19" s="16" t="inlineStr">
        <is>
          <t>128-11021037077113332</t>
        </is>
      </c>
      <c r="E19" s="16" t="inlineStr">
        <is>
          <t>Delivered</t>
        </is>
      </c>
      <c r="F19" s="16" t="inlineStr">
        <is>
          <t>LV54W25</t>
        </is>
      </c>
      <c r="G19" s="16" t="inlineStr">
        <is>
          <t>TIANLAI Lámpara Ventilador E27 2 en 1, Silenciosa, LED Alta Luminosidad 180°, Instalación Rápida, Ahorro Energético para Dormitorio y Interiores Pequeños</t>
        </is>
      </c>
      <c r="H19" s="16" t="inlineStr">
        <is>
          <t>1 Pieza</t>
        </is>
      </c>
      <c r="I19" s="16" t="n">
        <v>3</v>
      </c>
      <c r="J19" s="17" t="n">
        <v>237</v>
      </c>
      <c r="K19" s="17" t="n">
        <v>288.6</v>
      </c>
      <c r="L19" s="17" t="n">
        <v>0</v>
      </c>
      <c r="M19" s="17" t="n">
        <v>0</v>
      </c>
      <c r="N19" s="17">
        <f>K19*0.08+L19*0.08</f>
        <v/>
      </c>
      <c r="O19" s="17">
        <f>-(K19*0.025+L19*0.025)</f>
        <v/>
      </c>
      <c r="P19" s="17">
        <f>32</f>
        <v/>
      </c>
      <c r="Q19" s="17">
        <f>J19+L19+N19+O19-P19-M19</f>
        <v/>
      </c>
    </row>
    <row r="20">
      <c r="A20" s="16" t="inlineStr">
        <is>
          <t>5.1-5.7</t>
        </is>
      </c>
      <c r="B20" s="16" t="inlineStr">
        <is>
          <t>PO-128-00567802363510166</t>
        </is>
      </c>
      <c r="C20" s="16" t="inlineStr">
        <is>
          <t>Delivered</t>
        </is>
      </c>
      <c r="D20" s="16" t="inlineStr">
        <is>
          <t>128-00567854792310166</t>
        </is>
      </c>
      <c r="E20" s="16" t="inlineStr">
        <is>
          <t>Delivered</t>
        </is>
      </c>
      <c r="F20" s="16" t="inlineStr">
        <is>
          <t>LV54W25</t>
        </is>
      </c>
      <c r="G20" s="16" t="inlineStr">
        <is>
          <t>TIANLAI Lámpara Ventilador E27 2 en 1, Silenciosa, LED Alta Luminosidad 180°, Instalación Rápida, Ahorro Energético para Dormitorio y Interiores Pequeños</t>
        </is>
      </c>
      <c r="H20" s="16" t="inlineStr">
        <is>
          <t>1 Pieza</t>
        </is>
      </c>
      <c r="I20" s="16" t="n">
        <v>1</v>
      </c>
      <c r="J20" s="17" t="n">
        <v>79</v>
      </c>
      <c r="K20" s="17" t="n">
        <v>81.39</v>
      </c>
      <c r="L20" s="17" t="n">
        <v>25.86</v>
      </c>
      <c r="M20" s="17" t="n">
        <v>0</v>
      </c>
      <c r="N20" s="17">
        <f>K20*0.08+L20*0.08</f>
        <v/>
      </c>
      <c r="O20" s="17">
        <f>-(K20*0.025+L20*0.025)</f>
        <v/>
      </c>
      <c r="P20" s="17">
        <f>32</f>
        <v/>
      </c>
      <c r="Q20" s="17">
        <f>J20+L20+N20+O20-P20-M20</f>
        <v/>
      </c>
    </row>
    <row r="21">
      <c r="A21" s="16" t="inlineStr">
        <is>
          <t>5.1-5.7</t>
        </is>
      </c>
      <c r="B21" s="16" t="inlineStr">
        <is>
          <t>PO-128-00183200791672525</t>
        </is>
      </c>
      <c r="C21" s="16" t="inlineStr">
        <is>
          <t>Delivered</t>
        </is>
      </c>
      <c r="D21" s="16" t="inlineStr">
        <is>
          <t>128-00183158848632525</t>
        </is>
      </c>
      <c r="E21" s="16" t="inlineStr">
        <is>
          <t>Delivered</t>
        </is>
      </c>
      <c r="F21" s="16" t="inlineStr">
        <is>
          <t>LV54W25</t>
        </is>
      </c>
      <c r="G21" s="16" t="inlineStr">
        <is>
          <t>TIANLAI Lámpara Ventilador E27 2 en 1, Silenciosa, LED Alta Luminosidad 180°, Instalación Rápida, Ahorro Energético para Dormitorio y Interiores Pequeños</t>
        </is>
      </c>
      <c r="H21" s="16" t="inlineStr">
        <is>
          <t>1 Pieza</t>
        </is>
      </c>
      <c r="I21" s="16" t="n">
        <v>1</v>
      </c>
      <c r="J21" s="17" t="n">
        <v>79</v>
      </c>
      <c r="K21" s="17" t="n">
        <v>96.2</v>
      </c>
      <c r="L21" s="17" t="n">
        <v>25.86</v>
      </c>
      <c r="M21" s="17" t="n">
        <v>0</v>
      </c>
      <c r="N21" s="17">
        <f>K21*0.08+L21*0.08</f>
        <v/>
      </c>
      <c r="O21" s="17">
        <f>-(K21*0.025+L21*0.025)</f>
        <v/>
      </c>
      <c r="P21" s="17">
        <f>32</f>
        <v/>
      </c>
      <c r="Q21" s="17">
        <f>J21+L21+N21+O21-P21-M21</f>
        <v/>
      </c>
    </row>
    <row r="22">
      <c r="A22" s="16" t="inlineStr">
        <is>
          <t>5.1-5.7</t>
        </is>
      </c>
      <c r="B22" s="16" t="inlineStr">
        <is>
          <t>PO-128-00609243367030945</t>
        </is>
      </c>
      <c r="C22" s="16" t="inlineStr">
        <is>
          <t>Delivered</t>
        </is>
      </c>
      <c r="D22" s="16" t="inlineStr">
        <is>
          <t>128-00609285310070945</t>
        </is>
      </c>
      <c r="E22" s="16" t="inlineStr">
        <is>
          <t>Delivered</t>
        </is>
      </c>
      <c r="F22" s="16" t="inlineStr">
        <is>
          <t>KTS-2031</t>
        </is>
      </c>
      <c r="G22" s="16" t="inlineStr">
        <is>
          <t>Bocina inalámbrica de 3 pulgadas con linterna multifuncional y panel solar integrado.Altavoz Portátil con Linterna LED 4 Modos, Radio FM, Bluetooth, Carga Solar, Ideal para Apagones, Emergencias, Campo y Exteriores</t>
        </is>
      </c>
      <c r="H22" s="16" t="inlineStr">
        <is>
          <t>NEGRO</t>
        </is>
      </c>
      <c r="I22" s="16" t="n">
        <v>1</v>
      </c>
      <c r="J22" s="17" t="n">
        <v>75</v>
      </c>
      <c r="K22" s="17" t="n">
        <v>1.47</v>
      </c>
      <c r="L22" s="17" t="n">
        <v>25.86</v>
      </c>
      <c r="M22" s="17" t="n">
        <v>0</v>
      </c>
      <c r="N22" s="17">
        <f>K22*0.08+L22*0.08</f>
        <v/>
      </c>
      <c r="O22" s="17">
        <f>-(K22*0.025+L22*0.025)</f>
        <v/>
      </c>
      <c r="P22" s="17">
        <f>32</f>
        <v/>
      </c>
      <c r="Q22" s="17">
        <f>J22+L22+N22+O22-P22-M22</f>
        <v/>
      </c>
    </row>
    <row r="23">
      <c r="A23" s="16" t="inlineStr">
        <is>
          <t>5.1-5.7</t>
        </is>
      </c>
      <c r="B23" s="16" t="inlineStr">
        <is>
          <t>PO-128-00251074419832118</t>
        </is>
      </c>
      <c r="C23" s="16" t="inlineStr">
        <is>
          <t>Delivered</t>
        </is>
      </c>
      <c r="D23" s="16" t="inlineStr">
        <is>
          <t>128-00251150441592118</t>
        </is>
      </c>
      <c r="E23" s="16" t="inlineStr">
        <is>
          <t>Delivered</t>
        </is>
      </c>
      <c r="F23" s="16" t="inlineStr">
        <is>
          <t>LV54W25</t>
        </is>
      </c>
      <c r="G23" s="16" t="inlineStr">
        <is>
          <t>TIANLAI Lámpara Ventilador E27 2 en 1, Silenciosa, LED Alta Luminosidad 180°, Instalación Rápida, Ahorro Energético para Dormitorio y Interiores Pequeños</t>
        </is>
      </c>
      <c r="H23" s="16" t="inlineStr">
        <is>
          <t>1 Pieza</t>
        </is>
      </c>
      <c r="I23" s="16" t="n">
        <v>1</v>
      </c>
      <c r="J23" s="17" t="n">
        <v>79</v>
      </c>
      <c r="K23" s="17" t="n">
        <v>82.73</v>
      </c>
      <c r="L23" s="17" t="n">
        <v>25.86</v>
      </c>
      <c r="M23" s="17" t="n">
        <v>0</v>
      </c>
      <c r="N23" s="17">
        <f>K23*0.08+L23*0.08</f>
        <v/>
      </c>
      <c r="O23" s="17">
        <f>-(K23*0.025+L23*0.025)</f>
        <v/>
      </c>
      <c r="P23" s="17">
        <f>32</f>
        <v/>
      </c>
      <c r="Q23" s="17">
        <f>J23+L23+N23+O23-P23-M23</f>
        <v/>
      </c>
    </row>
    <row r="24">
      <c r="A24" s="16" t="inlineStr">
        <is>
          <t>5.1-5.7</t>
        </is>
      </c>
      <c r="B24" s="16" t="inlineStr">
        <is>
          <t>PO-128-00557438159990356</t>
        </is>
      </c>
      <c r="C24" s="16" t="inlineStr">
        <is>
          <t>Delivered</t>
        </is>
      </c>
      <c r="D24" s="16" t="inlineStr">
        <is>
          <t>128-00557490588790356</t>
        </is>
      </c>
      <c r="E24" s="16" t="inlineStr">
        <is>
          <t>Delivered</t>
        </is>
      </c>
      <c r="F24" s="16" t="inlineStr">
        <is>
          <t>LV54W25</t>
        </is>
      </c>
      <c r="G24" s="16" t="inlineStr">
        <is>
          <t>TIANLAI Lámpara Ventilador E27 2 en 1, Silenciosa, LED Alta Luminosidad 180°, Instalación Rápida, Ahorro Energético para Dormitorio y Interiores Pequeños</t>
        </is>
      </c>
      <c r="H24" s="16" t="inlineStr">
        <is>
          <t>1 Pieza</t>
        </is>
      </c>
      <c r="I24" s="16" t="n">
        <v>2</v>
      </c>
      <c r="J24" s="17" t="n">
        <v>158</v>
      </c>
      <c r="K24" s="17" t="n">
        <v>140.64</v>
      </c>
      <c r="L24" s="17" t="n">
        <v>25.86</v>
      </c>
      <c r="M24" s="17" t="n">
        <v>0</v>
      </c>
      <c r="N24" s="17">
        <f>K24*0.08+L24*0.08</f>
        <v/>
      </c>
      <c r="O24" s="17">
        <f>-(K24*0.025+L24*0.025)</f>
        <v/>
      </c>
      <c r="P24" s="17">
        <f>32</f>
        <v/>
      </c>
      <c r="Q24" s="17">
        <f>J24+L24+N24+O24-P24-M24</f>
        <v/>
      </c>
    </row>
    <row r="25">
      <c r="A25" s="16" t="inlineStr">
        <is>
          <t>5.1-5.7</t>
        </is>
      </c>
      <c r="B25" s="16" t="inlineStr">
        <is>
          <t>PO-128-00215370051192205</t>
        </is>
      </c>
      <c r="C25" s="16" t="inlineStr">
        <is>
          <t>Delivered</t>
        </is>
      </c>
      <c r="D25" s="16" t="inlineStr">
        <is>
          <t>128-00215391022712205</t>
        </is>
      </c>
      <c r="E25" s="16" t="inlineStr">
        <is>
          <t>Delivered</t>
        </is>
      </c>
      <c r="F25" s="16" t="inlineStr">
        <is>
          <t>SB428T</t>
        </is>
      </c>
      <c r="G25" s="16" t="inlineStr">
        <is>
          <t>LINK BITS La bocina es tu compañero ideal para reuniones en México! Equipada con 2 altavoces de 4 pulgadas y potencia 5W×2, USB y TF, funciona sin internet—perfecta para picnics, fiestas en el jardín o relajación en la terraza.</t>
        </is>
      </c>
      <c r="H25" s="16" t="inlineStr">
        <is>
          <t>SB428T</t>
        </is>
      </c>
      <c r="I25" s="16" t="n">
        <v>1</v>
      </c>
      <c r="J25" s="17" t="n">
        <v>97</v>
      </c>
      <c r="K25" s="17" t="n">
        <v>29.29</v>
      </c>
      <c r="L25" s="17" t="n">
        <v>25.86</v>
      </c>
      <c r="M25" s="17" t="n">
        <v>0</v>
      </c>
      <c r="N25" s="17">
        <f>K25*0.08+L25*0.08</f>
        <v/>
      </c>
      <c r="O25" s="17">
        <f>-(K25*0.025+L25*0.025)</f>
        <v/>
      </c>
      <c r="P25" s="17">
        <f>32</f>
        <v/>
      </c>
      <c r="Q25" s="17">
        <f>J25+L25+N25+O25-P25-M25</f>
        <v/>
      </c>
    </row>
    <row r="26">
      <c r="A26" s="16" t="inlineStr">
        <is>
          <t>5.1-5.7</t>
        </is>
      </c>
      <c r="B26" s="16" t="inlineStr">
        <is>
          <t>PO-128-00637892439670836</t>
        </is>
      </c>
      <c r="C26" s="16" t="inlineStr">
        <is>
          <t>Delivered</t>
        </is>
      </c>
      <c r="D26" s="16" t="inlineStr">
        <is>
          <t>128-00637913411190836</t>
        </is>
      </c>
      <c r="E26" s="16" t="inlineStr">
        <is>
          <t>Delivered</t>
        </is>
      </c>
      <c r="F26" s="16" t="inlineStr">
        <is>
          <t>KTS-2031</t>
        </is>
      </c>
      <c r="G26" s="16" t="inlineStr">
        <is>
          <t>Bocina inalámbrica de 3 pulgadas con linterna multifuncional y panel solar integrado.Altavoz Portátil con Linterna LED 4 Modos, Radio FM, Bluetooth, Carga Solar, Ideal para Apagones, Emergencias, Campo y Exteriores</t>
        </is>
      </c>
      <c r="H26" s="16" t="inlineStr">
        <is>
          <t>NEGRO</t>
        </is>
      </c>
      <c r="I26" s="16" t="n">
        <v>1</v>
      </c>
      <c r="J26" s="17" t="n">
        <v>75</v>
      </c>
      <c r="K26" s="17" t="n">
        <v>84.23</v>
      </c>
      <c r="L26" s="17" t="n">
        <v>25.86</v>
      </c>
      <c r="M26" s="17" t="n">
        <v>0</v>
      </c>
      <c r="N26" s="17">
        <f>K26*0.08+L26*0.08</f>
        <v/>
      </c>
      <c r="O26" s="17">
        <f>-(K26*0.025+L26*0.025)</f>
        <v/>
      </c>
      <c r="P26" s="17">
        <f>32</f>
        <v/>
      </c>
      <c r="Q26" s="17">
        <f>J26+L26+N26+O26-P26-M26</f>
        <v/>
      </c>
    </row>
    <row r="27">
      <c r="A27" s="16" t="inlineStr">
        <is>
          <t>5.1-5.7</t>
        </is>
      </c>
      <c r="B27" s="16" t="inlineStr">
        <is>
          <t>PO-128-00172467605112461</t>
        </is>
      </c>
      <c r="C27" s="16" t="inlineStr">
        <is>
          <t>Delivered</t>
        </is>
      </c>
      <c r="D27" s="16" t="inlineStr">
        <is>
          <t>128-00172425662072461</t>
        </is>
      </c>
      <c r="E27" s="16" t="inlineStr">
        <is>
          <t>Delivered</t>
        </is>
      </c>
      <c r="F27" s="16" t="inlineStr">
        <is>
          <t>LV54W25</t>
        </is>
      </c>
      <c r="G27" s="16" t="inlineStr">
        <is>
          <t>TIANLAI Lámpara Ventilador E27 2 en 1, Silenciosa, LED Alta Luminosidad 180°, Instalación Rápida, Ahorro Energético para Dormitorio y Interiores Pequeños</t>
        </is>
      </c>
      <c r="H27" s="16" t="inlineStr">
        <is>
          <t>1 Pieza</t>
        </is>
      </c>
      <c r="I27" s="16" t="n">
        <v>2</v>
      </c>
      <c r="J27" s="17" t="n">
        <v>158</v>
      </c>
      <c r="K27" s="17" t="n">
        <v>122.36</v>
      </c>
      <c r="L27" s="17" t="n">
        <v>25.86</v>
      </c>
      <c r="M27" s="17" t="n">
        <v>0</v>
      </c>
      <c r="N27" s="17">
        <f>K27*0.08+L27*0.08</f>
        <v/>
      </c>
      <c r="O27" s="17">
        <f>-(K27*0.025+L27*0.025)</f>
        <v/>
      </c>
      <c r="P27" s="17">
        <f>32</f>
        <v/>
      </c>
      <c r="Q27" s="17">
        <f>J27+L27+N27+O27-P27-M27</f>
        <v/>
      </c>
    </row>
    <row r="28">
      <c r="A28" s="16" t="inlineStr">
        <is>
          <t>5.1-5.7</t>
        </is>
      </c>
      <c r="B28" s="16" t="inlineStr">
        <is>
          <t>PO-128-00432475446391935</t>
        </is>
      </c>
      <c r="C28" s="16" t="inlineStr">
        <is>
          <t>Delivered</t>
        </is>
      </c>
      <c r="D28" s="16" t="inlineStr">
        <is>
          <t>128-00432433503351935</t>
        </is>
      </c>
      <c r="E28" s="16" t="inlineStr">
        <is>
          <t>Delivered</t>
        </is>
      </c>
      <c r="F28" s="16" t="inlineStr">
        <is>
          <t>LV54W25</t>
        </is>
      </c>
      <c r="G28" s="16" t="inlineStr">
        <is>
          <t>TIANLAI Lámpara Ventilador E27 2 en 1, Silenciosa, LED Alta Luminosidad 180°, Instalación Rápida, Ahorro Energético para Dormitorio y Interiores Pequeños</t>
        </is>
      </c>
      <c r="H28" s="16" t="inlineStr">
        <is>
          <t>1 Pieza</t>
        </is>
      </c>
      <c r="I28" s="16" t="n">
        <v>3</v>
      </c>
      <c r="J28" s="17" t="n">
        <v>237</v>
      </c>
      <c r="K28" s="17" t="n">
        <v>248.19</v>
      </c>
      <c r="L28" s="17" t="n">
        <v>0</v>
      </c>
      <c r="M28" s="17" t="n">
        <v>0</v>
      </c>
      <c r="N28" s="17">
        <f>K28*0.08+L28*0.08</f>
        <v/>
      </c>
      <c r="O28" s="17">
        <f>-(K28*0.025+L28*0.025)</f>
        <v/>
      </c>
      <c r="P28" s="17">
        <f>32</f>
        <v/>
      </c>
      <c r="Q28" s="17">
        <f>J28+L28+N28+O28-P28-M28</f>
        <v/>
      </c>
    </row>
    <row r="29">
      <c r="A29" s="16" t="inlineStr">
        <is>
          <t>5.1-5.7</t>
        </is>
      </c>
      <c r="B29" s="16" t="inlineStr">
        <is>
          <t>PO-128-00522910162550434</t>
        </is>
      </c>
      <c r="C29" s="16" t="inlineStr">
        <is>
          <t>Delivered</t>
        </is>
      </c>
      <c r="D29" s="16" t="inlineStr">
        <is>
          <t>128-00522868219510434</t>
        </is>
      </c>
      <c r="E29" s="16" t="inlineStr">
        <is>
          <t>Delivered</t>
        </is>
      </c>
      <c r="F29" s="16" t="inlineStr">
        <is>
          <t>B03W10-10PZS</t>
        </is>
      </c>
      <c r="G2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9" s="16" t="inlineStr">
        <is>
          <t>B03W10</t>
        </is>
      </c>
      <c r="I29" s="16" t="n">
        <v>1</v>
      </c>
      <c r="J29" s="17" t="n">
        <v>70</v>
      </c>
      <c r="K29" s="17" t="n">
        <v>90.18000000000001</v>
      </c>
      <c r="L29" s="17" t="n">
        <v>25.86</v>
      </c>
      <c r="M29" s="17" t="n">
        <v>0</v>
      </c>
      <c r="N29" s="17">
        <f>K29*0.08+L29*0.08</f>
        <v/>
      </c>
      <c r="O29" s="17">
        <f>-(K29*0.025+L29*0.025)</f>
        <v/>
      </c>
      <c r="P29" s="17">
        <f>32</f>
        <v/>
      </c>
      <c r="Q29" s="17">
        <f>J29+L29+N29+O29-P29-M29</f>
        <v/>
      </c>
    </row>
    <row r="30">
      <c r="A30" s="16" t="inlineStr">
        <is>
          <t>5.1-5.7</t>
        </is>
      </c>
      <c r="B30" s="16" t="inlineStr">
        <is>
          <t>PO-128-00194356670072328</t>
        </is>
      </c>
      <c r="C30" s="16" t="inlineStr">
        <is>
          <t>Delivered</t>
        </is>
      </c>
      <c r="D30" s="16" t="inlineStr">
        <is>
          <t>128-00194359291512328</t>
        </is>
      </c>
      <c r="E30" s="16" t="inlineStr">
        <is>
          <t>Delivered</t>
        </is>
      </c>
      <c r="F30" s="16" t="inlineStr">
        <is>
          <t>B03W10-10PZS</t>
        </is>
      </c>
      <c r="G3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0" s="16" t="inlineStr">
        <is>
          <t>B03W10</t>
        </is>
      </c>
      <c r="I30" s="16" t="n">
        <v>1</v>
      </c>
      <c r="J30" s="17" t="n">
        <v>70</v>
      </c>
      <c r="K30" s="17" t="n">
        <v>65.92</v>
      </c>
      <c r="L30" s="17" t="n">
        <v>25.86</v>
      </c>
      <c r="M30" s="17" t="n">
        <v>0</v>
      </c>
      <c r="N30" s="17">
        <f>K30*0.08+L30*0.08</f>
        <v/>
      </c>
      <c r="O30" s="17">
        <f>-(K30*0.025+L30*0.025)</f>
        <v/>
      </c>
      <c r="P30" s="17">
        <f>32</f>
        <v/>
      </c>
      <c r="Q30" s="17">
        <f>J30+L30+N30+O30-P30-M30</f>
        <v/>
      </c>
    </row>
    <row r="31">
      <c r="A31" s="16" t="inlineStr">
        <is>
          <t>5.1-5.7</t>
        </is>
      </c>
      <c r="B31" s="16" t="inlineStr">
        <is>
          <t>PO-128-00657419505270720</t>
        </is>
      </c>
      <c r="C31" s="16" t="inlineStr">
        <is>
          <t>Delivered</t>
        </is>
      </c>
      <c r="D31" s="16" t="inlineStr">
        <is>
          <t>128-00657495527030720</t>
        </is>
      </c>
      <c r="E31" s="16" t="inlineStr">
        <is>
          <t>Delivered</t>
        </is>
      </c>
      <c r="F31" s="16" t="inlineStr">
        <is>
          <t>TL2663N18C</t>
        </is>
      </c>
      <c r="G31" s="16" t="inlineStr">
        <is>
          <t>Linkbits，Soporte de pared fijo para televisores de 26"-63", Ultra-Delgado Compatible con VESA 400x400mm, Capacidad de Peso Fuerte de 25KG, Instalación Fácil Sin Electricidad</t>
        </is>
      </c>
      <c r="H31" s="16" t="inlineStr">
        <is>
          <t>NEGRO</t>
        </is>
      </c>
      <c r="I31" s="16" t="n">
        <v>1</v>
      </c>
      <c r="J31" s="17" t="n">
        <v>55.5</v>
      </c>
      <c r="K31" s="17" t="n">
        <v>70.48999999999999</v>
      </c>
      <c r="L31" s="17" t="n">
        <v>25.86</v>
      </c>
      <c r="M31" s="17" t="n">
        <v>0</v>
      </c>
      <c r="N31" s="17">
        <f>K31*0.08+L31*0.08</f>
        <v/>
      </c>
      <c r="O31" s="17">
        <f>-(K31*0.025+L31*0.025)</f>
        <v/>
      </c>
      <c r="P31" s="17">
        <f>32</f>
        <v/>
      </c>
      <c r="Q31" s="17">
        <f>J31+L31+N31+O31-P31-M31</f>
        <v/>
      </c>
    </row>
    <row r="32">
      <c r="A32" s="16" t="inlineStr">
        <is>
          <t>5.1-5.7</t>
        </is>
      </c>
      <c r="B32" s="16" t="inlineStr">
        <is>
          <t>PO-128-00643912576630864</t>
        </is>
      </c>
      <c r="C32" s="16" t="inlineStr">
        <is>
          <t>Delivered</t>
        </is>
      </c>
      <c r="D32" s="16" t="inlineStr">
        <is>
          <t>128-00644030541430864</t>
        </is>
      </c>
      <c r="E32" s="16" t="inlineStr">
        <is>
          <t>Delivered</t>
        </is>
      </c>
      <c r="F32" s="16" t="inlineStr">
        <is>
          <t>KTS-2031</t>
        </is>
      </c>
      <c r="G32" s="16" t="inlineStr">
        <is>
          <t>Bocina inalámbrica de 3 pulgadas con linterna multifuncional y panel solar integrado.Altavoz Portátil con Linterna LED 4 Modos, Radio FM, Bluetooth, Carga Solar, Ideal para Apagones, Emergencias, Campo y Exteriores</t>
        </is>
      </c>
      <c r="H32" s="16" t="inlineStr">
        <is>
          <t>NEGRO</t>
        </is>
      </c>
      <c r="I32" s="16" t="n">
        <v>1</v>
      </c>
      <c r="J32" s="17" t="n">
        <v>75</v>
      </c>
      <c r="K32" s="17" t="n">
        <v>84.23</v>
      </c>
      <c r="L32" s="17" t="n">
        <v>15.74</v>
      </c>
      <c r="M32" s="17" t="n">
        <v>0</v>
      </c>
      <c r="N32" s="17">
        <f>K32*0.08+L32*0.08</f>
        <v/>
      </c>
      <c r="O32" s="17">
        <f>-(K32*0.025+L32*0.025)</f>
        <v/>
      </c>
      <c r="P32" s="17">
        <f>32</f>
        <v/>
      </c>
      <c r="Q32" s="17">
        <f>J32+L32+N32+O32-P32-M32</f>
        <v/>
      </c>
    </row>
    <row r="33">
      <c r="A33" s="16" t="inlineStr">
        <is>
          <t>5.1-5.7</t>
        </is>
      </c>
      <c r="B33" s="16" t="inlineStr">
        <is>
          <t>PO-128-00643912576630864</t>
        </is>
      </c>
      <c r="C33" s="16" t="inlineStr">
        <is>
          <t>Delivered</t>
        </is>
      </c>
      <c r="D33" s="16" t="inlineStr">
        <is>
          <t>128-00644072484470864</t>
        </is>
      </c>
      <c r="E33" s="16" t="inlineStr">
        <is>
          <t>Delivered</t>
        </is>
      </c>
      <c r="F33" s="16" t="inlineStr">
        <is>
          <t>VA371T</t>
        </is>
      </c>
      <c r="G33" s="16" t="inlineStr">
        <is>
          <t>Linkbits Bocina Bluetooth Portátil 3" de Alta Gama，Hi-Res Audio y Graves Potentes，Luces LED + Soporte USB/TF/FM/TWS，Ideal para Hogar y Aire Libre</t>
        </is>
      </c>
      <c r="H33" s="16" t="inlineStr">
        <is>
          <t>VA371T</t>
        </is>
      </c>
      <c r="I33" s="16" t="n">
        <v>1</v>
      </c>
      <c r="J33" s="17" t="n">
        <v>45.8</v>
      </c>
      <c r="K33" s="17" t="n">
        <v>54.17</v>
      </c>
      <c r="L33" s="17" t="n">
        <v>10.12</v>
      </c>
      <c r="M33" s="17" t="n">
        <v>0</v>
      </c>
      <c r="N33" s="17">
        <f>K33*0.08+L33*0.08</f>
        <v/>
      </c>
      <c r="O33" s="17">
        <f>-(K33*0.025+L33*0.025)</f>
        <v/>
      </c>
      <c r="P33" s="17">
        <f>32</f>
        <v/>
      </c>
      <c r="Q33" s="17">
        <f>J33+L33+N33+O33-P33-M33</f>
        <v/>
      </c>
    </row>
    <row r="34">
      <c r="A34" s="16" t="inlineStr">
        <is>
          <t>5.1-5.7</t>
        </is>
      </c>
      <c r="B34" s="16" t="inlineStr">
        <is>
          <t>PO-128-00152122650233604</t>
        </is>
      </c>
      <c r="C34" s="16" t="inlineStr">
        <is>
          <t>Delivered</t>
        </is>
      </c>
      <c r="D34" s="16" t="inlineStr">
        <is>
          <t>128-00152154107513604</t>
        </is>
      </c>
      <c r="E34" s="16" t="inlineStr">
        <is>
          <t>Delivered</t>
        </is>
      </c>
      <c r="F34" s="16" t="inlineStr">
        <is>
          <t>LV54W25</t>
        </is>
      </c>
      <c r="G34" s="16" t="inlineStr">
        <is>
          <t>TIANLAI Lámpara Ventilador E27 2 en 1, Silenciosa, LED Alta Luminosidad 180°, Instalación Rápida, Ahorro Energético para Dormitorio y Interiores Pequeños</t>
        </is>
      </c>
      <c r="H34" s="16" t="inlineStr">
        <is>
          <t>1 Pieza</t>
        </is>
      </c>
      <c r="I34" s="16" t="n">
        <v>3</v>
      </c>
      <c r="J34" s="17" t="n">
        <v>237</v>
      </c>
      <c r="K34" s="17" t="n">
        <v>248.19</v>
      </c>
      <c r="L34" s="17" t="n">
        <v>0</v>
      </c>
      <c r="M34" s="17" t="n">
        <v>0</v>
      </c>
      <c r="N34" s="17">
        <f>K34*0.08+L34*0.08</f>
        <v/>
      </c>
      <c r="O34" s="17">
        <f>-(K34*0.025+L34*0.025)</f>
        <v/>
      </c>
      <c r="P34" s="17">
        <f>32</f>
        <v/>
      </c>
      <c r="Q34" s="17">
        <f>J34+L34+N34+O34-P34-M34</f>
        <v/>
      </c>
    </row>
    <row r="35">
      <c r="A35" s="16" t="inlineStr">
        <is>
          <t>5.1-5.7</t>
        </is>
      </c>
      <c r="B35" s="16" t="inlineStr">
        <is>
          <t>PO-128-00425104653431147</t>
        </is>
      </c>
      <c r="C35" s="16" t="inlineStr">
        <is>
          <t>Delivered</t>
        </is>
      </c>
      <c r="D35" s="16" t="inlineStr">
        <is>
          <t>128-00425062710391147</t>
        </is>
      </c>
      <c r="E35" s="16" t="inlineStr">
        <is>
          <t>Delivered</t>
        </is>
      </c>
      <c r="F35" s="16" t="inlineStr">
        <is>
          <t>KTS-1936</t>
        </is>
      </c>
      <c r="G35" s="16" t="inlineStr">
        <is>
          <t>Espejo con Luz para Makeup，Espejo con Luz LED y Bocina Bluetooth，Espejo para Maquillaje con Aumentos y Luces LED de Intensidad Ajustable，Lente de Aumento 10X+Reproductor TF+ TWS，espejo de portátil y para estudiantes, oficina, dormitorio, mejor regalo</t>
        </is>
      </c>
      <c r="H35" s="16" t="inlineStr">
        <is>
          <t>BLANCO</t>
        </is>
      </c>
      <c r="I35" s="16" t="n">
        <v>1</v>
      </c>
      <c r="J35" s="17" t="n">
        <v>217.75</v>
      </c>
      <c r="K35" s="17" t="n">
        <v>245.6</v>
      </c>
      <c r="L35" s="17" t="n">
        <v>25.86</v>
      </c>
      <c r="M35" s="17" t="n">
        <v>0</v>
      </c>
      <c r="N35" s="17">
        <f>K35*0.08+L35*0.08</f>
        <v/>
      </c>
      <c r="O35" s="17">
        <f>-(K35*0.025+L35*0.025)</f>
        <v/>
      </c>
      <c r="P35" s="17">
        <f>32</f>
        <v/>
      </c>
      <c r="Q35" s="17">
        <f>J35+L35+N35+O35-P35-M35</f>
        <v/>
      </c>
    </row>
    <row r="36">
      <c r="A36" s="16" t="inlineStr">
        <is>
          <t>5.1-5.7</t>
        </is>
      </c>
      <c r="B36" s="16" t="inlineStr">
        <is>
          <t>PO-128-00620288535671007</t>
        </is>
      </c>
      <c r="C36" s="16" t="inlineStr">
        <is>
          <t>Delivered</t>
        </is>
      </c>
      <c r="D36" s="16" t="inlineStr">
        <is>
          <t>128-00620393393271007</t>
        </is>
      </c>
      <c r="E36" s="16" t="inlineStr">
        <is>
          <t>Delivered</t>
        </is>
      </c>
      <c r="F36" s="16" t="inlineStr">
        <is>
          <t>LV54W25</t>
        </is>
      </c>
      <c r="G36" s="16" t="inlineStr">
        <is>
          <t>TIANLAI Lámpara Ventilador E27 2 en 1, Silenciosa, LED Alta Luminosidad 180°, Instalación Rápida, Ahorro Energético para Dormitorio y Interiores Pequeños</t>
        </is>
      </c>
      <c r="H36" s="16" t="inlineStr">
        <is>
          <t>1 Pieza</t>
        </is>
      </c>
      <c r="I36" s="16" t="n">
        <v>1</v>
      </c>
      <c r="J36" s="17" t="n">
        <v>79</v>
      </c>
      <c r="K36" s="17" t="n">
        <v>66.19</v>
      </c>
      <c r="L36" s="17" t="n">
        <v>25.86</v>
      </c>
      <c r="M36" s="17" t="n">
        <v>0</v>
      </c>
      <c r="N36" s="17">
        <f>K36*0.08+L36*0.08</f>
        <v/>
      </c>
      <c r="O36" s="17">
        <f>-(K36*0.025+L36*0.025)</f>
        <v/>
      </c>
      <c r="P36" s="17">
        <f>32</f>
        <v/>
      </c>
      <c r="Q36" s="17">
        <f>J36+L36+N36+O36-P36-M36</f>
        <v/>
      </c>
    </row>
    <row r="37">
      <c r="A37" s="16" t="inlineStr">
        <is>
          <t>5.1-5.7</t>
        </is>
      </c>
      <c r="B37" s="16" t="inlineStr">
        <is>
          <t>PO-128-00520703585910385</t>
        </is>
      </c>
      <c r="C37" s="16" t="inlineStr">
        <is>
          <t>Delivered</t>
        </is>
      </c>
      <c r="D37" s="16" t="inlineStr">
        <is>
          <t>128-00520657710710385</t>
        </is>
      </c>
      <c r="E37" s="16" t="inlineStr">
        <is>
          <t>Delivered</t>
        </is>
      </c>
      <c r="F37" s="16" t="inlineStr">
        <is>
          <t>LV54W25</t>
        </is>
      </c>
      <c r="G37" s="16" t="inlineStr">
        <is>
          <t>TIANLAI Lámpara Ventilador E27 2 en 1, Silenciosa, LED Alta Luminosidad 180°, Instalación Rápida, Ahorro Energético para Dormitorio y Interiores Pequeños</t>
        </is>
      </c>
      <c r="H37" s="16" t="inlineStr">
        <is>
          <t>1 Pieza</t>
        </is>
      </c>
      <c r="I37" s="16" t="n">
        <v>1</v>
      </c>
      <c r="J37" s="17" t="n">
        <v>79</v>
      </c>
      <c r="K37" s="17" t="n">
        <v>70.31999999999999</v>
      </c>
      <c r="L37" s="17" t="n">
        <v>0</v>
      </c>
      <c r="M37" s="17" t="n">
        <v>0</v>
      </c>
      <c r="N37" s="17">
        <f>K37*0.08+L37*0.08</f>
        <v/>
      </c>
      <c r="O37" s="17">
        <f>-(K37*0.025+L37*0.025)</f>
        <v/>
      </c>
      <c r="P37" s="17">
        <f>32</f>
        <v/>
      </c>
      <c r="Q37" s="17">
        <f>J37+L37+N37+O37-P37-M37</f>
        <v/>
      </c>
    </row>
    <row r="38">
      <c r="A38" s="16" t="inlineStr">
        <is>
          <t>5.1-5.7</t>
        </is>
      </c>
      <c r="B38" s="16" t="inlineStr">
        <is>
          <t>PO-128-00520703585910385</t>
        </is>
      </c>
      <c r="C38" s="16" t="inlineStr">
        <is>
          <t>Delivered</t>
        </is>
      </c>
      <c r="D38" s="16" t="inlineStr">
        <is>
          <t>128-00520633142390385</t>
        </is>
      </c>
      <c r="E38" s="16" t="inlineStr">
        <is>
          <t>Delivered</t>
        </is>
      </c>
      <c r="F38" s="16" t="inlineStr">
        <is>
          <t>LV54W25</t>
        </is>
      </c>
      <c r="G38" s="16" t="inlineStr">
        <is>
          <t>TIANLAI Lámpara Ventilador E27 2 en 1, Silenciosa, LED Alta Luminosidad 180°, Instalación Rápida, Ahorro Energético para Dormitorio y Interiores Pequeños</t>
        </is>
      </c>
      <c r="H38" s="16" t="inlineStr">
        <is>
          <t>1 Pieza</t>
        </is>
      </c>
      <c r="I38" s="16" t="n">
        <v>2</v>
      </c>
      <c r="J38" s="17" t="n">
        <v>158</v>
      </c>
      <c r="K38" s="17" t="n">
        <v>140.64</v>
      </c>
      <c r="L38" s="17" t="n">
        <v>0</v>
      </c>
      <c r="M38" s="17" t="n">
        <v>0</v>
      </c>
      <c r="N38" s="17">
        <f>K38*0.08+L38*0.08</f>
        <v/>
      </c>
      <c r="O38" s="17">
        <f>-(K38*0.025+L38*0.025)</f>
        <v/>
      </c>
      <c r="P38" s="17">
        <f>32</f>
        <v/>
      </c>
      <c r="Q38" s="17">
        <f>J38+L38+N38+O38-P38-M38</f>
        <v/>
      </c>
    </row>
    <row r="39">
      <c r="A39" s="16" t="inlineStr">
        <is>
          <t>5.1-5.7</t>
        </is>
      </c>
      <c r="B39" s="16" t="inlineStr">
        <is>
          <t>PO-128-00488451374711729</t>
        </is>
      </c>
      <c r="C39" s="16" t="inlineStr">
        <is>
          <t>Delivered</t>
        </is>
      </c>
      <c r="D39" s="16" t="inlineStr">
        <is>
          <t>128-00488493317751729</t>
        </is>
      </c>
      <c r="E39" s="16" t="inlineStr">
        <is>
          <t>Delivered</t>
        </is>
      </c>
      <c r="F39" s="16" t="inlineStr">
        <is>
          <t>VB349T</t>
        </is>
      </c>
      <c r="G39" s="16" t="inlineStr">
        <is>
          <t>LINKBITS Altavoz Portátil de Doble Altavoz - 3 Pulgadas, Sonido HD, Emparejamiento Rápido de Bluetooth, Conectividad TWS, Reproducción Multimodo (Micro SD/USB/Radio FM) - Perfecto para Oficina, Viajes y Espacios Pequeños</t>
        </is>
      </c>
      <c r="H39" s="16" t="inlineStr">
        <is>
          <t>NEGRO</t>
        </is>
      </c>
      <c r="I39" s="16" t="n">
        <v>3</v>
      </c>
      <c r="J39" s="17" t="n">
        <v>243</v>
      </c>
      <c r="K39" s="17" t="n">
        <v>282.81</v>
      </c>
      <c r="L39" s="17" t="n">
        <v>0</v>
      </c>
      <c r="M39" s="17" t="n">
        <v>0</v>
      </c>
      <c r="N39" s="17">
        <f>K39*0.08+L39*0.08</f>
        <v/>
      </c>
      <c r="O39" s="17">
        <f>-(K39*0.025+L39*0.025)</f>
        <v/>
      </c>
      <c r="P39" s="17">
        <f>32</f>
        <v/>
      </c>
      <c r="Q39" s="17">
        <f>J39+L39+N39+O39-P39-M39</f>
        <v/>
      </c>
    </row>
    <row r="40">
      <c r="A40" s="16" t="inlineStr">
        <is>
          <t>5.1-5.7</t>
        </is>
      </c>
      <c r="B40" s="16" t="inlineStr">
        <is>
          <t>PO-128-00619478001271010</t>
        </is>
      </c>
      <c r="C40" s="16" t="inlineStr">
        <is>
          <t>Delivered</t>
        </is>
      </c>
      <c r="D40" s="16" t="inlineStr">
        <is>
          <t>128-00619436058231010</t>
        </is>
      </c>
      <c r="E40" s="16" t="inlineStr">
        <is>
          <t>Delivered</t>
        </is>
      </c>
      <c r="F40" s="16" t="inlineStr">
        <is>
          <t>VB349T</t>
        </is>
      </c>
      <c r="G40" s="16" t="inlineStr">
        <is>
          <t>LINKBITS Altavoz Portátil de Doble Altavoz - 3 Pulgadas, Sonido HD, Emparejamiento Rápido de Bluetooth, Conectividad TWS, Reproducción Multimodo (Micro SD/USB/Radio FM) - Perfecto para Oficina, Viajes y Espacios Pequeños</t>
        </is>
      </c>
      <c r="H40" s="16" t="inlineStr">
        <is>
          <t>NEGRO</t>
        </is>
      </c>
      <c r="I40" s="16" t="n">
        <v>3</v>
      </c>
      <c r="J40" s="17" t="n">
        <v>243</v>
      </c>
      <c r="K40" s="17" t="n">
        <v>282.81</v>
      </c>
      <c r="L40" s="17" t="n">
        <v>0</v>
      </c>
      <c r="M40" s="17" t="n">
        <v>0</v>
      </c>
      <c r="N40" s="17">
        <f>K40*0.08+L40*0.08</f>
        <v/>
      </c>
      <c r="O40" s="17">
        <f>-(K40*0.025+L40*0.025)</f>
        <v/>
      </c>
      <c r="P40" s="17">
        <f>32</f>
        <v/>
      </c>
      <c r="Q40" s="17">
        <f>J40+L40+N40+O40-P40-M40</f>
        <v/>
      </c>
    </row>
    <row r="41">
      <c r="A41" s="16" t="inlineStr">
        <is>
          <t>5.1-5.7</t>
        </is>
      </c>
      <c r="B41" s="16" t="inlineStr">
        <is>
          <t>PO-128-00497925258871545</t>
        </is>
      </c>
      <c r="C41" s="16" t="inlineStr">
        <is>
          <t>Delivered</t>
        </is>
      </c>
      <c r="D41" s="16" t="inlineStr">
        <is>
          <t>128-00497883315831545</t>
        </is>
      </c>
      <c r="E41" s="16" t="inlineStr">
        <is>
          <t>Delivered</t>
        </is>
      </c>
      <c r="F41" s="16" t="inlineStr">
        <is>
          <t>i12-B</t>
        </is>
      </c>
      <c r="G41" s="16" t="inlineStr">
        <is>
          <t>Auriculares Inalámbricos TWS - Ideales para Usuarios Android e iPhone, Entusiastas del Deporte &amp; Música, Controles Táctiles, Audífonos Para Correr y Jugar</t>
        </is>
      </c>
      <c r="H41" s="16" t="inlineStr">
        <is>
          <t>Blanco</t>
        </is>
      </c>
      <c r="I41" s="16" t="n">
        <v>1</v>
      </c>
      <c r="J41" s="17" t="n">
        <v>44.8</v>
      </c>
      <c r="K41" s="17" t="n">
        <v>60.98</v>
      </c>
      <c r="L41" s="17" t="n">
        <v>25.86</v>
      </c>
      <c r="M41" s="17" t="n">
        <v>0</v>
      </c>
      <c r="N41" s="17">
        <f>K41*0.08+L41*0.08</f>
        <v/>
      </c>
      <c r="O41" s="17">
        <f>-(K41*0.025+L41*0.025)</f>
        <v/>
      </c>
      <c r="P41" s="17">
        <f>32</f>
        <v/>
      </c>
      <c r="Q41" s="17">
        <f>J41+L41+N41+O41-P41-M41</f>
        <v/>
      </c>
    </row>
    <row r="42">
      <c r="A42" s="16" t="inlineStr">
        <is>
          <t>5.1-5.7</t>
        </is>
      </c>
      <c r="B42" s="16" t="inlineStr">
        <is>
          <t>PO-128-00333878541432648</t>
        </is>
      </c>
      <c r="C42" s="16" t="inlineStr">
        <is>
          <t>Delivered</t>
        </is>
      </c>
      <c r="D42" s="16" t="inlineStr">
        <is>
          <t>128-00333909998712648</t>
        </is>
      </c>
      <c r="E42" s="16" t="inlineStr">
        <is>
          <t>Delivered</t>
        </is>
      </c>
      <c r="F42" s="16" t="inlineStr">
        <is>
          <t>VA371T</t>
        </is>
      </c>
      <c r="G42" s="16" t="inlineStr">
        <is>
          <t>Linkbits Bocina Bluetooth Portátil 3" de Alta Gama，Hi-Res Audio y Graves Potentes，Luces LED + Soporte USB/TF/FM/TWS，Ideal para Hogar y Aire Libre</t>
        </is>
      </c>
      <c r="H42" s="16" t="inlineStr">
        <is>
          <t>VA371T</t>
        </is>
      </c>
      <c r="I42" s="16" t="n">
        <v>1</v>
      </c>
      <c r="J42" s="17" t="n">
        <v>45.8</v>
      </c>
      <c r="K42" s="17" t="n">
        <v>45.83</v>
      </c>
      <c r="L42" s="17" t="n">
        <v>25.86</v>
      </c>
      <c r="M42" s="17" t="n">
        <v>0</v>
      </c>
      <c r="N42" s="17">
        <f>K42*0.08+L42*0.08</f>
        <v/>
      </c>
      <c r="O42" s="17">
        <f>-(K42*0.025+L42*0.025)</f>
        <v/>
      </c>
      <c r="P42" s="17">
        <f>32</f>
        <v/>
      </c>
      <c r="Q42" s="17">
        <f>J42+L42+N42+O42-P42-M42</f>
        <v/>
      </c>
    </row>
    <row r="43">
      <c r="A43" s="16" t="inlineStr">
        <is>
          <t>5.1-5.7</t>
        </is>
      </c>
      <c r="B43" s="16" t="inlineStr">
        <is>
          <t>PO-128-00532872604790502</t>
        </is>
      </c>
      <c r="C43" s="16" t="inlineStr">
        <is>
          <t>Delivered</t>
        </is>
      </c>
      <c r="D43" s="16" t="inlineStr">
        <is>
          <t>128-00532893576310502</t>
        </is>
      </c>
      <c r="E43" s="16" t="inlineStr">
        <is>
          <t>Delivered</t>
        </is>
      </c>
      <c r="F43" s="16" t="inlineStr">
        <is>
          <t>LV54W25</t>
        </is>
      </c>
      <c r="G43" s="16" t="inlineStr">
        <is>
          <t>TIANLAI Lámpara Ventilador E27 2 en 1, Silenciosa, LED Alta Luminosidad 180°, Instalación Rápida, Ahorro Energético para Dormitorio y Interiores Pequeños</t>
        </is>
      </c>
      <c r="H43" s="16" t="inlineStr">
        <is>
          <t>1 Pieza</t>
        </is>
      </c>
      <c r="I43" s="16" t="n">
        <v>2</v>
      </c>
      <c r="J43" s="17" t="n">
        <v>158</v>
      </c>
      <c r="K43" s="17" t="n">
        <v>165.46</v>
      </c>
      <c r="L43" s="17" t="n">
        <v>25.86</v>
      </c>
      <c r="M43" s="17" t="n">
        <v>0</v>
      </c>
      <c r="N43" s="17">
        <f>K43*0.08+L43*0.08</f>
        <v/>
      </c>
      <c r="O43" s="17">
        <f>-(K43*0.025+L43*0.025)</f>
        <v/>
      </c>
      <c r="P43" s="17">
        <f>32</f>
        <v/>
      </c>
      <c r="Q43" s="17">
        <f>J43+L43+N43+O43-P43-M43</f>
        <v/>
      </c>
    </row>
    <row r="44">
      <c r="A44" s="16" t="inlineStr">
        <is>
          <t>5.1-5.7</t>
        </is>
      </c>
      <c r="B44" s="16" t="inlineStr">
        <is>
          <t>PO-128-00183601871992520</t>
        </is>
      </c>
      <c r="C44" s="16" t="inlineStr">
        <is>
          <t>Delivered</t>
        </is>
      </c>
      <c r="D44" s="16" t="inlineStr">
        <is>
          <t>128-00183612357752520</t>
        </is>
      </c>
      <c r="E44" s="16" t="inlineStr">
        <is>
          <t>Delivered</t>
        </is>
      </c>
      <c r="F44" s="16" t="inlineStr">
        <is>
          <t>LV54W25</t>
        </is>
      </c>
      <c r="G44" s="16" t="inlineStr">
        <is>
          <t>TIANLAI Lámpara Ventilador E27 2 en 1, Silenciosa, LED Alta Luminosidad 180°, Instalación Rápida, Ahorro Energético para Dormitorio y Interiores Pequeños</t>
        </is>
      </c>
      <c r="H44" s="16" t="inlineStr">
        <is>
          <t>1 Pieza</t>
        </is>
      </c>
      <c r="I44" s="16" t="n">
        <v>2</v>
      </c>
      <c r="J44" s="17" t="n">
        <v>158</v>
      </c>
      <c r="K44" s="17" t="n">
        <v>140.64</v>
      </c>
      <c r="L44" s="17" t="n">
        <v>25.86</v>
      </c>
      <c r="M44" s="17" t="n">
        <v>0</v>
      </c>
      <c r="N44" s="17">
        <f>K44*0.08+L44*0.08</f>
        <v/>
      </c>
      <c r="O44" s="17">
        <f>-(K44*0.025+L44*0.025)</f>
        <v/>
      </c>
      <c r="P44" s="17">
        <f>32</f>
        <v/>
      </c>
      <c r="Q44" s="17">
        <f>J44+L44+N44+O44-P44-M44</f>
        <v/>
      </c>
    </row>
    <row r="45">
      <c r="A45" s="16" t="inlineStr">
        <is>
          <t>5.1-5.7</t>
        </is>
      </c>
      <c r="B45" s="16" t="inlineStr">
        <is>
          <t>PO-128-00082825178233187</t>
        </is>
      </c>
      <c r="C45" s="16" t="inlineStr">
        <is>
          <t>Delivered</t>
        </is>
      </c>
      <c r="D45" s="16" t="inlineStr">
        <is>
          <t>128-00082846149753187</t>
        </is>
      </c>
      <c r="E45" s="16" t="inlineStr">
        <is>
          <t>Delivered</t>
        </is>
      </c>
      <c r="F45" s="16" t="inlineStr">
        <is>
          <t>LV54W25</t>
        </is>
      </c>
      <c r="G45" s="16" t="inlineStr">
        <is>
          <t>TIANLAI Lámpara Ventilador E27 2 en 1, Silenciosa, LED Alta Luminosidad 180°, Instalación Rápida, Ahorro Energético para Dormitorio y Interiores Pequeños</t>
        </is>
      </c>
      <c r="H45" s="16" t="inlineStr">
        <is>
          <t>1 Pieza</t>
        </is>
      </c>
      <c r="I45" s="16" t="n">
        <v>1</v>
      </c>
      <c r="J45" s="17" t="n">
        <v>79</v>
      </c>
      <c r="K45" s="17" t="n">
        <v>39.63</v>
      </c>
      <c r="L45" s="17" t="n">
        <v>25.86</v>
      </c>
      <c r="M45" s="17" t="n">
        <v>0</v>
      </c>
      <c r="N45" s="17">
        <f>K45*0.08+L45*0.08</f>
        <v/>
      </c>
      <c r="O45" s="17">
        <f>-(K45*0.025+L45*0.025)</f>
        <v/>
      </c>
      <c r="P45" s="17">
        <f>32</f>
        <v/>
      </c>
      <c r="Q45" s="17">
        <f>J45+L45+N45+O45-P45-M45</f>
        <v/>
      </c>
    </row>
    <row r="46">
      <c r="A46" s="16" t="inlineStr">
        <is>
          <t>5.1-5.7</t>
        </is>
      </c>
      <c r="B46" s="16" t="inlineStr">
        <is>
          <t>PO-128-00306546437752749</t>
        </is>
      </c>
      <c r="C46" s="16" t="inlineStr">
        <is>
          <t>Delivered</t>
        </is>
      </c>
      <c r="D46" s="16" t="inlineStr">
        <is>
          <t>128-00306651295352749</t>
        </is>
      </c>
      <c r="E46" s="16" t="inlineStr">
        <is>
          <t>Delivered</t>
        </is>
      </c>
      <c r="F46" s="16" t="inlineStr">
        <is>
          <t>TL2663N18C</t>
        </is>
      </c>
      <c r="G46" s="16" t="inlineStr">
        <is>
          <t>Linkbits，Soporte de pared fijo para televisores de 26"-63", Ultra-Delgado Compatible con VESA 400x400mm, Capacidad de Peso Fuerte de 25KG, Instalación Fácil Sin Electricidad</t>
        </is>
      </c>
      <c r="H46" s="16" t="inlineStr">
        <is>
          <t>NEGRO</t>
        </is>
      </c>
      <c r="I46" s="16" t="n">
        <v>1</v>
      </c>
      <c r="J46" s="17" t="n">
        <v>55.5</v>
      </c>
      <c r="K46" s="17" t="n">
        <v>70.48999999999999</v>
      </c>
      <c r="L46" s="17" t="n">
        <v>25.86</v>
      </c>
      <c r="M46" s="17" t="n">
        <v>0</v>
      </c>
      <c r="N46" s="17">
        <f>K46*0.08+L46*0.08</f>
        <v/>
      </c>
      <c r="O46" s="17">
        <f>-(K46*0.025+L46*0.025)</f>
        <v/>
      </c>
      <c r="P46" s="17">
        <f>32</f>
        <v/>
      </c>
      <c r="Q46" s="17">
        <f>J46+L46+N46+O46-P46-M46</f>
        <v/>
      </c>
    </row>
    <row r="47">
      <c r="A47" s="16" t="inlineStr">
        <is>
          <t>5.1-5.7</t>
        </is>
      </c>
      <c r="B47" s="16" t="inlineStr">
        <is>
          <t>PO-128-00453458148471808</t>
        </is>
      </c>
      <c r="C47" s="16" t="inlineStr">
        <is>
          <t>Delivered</t>
        </is>
      </c>
      <c r="D47" s="16" t="inlineStr">
        <is>
          <t>128-00453416205431808</t>
        </is>
      </c>
      <c r="E47" s="16" t="inlineStr">
        <is>
          <t>Delivered</t>
        </is>
      </c>
      <c r="F47" s="16" t="inlineStr">
        <is>
          <t>LV54W25</t>
        </is>
      </c>
      <c r="G47" s="16" t="inlineStr">
        <is>
          <t>TIANLAI Lámpara Ventilador E27 2 en 1, Silenciosa, LED Alta Luminosidad 180°, Instalación Rápida, Ahorro Energético para Dormitorio y Interiores Pequeños</t>
        </is>
      </c>
      <c r="H47" s="16" t="inlineStr">
        <is>
          <t>1 Pieza</t>
        </is>
      </c>
      <c r="I47" s="16" t="n">
        <v>1</v>
      </c>
      <c r="J47" s="17" t="n">
        <v>79</v>
      </c>
      <c r="K47" s="17" t="n">
        <v>39.63</v>
      </c>
      <c r="L47" s="17" t="n">
        <v>25.86</v>
      </c>
      <c r="M47" s="17" t="n">
        <v>0</v>
      </c>
      <c r="N47" s="17">
        <f>K47*0.08+L47*0.08</f>
        <v/>
      </c>
      <c r="O47" s="17">
        <f>-(K47*0.025+L47*0.025)</f>
        <v/>
      </c>
      <c r="P47" s="17">
        <f>32</f>
        <v/>
      </c>
      <c r="Q47" s="17">
        <f>J47+L47+N47+O47-P47-M47</f>
        <v/>
      </c>
    </row>
    <row r="48">
      <c r="A48" s="16" t="inlineStr">
        <is>
          <t>5.1-5.7</t>
        </is>
      </c>
      <c r="B48" s="16" t="inlineStr">
        <is>
          <t>PO-128-00157447089273636</t>
        </is>
      </c>
      <c r="C48" s="16" t="inlineStr">
        <is>
          <t>Delivered</t>
        </is>
      </c>
      <c r="D48" s="16" t="inlineStr">
        <is>
          <t>128-00157489032313636</t>
        </is>
      </c>
      <c r="E48" s="16" t="inlineStr">
        <is>
          <t>Delivered</t>
        </is>
      </c>
      <c r="F48" s="16" t="inlineStr">
        <is>
          <t>LV54W25</t>
        </is>
      </c>
      <c r="G48" s="16" t="inlineStr">
        <is>
          <t>TIANLAI Lámpara Ventilador E27 2 en 1, Silenciosa, LED Alta Luminosidad 180°, Instalación Rápida, Ahorro Energético para Dormitorio y Interiores Pequeños</t>
        </is>
      </c>
      <c r="H48" s="16" t="inlineStr">
        <is>
          <t>1 Pieza</t>
        </is>
      </c>
      <c r="I48" s="16" t="n">
        <v>1</v>
      </c>
      <c r="J48" s="17" t="n">
        <v>79</v>
      </c>
      <c r="K48" s="17" t="n">
        <v>82.73</v>
      </c>
      <c r="L48" s="17" t="n">
        <v>25.86</v>
      </c>
      <c r="M48" s="17" t="n">
        <v>0</v>
      </c>
      <c r="N48" s="17">
        <f>K48*0.08+L48*0.08</f>
        <v/>
      </c>
      <c r="O48" s="17">
        <f>-(K48*0.025+L48*0.025)</f>
        <v/>
      </c>
      <c r="P48" s="17">
        <f>32</f>
        <v/>
      </c>
      <c r="Q48" s="17">
        <f>J48+L48+N48+O48-P48-M48</f>
        <v/>
      </c>
    </row>
    <row r="49">
      <c r="A49" s="16" t="inlineStr">
        <is>
          <t>5.1-5.7</t>
        </is>
      </c>
      <c r="B49" s="16" t="inlineStr">
        <is>
          <t>PO-128-00312972877432775</t>
        </is>
      </c>
      <c r="C49" s="16" t="inlineStr">
        <is>
          <t>Delivered</t>
        </is>
      </c>
      <c r="D49" s="16" t="inlineStr">
        <is>
          <t>128-00312930934392775</t>
        </is>
      </c>
      <c r="E49" s="16" t="inlineStr">
        <is>
          <t>Delivered</t>
        </is>
      </c>
      <c r="F49" s="16" t="inlineStr">
        <is>
          <t>KTS-2031</t>
        </is>
      </c>
      <c r="G49" s="16" t="inlineStr">
        <is>
          <t>Bocina inalámbrica de 3 pulgadas con linterna multifuncional y panel solar integrado.Altavoz Portátil con Linterna LED 4 Modos, Radio FM, Bluetooth, Carga Solar, Ideal para Apagones, Emergencias, Campo y Exteriores</t>
        </is>
      </c>
      <c r="H49" s="16" t="inlineStr">
        <is>
          <t>NEGRO</t>
        </is>
      </c>
      <c r="I49" s="16" t="n">
        <v>1</v>
      </c>
      <c r="J49" s="17" t="n">
        <v>75</v>
      </c>
      <c r="K49" s="17" t="n">
        <v>84.23</v>
      </c>
      <c r="L49" s="17" t="n">
        <v>25.86</v>
      </c>
      <c r="M49" s="17" t="n">
        <v>0</v>
      </c>
      <c r="N49" s="17">
        <f>K49*0.08+L49*0.08</f>
        <v/>
      </c>
      <c r="O49" s="17">
        <f>-(K49*0.025+L49*0.025)</f>
        <v/>
      </c>
      <c r="P49" s="17">
        <f>32</f>
        <v/>
      </c>
      <c r="Q49" s="17">
        <f>J49+L49+N49+O49-P49-M49</f>
        <v/>
      </c>
    </row>
    <row r="50">
      <c r="A50" s="16" t="inlineStr">
        <is>
          <t>5.1-5.7</t>
        </is>
      </c>
      <c r="B50" s="16" t="inlineStr">
        <is>
          <t>PO-128-00007857237113504</t>
        </is>
      </c>
      <c r="C50" s="16" t="inlineStr">
        <is>
          <t>Delivered</t>
        </is>
      </c>
      <c r="D50" s="16" t="inlineStr">
        <is>
          <t>128-00007867722873504</t>
        </is>
      </c>
      <c r="E50" s="16" t="inlineStr">
        <is>
          <t>Delivered</t>
        </is>
      </c>
      <c r="F50" s="16" t="inlineStr">
        <is>
          <t>BSC04</t>
        </is>
      </c>
      <c r="G50" s="16" t="inlineStr">
        <is>
          <t>TIANLAI Báscula Digital BSC04/BSC07, Alta Precisión, Fácil Operación, Ligera y Portátil, Función Tara, Unidad Dual oz/g, Ideal para Cocina, Control de Porciones, Sellos y Objetos Pequeños, Uso en Hogar y Viaje</t>
        </is>
      </c>
      <c r="H50" s="16" t="inlineStr">
        <is>
          <t>5g/White</t>
        </is>
      </c>
      <c r="I50" s="16" t="n">
        <v>1</v>
      </c>
      <c r="J50" s="17" t="n">
        <v>58</v>
      </c>
      <c r="K50" s="17" t="n">
        <v>61.37</v>
      </c>
      <c r="L50" s="17" t="n">
        <v>25.86</v>
      </c>
      <c r="M50" s="17" t="n">
        <v>0</v>
      </c>
      <c r="N50" s="17">
        <f>K50*0.08+L50*0.08</f>
        <v/>
      </c>
      <c r="O50" s="17">
        <f>-(K50*0.025+L50*0.025)</f>
        <v/>
      </c>
      <c r="P50" s="17">
        <f>32</f>
        <v/>
      </c>
      <c r="Q50" s="17">
        <f>J50+L50+N50+O50-P50-M50</f>
        <v/>
      </c>
    </row>
    <row r="51">
      <c r="A51" s="16" t="inlineStr">
        <is>
          <t>5.1-5.7</t>
        </is>
      </c>
      <c r="B51" s="16" t="inlineStr">
        <is>
          <t>PO-128-00077522263673152</t>
        </is>
      </c>
      <c r="C51" s="16" t="inlineStr">
        <is>
          <t>Delivered</t>
        </is>
      </c>
      <c r="D51" s="16" t="inlineStr">
        <is>
          <t>128-00077616635513152</t>
        </is>
      </c>
      <c r="E51" s="16" t="inlineStr">
        <is>
          <t>Delivered</t>
        </is>
      </c>
      <c r="F51" s="16" t="inlineStr">
        <is>
          <t>TL1412N17C</t>
        </is>
      </c>
      <c r="G51" s="16" t="inlineStr">
        <is>
          <t>Linkbits, Soporte de Pared Fijo para TV y Monitor de 14"-43", Ultra Delgado 2.3cm, Fuerte Capacidad de Peso de 25KG, Fácil Instalación con Accesorios Completos</t>
        </is>
      </c>
      <c r="H51" s="16" t="inlineStr">
        <is>
          <t>NEGRO</t>
        </is>
      </c>
      <c r="I51" s="16" t="n">
        <v>1</v>
      </c>
      <c r="J51" s="17" t="n">
        <v>36.84</v>
      </c>
      <c r="K51" s="17" t="n">
        <v>48.54</v>
      </c>
      <c r="L51" s="17" t="n">
        <v>8.75</v>
      </c>
      <c r="M51" s="17" t="n">
        <v>0</v>
      </c>
      <c r="N51" s="17">
        <f>K51*0.08+L51*0.08</f>
        <v/>
      </c>
      <c r="O51" s="17">
        <f>-(K51*0.025+L51*0.025)</f>
        <v/>
      </c>
      <c r="P51" s="17">
        <f>32</f>
        <v/>
      </c>
      <c r="Q51" s="17">
        <f>J51+L51+N51+O51-P51-M51</f>
        <v/>
      </c>
    </row>
    <row r="52">
      <c r="A52" s="16" t="inlineStr">
        <is>
          <t>5.1-5.7</t>
        </is>
      </c>
      <c r="B52" s="16" t="inlineStr">
        <is>
          <t>PO-128-00077522263673152</t>
        </is>
      </c>
      <c r="C52" s="16" t="inlineStr">
        <is>
          <t>Delivered</t>
        </is>
      </c>
      <c r="D52" s="16" t="inlineStr">
        <is>
          <t>128-00077658578553152</t>
        </is>
      </c>
      <c r="E52" s="16" t="inlineStr">
        <is>
          <t>Delivered</t>
        </is>
      </c>
      <c r="F52" s="16" t="inlineStr">
        <is>
          <t>TL1455N20B</t>
        </is>
      </c>
      <c r="G52" s="16" t="inlineStr">
        <is>
          <t>LINK BITS Soporte para TV 14 A 55 Pulgadas, Base para TV Pantalla Articulado Inclinable y Giratorio, MAX VESA 400×400 mm, Soporta hasta 18kg (Acero Reforzado)</t>
        </is>
      </c>
      <c r="H52" s="16" t="inlineStr">
        <is>
          <t>TL1455N20B</t>
        </is>
      </c>
      <c r="I52" s="16" t="n">
        <v>1</v>
      </c>
      <c r="J52" s="17" t="n">
        <v>72</v>
      </c>
      <c r="K52" s="17" t="n">
        <v>94.84</v>
      </c>
      <c r="L52" s="17" t="n">
        <v>17.11</v>
      </c>
      <c r="M52" s="17" t="n">
        <v>0</v>
      </c>
      <c r="N52" s="17">
        <f>K52*0.08+L52*0.08</f>
        <v/>
      </c>
      <c r="O52" s="17">
        <f>-(K52*0.025+L52*0.025)</f>
        <v/>
      </c>
      <c r="P52" s="17">
        <f>32</f>
        <v/>
      </c>
      <c r="Q52" s="17">
        <f>J52+L52+N52+O52-P52-M52</f>
        <v/>
      </c>
    </row>
    <row r="53">
      <c r="A53" s="16" t="inlineStr">
        <is>
          <t>5.1-5.7</t>
        </is>
      </c>
      <c r="B53" s="16" t="inlineStr">
        <is>
          <t>PO-128-00090301189753972</t>
        </is>
      </c>
      <c r="C53" s="16" t="inlineStr">
        <is>
          <t>Delivered</t>
        </is>
      </c>
      <c r="D53" s="16" t="inlineStr">
        <is>
          <t>128-00090406047353972</t>
        </is>
      </c>
      <c r="E53" s="16" t="inlineStr">
        <is>
          <t>Delivered</t>
        </is>
      </c>
      <c r="F53" s="16" t="inlineStr">
        <is>
          <t>LV54W25</t>
        </is>
      </c>
      <c r="G53" s="16" t="inlineStr">
        <is>
          <t>TIANLAI Lámpara Ventilador E27 2 en 1, Silenciosa, LED Alta Luminosidad 180°, Instalación Rápida, Ahorro Energético para Dormitorio y Interiores Pequeños</t>
        </is>
      </c>
      <c r="H53" s="16" t="inlineStr">
        <is>
          <t>1 Pieza</t>
        </is>
      </c>
      <c r="I53" s="16" t="n">
        <v>3</v>
      </c>
      <c r="J53" s="17" t="n">
        <v>237</v>
      </c>
      <c r="K53" s="17" t="n">
        <v>198.56</v>
      </c>
      <c r="L53" s="17" t="n">
        <v>0</v>
      </c>
      <c r="M53" s="17" t="n">
        <v>0</v>
      </c>
      <c r="N53" s="17">
        <f>K53*0.08+L53*0.08</f>
        <v/>
      </c>
      <c r="O53" s="17">
        <f>-(K53*0.025+L53*0.025)</f>
        <v/>
      </c>
      <c r="P53" s="17">
        <f>32</f>
        <v/>
      </c>
      <c r="Q53" s="17">
        <f>J53+L53+N53+O53-P53-M53</f>
        <v/>
      </c>
    </row>
    <row r="54">
      <c r="A54" s="16" t="inlineStr">
        <is>
          <t>5.1-5.7</t>
        </is>
      </c>
      <c r="B54" s="16" t="inlineStr">
        <is>
          <t>PO-128-00413194775671024</t>
        </is>
      </c>
      <c r="C54" s="16" t="inlineStr">
        <is>
          <t>Delivered</t>
        </is>
      </c>
      <c r="D54" s="16" t="inlineStr">
        <is>
          <t>128-00413205261431024</t>
        </is>
      </c>
      <c r="E54" s="16" t="inlineStr">
        <is>
          <t>Delivered</t>
        </is>
      </c>
      <c r="F54" s="16" t="inlineStr">
        <is>
          <t>LV54W25</t>
        </is>
      </c>
      <c r="G54" s="16" t="inlineStr">
        <is>
          <t>TIANLAI Lámpara Ventilador E27 2 en 1, Silenciosa, LED Alta Luminosidad 180°, Instalación Rápida, Ahorro Energético para Dormitorio y Interiores Pequeños</t>
        </is>
      </c>
      <c r="H54" s="16" t="inlineStr">
        <is>
          <t>1 Pieza</t>
        </is>
      </c>
      <c r="I54" s="16" t="n">
        <v>3</v>
      </c>
      <c r="J54" s="17" t="n">
        <v>237</v>
      </c>
      <c r="K54" s="17" t="n">
        <v>248.19</v>
      </c>
      <c r="L54" s="17" t="n">
        <v>0</v>
      </c>
      <c r="M54" s="17" t="n">
        <v>0</v>
      </c>
      <c r="N54" s="17">
        <f>K54*0.08+L54*0.08</f>
        <v/>
      </c>
      <c r="O54" s="17">
        <f>-(K54*0.025+L54*0.025)</f>
        <v/>
      </c>
      <c r="P54" s="17">
        <f>32</f>
        <v/>
      </c>
      <c r="Q54" s="17">
        <f>J54+L54+N54+O54-P54-M54</f>
        <v/>
      </c>
    </row>
    <row r="55">
      <c r="A55" s="16" t="inlineStr">
        <is>
          <t>5.1-5.7</t>
        </is>
      </c>
      <c r="B55" s="16" t="inlineStr">
        <is>
          <t>PO-128-00056588846713279</t>
        </is>
      </c>
      <c r="C55" s="16" t="inlineStr">
        <is>
          <t>Delivered</t>
        </is>
      </c>
      <c r="D55" s="16" t="inlineStr">
        <is>
          <t>128-00056630789753279</t>
        </is>
      </c>
      <c r="E55" s="16" t="inlineStr">
        <is>
          <t>Delivered</t>
        </is>
      </c>
      <c r="F55" s="16" t="inlineStr">
        <is>
          <t>B03W10-10PZS</t>
        </is>
      </c>
      <c r="G5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55" s="16" t="inlineStr">
        <is>
          <t>B03W10</t>
        </is>
      </c>
      <c r="I55" s="16" t="n">
        <v>3</v>
      </c>
      <c r="J55" s="17" t="n">
        <v>210</v>
      </c>
      <c r="K55" s="17" t="n">
        <v>232.68</v>
      </c>
      <c r="L55" s="17" t="n">
        <v>0</v>
      </c>
      <c r="M55" s="17" t="n">
        <v>0</v>
      </c>
      <c r="N55" s="17">
        <f>K55*0.08+L55*0.08</f>
        <v/>
      </c>
      <c r="O55" s="17">
        <f>-(K55*0.025+L55*0.025)</f>
        <v/>
      </c>
      <c r="P55" s="17">
        <f>32</f>
        <v/>
      </c>
      <c r="Q55" s="17">
        <f>J55+L55+N55+O55-P55-M55</f>
        <v/>
      </c>
    </row>
    <row r="56">
      <c r="A56" s="16" t="inlineStr">
        <is>
          <t>5.1-5.7</t>
        </is>
      </c>
      <c r="B56" s="16" t="inlineStr">
        <is>
          <t>PO-128-00575705603190249</t>
        </is>
      </c>
      <c r="C56" s="16" t="inlineStr">
        <is>
          <t>Delivered</t>
        </is>
      </c>
      <c r="D56" s="16" t="inlineStr">
        <is>
          <t>128-00575747546230249</t>
        </is>
      </c>
      <c r="E56" s="16" t="inlineStr">
        <is>
          <t>Delivered</t>
        </is>
      </c>
      <c r="F56" s="16" t="inlineStr">
        <is>
          <t>VB349T</t>
        </is>
      </c>
      <c r="G56" s="16" t="inlineStr">
        <is>
          <t>LINKBITS Altavoz Portátil de Doble Altavoz - 3 Pulgadas, Sonido HD, Emparejamiento Rápido de Bluetooth, Conectividad TWS, Reproducción Multimodo (Micro SD/USB/Radio FM) - Perfecto para Oficina, Viajes y Espacios Pequeños</t>
        </is>
      </c>
      <c r="H56" s="16" t="inlineStr">
        <is>
          <t>NEGRO</t>
        </is>
      </c>
      <c r="I56" s="16" t="n">
        <v>1</v>
      </c>
      <c r="J56" s="17" t="n">
        <v>81</v>
      </c>
      <c r="K56" s="17" t="n">
        <v>11.51</v>
      </c>
      <c r="L56" s="17" t="n">
        <v>25.86</v>
      </c>
      <c r="M56" s="17" t="n">
        <v>0</v>
      </c>
      <c r="N56" s="17">
        <f>K56*0.08+L56*0.08</f>
        <v/>
      </c>
      <c r="O56" s="17">
        <f>-(K56*0.025+L56*0.025)</f>
        <v/>
      </c>
      <c r="P56" s="17">
        <f>32</f>
        <v/>
      </c>
      <c r="Q56" s="17">
        <f>J56+L56+N56+O56-P56-M56</f>
        <v/>
      </c>
    </row>
    <row r="57">
      <c r="A57" s="16" t="inlineStr">
        <is>
          <t>5.1-5.7</t>
        </is>
      </c>
      <c r="B57" s="16" t="inlineStr">
        <is>
          <t>PO-128-00285352389752874</t>
        </is>
      </c>
      <c r="C57" s="16" t="inlineStr">
        <is>
          <t>Delivered</t>
        </is>
      </c>
      <c r="D57" s="16" t="inlineStr">
        <is>
          <t>128-00285310446712874</t>
        </is>
      </c>
      <c r="E57" s="16" t="inlineStr">
        <is>
          <t>Delivered</t>
        </is>
      </c>
      <c r="F57" s="16" t="inlineStr">
        <is>
          <t>KTS-2031</t>
        </is>
      </c>
      <c r="G57" s="16" t="inlineStr">
        <is>
          <t>Bocina inalámbrica de 3 pulgadas con linterna multifuncional y panel solar integrado.Altavoz Portátil con Linterna LED 4 Modos, Radio FM, Bluetooth, Carga Solar, Ideal para Apagones, Emergencias, Campo y Exteriores</t>
        </is>
      </c>
      <c r="H57" s="16" t="inlineStr">
        <is>
          <t>NEGRO</t>
        </is>
      </c>
      <c r="I57" s="16" t="n">
        <v>1</v>
      </c>
      <c r="J57" s="17" t="n">
        <v>75</v>
      </c>
      <c r="K57" s="17" t="n">
        <v>84.23</v>
      </c>
      <c r="L57" s="17" t="n">
        <v>25.86</v>
      </c>
      <c r="M57" s="17" t="n">
        <v>0.01</v>
      </c>
      <c r="N57" s="17">
        <f>K57*0.08+L57*0.08</f>
        <v/>
      </c>
      <c r="O57" s="17">
        <f>-(K57*0.025+L57*0.025)</f>
        <v/>
      </c>
      <c r="P57" s="17">
        <f>32</f>
        <v/>
      </c>
      <c r="Q57" s="17">
        <f>J57+L57+N57+O57-P57-M57</f>
        <v/>
      </c>
    </row>
    <row r="58">
      <c r="A58" s="16" t="inlineStr">
        <is>
          <t>5.1-5.7</t>
        </is>
      </c>
      <c r="B58" s="16" t="inlineStr">
        <is>
          <t>PO-128-00093690752634016</t>
        </is>
      </c>
      <c r="C58" s="16" t="inlineStr">
        <is>
          <t>Delivered</t>
        </is>
      </c>
      <c r="D58" s="16" t="inlineStr">
        <is>
          <t>128-00093669781114016</t>
        </is>
      </c>
      <c r="E58" s="16" t="inlineStr">
        <is>
          <t>Delivered</t>
        </is>
      </c>
      <c r="F58" s="16" t="inlineStr">
        <is>
          <t>TL2663N18C</t>
        </is>
      </c>
      <c r="G58" s="16" t="inlineStr">
        <is>
          <t>Linkbits，Soporte de pared fijo para televisores de 26"-63", Ultra-Delgado Compatible con VESA 400x400mm, Capacidad de Peso Fuerte de 25KG, Instalación Fácil Sin Electricidad</t>
        </is>
      </c>
      <c r="H58" s="16" t="inlineStr">
        <is>
          <t>NEGRO</t>
        </is>
      </c>
      <c r="I58" s="16" t="n">
        <v>1</v>
      </c>
      <c r="J58" s="17" t="n">
        <v>55.5</v>
      </c>
      <c r="K58" s="17" t="n">
        <v>63.94</v>
      </c>
      <c r="L58" s="17" t="n">
        <v>25.86</v>
      </c>
      <c r="M58" s="17" t="n">
        <v>0</v>
      </c>
      <c r="N58" s="17">
        <f>K58*0.08+L58*0.08</f>
        <v/>
      </c>
      <c r="O58" s="17">
        <f>-(K58*0.025+L58*0.025)</f>
        <v/>
      </c>
      <c r="P58" s="17">
        <f>32</f>
        <v/>
      </c>
      <c r="Q58" s="17">
        <f>J58+L58+N58+O58-P58-M58</f>
        <v/>
      </c>
    </row>
    <row r="59">
      <c r="A59" s="16" t="inlineStr">
        <is>
          <t>5.1-5.7</t>
        </is>
      </c>
      <c r="B59" s="16" t="inlineStr">
        <is>
          <t>PO-128-00111445683833846</t>
        </is>
      </c>
      <c r="C59" s="16" t="inlineStr">
        <is>
          <t>Delivered</t>
        </is>
      </c>
      <c r="D59" s="16" t="inlineStr">
        <is>
          <t>128-00111487626873846</t>
        </is>
      </c>
      <c r="E59" s="16" t="inlineStr">
        <is>
          <t>Delivered</t>
        </is>
      </c>
      <c r="F59" s="16" t="inlineStr">
        <is>
          <t>KTS-2031</t>
        </is>
      </c>
      <c r="G59" s="16" t="inlineStr">
        <is>
          <t>Bocina inalámbrica de 3 pulgadas con linterna multifuncional y panel solar integrado.Altavoz Portátil con Linterna LED 4 Modos, Radio FM, Bluetooth, Carga Solar, Ideal para Apagones, Emergencias, Campo y Exteriores</t>
        </is>
      </c>
      <c r="H59" s="16" t="inlineStr">
        <is>
          <t>NEGRO</t>
        </is>
      </c>
      <c r="I59" s="16" t="n">
        <v>1</v>
      </c>
      <c r="J59" s="17" t="n">
        <v>75</v>
      </c>
      <c r="K59" s="17" t="n">
        <v>84.23</v>
      </c>
      <c r="L59" s="17" t="n">
        <v>25.86</v>
      </c>
      <c r="M59" s="17" t="n">
        <v>0</v>
      </c>
      <c r="N59" s="17">
        <f>K59*0.08+L59*0.08</f>
        <v/>
      </c>
      <c r="O59" s="17">
        <f>-(K59*0.025+L59*0.025)</f>
        <v/>
      </c>
      <c r="P59" s="17">
        <f>32</f>
        <v/>
      </c>
      <c r="Q59" s="17">
        <f>J59+L59+N59+O59-P59-M59</f>
        <v/>
      </c>
    </row>
    <row r="60">
      <c r="A60" s="16" t="inlineStr">
        <is>
          <t>5.1-5.7</t>
        </is>
      </c>
      <c r="B60" s="16" t="inlineStr">
        <is>
          <t>PO-128-00318076083832809</t>
        </is>
      </c>
      <c r="C60" s="16" t="inlineStr">
        <is>
          <t>Delivered</t>
        </is>
      </c>
      <c r="D60" s="16" t="inlineStr">
        <is>
          <t>128-00318095089272809</t>
        </is>
      </c>
      <c r="E60" s="16" t="inlineStr">
        <is>
          <t>Delivered</t>
        </is>
      </c>
      <c r="F60" s="16" t="inlineStr">
        <is>
          <t>LV54W25</t>
        </is>
      </c>
      <c r="G60" s="16" t="inlineStr">
        <is>
          <t>TIANLAI Lámpara Ventilador E27 2 en 1, Silenciosa, LED Alta Luminosidad 180°, Instalación Rápida, Ahorro Energético para Dormitorio y Interiores Pequeños</t>
        </is>
      </c>
      <c r="H60" s="16" t="inlineStr">
        <is>
          <t>1 Pieza</t>
        </is>
      </c>
      <c r="I60" s="16" t="n">
        <v>1</v>
      </c>
      <c r="J60" s="17" t="n">
        <v>79</v>
      </c>
      <c r="K60" s="17" t="n">
        <v>73.43000000000001</v>
      </c>
      <c r="L60" s="17" t="n">
        <v>25.86</v>
      </c>
      <c r="M60" s="17" t="n">
        <v>0</v>
      </c>
      <c r="N60" s="17">
        <f>K60*0.08+L60*0.08</f>
        <v/>
      </c>
      <c r="O60" s="17">
        <f>-(K60*0.025+L60*0.025)</f>
        <v/>
      </c>
      <c r="P60" s="17">
        <f>32</f>
        <v/>
      </c>
      <c r="Q60" s="17">
        <f>J60+L60+N60+O60-P60-M60</f>
        <v/>
      </c>
    </row>
    <row r="61">
      <c r="A61" s="16" t="inlineStr">
        <is>
          <t>5.1-5.7</t>
        </is>
      </c>
      <c r="B61" s="16" t="inlineStr">
        <is>
          <t>PO-128-00396918152311187</t>
        </is>
      </c>
      <c r="C61" s="16" t="inlineStr">
        <is>
          <t>Delivered</t>
        </is>
      </c>
      <c r="D61" s="16" t="inlineStr">
        <is>
          <t>128-00396876209271187</t>
        </is>
      </c>
      <c r="E61" s="16" t="inlineStr">
        <is>
          <t>Delivered</t>
        </is>
      </c>
      <c r="F61" s="16" t="inlineStr">
        <is>
          <t>LV54W25</t>
        </is>
      </c>
      <c r="G61" s="16" t="inlineStr">
        <is>
          <t>TIANLAI Lámpara Ventilador E27 2 en 1, Silenciosa, LED Alta Luminosidad 180°, Instalación Rápida, Ahorro Energético para Dormitorio y Interiores Pequeños</t>
        </is>
      </c>
      <c r="H61" s="16" t="inlineStr">
        <is>
          <t>1 Pieza</t>
        </is>
      </c>
      <c r="I61" s="16" t="n">
        <v>3</v>
      </c>
      <c r="J61" s="17" t="n">
        <v>237</v>
      </c>
      <c r="K61" s="17" t="n">
        <v>248.19</v>
      </c>
      <c r="L61" s="17" t="n">
        <v>0</v>
      </c>
      <c r="M61" s="17" t="n">
        <v>0</v>
      </c>
      <c r="N61" s="17">
        <f>K61*0.08+L61*0.08</f>
        <v/>
      </c>
      <c r="O61" s="17">
        <f>-(K61*0.025+L61*0.025)</f>
        <v/>
      </c>
      <c r="P61" s="17">
        <f>32</f>
        <v/>
      </c>
      <c r="Q61" s="17">
        <f>J61+L61+N61+O61-P61-M61</f>
        <v/>
      </c>
    </row>
    <row r="62">
      <c r="A62" s="16" t="inlineStr">
        <is>
          <t>5.1-5.7</t>
        </is>
      </c>
      <c r="B62" s="16" t="inlineStr">
        <is>
          <t>PO-128-00637375299190841</t>
        </is>
      </c>
      <c r="C62" s="16" t="inlineStr">
        <is>
          <t>Delivered</t>
        </is>
      </c>
      <c r="D62" s="16" t="inlineStr">
        <is>
          <t>128-00637443456630841</t>
        </is>
      </c>
      <c r="E62" s="16" t="inlineStr">
        <is>
          <t>Delivered</t>
        </is>
      </c>
      <c r="F62" s="16" t="inlineStr">
        <is>
          <t>LV54W25</t>
        </is>
      </c>
      <c r="G62" s="16" t="inlineStr">
        <is>
          <t>TIANLAI Lámpara Ventilador E27 2 en 1, Silenciosa, LED Alta Luminosidad 180°, Instalación Rápida, Ahorro Energético para Dormitorio y Interiores Pequeños</t>
        </is>
      </c>
      <c r="H62" s="16" t="inlineStr">
        <is>
          <t>1 Pieza</t>
        </is>
      </c>
      <c r="I62" s="16" t="n">
        <v>1</v>
      </c>
      <c r="J62" s="17" t="n">
        <v>79</v>
      </c>
      <c r="K62" s="17" t="n">
        <v>96.2</v>
      </c>
      <c r="L62" s="17" t="n">
        <v>25.86</v>
      </c>
      <c r="M62" s="17" t="n">
        <v>0</v>
      </c>
      <c r="N62" s="17">
        <f>K62*0.08+L62*0.08</f>
        <v/>
      </c>
      <c r="O62" s="17">
        <f>-(K62*0.025+L62*0.025)</f>
        <v/>
      </c>
      <c r="P62" s="17">
        <f>32</f>
        <v/>
      </c>
      <c r="Q62" s="17">
        <f>J62+L62+N62+O62-P62-M62</f>
        <v/>
      </c>
    </row>
    <row r="63">
      <c r="A63" s="16" t="inlineStr">
        <is>
          <t>5.1-5.7</t>
        </is>
      </c>
      <c r="B63" s="16" t="inlineStr">
        <is>
          <t>PO-128-00531018652790451</t>
        </is>
      </c>
      <c r="C63" s="16" t="inlineStr">
        <is>
          <t>Delivered</t>
        </is>
      </c>
      <c r="D63" s="16" t="inlineStr">
        <is>
          <t>128-00531154967670451</t>
        </is>
      </c>
      <c r="E63" s="16" t="inlineStr">
        <is>
          <t>Delivered</t>
        </is>
      </c>
      <c r="F63" s="16" t="inlineStr">
        <is>
          <t>LV54W25</t>
        </is>
      </c>
      <c r="G63" s="16" t="inlineStr">
        <is>
          <t>TIANLAI Lámpara Ventilador E27 2 en 1, Silenciosa, LED Alta Luminosidad 180°, Instalación Rápida, Ahorro Energético para Dormitorio y Interiores Pequeños</t>
        </is>
      </c>
      <c r="H63" s="16" t="inlineStr">
        <is>
          <t>1 Pieza</t>
        </is>
      </c>
      <c r="I63" s="16" t="n">
        <v>1</v>
      </c>
      <c r="J63" s="17" t="n">
        <v>79</v>
      </c>
      <c r="K63" s="17" t="n">
        <v>82.73</v>
      </c>
      <c r="L63" s="17" t="n">
        <v>25.86</v>
      </c>
      <c r="M63" s="17" t="n">
        <v>0</v>
      </c>
      <c r="N63" s="17">
        <f>K63*0.08+L63*0.08</f>
        <v/>
      </c>
      <c r="O63" s="17">
        <f>-(K63*0.025+L63*0.025)</f>
        <v/>
      </c>
      <c r="P63" s="17">
        <f>32</f>
        <v/>
      </c>
      <c r="Q63" s="17">
        <f>J63+L63+N63+O63-P63-M63</f>
        <v/>
      </c>
    </row>
    <row r="64">
      <c r="A64" s="16" t="inlineStr">
        <is>
          <t>5.1-5.7</t>
        </is>
      </c>
      <c r="B64" s="16" t="inlineStr">
        <is>
          <t>PO-128-00603948997750913</t>
        </is>
      </c>
      <c r="C64" s="16" t="inlineStr">
        <is>
          <t>Delivered</t>
        </is>
      </c>
      <c r="D64" s="16" t="inlineStr">
        <is>
          <t>128-00603907054710913</t>
        </is>
      </c>
      <c r="E64" s="16" t="inlineStr">
        <is>
          <t>Delivered</t>
        </is>
      </c>
      <c r="F64" s="16" t="inlineStr">
        <is>
          <t>LV54W25</t>
        </is>
      </c>
      <c r="G64" s="16" t="inlineStr">
        <is>
          <t>TIANLAI Lámpara Ventilador E27 2 en 1, Silenciosa, LED Alta Luminosidad 180°, Instalación Rápida, Ahorro Energético para Dormitorio y Interiores Pequeños</t>
        </is>
      </c>
      <c r="H64" s="16" t="inlineStr">
        <is>
          <t>1 Pieza</t>
        </is>
      </c>
      <c r="I64" s="16" t="n">
        <v>1</v>
      </c>
      <c r="J64" s="17" t="n">
        <v>79</v>
      </c>
      <c r="K64" s="17" t="n">
        <v>82.73</v>
      </c>
      <c r="L64" s="17" t="n">
        <v>25.86</v>
      </c>
      <c r="M64" s="17" t="n">
        <v>0</v>
      </c>
      <c r="N64" s="17">
        <f>K64*0.08+L64*0.08</f>
        <v/>
      </c>
      <c r="O64" s="17">
        <f>-(K64*0.025+L64*0.025)</f>
        <v/>
      </c>
      <c r="P64" s="17">
        <f>32</f>
        <v/>
      </c>
      <c r="Q64" s="17">
        <f>J64+L64+N64+O64-P64-M64</f>
        <v/>
      </c>
    </row>
    <row r="65">
      <c r="A65" s="16" t="inlineStr">
        <is>
          <t>5.1-5.7</t>
        </is>
      </c>
      <c r="B65" s="16" t="inlineStr">
        <is>
          <t>PO-128-00590535109750033</t>
        </is>
      </c>
      <c r="C65" s="16" t="inlineStr">
        <is>
          <t>Delivered</t>
        </is>
      </c>
      <c r="D65" s="16" t="inlineStr">
        <is>
          <t>128-00590493166710033</t>
        </is>
      </c>
      <c r="E65" s="16" t="inlineStr">
        <is>
          <t>Delivered</t>
        </is>
      </c>
      <c r="F65" s="16" t="inlineStr">
        <is>
          <t>KTS-2031</t>
        </is>
      </c>
      <c r="G65" s="16" t="inlineStr">
        <is>
          <t>Bocina inalámbrica de 3 pulgadas con linterna multifuncional y panel solar integrado.Altavoz Portátil con Linterna LED 4 Modos, Radio FM, Bluetooth, Carga Solar, Ideal para Apagones, Emergencias, Campo y Exteriores</t>
        </is>
      </c>
      <c r="H65" s="16" t="inlineStr">
        <is>
          <t>NEGRO</t>
        </is>
      </c>
      <c r="I65" s="16" t="n">
        <v>1</v>
      </c>
      <c r="J65" s="17" t="n">
        <v>75</v>
      </c>
      <c r="K65" s="17" t="n">
        <v>84.23</v>
      </c>
      <c r="L65" s="17" t="n">
        <v>25.86</v>
      </c>
      <c r="M65" s="17" t="n">
        <v>0</v>
      </c>
      <c r="N65" s="17">
        <f>K65*0.08+L65*0.08</f>
        <v/>
      </c>
      <c r="O65" s="17">
        <f>-(K65*0.025+L65*0.025)</f>
        <v/>
      </c>
      <c r="P65" s="17">
        <f>32</f>
        <v/>
      </c>
      <c r="Q65" s="17">
        <f>J65+L65+N65+O65-P65-M65</f>
        <v/>
      </c>
    </row>
    <row r="66">
      <c r="A66" s="16" t="inlineStr">
        <is>
          <t>5.1-5.7</t>
        </is>
      </c>
      <c r="B66" s="16" t="inlineStr">
        <is>
          <t>PO-128-00218744118392185</t>
        </is>
      </c>
      <c r="C66" s="16" t="inlineStr">
        <is>
          <t>Delivered</t>
        </is>
      </c>
      <c r="D66" s="16" t="inlineStr">
        <is>
          <t>128-00218702175352185</t>
        </is>
      </c>
      <c r="E66" s="16" t="inlineStr">
        <is>
          <t>Delivered</t>
        </is>
      </c>
      <c r="F66" s="16" t="inlineStr">
        <is>
          <t>B03W10-10PZS</t>
        </is>
      </c>
      <c r="G6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66" s="16" t="inlineStr">
        <is>
          <t>B03W10</t>
        </is>
      </c>
      <c r="I66" s="16" t="n">
        <v>1</v>
      </c>
      <c r="J66" s="17" t="n">
        <v>70</v>
      </c>
      <c r="K66" s="17" t="n">
        <v>34.46</v>
      </c>
      <c r="L66" s="17" t="n">
        <v>25.86</v>
      </c>
      <c r="M66" s="17" t="n">
        <v>0</v>
      </c>
      <c r="N66" s="17">
        <f>K66*0.08+L66*0.08</f>
        <v/>
      </c>
      <c r="O66" s="17">
        <f>-(K66*0.025+L66*0.025)</f>
        <v/>
      </c>
      <c r="P66" s="17">
        <f>32</f>
        <v/>
      </c>
      <c r="Q66" s="17">
        <f>J66+L66+N66+O66-P66-M66</f>
        <v/>
      </c>
    </row>
    <row r="67">
      <c r="A67" s="16" t="inlineStr">
        <is>
          <t>5.1-5.7</t>
        </is>
      </c>
      <c r="B67" s="16" t="inlineStr">
        <is>
          <t>PO-128-00584720837750003</t>
        </is>
      </c>
      <c r="C67" s="16" t="inlineStr">
        <is>
          <t>Delivered</t>
        </is>
      </c>
      <c r="D67" s="16" t="inlineStr">
        <is>
          <t>128-00584710351990003</t>
        </is>
      </c>
      <c r="E67" s="16" t="inlineStr">
        <is>
          <t>Delivered</t>
        </is>
      </c>
      <c r="F67" s="16" t="inlineStr">
        <is>
          <t>TLCD06-12P-R</t>
        </is>
      </c>
      <c r="G6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67" s="16" t="inlineStr">
        <is>
          <t>ROJO/pantalla de 12 pulgadas</t>
        </is>
      </c>
      <c r="I67" s="16" t="n">
        <v>1</v>
      </c>
      <c r="J67" s="17" t="n">
        <v>35</v>
      </c>
      <c r="K67" s="17" t="n">
        <v>39.98</v>
      </c>
      <c r="L67" s="17" t="n">
        <v>25.86</v>
      </c>
      <c r="M67" s="17" t="n">
        <v>0</v>
      </c>
      <c r="N67" s="17">
        <f>K67*0.08+L67*0.08</f>
        <v/>
      </c>
      <c r="O67" s="17">
        <f>-(K67*0.025+L67*0.025)</f>
        <v/>
      </c>
      <c r="P67" s="17">
        <f>32</f>
        <v/>
      </c>
      <c r="Q67" s="17">
        <f>J67+L67+N67+O67-P67-M67</f>
        <v/>
      </c>
    </row>
    <row r="68">
      <c r="A68" s="16" t="inlineStr">
        <is>
          <t>5.1-5.7</t>
        </is>
      </c>
      <c r="B68" s="16" t="inlineStr">
        <is>
          <t>PO-128-00502842998391579</t>
        </is>
      </c>
      <c r="C68" s="16" t="inlineStr">
        <is>
          <t>Delivered</t>
        </is>
      </c>
      <c r="D68" s="16" t="inlineStr">
        <is>
          <t>128-00502848241271579</t>
        </is>
      </c>
      <c r="E68" s="16" t="inlineStr">
        <is>
          <t>Delivered</t>
        </is>
      </c>
      <c r="F68" s="16" t="inlineStr">
        <is>
          <t>LV54W25</t>
        </is>
      </c>
      <c r="G68" s="16" t="inlineStr">
        <is>
          <t>TIANLAI Lámpara Ventilador E27 2 en 1, Silenciosa, LED Alta Luminosidad 180°, Instalación Rápida, Ahorro Energético para Dormitorio y Interiores Pequeños</t>
        </is>
      </c>
      <c r="H68" s="16" t="inlineStr">
        <is>
          <t>1 Pieza</t>
        </is>
      </c>
      <c r="I68" s="16" t="n">
        <v>1</v>
      </c>
      <c r="J68" s="17" t="n">
        <v>79</v>
      </c>
      <c r="K68" s="17" t="n">
        <v>82.73</v>
      </c>
      <c r="L68" s="17" t="n">
        <v>25.86</v>
      </c>
      <c r="M68" s="17" t="n">
        <v>0</v>
      </c>
      <c r="N68" s="17">
        <f>K68*0.08+L68*0.08</f>
        <v/>
      </c>
      <c r="O68" s="17">
        <f>-(K68*0.025+L68*0.025)</f>
        <v/>
      </c>
      <c r="P68" s="17">
        <f>32</f>
        <v/>
      </c>
      <c r="Q68" s="17">
        <f>J68+L68+N68+O68-P68-M68</f>
        <v/>
      </c>
    </row>
    <row r="69">
      <c r="A69" s="16" t="inlineStr">
        <is>
          <t>5.1-5.7</t>
        </is>
      </c>
      <c r="B69" s="16" t="inlineStr">
        <is>
          <t>PO-128-00264452623992998</t>
        </is>
      </c>
      <c r="C69" s="16" t="inlineStr">
        <is>
          <t>Delivered</t>
        </is>
      </c>
      <c r="D69" s="16" t="inlineStr">
        <is>
          <t>128-00264459177592998</t>
        </is>
      </c>
      <c r="E69" s="16" t="inlineStr">
        <is>
          <t>Delivered</t>
        </is>
      </c>
      <c r="F69" s="16" t="inlineStr">
        <is>
          <t>BG-115-B</t>
        </is>
      </c>
      <c r="G69" s="16" t="inlineStr">
        <is>
          <t>LINK BITS Audífonos Inalámbricos con Luces Multicolor, Recargables y en Adorable Forma de Orejas de Gato - Conecta a Celulares y PCs, Tiene Radio FM, Tarjeta TF y AUX - 7 Horas de Reproducción, Plegables y Perfectos para Trabajo, Juegos y Estudio</t>
        </is>
      </c>
      <c r="H69" s="16" t="inlineStr">
        <is>
          <t>blanco</t>
        </is>
      </c>
      <c r="I69" s="16" t="n">
        <v>1</v>
      </c>
      <c r="J69" s="17" t="n">
        <v>80</v>
      </c>
      <c r="K69" s="17" t="n">
        <v>90.73999999999999</v>
      </c>
      <c r="L69" s="17" t="n">
        <v>25.86</v>
      </c>
      <c r="M69" s="17" t="n">
        <v>5.02</v>
      </c>
      <c r="N69" s="17">
        <f>K69*0.08+L69*0.08</f>
        <v/>
      </c>
      <c r="O69" s="17">
        <f>-(K69*0.025+L69*0.025)</f>
        <v/>
      </c>
      <c r="P69" s="17">
        <f>32</f>
        <v/>
      </c>
      <c r="Q69" s="17">
        <f>J69+L69+N69+O69-P69-M69</f>
        <v/>
      </c>
    </row>
    <row r="70">
      <c r="A70" s="16" t="inlineStr">
        <is>
          <t>5.1-5.7</t>
        </is>
      </c>
      <c r="B70" s="16" t="inlineStr">
        <is>
          <t>PO-128-00589159235190041</t>
        </is>
      </c>
      <c r="C70" s="16" t="inlineStr">
        <is>
          <t>Delivered</t>
        </is>
      </c>
      <c r="D70" s="16" t="inlineStr">
        <is>
          <t>128-00589180206710041</t>
        </is>
      </c>
      <c r="E70" s="16" t="inlineStr">
        <is>
          <t>Delivered</t>
        </is>
      </c>
      <c r="F70" s="16" t="inlineStr">
        <is>
          <t>TL2663N18C</t>
        </is>
      </c>
      <c r="G70" s="16" t="inlineStr">
        <is>
          <t>Linkbits，Soporte de pared fijo para televisores de 26"-63", Ultra-Delgado Compatible con VESA 400x400mm, Capacidad de Peso Fuerte de 25KG, Instalación Fácil Sin Electricidad</t>
        </is>
      </c>
      <c r="H70" s="16" t="inlineStr">
        <is>
          <t>NEGRO</t>
        </is>
      </c>
      <c r="I70" s="16" t="n">
        <v>1</v>
      </c>
      <c r="J70" s="17" t="n">
        <v>55.5</v>
      </c>
      <c r="K70" s="17" t="n">
        <v>70.48999999999999</v>
      </c>
      <c r="L70" s="17" t="n">
        <v>25.86</v>
      </c>
      <c r="M70" s="17" t="n">
        <v>0</v>
      </c>
      <c r="N70" s="17">
        <f>K70*0.08+L70*0.08</f>
        <v/>
      </c>
      <c r="O70" s="17">
        <f>-(K70*0.025+L70*0.025)</f>
        <v/>
      </c>
      <c r="P70" s="17">
        <f>32</f>
        <v/>
      </c>
      <c r="Q70" s="17">
        <f>J70+L70+N70+O70-P70-M70</f>
        <v/>
      </c>
    </row>
    <row r="71">
      <c r="A71" s="16" t="inlineStr">
        <is>
          <t>5.1-5.7</t>
        </is>
      </c>
      <c r="B71" s="16" t="inlineStr">
        <is>
          <t>PO-128-00205624023672391</t>
        </is>
      </c>
      <c r="C71" s="16" t="inlineStr">
        <is>
          <t>Delivered</t>
        </is>
      </c>
      <c r="D71" s="16" t="inlineStr">
        <is>
          <t>128-00205676452472391</t>
        </is>
      </c>
      <c r="E71" s="16" t="inlineStr">
        <is>
          <t>Delivered</t>
        </is>
      </c>
      <c r="F71" s="16" t="inlineStr">
        <is>
          <t>LV54W25</t>
        </is>
      </c>
      <c r="G71" s="16" t="inlineStr">
        <is>
          <t>TIANLAI Lámpara Ventilador E27 2 en 1, Silenciosa, LED Alta Luminosidad 180°, Instalación Rápida, Ahorro Energético para Dormitorio y Interiores Pequeños</t>
        </is>
      </c>
      <c r="H71" s="16" t="inlineStr">
        <is>
          <t>1 Pieza</t>
        </is>
      </c>
      <c r="I71" s="16" t="n">
        <v>3</v>
      </c>
      <c r="J71" s="17" t="n">
        <v>237</v>
      </c>
      <c r="K71" s="17" t="n">
        <v>248.19</v>
      </c>
      <c r="L71" s="17" t="n">
        <v>0</v>
      </c>
      <c r="M71" s="17" t="n">
        <v>0</v>
      </c>
      <c r="N71" s="17">
        <f>K71*0.08+L71*0.08</f>
        <v/>
      </c>
      <c r="O71" s="17">
        <f>-(K71*0.025+L71*0.025)</f>
        <v/>
      </c>
      <c r="P71" s="17">
        <f>32</f>
        <v/>
      </c>
      <c r="Q71" s="17">
        <f>J71+L71+N71+O71-P71-M71</f>
        <v/>
      </c>
    </row>
    <row r="72">
      <c r="A72" s="16" t="inlineStr">
        <is>
          <t>5.1-5.7</t>
        </is>
      </c>
      <c r="B72" s="16" t="inlineStr">
        <is>
          <t>PO-128-00026478787193331</t>
        </is>
      </c>
      <c r="C72" s="16" t="inlineStr">
        <is>
          <t>Delivered</t>
        </is>
      </c>
      <c r="D72" s="16" t="inlineStr">
        <is>
          <t>128-00026489272953331</t>
        </is>
      </c>
      <c r="E72" s="16" t="inlineStr">
        <is>
          <t>Delivered</t>
        </is>
      </c>
      <c r="F72" s="16" t="inlineStr">
        <is>
          <t>KTS-2031</t>
        </is>
      </c>
      <c r="G72" s="16" t="inlineStr">
        <is>
          <t>Bocina inalámbrica de 3 pulgadas con linterna multifuncional y panel solar integrado.Altavoz Portátil con Linterna LED 4 Modos, Radio FM, Bluetooth, Carga Solar, Ideal para Apagones, Emergencias, Campo y Exteriores</t>
        </is>
      </c>
      <c r="H72" s="16" t="inlineStr">
        <is>
          <t>NEGRO</t>
        </is>
      </c>
      <c r="I72" s="16" t="n">
        <v>1</v>
      </c>
      <c r="J72" s="17" t="n">
        <v>75</v>
      </c>
      <c r="K72" s="17" t="n">
        <v>53.07</v>
      </c>
      <c r="L72" s="17" t="n">
        <v>25.86</v>
      </c>
      <c r="M72" s="17" t="n">
        <v>0</v>
      </c>
      <c r="N72" s="17">
        <f>K72*0.08+L72*0.08</f>
        <v/>
      </c>
      <c r="O72" s="17">
        <f>-(K72*0.025+L72*0.025)</f>
        <v/>
      </c>
      <c r="P72" s="17">
        <f>32</f>
        <v/>
      </c>
      <c r="Q72" s="17">
        <f>J72+L72+N72+O72-P72-M72</f>
        <v/>
      </c>
    </row>
    <row r="73">
      <c r="A73" s="16" t="inlineStr">
        <is>
          <t>5.1-5.7</t>
        </is>
      </c>
      <c r="B73" s="16" t="inlineStr">
        <is>
          <t>PO-128-00372972780151329</t>
        </is>
      </c>
      <c r="C73" s="16" t="inlineStr">
        <is>
          <t>Delivered</t>
        </is>
      </c>
      <c r="D73" s="16" t="inlineStr">
        <is>
          <t>128-00373025208951329</t>
        </is>
      </c>
      <c r="E73" s="16" t="inlineStr">
        <is>
          <t>Delivered</t>
        </is>
      </c>
      <c r="F73" s="16" t="inlineStr">
        <is>
          <t>LV54W25</t>
        </is>
      </c>
      <c r="G73" s="16" t="inlineStr">
        <is>
          <t>TIANLAI Lámpara Ventilador E27 2 en 1, Silenciosa, LED Alta Luminosidad 180°, Instalación Rápida, Ahorro Energético para Dormitorio y Interiores Pequeños</t>
        </is>
      </c>
      <c r="H73" s="16" t="inlineStr">
        <is>
          <t>1 Pieza</t>
        </is>
      </c>
      <c r="I73" s="16" t="n">
        <v>1</v>
      </c>
      <c r="J73" s="17" t="n">
        <v>79</v>
      </c>
      <c r="K73" s="17" t="n">
        <v>96.2</v>
      </c>
      <c r="L73" s="17" t="n">
        <v>25.86</v>
      </c>
      <c r="M73" s="17" t="n">
        <v>0</v>
      </c>
      <c r="N73" s="17">
        <f>K73*0.08+L73*0.08</f>
        <v/>
      </c>
      <c r="O73" s="17">
        <f>-(K73*0.025+L73*0.025)</f>
        <v/>
      </c>
      <c r="P73" s="17">
        <f>32</f>
        <v/>
      </c>
      <c r="Q73" s="17">
        <f>J73+L73+N73+O73-P73-M73</f>
        <v/>
      </c>
    </row>
    <row r="74">
      <c r="A74" s="16" t="inlineStr">
        <is>
          <t>5.1-5.7</t>
        </is>
      </c>
      <c r="B74" s="16" t="inlineStr">
        <is>
          <t>PO-128-00041107692153435</t>
        </is>
      </c>
      <c r="C74" s="16" t="inlineStr">
        <is>
          <t>Delivered</t>
        </is>
      </c>
      <c r="D74" s="16" t="inlineStr">
        <is>
          <t>128-00041183713913435</t>
        </is>
      </c>
      <c r="E74" s="16" t="inlineStr">
        <is>
          <t>Delivered</t>
        </is>
      </c>
      <c r="F74" s="16" t="inlineStr">
        <is>
          <t>LV54W25</t>
        </is>
      </c>
      <c r="G74" s="16" t="inlineStr">
        <is>
          <t>TIANLAI Lámpara Ventilador E27 2 en 1, Silenciosa, LED Alta Luminosidad 180°, Instalación Rápida, Ahorro Energético para Dormitorio y Interiores Pequeños</t>
        </is>
      </c>
      <c r="H74" s="16" t="inlineStr">
        <is>
          <t>1 Pieza</t>
        </is>
      </c>
      <c r="I74" s="16" t="n">
        <v>1</v>
      </c>
      <c r="J74" s="17" t="n">
        <v>79</v>
      </c>
      <c r="K74" s="17" t="n">
        <v>55.96</v>
      </c>
      <c r="L74" s="17" t="n">
        <v>25.86</v>
      </c>
      <c r="M74" s="17" t="n">
        <v>0</v>
      </c>
      <c r="N74" s="17">
        <f>K74*0.08+L74*0.08</f>
        <v/>
      </c>
      <c r="O74" s="17">
        <f>-(K74*0.025+L74*0.025)</f>
        <v/>
      </c>
      <c r="P74" s="17">
        <f>32</f>
        <v/>
      </c>
      <c r="Q74" s="17">
        <f>J74+L74+N74+O74-P74-M74</f>
        <v/>
      </c>
    </row>
    <row r="75">
      <c r="A75" s="16" t="inlineStr">
        <is>
          <t>5.1-5.7</t>
        </is>
      </c>
      <c r="B75" s="16" t="inlineStr">
        <is>
          <t>PO-128-00678412565110597</t>
        </is>
      </c>
      <c r="C75" s="16" t="inlineStr">
        <is>
          <t>Delivered</t>
        </is>
      </c>
      <c r="D75" s="16" t="inlineStr">
        <is>
          <t>128-00678409943670597</t>
        </is>
      </c>
      <c r="E75" s="16" t="inlineStr">
        <is>
          <t>Delivered</t>
        </is>
      </c>
      <c r="F75" s="16" t="inlineStr">
        <is>
          <t>LV64W25</t>
        </is>
      </c>
      <c r="G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 s="16" t="inlineStr">
        <is>
          <t>Blanco</t>
        </is>
      </c>
      <c r="I75" s="16" t="n">
        <v>1</v>
      </c>
      <c r="J75" s="17" t="n">
        <v>125</v>
      </c>
      <c r="K75" s="17" t="n">
        <v>102.48</v>
      </c>
      <c r="L75" s="17" t="n">
        <v>25.86</v>
      </c>
      <c r="M75" s="17" t="n">
        <v>0</v>
      </c>
      <c r="N75" s="17">
        <f>K75*0.08+L75*0.08</f>
        <v/>
      </c>
      <c r="O75" s="17">
        <f>-(K75*0.025+L75*0.025)</f>
        <v/>
      </c>
      <c r="P75" s="17">
        <f>32</f>
        <v/>
      </c>
      <c r="Q75" s="17">
        <f>J75+L75+N75+O75-P75-M75</f>
        <v/>
      </c>
    </row>
    <row r="76">
      <c r="A76" s="16" t="inlineStr">
        <is>
          <t>5.1-5.7</t>
        </is>
      </c>
      <c r="B76" s="16" t="inlineStr">
        <is>
          <t>PO-128-00654818335350673</t>
        </is>
      </c>
      <c r="C76" s="16" t="inlineStr">
        <is>
          <t>Delivered</t>
        </is>
      </c>
      <c r="D76" s="16" t="inlineStr">
        <is>
          <t>128-00654978243190673</t>
        </is>
      </c>
      <c r="E76" s="16" t="inlineStr">
        <is>
          <t>Delivered</t>
        </is>
      </c>
      <c r="F76" s="16" t="inlineStr">
        <is>
          <t>BG-115-P</t>
        </is>
      </c>
      <c r="G76" s="16" t="inlineStr">
        <is>
          <t>LINK BITS Audífonos Inalámbricos con Luces Multicolor, Recargables y en Adorable Forma de Orejas de Gato - Conecta a Celulares y PCs, Tiene Radio FM, Tarjeta TF y AUX - 7 Horas de Reproducción, Plegables y Perfectos para Trabajo, Juegos y Estudio</t>
        </is>
      </c>
      <c r="H76" s="16" t="inlineStr">
        <is>
          <t>rosa</t>
        </is>
      </c>
      <c r="I76" s="16" t="n">
        <v>1</v>
      </c>
      <c r="J76" s="17" t="n">
        <v>85</v>
      </c>
      <c r="K76" s="17" t="n">
        <v>9.529999999999999</v>
      </c>
      <c r="L76" s="17" t="n">
        <v>25.86</v>
      </c>
      <c r="M76" s="17" t="n">
        <v>0.9</v>
      </c>
      <c r="N76" s="17">
        <f>K76*0.08+L76*0.08</f>
        <v/>
      </c>
      <c r="O76" s="17">
        <f>-(K76*0.025+L76*0.025)</f>
        <v/>
      </c>
      <c r="P76" s="17">
        <f>32</f>
        <v/>
      </c>
      <c r="Q76" s="17">
        <f>J76+L76+N76+O76-P76-M76</f>
        <v/>
      </c>
    </row>
    <row r="77">
      <c r="A77" s="16" t="inlineStr">
        <is>
          <t>5.1-5.7</t>
        </is>
      </c>
      <c r="B77" s="16" t="inlineStr">
        <is>
          <t>PO-128-00355465144951496</t>
        </is>
      </c>
      <c r="C77" s="16" t="inlineStr">
        <is>
          <t>Delivered</t>
        </is>
      </c>
      <c r="D77" s="16" t="inlineStr">
        <is>
          <t>128-00355486116471496</t>
        </is>
      </c>
      <c r="E77" s="16" t="inlineStr">
        <is>
          <t>Delivered</t>
        </is>
      </c>
      <c r="F77" s="16" t="inlineStr">
        <is>
          <t>LV64W25</t>
        </is>
      </c>
      <c r="G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7" s="16" t="inlineStr">
        <is>
          <t>Blanco</t>
        </is>
      </c>
      <c r="I77" s="16" t="n">
        <v>3</v>
      </c>
      <c r="J77" s="17" t="n">
        <v>375</v>
      </c>
      <c r="K77" s="17" t="n">
        <v>386.85</v>
      </c>
      <c r="L77" s="17" t="n">
        <v>0</v>
      </c>
      <c r="M77" s="17" t="n">
        <v>0</v>
      </c>
      <c r="N77" s="17">
        <f>K77*0.08+L77*0.08</f>
        <v/>
      </c>
      <c r="O77" s="17">
        <f>-(K77*0.025+L77*0.025)</f>
        <v/>
      </c>
      <c r="P77" s="17">
        <f>32</f>
        <v/>
      </c>
      <c r="Q77" s="17">
        <f>J77+L77+N77+O77-P77-M77</f>
        <v/>
      </c>
    </row>
    <row r="78">
      <c r="A78" s="16" t="inlineStr">
        <is>
          <t>5.1-5.7</t>
        </is>
      </c>
      <c r="B78" s="16" t="inlineStr">
        <is>
          <t>PO-128-00605327739510902</t>
        </is>
      </c>
      <c r="C78" s="16" t="inlineStr">
        <is>
          <t>Delivered</t>
        </is>
      </c>
      <c r="D78" s="16" t="inlineStr">
        <is>
          <t>128-00605479783030902</t>
        </is>
      </c>
      <c r="E78" s="16" t="inlineStr">
        <is>
          <t>Delivered</t>
        </is>
      </c>
      <c r="F78" s="16" t="inlineStr">
        <is>
          <t>i12-B</t>
        </is>
      </c>
      <c r="G78" s="16" t="inlineStr">
        <is>
          <t>Auriculares Inalámbricos TWS - Ideales para Usuarios Android e iPhone, Entusiastas del Deporte &amp; Música, Controles Táctiles, Audífonos Para Correr y Jugar</t>
        </is>
      </c>
      <c r="H78" s="16" t="inlineStr">
        <is>
          <t>Blanco</t>
        </is>
      </c>
      <c r="I78" s="16" t="n">
        <v>1</v>
      </c>
      <c r="J78" s="17" t="n">
        <v>44.8</v>
      </c>
      <c r="K78" s="17" t="n">
        <v>60.98</v>
      </c>
      <c r="L78" s="17" t="n">
        <v>25.86</v>
      </c>
      <c r="M78" s="17" t="n">
        <v>60.98</v>
      </c>
      <c r="N78" s="17">
        <f>K78*0.08+L78*0.08</f>
        <v/>
      </c>
      <c r="O78" s="17">
        <f>-(K78*0.025+L78*0.025)</f>
        <v/>
      </c>
      <c r="P78" s="17">
        <f>32</f>
        <v/>
      </c>
      <c r="Q78" s="17">
        <f>J78+L78+N78+O78-P78-M78</f>
        <v/>
      </c>
    </row>
    <row r="79">
      <c r="A79" s="16" t="inlineStr">
        <is>
          <t>5.1-5.7</t>
        </is>
      </c>
      <c r="B79" s="16" t="inlineStr">
        <is>
          <t>PO-128-00609175306870944</t>
        </is>
      </c>
      <c r="C79" s="16" t="inlineStr">
        <is>
          <t>Delivered</t>
        </is>
      </c>
      <c r="D79" s="16" t="inlineStr">
        <is>
          <t>128-00609133363830944</t>
        </is>
      </c>
      <c r="E79" s="16" t="inlineStr">
        <is>
          <t>Delivered</t>
        </is>
      </c>
      <c r="F79" s="16" t="inlineStr">
        <is>
          <t>TL1412N17C</t>
        </is>
      </c>
      <c r="G79" s="16" t="inlineStr">
        <is>
          <t>Linkbits, Soporte de Pared Fijo para TV y Monitor de 14"-43", Ultra Delgado 2.3cm, Fuerte Capacidad de Peso de 25KG, Fácil Instalación con Accesorios Completos</t>
        </is>
      </c>
      <c r="H79" s="16" t="inlineStr">
        <is>
          <t>NEGRO</t>
        </is>
      </c>
      <c r="I79" s="16" t="n">
        <v>1</v>
      </c>
      <c r="J79" s="17" t="n">
        <v>36.84</v>
      </c>
      <c r="K79" s="17" t="n">
        <v>48.54</v>
      </c>
      <c r="L79" s="17" t="n">
        <v>25.86</v>
      </c>
      <c r="M79" s="17" t="n">
        <v>0</v>
      </c>
      <c r="N79" s="17">
        <f>K79*0.08+L79*0.08</f>
        <v/>
      </c>
      <c r="O79" s="17">
        <f>-(K79*0.025+L79*0.025)</f>
        <v/>
      </c>
      <c r="P79" s="17">
        <f>32</f>
        <v/>
      </c>
      <c r="Q79" s="17">
        <f>J79+L79+N79+O79-P79-M79</f>
        <v/>
      </c>
    </row>
    <row r="80">
      <c r="A80" s="16" t="inlineStr">
        <is>
          <t>5.1-5.7</t>
        </is>
      </c>
      <c r="B80" s="16" t="inlineStr">
        <is>
          <t>PO-128-00011466762873546</t>
        </is>
      </c>
      <c r="C80" s="16" t="inlineStr">
        <is>
          <t>Delivered</t>
        </is>
      </c>
      <c r="D80" s="16" t="inlineStr">
        <is>
          <t>128-00011508705913546</t>
        </is>
      </c>
      <c r="E80" s="16" t="inlineStr">
        <is>
          <t>Delivered</t>
        </is>
      </c>
      <c r="F80" s="16" t="inlineStr">
        <is>
          <t>KTS-2031</t>
        </is>
      </c>
      <c r="G80" s="16" t="inlineStr">
        <is>
          <t>Bocina inalámbrica de 3 pulgadas con linterna multifuncional y panel solar integrado.Altavoz Portátil con Linterna LED 4 Modos, Radio FM, Bluetooth, Carga Solar, Ideal para Apagones, Emergencias, Campo y Exteriores</t>
        </is>
      </c>
      <c r="H80" s="16" t="inlineStr">
        <is>
          <t>NEGRO</t>
        </is>
      </c>
      <c r="I80" s="16" t="n">
        <v>1</v>
      </c>
      <c r="J80" s="17" t="n">
        <v>75</v>
      </c>
      <c r="K80" s="17" t="n">
        <v>1.47</v>
      </c>
      <c r="L80" s="17" t="n">
        <v>25.86</v>
      </c>
      <c r="M80" s="17" t="n">
        <v>0</v>
      </c>
      <c r="N80" s="17">
        <f>K80*0.08+L80*0.08</f>
        <v/>
      </c>
      <c r="O80" s="17">
        <f>-(K80*0.025+L80*0.025)</f>
        <v/>
      </c>
      <c r="P80" s="17">
        <f>32</f>
        <v/>
      </c>
      <c r="Q80" s="17">
        <f>J80+L80+N80+O80-P80-M80</f>
        <v/>
      </c>
    </row>
    <row r="81">
      <c r="A81" s="16" t="inlineStr">
        <is>
          <t>5.1-5.7</t>
        </is>
      </c>
      <c r="B81" s="16" t="inlineStr">
        <is>
          <t>PO-128-00145418332793836</t>
        </is>
      </c>
      <c r="C81" s="16" t="inlineStr">
        <is>
          <t>Delivered</t>
        </is>
      </c>
      <c r="D81" s="16" t="inlineStr">
        <is>
          <t>128-00145376389753836</t>
        </is>
      </c>
      <c r="E81" s="16" t="inlineStr">
        <is>
          <t>Delivered</t>
        </is>
      </c>
      <c r="F81" s="16" t="inlineStr">
        <is>
          <t>LV64W25</t>
        </is>
      </c>
      <c r="G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1" s="16" t="inlineStr">
        <is>
          <t>Blanco</t>
        </is>
      </c>
      <c r="I81" s="16" t="n">
        <v>5</v>
      </c>
      <c r="J81" s="17" t="n">
        <v>625</v>
      </c>
      <c r="K81" s="17" t="n">
        <v>664.84</v>
      </c>
      <c r="L81" s="17" t="n">
        <v>0</v>
      </c>
      <c r="M81" s="17" t="n">
        <v>143.28</v>
      </c>
      <c r="N81" s="17">
        <f>K81*0.08+L81*0.08</f>
        <v/>
      </c>
      <c r="O81" s="17">
        <f>-(K81*0.025+L81*0.025)</f>
        <v/>
      </c>
      <c r="P81" s="17">
        <f>32</f>
        <v/>
      </c>
      <c r="Q81" s="17">
        <f>J81+L81+N81+O81-P81-M81</f>
        <v/>
      </c>
    </row>
    <row r="82">
      <c r="A82" s="16" t="inlineStr">
        <is>
          <t>5.1-5.7</t>
        </is>
      </c>
      <c r="B82" s="16" t="inlineStr">
        <is>
          <t>PO-128-00145418332793836</t>
        </is>
      </c>
      <c r="C82" s="16" t="inlineStr">
        <is>
          <t>Delivered</t>
        </is>
      </c>
      <c r="D82" s="16" t="inlineStr">
        <is>
          <t>128-00145334446713836</t>
        </is>
      </c>
      <c r="E82" s="16" t="inlineStr">
        <is>
          <t>Delivered</t>
        </is>
      </c>
      <c r="F82" s="16" t="inlineStr">
        <is>
          <t>TL2663N18C</t>
        </is>
      </c>
      <c r="G82" s="16" t="inlineStr">
        <is>
          <t>Linkbits，Soporte de pared fijo para televisores de 26"-63", Ultra-Delgado Compatible con VESA 400x400mm, Capacidad de Peso Fuerte de 25KG, Instalación Fácil Sin Electricidad</t>
        </is>
      </c>
      <c r="H82" s="16" t="inlineStr">
        <is>
          <t>NEGRO</t>
        </is>
      </c>
      <c r="I82" s="16" t="n">
        <v>1</v>
      </c>
      <c r="J82" s="17" t="n">
        <v>55.5</v>
      </c>
      <c r="K82" s="17" t="n">
        <v>70.48999999999999</v>
      </c>
      <c r="L82" s="17" t="n">
        <v>0</v>
      </c>
      <c r="M82" s="17" t="n">
        <v>3.5</v>
      </c>
      <c r="N82" s="17">
        <f>K82*0.08+L82*0.08</f>
        <v/>
      </c>
      <c r="O82" s="17">
        <f>-(K82*0.025+L82*0.025)</f>
        <v/>
      </c>
      <c r="P82" s="17">
        <f>32</f>
        <v/>
      </c>
      <c r="Q82" s="17">
        <f>J82+L82+N82+O82-P82-M82</f>
        <v/>
      </c>
    </row>
    <row r="83">
      <c r="A83" s="16" t="inlineStr">
        <is>
          <t>5.1-5.7</t>
        </is>
      </c>
      <c r="B83" s="16" t="inlineStr">
        <is>
          <t>PO-128-00254995292792161</t>
        </is>
      </c>
      <c r="C83" s="16" t="inlineStr">
        <is>
          <t>Delivered</t>
        </is>
      </c>
      <c r="D83" s="16" t="inlineStr">
        <is>
          <t>128-00254974321272161</t>
        </is>
      </c>
      <c r="E83" s="16" t="inlineStr">
        <is>
          <t>Delivered</t>
        </is>
      </c>
      <c r="F83" s="16" t="inlineStr">
        <is>
          <t>LV64W25</t>
        </is>
      </c>
      <c r="G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 s="16" t="inlineStr">
        <is>
          <t>Blanco</t>
        </is>
      </c>
      <c r="I83" s="16" t="n">
        <v>1</v>
      </c>
      <c r="J83" s="17" t="n">
        <v>125</v>
      </c>
      <c r="K83" s="17" t="n">
        <v>130.39</v>
      </c>
      <c r="L83" s="17" t="n">
        <v>25.86</v>
      </c>
      <c r="M83" s="17" t="n">
        <v>0</v>
      </c>
      <c r="N83" s="17">
        <f>K83*0.08+L83*0.08</f>
        <v/>
      </c>
      <c r="O83" s="17">
        <f>-(K83*0.025+L83*0.025)</f>
        <v/>
      </c>
      <c r="P83" s="17">
        <f>32</f>
        <v/>
      </c>
      <c r="Q83" s="17">
        <f>J83+L83+N83+O83-P83-M83</f>
        <v/>
      </c>
    </row>
    <row r="84">
      <c r="A84" s="16" t="inlineStr">
        <is>
          <t>5.1-5.7</t>
        </is>
      </c>
      <c r="B84" s="16" t="inlineStr">
        <is>
          <t>PO-128-00659656750710709</t>
        </is>
      </c>
      <c r="C84" s="16" t="inlineStr">
        <is>
          <t>Delivered</t>
        </is>
      </c>
      <c r="D84" s="16" t="inlineStr">
        <is>
          <t>128-00659614807670709</t>
        </is>
      </c>
      <c r="E84" s="16" t="inlineStr">
        <is>
          <t>Delivered</t>
        </is>
      </c>
      <c r="F84" s="16" t="inlineStr">
        <is>
          <t>LV64W25</t>
        </is>
      </c>
      <c r="G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4" s="16" t="inlineStr">
        <is>
          <t>Blanco</t>
        </is>
      </c>
      <c r="I84" s="16" t="n">
        <v>2</v>
      </c>
      <c r="J84" s="17" t="n">
        <v>250</v>
      </c>
      <c r="K84" s="17" t="n">
        <v>260.78</v>
      </c>
      <c r="L84" s="17" t="n">
        <v>0</v>
      </c>
      <c r="M84" s="17" t="n">
        <v>0</v>
      </c>
      <c r="N84" s="17">
        <f>K84*0.08+L84*0.08</f>
        <v/>
      </c>
      <c r="O84" s="17">
        <f>-(K84*0.025+L84*0.025)</f>
        <v/>
      </c>
      <c r="P84" s="17">
        <f>32</f>
        <v/>
      </c>
      <c r="Q84" s="17">
        <f>J84+L84+N84+O84-P84-M84</f>
        <v/>
      </c>
    </row>
    <row r="85">
      <c r="A85" s="16" t="inlineStr">
        <is>
          <t>5.1-5.7</t>
        </is>
      </c>
      <c r="B85" s="16" t="inlineStr">
        <is>
          <t>PO-128-00212092805752414</t>
        </is>
      </c>
      <c r="C85" s="16" t="inlineStr">
        <is>
          <t>Delivered</t>
        </is>
      </c>
      <c r="D85" s="16" t="inlineStr">
        <is>
          <t>128-00212113777272414</t>
        </is>
      </c>
      <c r="E85" s="16" t="inlineStr">
        <is>
          <t>Delivered</t>
        </is>
      </c>
      <c r="F85" s="16" t="inlineStr">
        <is>
          <t>LV64W25</t>
        </is>
      </c>
      <c r="G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 s="16" t="inlineStr">
        <is>
          <t>Blanco</t>
        </is>
      </c>
      <c r="I85" s="16" t="n">
        <v>3</v>
      </c>
      <c r="J85" s="17" t="n">
        <v>375</v>
      </c>
      <c r="K85" s="17" t="n">
        <v>309.49</v>
      </c>
      <c r="L85" s="17" t="n">
        <v>0</v>
      </c>
      <c r="M85" s="17" t="n">
        <v>0</v>
      </c>
      <c r="N85" s="17">
        <f>K85*0.08+L85*0.08</f>
        <v/>
      </c>
      <c r="O85" s="17">
        <f>-(K85*0.025+L85*0.025)</f>
        <v/>
      </c>
      <c r="P85" s="17">
        <f>32</f>
        <v/>
      </c>
      <c r="Q85" s="17">
        <f>J85+L85+N85+O85-P85-M85</f>
        <v/>
      </c>
    </row>
    <row r="86">
      <c r="A86" s="16" t="inlineStr">
        <is>
          <t>5.1-5.7</t>
        </is>
      </c>
      <c r="B86" s="16" t="inlineStr">
        <is>
          <t>PO-128-00632422482550807</t>
        </is>
      </c>
      <c r="C86" s="16" t="inlineStr">
        <is>
          <t>Delivered</t>
        </is>
      </c>
      <c r="D86" s="16" t="inlineStr">
        <is>
          <t>128-00632364810870807</t>
        </is>
      </c>
      <c r="E86" s="16" t="inlineStr">
        <is>
          <t>Delivered</t>
        </is>
      </c>
      <c r="F86" s="16" t="inlineStr">
        <is>
          <t>LV64W25</t>
        </is>
      </c>
      <c r="G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6" s="16" t="inlineStr">
        <is>
          <t>Blanco</t>
        </is>
      </c>
      <c r="I86" s="16" t="n">
        <v>1</v>
      </c>
      <c r="J86" s="17" t="n">
        <v>125</v>
      </c>
      <c r="K86" s="17" t="n">
        <v>143.28</v>
      </c>
      <c r="L86" s="17" t="n">
        <v>25.86</v>
      </c>
      <c r="M86" s="17" t="n">
        <v>0</v>
      </c>
      <c r="N86" s="17">
        <f>K86*0.08+L86*0.08</f>
        <v/>
      </c>
      <c r="O86" s="17">
        <f>-(K86*0.025+L86*0.025)</f>
        <v/>
      </c>
      <c r="P86" s="17">
        <f>32</f>
        <v/>
      </c>
      <c r="Q86" s="17">
        <f>J86+L86+N86+O86-P86-M86</f>
        <v/>
      </c>
    </row>
    <row r="87">
      <c r="A87" s="16" t="inlineStr">
        <is>
          <t>5.1-5.7</t>
        </is>
      </c>
      <c r="B87" s="16" t="inlineStr">
        <is>
          <t>PO-128-00068196972153080</t>
        </is>
      </c>
      <c r="C87" s="16" t="inlineStr">
        <is>
          <t>Delivered</t>
        </is>
      </c>
      <c r="D87" s="16" t="inlineStr">
        <is>
          <t>128-00068176000633080</t>
        </is>
      </c>
      <c r="E87" s="16" t="inlineStr">
        <is>
          <t>Delivered</t>
        </is>
      </c>
      <c r="F87" s="16" t="inlineStr">
        <is>
          <t>LV54W25</t>
        </is>
      </c>
      <c r="G87" s="16" t="inlineStr">
        <is>
          <t>TIANLAI Lámpara Ventilador E27 2 en 1, Silenciosa, LED Alta Luminosidad 180°, Instalación Rápida, Ahorro Energético para Dormitorio y Interiores Pequeños</t>
        </is>
      </c>
      <c r="H87" s="16" t="inlineStr">
        <is>
          <t>1 Pieza</t>
        </is>
      </c>
      <c r="I87" s="16" t="n">
        <v>2</v>
      </c>
      <c r="J87" s="17" t="n">
        <v>158</v>
      </c>
      <c r="K87" s="17" t="n">
        <v>132.37</v>
      </c>
      <c r="L87" s="17" t="n">
        <v>25.86</v>
      </c>
      <c r="M87" s="17" t="n">
        <v>0</v>
      </c>
      <c r="N87" s="17">
        <f>K87*0.08+L87*0.08</f>
        <v/>
      </c>
      <c r="O87" s="17">
        <f>-(K87*0.025+L87*0.025)</f>
        <v/>
      </c>
      <c r="P87" s="17">
        <f>32</f>
        <v/>
      </c>
      <c r="Q87" s="17">
        <f>J87+L87+N87+O87-P87-M87</f>
        <v/>
      </c>
    </row>
    <row r="88">
      <c r="A88" s="16" t="inlineStr">
        <is>
          <t>5.1-5.7</t>
        </is>
      </c>
      <c r="B88" s="16" t="inlineStr">
        <is>
          <t>PO-128-00589642445430036</t>
        </is>
      </c>
      <c r="C88" s="16" t="inlineStr">
        <is>
          <t>Delivered</t>
        </is>
      </c>
      <c r="D88" s="16" t="inlineStr">
        <is>
          <t>128-00589668659830036</t>
        </is>
      </c>
      <c r="E88" s="16" t="inlineStr">
        <is>
          <t>Delivered</t>
        </is>
      </c>
      <c r="F88" s="16" t="inlineStr">
        <is>
          <t>LV54W25</t>
        </is>
      </c>
      <c r="G88" s="16" t="inlineStr">
        <is>
          <t>TIANLAI Lámpara Ventilador E27 2 en 1, Silenciosa, LED Alta Luminosidad 180°, Instalación Rápida, Ahorro Energético para Dormitorio y Interiores Pequeños</t>
        </is>
      </c>
      <c r="H88" s="16" t="inlineStr">
        <is>
          <t>1 Pieza</t>
        </is>
      </c>
      <c r="I88" s="16" t="n">
        <v>1</v>
      </c>
      <c r="J88" s="17" t="n">
        <v>79</v>
      </c>
      <c r="K88" s="17" t="n">
        <v>82.73</v>
      </c>
      <c r="L88" s="17" t="n">
        <v>25.86</v>
      </c>
      <c r="M88" s="17" t="n">
        <v>0</v>
      </c>
      <c r="N88" s="17">
        <f>K88*0.08+L88*0.08</f>
        <v/>
      </c>
      <c r="O88" s="17">
        <f>-(K88*0.025+L88*0.025)</f>
        <v/>
      </c>
      <c r="P88" s="17">
        <f>32</f>
        <v/>
      </c>
      <c r="Q88" s="17">
        <f>J88+L88+N88+O88-P88-M88</f>
        <v/>
      </c>
    </row>
    <row r="89">
      <c r="A89" s="16" t="inlineStr">
        <is>
          <t>5.1-5.7</t>
        </is>
      </c>
      <c r="B89" s="16" t="inlineStr">
        <is>
          <t>PO-128-00110732831353850</t>
        </is>
      </c>
      <c r="C89" s="16" t="inlineStr">
        <is>
          <t>Delivered</t>
        </is>
      </c>
      <c r="D89" s="16" t="inlineStr">
        <is>
          <t>128-00110808853113850</t>
        </is>
      </c>
      <c r="E89" s="16" t="inlineStr">
        <is>
          <t>Delivered</t>
        </is>
      </c>
      <c r="F89" s="16" t="inlineStr">
        <is>
          <t>LV64W25</t>
        </is>
      </c>
      <c r="G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 s="16" t="inlineStr">
        <is>
          <t>Blanco</t>
        </is>
      </c>
      <c r="I89" s="16" t="n">
        <v>2</v>
      </c>
      <c r="J89" s="17" t="n">
        <v>250</v>
      </c>
      <c r="K89" s="17" t="n">
        <v>257.9</v>
      </c>
      <c r="L89" s="17" t="n">
        <v>0</v>
      </c>
      <c r="M89" s="17" t="n">
        <v>0</v>
      </c>
      <c r="N89" s="17">
        <f>K89*0.08+L89*0.08</f>
        <v/>
      </c>
      <c r="O89" s="17">
        <f>-(K89*0.025+L89*0.025)</f>
        <v/>
      </c>
      <c r="P89" s="17">
        <f>32</f>
        <v/>
      </c>
      <c r="Q89" s="17">
        <f>J89+L89+N89+O89-P89-M89</f>
        <v/>
      </c>
    </row>
    <row r="90">
      <c r="A90" s="16" t="inlineStr">
        <is>
          <t>5.1-5.7</t>
        </is>
      </c>
      <c r="B90" s="16" t="inlineStr">
        <is>
          <t>PO-128-00055608484473285</t>
        </is>
      </c>
      <c r="C90" s="16" t="inlineStr">
        <is>
          <t>Delivered</t>
        </is>
      </c>
      <c r="D90" s="16" t="inlineStr">
        <is>
          <t>128-00055650427513285</t>
        </is>
      </c>
      <c r="E90" s="16" t="inlineStr">
        <is>
          <t>Delivered</t>
        </is>
      </c>
      <c r="F90" s="16" t="inlineStr">
        <is>
          <t>LV64W25</t>
        </is>
      </c>
      <c r="G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0" s="16" t="inlineStr">
        <is>
          <t>Blanco</t>
        </is>
      </c>
      <c r="I90" s="16" t="n">
        <v>2</v>
      </c>
      <c r="J90" s="17" t="n">
        <v>250</v>
      </c>
      <c r="K90" s="17" t="n">
        <v>208.62</v>
      </c>
      <c r="L90" s="17" t="n">
        <v>0</v>
      </c>
      <c r="M90" s="17" t="n">
        <v>0</v>
      </c>
      <c r="N90" s="17">
        <f>K90*0.08+L90*0.08</f>
        <v/>
      </c>
      <c r="O90" s="17">
        <f>-(K90*0.025+L90*0.025)</f>
        <v/>
      </c>
      <c r="P90" s="17">
        <f>32</f>
        <v/>
      </c>
      <c r="Q90" s="17">
        <f>J90+L90+N90+O90-P90-M90</f>
        <v/>
      </c>
    </row>
    <row r="91">
      <c r="A91" s="16" t="inlineStr">
        <is>
          <t>5.1-5.7</t>
        </is>
      </c>
      <c r="B91" s="16" t="inlineStr">
        <is>
          <t>PO-128-00217978522232189</t>
        </is>
      </c>
      <c r="C91" s="16" t="inlineStr">
        <is>
          <t>Delivered</t>
        </is>
      </c>
      <c r="D91" s="16" t="inlineStr">
        <is>
          <t>128-00218020465272189</t>
        </is>
      </c>
      <c r="E91" s="16" t="inlineStr">
        <is>
          <t>Delivered</t>
        </is>
      </c>
      <c r="F91" s="16" t="inlineStr">
        <is>
          <t>LV64W25</t>
        </is>
      </c>
      <c r="G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1" s="16" t="inlineStr">
        <is>
          <t>Blanco</t>
        </is>
      </c>
      <c r="I91" s="16" t="n">
        <v>2</v>
      </c>
      <c r="J91" s="17" t="n">
        <v>250</v>
      </c>
      <c r="K91" s="17" t="n">
        <v>260.78</v>
      </c>
      <c r="L91" s="17" t="n">
        <v>0</v>
      </c>
      <c r="M91" s="17" t="n">
        <v>0</v>
      </c>
      <c r="N91" s="17">
        <f>K91*0.08+L91*0.08</f>
        <v/>
      </c>
      <c r="O91" s="17">
        <f>-(K91*0.025+L91*0.025)</f>
        <v/>
      </c>
      <c r="P91" s="17">
        <f>32</f>
        <v/>
      </c>
      <c r="Q91" s="17">
        <f>J91+L91+N91+O91-P91-M91</f>
        <v/>
      </c>
    </row>
    <row r="92">
      <c r="A92" s="16" t="inlineStr">
        <is>
          <t>5.1-5.7</t>
        </is>
      </c>
      <c r="B92" s="16" t="inlineStr">
        <is>
          <t>PO-128-00441574636152009</t>
        </is>
      </c>
      <c r="C92" s="16" t="inlineStr">
        <is>
          <t>Delivered</t>
        </is>
      </c>
      <c r="D92" s="16" t="inlineStr">
        <is>
          <t>128-00441532693112009</t>
        </is>
      </c>
      <c r="E92" s="16" t="inlineStr">
        <is>
          <t>Delivered</t>
        </is>
      </c>
      <c r="F92" s="16" t="inlineStr">
        <is>
          <t>LV64W25</t>
        </is>
      </c>
      <c r="G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2" s="16" t="inlineStr">
        <is>
          <t>Blanco</t>
        </is>
      </c>
      <c r="I92" s="16" t="n">
        <v>1</v>
      </c>
      <c r="J92" s="17" t="n">
        <v>125</v>
      </c>
      <c r="K92" s="17" t="n">
        <v>130.39</v>
      </c>
      <c r="L92" s="17" t="n">
        <v>25.86</v>
      </c>
      <c r="M92" s="17" t="n">
        <v>0</v>
      </c>
      <c r="N92" s="17">
        <f>K92*0.08+L92*0.08</f>
        <v/>
      </c>
      <c r="O92" s="17">
        <f>-(K92*0.025+L92*0.025)</f>
        <v/>
      </c>
      <c r="P92" s="17">
        <f>32</f>
        <v/>
      </c>
      <c r="Q92" s="17">
        <f>J92+L92+N92+O92-P92-M92</f>
        <v/>
      </c>
    </row>
    <row r="93">
      <c r="A93" s="16" t="inlineStr">
        <is>
          <t>5.1-5.7</t>
        </is>
      </c>
      <c r="B93" s="16" t="inlineStr">
        <is>
          <t>PO-128-00534523310710492</t>
        </is>
      </c>
      <c r="C93" s="16" t="inlineStr">
        <is>
          <t>Delivered</t>
        </is>
      </c>
      <c r="D93" s="16" t="inlineStr">
        <is>
          <t>128-00534605230710492</t>
        </is>
      </c>
      <c r="E93" s="16" t="inlineStr">
        <is>
          <t>Delivered</t>
        </is>
      </c>
      <c r="F93" s="16" t="inlineStr">
        <is>
          <t>LV64W25</t>
        </is>
      </c>
      <c r="G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 s="16" t="inlineStr">
        <is>
          <t>Blanco</t>
        </is>
      </c>
      <c r="I93" s="16" t="n">
        <v>2</v>
      </c>
      <c r="J93" s="17" t="n">
        <v>250</v>
      </c>
      <c r="K93" s="17" t="n">
        <v>206.33</v>
      </c>
      <c r="L93" s="17" t="n">
        <v>0</v>
      </c>
      <c r="M93" s="17" t="n">
        <v>0</v>
      </c>
      <c r="N93" s="17">
        <f>K93*0.08+L93*0.08</f>
        <v/>
      </c>
      <c r="O93" s="17">
        <f>-(K93*0.025+L93*0.025)</f>
        <v/>
      </c>
      <c r="P93" s="17">
        <f>32</f>
        <v/>
      </c>
      <c r="Q93" s="17">
        <f>J93+L93+N93+O93-P93-M93</f>
        <v/>
      </c>
    </row>
    <row r="94">
      <c r="A94" s="16" t="inlineStr">
        <is>
          <t>5.1-5.7</t>
        </is>
      </c>
      <c r="B94" s="16" t="inlineStr">
        <is>
          <t>PO-128-00002812805753470</t>
        </is>
      </c>
      <c r="C94" s="16" t="inlineStr">
        <is>
          <t>Delivered</t>
        </is>
      </c>
      <c r="D94" s="16" t="inlineStr">
        <is>
          <t>128-00002770862713470</t>
        </is>
      </c>
      <c r="E94" s="16" t="inlineStr">
        <is>
          <t>Delivered</t>
        </is>
      </c>
      <c r="F94" s="16" t="inlineStr">
        <is>
          <t>LV54W25</t>
        </is>
      </c>
      <c r="G94" s="16" t="inlineStr">
        <is>
          <t>TIANLAI Lámpara Ventilador E27 2 en 1, Silenciosa, LED Alta Luminosidad 180°, Instalación Rápida, Ahorro Energético para Dormitorio y Interiores Pequeños</t>
        </is>
      </c>
      <c r="H94" s="16" t="inlineStr">
        <is>
          <t>1 Pieza</t>
        </is>
      </c>
      <c r="I94" s="16" t="n">
        <v>3</v>
      </c>
      <c r="J94" s="17" t="n">
        <v>237</v>
      </c>
      <c r="K94" s="17" t="n">
        <v>248.19</v>
      </c>
      <c r="L94" s="17" t="n">
        <v>0</v>
      </c>
      <c r="M94" s="17" t="n">
        <v>0</v>
      </c>
      <c r="N94" s="17">
        <f>K94*0.08+L94*0.08</f>
        <v/>
      </c>
      <c r="O94" s="17">
        <f>-(K94*0.025+L94*0.025)</f>
        <v/>
      </c>
      <c r="P94" s="17">
        <f>32</f>
        <v/>
      </c>
      <c r="Q94" s="17">
        <f>J94+L94+N94+O94-P94-M94</f>
        <v/>
      </c>
    </row>
    <row r="95">
      <c r="A95" s="16" t="inlineStr">
        <is>
          <t>5.1-5.7</t>
        </is>
      </c>
      <c r="B95" s="16" t="inlineStr">
        <is>
          <t>PO-128-00261922002552951</t>
        </is>
      </c>
      <c r="C95" s="16" t="inlineStr">
        <is>
          <t>Delivered</t>
        </is>
      </c>
      <c r="D95" s="16" t="inlineStr">
        <is>
          <t>128-00261901031032951</t>
        </is>
      </c>
      <c r="E95" s="16" t="inlineStr">
        <is>
          <t>Delivered</t>
        </is>
      </c>
      <c r="F95" s="16" t="inlineStr">
        <is>
          <t>LV64W25</t>
        </is>
      </c>
      <c r="G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5" s="16" t="inlineStr">
        <is>
          <t>Blanco</t>
        </is>
      </c>
      <c r="I95" s="16" t="n">
        <v>1</v>
      </c>
      <c r="J95" s="17" t="n">
        <v>125</v>
      </c>
      <c r="K95" s="17" t="n">
        <v>80.84</v>
      </c>
      <c r="L95" s="17" t="n">
        <v>25.86</v>
      </c>
      <c r="M95" s="17" t="n">
        <v>0</v>
      </c>
      <c r="N95" s="17">
        <f>K95*0.08+L95*0.08</f>
        <v/>
      </c>
      <c r="O95" s="17">
        <f>-(K95*0.025+L95*0.025)</f>
        <v/>
      </c>
      <c r="P95" s="17">
        <f>32</f>
        <v/>
      </c>
      <c r="Q95" s="17">
        <f>J95+L95+N95+O95-P95-M95</f>
        <v/>
      </c>
    </row>
    <row r="96">
      <c r="A96" s="16" t="inlineStr">
        <is>
          <t>5.1-5.7</t>
        </is>
      </c>
      <c r="B96" s="16" t="inlineStr">
        <is>
          <t>PO-128-00396838472311187</t>
        </is>
      </c>
      <c r="C96" s="16" t="inlineStr">
        <is>
          <t>Delivered</t>
        </is>
      </c>
      <c r="D96" s="16" t="inlineStr">
        <is>
          <t>128-00396880415351187</t>
        </is>
      </c>
      <c r="E96" s="16" t="inlineStr">
        <is>
          <t>Delivered</t>
        </is>
      </c>
      <c r="F96" s="16" t="inlineStr">
        <is>
          <t>LV54W25</t>
        </is>
      </c>
      <c r="G96" s="16" t="inlineStr">
        <is>
          <t>TIANLAI Lámpara Ventilador E27 2 en 1, Silenciosa, LED Alta Luminosidad 180°, Instalación Rápida, Ahorro Energético para Dormitorio y Interiores Pequeños</t>
        </is>
      </c>
      <c r="H96" s="16" t="inlineStr">
        <is>
          <t>1 Pieza</t>
        </is>
      </c>
      <c r="I96" s="16" t="n">
        <v>5</v>
      </c>
      <c r="J96" s="17" t="n">
        <v>395</v>
      </c>
      <c r="K96" s="17" t="n">
        <v>336.05</v>
      </c>
      <c r="L96" s="17" t="n">
        <v>0</v>
      </c>
      <c r="M96" s="17" t="n">
        <v>0</v>
      </c>
      <c r="N96" s="17">
        <f>K96*0.08+L96*0.08</f>
        <v/>
      </c>
      <c r="O96" s="17">
        <f>-(K96*0.025+L96*0.025)</f>
        <v/>
      </c>
      <c r="P96" s="17">
        <f>32</f>
        <v/>
      </c>
      <c r="Q96" s="17">
        <f>J96+L96+N96+O96-P96-M96</f>
        <v/>
      </c>
    </row>
    <row r="97">
      <c r="A97" s="16" t="inlineStr">
        <is>
          <t>5.1-5.7</t>
        </is>
      </c>
      <c r="B97" s="16" t="inlineStr">
        <is>
          <t>PO-128-00340101356152677</t>
        </is>
      </c>
      <c r="C97" s="16" t="inlineStr">
        <is>
          <t>Delivered</t>
        </is>
      </c>
      <c r="D97" s="16" t="inlineStr">
        <is>
          <t>128-00340106599032677</t>
        </is>
      </c>
      <c r="E97" s="16" t="inlineStr">
        <is>
          <t>Delivered</t>
        </is>
      </c>
      <c r="F97" s="16" t="inlineStr">
        <is>
          <t>LV54W25</t>
        </is>
      </c>
      <c r="G97" s="16" t="inlineStr">
        <is>
          <t>TIANLAI Lámpara Ventilador E27 2 en 1, Silenciosa, LED Alta Luminosidad 180°, Instalación Rápida, Ahorro Energético para Dormitorio y Interiores Pequeños</t>
        </is>
      </c>
      <c r="H97" s="16" t="inlineStr">
        <is>
          <t>1 Pieza</t>
        </is>
      </c>
      <c r="I97" s="16" t="n">
        <v>1</v>
      </c>
      <c r="J97" s="17" t="n">
        <v>79</v>
      </c>
      <c r="K97" s="17" t="n">
        <v>82.73</v>
      </c>
      <c r="L97" s="17" t="n">
        <v>25.86</v>
      </c>
      <c r="M97" s="17" t="n">
        <v>0</v>
      </c>
      <c r="N97" s="17">
        <f>K97*0.08+L97*0.08</f>
        <v/>
      </c>
      <c r="O97" s="17">
        <f>-(K97*0.025+L97*0.025)</f>
        <v/>
      </c>
      <c r="P97" s="17">
        <f>32</f>
        <v/>
      </c>
      <c r="Q97" s="17">
        <f>J97+L97+N97+O97-P97-M97</f>
        <v/>
      </c>
    </row>
    <row r="98">
      <c r="A98" s="16" t="inlineStr">
        <is>
          <t>5.1-5.7</t>
        </is>
      </c>
      <c r="B98" s="16" t="inlineStr">
        <is>
          <t>PO-128-00184081029752519</t>
        </is>
      </c>
      <c r="C98" s="16" t="inlineStr">
        <is>
          <t>Delivered</t>
        </is>
      </c>
      <c r="D98" s="16" t="inlineStr">
        <is>
          <t>128-00184070543992519</t>
        </is>
      </c>
      <c r="E98" s="16" t="inlineStr">
        <is>
          <t>Delivered</t>
        </is>
      </c>
      <c r="F98" s="16" t="inlineStr">
        <is>
          <t>LV64W25</t>
        </is>
      </c>
      <c r="G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 s="16" t="inlineStr">
        <is>
          <t>Blanco</t>
        </is>
      </c>
      <c r="I98" s="16" t="n">
        <v>1</v>
      </c>
      <c r="J98" s="17" t="n">
        <v>125</v>
      </c>
      <c r="K98" s="17" t="n">
        <v>122.94</v>
      </c>
      <c r="L98" s="17" t="n">
        <v>25.86</v>
      </c>
      <c r="M98" s="17" t="n">
        <v>0</v>
      </c>
      <c r="N98" s="17">
        <f>K98*0.08+L98*0.08</f>
        <v/>
      </c>
      <c r="O98" s="17">
        <f>-(K98*0.025+L98*0.025)</f>
        <v/>
      </c>
      <c r="P98" s="17">
        <f>32</f>
        <v/>
      </c>
      <c r="Q98" s="17">
        <f>J98+L98+N98+O98-P98-M98</f>
        <v/>
      </c>
    </row>
    <row r="99">
      <c r="A99" s="16" t="inlineStr">
        <is>
          <t>5.1-5.7</t>
        </is>
      </c>
      <c r="B99" s="16" t="inlineStr">
        <is>
          <t>PO-128-00585467791990063</t>
        </is>
      </c>
      <c r="C99" s="16" t="inlineStr">
        <is>
          <t>Delivered</t>
        </is>
      </c>
      <c r="D99" s="16" t="inlineStr">
        <is>
          <t>128-00585473034870063</t>
        </is>
      </c>
      <c r="E99" s="16" t="inlineStr">
        <is>
          <t>Delivered</t>
        </is>
      </c>
      <c r="F99" s="16" t="inlineStr">
        <is>
          <t>TL2663N18C</t>
        </is>
      </c>
      <c r="G99" s="16" t="inlineStr">
        <is>
          <t>Linkbits，Soporte de pared fijo para televisores de 26"-63", Ultra-Delgado Compatible con VESA 400x400mm, Capacidad de Peso Fuerte de 25KG, Instalación Fácil Sin Electricidad</t>
        </is>
      </c>
      <c r="H99" s="16" t="inlineStr">
        <is>
          <t>NEGRO</t>
        </is>
      </c>
      <c r="I99" s="16" t="n">
        <v>1</v>
      </c>
      <c r="J99" s="17" t="n">
        <v>55.5</v>
      </c>
      <c r="K99" s="17" t="n">
        <v>59.92</v>
      </c>
      <c r="L99" s="17" t="n">
        <v>25.86</v>
      </c>
      <c r="M99" s="17" t="n">
        <v>0</v>
      </c>
      <c r="N99" s="17">
        <f>K99*0.08+L99*0.08</f>
        <v/>
      </c>
      <c r="O99" s="17">
        <f>-(K99*0.025+L99*0.025)</f>
        <v/>
      </c>
      <c r="P99" s="17">
        <f>32</f>
        <v/>
      </c>
      <c r="Q99" s="17">
        <f>J99+L99+N99+O99-P99-M99</f>
        <v/>
      </c>
    </row>
    <row r="100">
      <c r="A100" s="16" t="inlineStr">
        <is>
          <t>5.1-5.7</t>
        </is>
      </c>
      <c r="B100" s="16" t="inlineStr">
        <is>
          <t>PO-128-00616699003510965</t>
        </is>
      </c>
      <c r="C100" s="16" t="inlineStr">
        <is>
          <t>Delivered</t>
        </is>
      </c>
      <c r="D100" s="16" t="inlineStr">
        <is>
          <t>128-00616657060470965</t>
        </is>
      </c>
      <c r="E100" s="16" t="inlineStr">
        <is>
          <t>Delivered</t>
        </is>
      </c>
      <c r="F100" s="16" t="inlineStr">
        <is>
          <t>LV64W25</t>
        </is>
      </c>
      <c r="G1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 s="16" t="inlineStr">
        <is>
          <t>Blanco</t>
        </is>
      </c>
      <c r="I100" s="16" t="n">
        <v>2</v>
      </c>
      <c r="J100" s="17" t="n">
        <v>250</v>
      </c>
      <c r="K100" s="17" t="n">
        <v>209.06</v>
      </c>
      <c r="L100" s="17" t="n">
        <v>0</v>
      </c>
      <c r="M100" s="17" t="n">
        <v>0</v>
      </c>
      <c r="N100" s="17">
        <f>K100*0.08+L100*0.08</f>
        <v/>
      </c>
      <c r="O100" s="17">
        <f>-(K100*0.025+L100*0.025)</f>
        <v/>
      </c>
      <c r="P100" s="17">
        <f>32</f>
        <v/>
      </c>
      <c r="Q100" s="17">
        <f>J100+L100+N100+O100-P100-M100</f>
        <v/>
      </c>
    </row>
    <row r="101">
      <c r="A101" s="16" t="inlineStr">
        <is>
          <t>5.1-5.7</t>
        </is>
      </c>
      <c r="B101" s="16" t="inlineStr">
        <is>
          <t>PO-128-00356806359671488</t>
        </is>
      </c>
      <c r="C101" s="16" t="inlineStr">
        <is>
          <t>Delivered</t>
        </is>
      </c>
      <c r="D101" s="16" t="inlineStr">
        <is>
          <t>128-00356795873911488</t>
        </is>
      </c>
      <c r="E101" s="16" t="inlineStr">
        <is>
          <t>Delivered</t>
        </is>
      </c>
      <c r="F101" s="16" t="inlineStr">
        <is>
          <t>LV54W25</t>
        </is>
      </c>
      <c r="G101" s="16" t="inlineStr">
        <is>
          <t>TIANLAI Lámpara Ventilador E27 2 en 1, Silenciosa, LED Alta Luminosidad 180°, Instalación Rápida, Ahorro Energético para Dormitorio y Interiores Pequeños</t>
        </is>
      </c>
      <c r="H101" s="16" t="inlineStr">
        <is>
          <t>1 Pieza</t>
        </is>
      </c>
      <c r="I101" s="16" t="n">
        <v>1</v>
      </c>
      <c r="J101" s="17" t="n">
        <v>79</v>
      </c>
      <c r="K101" s="17" t="n">
        <v>82.73</v>
      </c>
      <c r="L101" s="17" t="n">
        <v>25.86</v>
      </c>
      <c r="M101" s="17" t="n">
        <v>0</v>
      </c>
      <c r="N101" s="17">
        <f>K101*0.08+L101*0.08</f>
        <v/>
      </c>
      <c r="O101" s="17">
        <f>-(K101*0.025+L101*0.025)</f>
        <v/>
      </c>
      <c r="P101" s="17">
        <f>32</f>
        <v/>
      </c>
      <c r="Q101" s="17">
        <f>J101+L101+N101+O101-P101-M101</f>
        <v/>
      </c>
    </row>
    <row r="102">
      <c r="A102" s="16" t="inlineStr">
        <is>
          <t>5.1-5.7</t>
        </is>
      </c>
      <c r="B102" s="16" t="inlineStr">
        <is>
          <t>PO-128-00510364723831660</t>
        </is>
      </c>
      <c r="C102" s="16" t="inlineStr">
        <is>
          <t>Delivered</t>
        </is>
      </c>
      <c r="D102" s="16" t="inlineStr">
        <is>
          <t>128-00510392248951660</t>
        </is>
      </c>
      <c r="E102" s="16" t="inlineStr">
        <is>
          <t>Delivered</t>
        </is>
      </c>
      <c r="F102" s="16" t="inlineStr">
        <is>
          <t>LV64W25</t>
        </is>
      </c>
      <c r="G1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 s="16" t="inlineStr">
        <is>
          <t>Blanco</t>
        </is>
      </c>
      <c r="I102" s="16" t="n">
        <v>2</v>
      </c>
      <c r="J102" s="17" t="n">
        <v>250</v>
      </c>
      <c r="K102" s="17" t="n">
        <v>238.97</v>
      </c>
      <c r="L102" s="17" t="n">
        <v>0</v>
      </c>
      <c r="M102" s="17" t="n">
        <v>0</v>
      </c>
      <c r="N102" s="17">
        <f>K102*0.08+L102*0.08</f>
        <v/>
      </c>
      <c r="O102" s="17">
        <f>-(K102*0.025+L102*0.025)</f>
        <v/>
      </c>
      <c r="P102" s="17">
        <f>32</f>
        <v/>
      </c>
      <c r="Q102" s="17">
        <f>J102+L102+N102+O102-P102-M102</f>
        <v/>
      </c>
    </row>
    <row r="103">
      <c r="A103" s="16" t="inlineStr">
        <is>
          <t>5.1-5.7</t>
        </is>
      </c>
      <c r="B103" s="16" t="inlineStr">
        <is>
          <t>PO-128-00268394486392977</t>
        </is>
      </c>
      <c r="C103" s="16" t="inlineStr">
        <is>
          <t>Delivered</t>
        </is>
      </c>
      <c r="D103" s="16" t="inlineStr">
        <is>
          <t>128-00268352543352977</t>
        </is>
      </c>
      <c r="E103" s="16" t="inlineStr">
        <is>
          <t>Delivered</t>
        </is>
      </c>
      <c r="F103" s="16" t="inlineStr">
        <is>
          <t>SA323T</t>
        </is>
      </c>
      <c r="G103"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03" s="16" t="inlineStr">
        <is>
          <t>AZUL/SA323T</t>
        </is>
      </c>
      <c r="I103" s="16" t="n">
        <v>1</v>
      </c>
      <c r="J103" s="17" t="n">
        <v>48</v>
      </c>
      <c r="K103" s="17" t="n">
        <v>13.97</v>
      </c>
      <c r="L103" s="17" t="n">
        <v>25.86</v>
      </c>
      <c r="M103" s="17" t="n">
        <v>0</v>
      </c>
      <c r="N103" s="17">
        <f>K103*0.08+L103*0.08</f>
        <v/>
      </c>
      <c r="O103" s="17">
        <f>-(K103*0.025+L103*0.025)</f>
        <v/>
      </c>
      <c r="P103" s="17">
        <f>32</f>
        <v/>
      </c>
      <c r="Q103" s="17">
        <f>J103+L103+N103+O103-P103-M103</f>
        <v/>
      </c>
    </row>
    <row r="104">
      <c r="A104" s="16" t="inlineStr">
        <is>
          <t>5.1-5.7</t>
        </is>
      </c>
      <c r="B104" s="16" t="inlineStr">
        <is>
          <t>PO-128-00224605952632212</t>
        </is>
      </c>
      <c r="C104" s="16" t="inlineStr">
        <is>
          <t>Delivered</t>
        </is>
      </c>
      <c r="D104" s="16" t="inlineStr">
        <is>
          <t>128-00224564009592212</t>
        </is>
      </c>
      <c r="E104" s="16" t="inlineStr">
        <is>
          <t>Delivered</t>
        </is>
      </c>
      <c r="F104" s="16" t="inlineStr">
        <is>
          <t>LV64W25</t>
        </is>
      </c>
      <c r="G1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 s="16" t="inlineStr">
        <is>
          <t>Blanco</t>
        </is>
      </c>
      <c r="I104" s="16" t="n">
        <v>2</v>
      </c>
      <c r="J104" s="17" t="n">
        <v>250</v>
      </c>
      <c r="K104" s="17" t="n">
        <v>260.78</v>
      </c>
      <c r="L104" s="17" t="n">
        <v>0</v>
      </c>
      <c r="M104" s="17" t="n">
        <v>0</v>
      </c>
      <c r="N104" s="17">
        <f>K104*0.08+L104*0.08</f>
        <v/>
      </c>
      <c r="O104" s="17">
        <f>-(K104*0.025+L104*0.025)</f>
        <v/>
      </c>
      <c r="P104" s="17">
        <f>32</f>
        <v/>
      </c>
      <c r="Q104" s="17">
        <f>J104+L104+N104+O104-P104-M104</f>
        <v/>
      </c>
    </row>
    <row r="105">
      <c r="A105" s="16" t="inlineStr">
        <is>
          <t>5.1-5.7</t>
        </is>
      </c>
      <c r="B105" s="16" t="inlineStr">
        <is>
          <t>PO-128-00663893719670747</t>
        </is>
      </c>
      <c r="C105" s="16" t="inlineStr">
        <is>
          <t>Delivered</t>
        </is>
      </c>
      <c r="D105" s="16" t="inlineStr">
        <is>
          <t>128-00664030034550747</t>
        </is>
      </c>
      <c r="E105" s="16" t="inlineStr">
        <is>
          <t>Delivered</t>
        </is>
      </c>
      <c r="F105" s="16" t="inlineStr">
        <is>
          <t>LV64W25</t>
        </is>
      </c>
      <c r="G1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 s="16" t="inlineStr">
        <is>
          <t>Blanco</t>
        </is>
      </c>
      <c r="I105" s="16" t="n">
        <v>2</v>
      </c>
      <c r="J105" s="17" t="n">
        <v>250</v>
      </c>
      <c r="K105" s="17" t="n">
        <v>257.9</v>
      </c>
      <c r="L105" s="17" t="n">
        <v>0</v>
      </c>
      <c r="M105" s="17" t="n">
        <v>0</v>
      </c>
      <c r="N105" s="17">
        <f>K105*0.08+L105*0.08</f>
        <v/>
      </c>
      <c r="O105" s="17">
        <f>-(K105*0.025+L105*0.025)</f>
        <v/>
      </c>
      <c r="P105" s="17">
        <f>32</f>
        <v/>
      </c>
      <c r="Q105" s="17">
        <f>J105+L105+N105+O105-P105-M105</f>
        <v/>
      </c>
    </row>
    <row r="106">
      <c r="A106" s="16" t="inlineStr">
        <is>
          <t>5.1-5.7</t>
        </is>
      </c>
      <c r="B106" s="16" t="inlineStr">
        <is>
          <t>PO-128-00202961930872343</t>
        </is>
      </c>
      <c r="C106" s="16" t="inlineStr">
        <is>
          <t>Delivered</t>
        </is>
      </c>
      <c r="D106" s="16" t="inlineStr">
        <is>
          <t>128-00202982902392343</t>
        </is>
      </c>
      <c r="E106" s="16" t="inlineStr">
        <is>
          <t>Delivered</t>
        </is>
      </c>
      <c r="F106" s="16" t="inlineStr">
        <is>
          <t>LV54W25</t>
        </is>
      </c>
      <c r="G106" s="16" t="inlineStr">
        <is>
          <t>TIANLAI Lámpara Ventilador E27 2 en 1, Silenciosa, LED Alta Luminosidad 180°, Instalación Rápida, Ahorro Energético para Dormitorio y Interiores Pequeños</t>
        </is>
      </c>
      <c r="H106" s="16" t="inlineStr">
        <is>
          <t>1 Pieza</t>
        </is>
      </c>
      <c r="I106" s="16" t="n">
        <v>4</v>
      </c>
      <c r="J106" s="17" t="n">
        <v>316</v>
      </c>
      <c r="K106" s="17" t="n">
        <v>330.92</v>
      </c>
      <c r="L106" s="17" t="n">
        <v>0</v>
      </c>
      <c r="M106" s="17" t="n">
        <v>0</v>
      </c>
      <c r="N106" s="17">
        <f>K106*0.08+L106*0.08</f>
        <v/>
      </c>
      <c r="O106" s="17">
        <f>-(K106*0.025+L106*0.025)</f>
        <v/>
      </c>
      <c r="P106" s="17">
        <f>32</f>
        <v/>
      </c>
      <c r="Q106" s="17">
        <f>J106+L106+N106+O106-P106-M106</f>
        <v/>
      </c>
    </row>
    <row r="107">
      <c r="A107" s="16" t="inlineStr">
        <is>
          <t>5.1-5.7</t>
        </is>
      </c>
      <c r="B107" s="16" t="inlineStr">
        <is>
          <t>PO-128-00217718415992191</t>
        </is>
      </c>
      <c r="C107" s="16" t="inlineStr">
        <is>
          <t>Delivered</t>
        </is>
      </c>
      <c r="D107" s="16" t="inlineStr">
        <is>
          <t>128-00217645015672191</t>
        </is>
      </c>
      <c r="E107" s="16" t="inlineStr">
        <is>
          <t>Delivered</t>
        </is>
      </c>
      <c r="F107" s="16" t="inlineStr">
        <is>
          <t>TL2663N18C</t>
        </is>
      </c>
      <c r="G107" s="16" t="inlineStr">
        <is>
          <t>Linkbits，Soporte de pared fijo para televisores de 26"-63", Ultra-Delgado Compatible con VESA 400x400mm, Capacidad de Peso Fuerte de 25KG, Instalación Fácil Sin Electricidad</t>
        </is>
      </c>
      <c r="H107" s="16" t="inlineStr">
        <is>
          <t>NEGRO</t>
        </is>
      </c>
      <c r="I107" s="16" t="n">
        <v>2</v>
      </c>
      <c r="J107" s="17" t="n">
        <v>111</v>
      </c>
      <c r="K107" s="17" t="n">
        <v>140.98</v>
      </c>
      <c r="L107" s="17" t="n">
        <v>25.86</v>
      </c>
      <c r="M107" s="17" t="n">
        <v>0</v>
      </c>
      <c r="N107" s="17">
        <f>K107*0.08+L107*0.08</f>
        <v/>
      </c>
      <c r="O107" s="17">
        <f>-(K107*0.025+L107*0.025)</f>
        <v/>
      </c>
      <c r="P107" s="17">
        <f>32</f>
        <v/>
      </c>
      <c r="Q107" s="17">
        <f>J107+L107+N107+O107-P107-M107</f>
        <v/>
      </c>
    </row>
    <row r="108">
      <c r="A108" s="16" t="inlineStr">
        <is>
          <t>5.1-5.7</t>
        </is>
      </c>
      <c r="B108" s="16" t="inlineStr">
        <is>
          <t>PO-128-00177105459832433</t>
        </is>
      </c>
      <c r="C108" s="16" t="inlineStr">
        <is>
          <t>Delivered</t>
        </is>
      </c>
      <c r="D108" s="16" t="inlineStr">
        <is>
          <t>128-00177126431352433</t>
        </is>
      </c>
      <c r="E108" s="16" t="inlineStr">
        <is>
          <t>Delivered</t>
        </is>
      </c>
      <c r="F108" s="16" t="inlineStr">
        <is>
          <t>LV64W25</t>
        </is>
      </c>
      <c r="G1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8" s="16" t="inlineStr">
        <is>
          <t>Blanco</t>
        </is>
      </c>
      <c r="I108" s="16" t="n">
        <v>3</v>
      </c>
      <c r="J108" s="17" t="n">
        <v>375</v>
      </c>
      <c r="K108" s="17" t="n">
        <v>328.83</v>
      </c>
      <c r="L108" s="17" t="n">
        <v>0</v>
      </c>
      <c r="M108" s="17" t="n">
        <v>0</v>
      </c>
      <c r="N108" s="17">
        <f>K108*0.08+L108*0.08</f>
        <v/>
      </c>
      <c r="O108" s="17">
        <f>-(K108*0.025+L108*0.025)</f>
        <v/>
      </c>
      <c r="P108" s="17">
        <f>32</f>
        <v/>
      </c>
      <c r="Q108" s="17">
        <f>J108+L108+N108+O108-P108-M108</f>
        <v/>
      </c>
    </row>
    <row r="109">
      <c r="A109" s="16" t="inlineStr">
        <is>
          <t>5.1-5.7</t>
        </is>
      </c>
      <c r="B109" s="16" t="inlineStr">
        <is>
          <t>PO-128-00042714911353424</t>
        </is>
      </c>
      <c r="C109" s="16" t="inlineStr">
        <is>
          <t>Delivered</t>
        </is>
      </c>
      <c r="D109" s="16" t="inlineStr">
        <is>
          <t>128-00042767340153424</t>
        </is>
      </c>
      <c r="E109" s="16" t="inlineStr">
        <is>
          <t>Delivered</t>
        </is>
      </c>
      <c r="F109" s="16" t="inlineStr">
        <is>
          <t>LV64W25</t>
        </is>
      </c>
      <c r="G1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9" s="16" t="inlineStr">
        <is>
          <t>Blanco</t>
        </is>
      </c>
      <c r="I109" s="16" t="n">
        <v>2</v>
      </c>
      <c r="J109" s="17" t="n">
        <v>250</v>
      </c>
      <c r="K109" s="17" t="n">
        <v>260.78</v>
      </c>
      <c r="L109" s="17" t="n">
        <v>0</v>
      </c>
      <c r="M109" s="17" t="n">
        <v>0</v>
      </c>
      <c r="N109" s="17">
        <f>K109*0.08+L109*0.08</f>
        <v/>
      </c>
      <c r="O109" s="17">
        <f>-(K109*0.025+L109*0.025)</f>
        <v/>
      </c>
      <c r="P109" s="17">
        <f>32</f>
        <v/>
      </c>
      <c r="Q109" s="17">
        <f>J109+L109+N109+O109-P109-M109</f>
        <v/>
      </c>
    </row>
    <row r="110">
      <c r="A110" s="16" t="inlineStr">
        <is>
          <t>5.1-5.7</t>
        </is>
      </c>
      <c r="B110" s="16" t="inlineStr">
        <is>
          <t>PO-128-00041790638713431</t>
        </is>
      </c>
      <c r="C110" s="16" t="inlineStr">
        <is>
          <t>Delivered</t>
        </is>
      </c>
      <c r="D110" s="16" t="inlineStr">
        <is>
          <t>128-00041822095993431</t>
        </is>
      </c>
      <c r="E110" s="16" t="inlineStr">
        <is>
          <t>Delivered</t>
        </is>
      </c>
      <c r="F110" s="16" t="inlineStr">
        <is>
          <t>LV64W25</t>
        </is>
      </c>
      <c r="G1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 s="16" t="inlineStr">
        <is>
          <t>Blanco</t>
        </is>
      </c>
      <c r="I110" s="16" t="n">
        <v>1</v>
      </c>
      <c r="J110" s="17" t="n">
        <v>125</v>
      </c>
      <c r="K110" s="17" t="n">
        <v>117.42</v>
      </c>
      <c r="L110" s="17" t="n">
        <v>25.86</v>
      </c>
      <c r="M110" s="17" t="n">
        <v>0</v>
      </c>
      <c r="N110" s="17">
        <f>K110*0.08+L110*0.08</f>
        <v/>
      </c>
      <c r="O110" s="17">
        <f>-(K110*0.025+L110*0.025)</f>
        <v/>
      </c>
      <c r="P110" s="17">
        <f>32</f>
        <v/>
      </c>
      <c r="Q110" s="17">
        <f>J110+L110+N110+O110-P110-M110</f>
        <v/>
      </c>
    </row>
    <row r="111">
      <c r="A111" s="16" t="inlineStr">
        <is>
          <t>5.1-5.7</t>
        </is>
      </c>
      <c r="B111" s="16" t="inlineStr">
        <is>
          <t>PO-128-00143051623033786</t>
        </is>
      </c>
      <c r="C111" s="16" t="inlineStr">
        <is>
          <t>Delivered</t>
        </is>
      </c>
      <c r="D111" s="16" t="inlineStr">
        <is>
          <t>128-00143072594553786</t>
        </is>
      </c>
      <c r="E111" s="16" t="inlineStr">
        <is>
          <t>Delivered</t>
        </is>
      </c>
      <c r="F111" s="16" t="inlineStr">
        <is>
          <t>LV64W25</t>
        </is>
      </c>
      <c r="G1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1" s="16" t="inlineStr">
        <is>
          <t>Blanco</t>
        </is>
      </c>
      <c r="I111" s="16" t="n">
        <v>1</v>
      </c>
      <c r="J111" s="17" t="n">
        <v>125</v>
      </c>
      <c r="K111" s="17" t="n">
        <v>143.28</v>
      </c>
      <c r="L111" s="17" t="n">
        <v>25.86</v>
      </c>
      <c r="M111" s="17" t="n">
        <v>0</v>
      </c>
      <c r="N111" s="17">
        <f>K111*0.08+L111*0.08</f>
        <v/>
      </c>
      <c r="O111" s="17">
        <f>-(K111*0.025+L111*0.025)</f>
        <v/>
      </c>
      <c r="P111" s="17">
        <f>32</f>
        <v/>
      </c>
      <c r="Q111" s="17">
        <f>J111+L111+N111+O111-P111-M111</f>
        <v/>
      </c>
    </row>
    <row r="112">
      <c r="A112" s="16" t="inlineStr">
        <is>
          <t>5.1-5.7</t>
        </is>
      </c>
      <c r="B112" s="16" t="inlineStr">
        <is>
          <t>PO-128-00214530325112400</t>
        </is>
      </c>
      <c r="C112" s="16" t="inlineStr">
        <is>
          <t>Delivered</t>
        </is>
      </c>
      <c r="D112" s="16" t="inlineStr">
        <is>
          <t>128-00214551296632400</t>
        </is>
      </c>
      <c r="E112" s="16" t="inlineStr">
        <is>
          <t>Delivered</t>
        </is>
      </c>
      <c r="F112" s="16" t="inlineStr">
        <is>
          <t>LV64W25</t>
        </is>
      </c>
      <c r="G1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 s="16" t="inlineStr">
        <is>
          <t>Blanco</t>
        </is>
      </c>
      <c r="I112" s="16" t="n">
        <v>2</v>
      </c>
      <c r="J112" s="17" t="n">
        <v>250</v>
      </c>
      <c r="K112" s="17" t="n">
        <v>257.9</v>
      </c>
      <c r="L112" s="17" t="n">
        <v>0</v>
      </c>
      <c r="M112" s="17" t="n">
        <v>0</v>
      </c>
      <c r="N112" s="17">
        <f>K112*0.08+L112*0.08</f>
        <v/>
      </c>
      <c r="O112" s="17">
        <f>-(K112*0.025+L112*0.025)</f>
        <v/>
      </c>
      <c r="P112" s="17">
        <f>32</f>
        <v/>
      </c>
      <c r="Q112" s="17">
        <f>J112+L112+N112+O112-P112-M112</f>
        <v/>
      </c>
    </row>
    <row r="113">
      <c r="A113" s="16" t="inlineStr">
        <is>
          <t>5.1-5.7</t>
        </is>
      </c>
      <c r="B113" s="16" t="inlineStr">
        <is>
          <t>PO-128-00314454159992764</t>
        </is>
      </c>
      <c r="C113" s="16" t="inlineStr">
        <is>
          <t>Delivered</t>
        </is>
      </c>
      <c r="D113" s="16" t="inlineStr">
        <is>
          <t>128-00314480374392764</t>
        </is>
      </c>
      <c r="E113" s="16" t="inlineStr">
        <is>
          <t>Delivered</t>
        </is>
      </c>
      <c r="F113" s="16" t="inlineStr">
        <is>
          <t>TL2663N18C</t>
        </is>
      </c>
      <c r="G113" s="16" t="inlineStr">
        <is>
          <t>Linkbits，Soporte de pared fijo para televisores de 26"-63", Ultra-Delgado Compatible con VESA 400x400mm, Capacidad de Peso Fuerte de 25KG, Instalación Fácil Sin Electricidad</t>
        </is>
      </c>
      <c r="H113" s="16" t="inlineStr">
        <is>
          <t>NEGRO</t>
        </is>
      </c>
      <c r="I113" s="16" t="n">
        <v>1</v>
      </c>
      <c r="J113" s="17" t="n">
        <v>55.5</v>
      </c>
      <c r="K113" s="17" t="n">
        <v>58.56</v>
      </c>
      <c r="L113" s="17" t="n">
        <v>25.86</v>
      </c>
      <c r="M113" s="17" t="n">
        <v>0</v>
      </c>
      <c r="N113" s="17">
        <f>K113*0.08+L113*0.08</f>
        <v/>
      </c>
      <c r="O113" s="17">
        <f>-(K113*0.025+L113*0.025)</f>
        <v/>
      </c>
      <c r="P113" s="17">
        <f>32</f>
        <v/>
      </c>
      <c r="Q113" s="17">
        <f>J113+L113+N113+O113-P113-M113</f>
        <v/>
      </c>
    </row>
    <row r="114">
      <c r="A114" s="16" t="inlineStr">
        <is>
          <t>5.1-5.7</t>
        </is>
      </c>
      <c r="B114" s="16" t="inlineStr">
        <is>
          <t>PO-128-00163112213113666</t>
        </is>
      </c>
      <c r="C114" s="16" t="inlineStr">
        <is>
          <t>Delivered</t>
        </is>
      </c>
      <c r="D114" s="16" t="inlineStr">
        <is>
          <t>128-00163101727353666</t>
        </is>
      </c>
      <c r="E114" s="16" t="inlineStr">
        <is>
          <t>Delivered</t>
        </is>
      </c>
      <c r="F114" s="16" t="inlineStr">
        <is>
          <t>B03W10-10PZS</t>
        </is>
      </c>
      <c r="G11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14" s="16" t="inlineStr">
        <is>
          <t>B03W10</t>
        </is>
      </c>
      <c r="I114" s="16" t="n">
        <v>1</v>
      </c>
      <c r="J114" s="17" t="n">
        <v>70</v>
      </c>
      <c r="K114" s="17" t="n">
        <v>76.65000000000001</v>
      </c>
      <c r="L114" s="17" t="n">
        <v>25.86</v>
      </c>
      <c r="M114" s="17" t="n">
        <v>0</v>
      </c>
      <c r="N114" s="17">
        <f>K114*0.08+L114*0.08</f>
        <v/>
      </c>
      <c r="O114" s="17">
        <f>-(K114*0.025+L114*0.025)</f>
        <v/>
      </c>
      <c r="P114" s="17">
        <f>32</f>
        <v/>
      </c>
      <c r="Q114" s="17">
        <f>J114+L114+N114+O114-P114-M114</f>
        <v/>
      </c>
    </row>
    <row r="115">
      <c r="A115" s="16" t="inlineStr">
        <is>
          <t>5.1-5.7</t>
        </is>
      </c>
      <c r="B115" s="16" t="inlineStr">
        <is>
          <t>PO-128-00014067538553533</t>
        </is>
      </c>
      <c r="C115" s="16" t="inlineStr">
        <is>
          <t>Delivered</t>
        </is>
      </c>
      <c r="D115" s="16" t="inlineStr">
        <is>
          <t>128-00014025595513533</t>
        </is>
      </c>
      <c r="E115" s="16" t="inlineStr">
        <is>
          <t>Delivered</t>
        </is>
      </c>
      <c r="F115" s="16" t="inlineStr">
        <is>
          <t>LV64W25</t>
        </is>
      </c>
      <c r="G1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5" s="16" t="inlineStr">
        <is>
          <t>Blanco</t>
        </is>
      </c>
      <c r="I115" s="16" t="n">
        <v>2</v>
      </c>
      <c r="J115" s="17" t="n">
        <v>250</v>
      </c>
      <c r="K115" s="17" t="n">
        <v>214.8</v>
      </c>
      <c r="L115" s="17" t="n">
        <v>0</v>
      </c>
      <c r="M115" s="17" t="n">
        <v>9</v>
      </c>
      <c r="N115" s="17">
        <f>K115*0.08+L115*0.08</f>
        <v/>
      </c>
      <c r="O115" s="17">
        <f>-(K115*0.025+L115*0.025)</f>
        <v/>
      </c>
      <c r="P115" s="17">
        <f>32</f>
        <v/>
      </c>
      <c r="Q115" s="17">
        <f>J115+L115+N115+O115-P115-M115</f>
        <v/>
      </c>
    </row>
    <row r="116">
      <c r="A116" s="16" t="inlineStr">
        <is>
          <t>5.1-5.7</t>
        </is>
      </c>
      <c r="B116" s="16" t="inlineStr">
        <is>
          <t>PO-128-00589593150070036</t>
        </is>
      </c>
      <c r="C116" s="16" t="inlineStr">
        <is>
          <t>Delivered</t>
        </is>
      </c>
      <c r="D116" s="16" t="inlineStr">
        <is>
          <t>128-00589582664310036</t>
        </is>
      </c>
      <c r="E116" s="16" t="inlineStr">
        <is>
          <t>Delivered</t>
        </is>
      </c>
      <c r="F116" s="16" t="inlineStr">
        <is>
          <t>LV54W25</t>
        </is>
      </c>
      <c r="G116" s="16" t="inlineStr">
        <is>
          <t>TIANLAI Lámpara Ventilador E27 2 en 1, Silenciosa, LED Alta Luminosidad 180°, Instalación Rápida, Ahorro Energético para Dormitorio y Interiores Pequeños</t>
        </is>
      </c>
      <c r="H116" s="16" t="inlineStr">
        <is>
          <t>1 Pieza</t>
        </is>
      </c>
      <c r="I116" s="16" t="n">
        <v>1</v>
      </c>
      <c r="J116" s="17" t="n">
        <v>79</v>
      </c>
      <c r="K116" s="17" t="n">
        <v>82.73</v>
      </c>
      <c r="L116" s="17" t="n">
        <v>25.86</v>
      </c>
      <c r="M116" s="17" t="n">
        <v>0</v>
      </c>
      <c r="N116" s="17">
        <f>K116*0.08+L116*0.08</f>
        <v/>
      </c>
      <c r="O116" s="17">
        <f>-(K116*0.025+L116*0.025)</f>
        <v/>
      </c>
      <c r="P116" s="17">
        <f>32</f>
        <v/>
      </c>
      <c r="Q116" s="17">
        <f>J116+L116+N116+O116-P116-M116</f>
        <v/>
      </c>
    </row>
    <row r="117">
      <c r="A117" s="16" t="inlineStr">
        <is>
          <t>5.1-5.7</t>
        </is>
      </c>
      <c r="B117" s="16" t="inlineStr">
        <is>
          <t>PO-128-00211855268472416</t>
        </is>
      </c>
      <c r="C117" s="16" t="inlineStr">
        <is>
          <t>Delivered</t>
        </is>
      </c>
      <c r="D117" s="16" t="inlineStr">
        <is>
          <t>128-00211813325432416</t>
        </is>
      </c>
      <c r="E117" s="16" t="inlineStr">
        <is>
          <t>Delivered</t>
        </is>
      </c>
      <c r="F117" s="16" t="inlineStr">
        <is>
          <t>LV64W25</t>
        </is>
      </c>
      <c r="G1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7" s="16" t="inlineStr">
        <is>
          <t>Blanco</t>
        </is>
      </c>
      <c r="I117" s="16" t="n">
        <v>1</v>
      </c>
      <c r="J117" s="17" t="n">
        <v>125</v>
      </c>
      <c r="K117" s="17" t="n">
        <v>128.95</v>
      </c>
      <c r="L117" s="17" t="n">
        <v>25.86</v>
      </c>
      <c r="M117" s="17" t="n">
        <v>0</v>
      </c>
      <c r="N117" s="17">
        <f>K117*0.08+L117*0.08</f>
        <v/>
      </c>
      <c r="O117" s="17">
        <f>-(K117*0.025+L117*0.025)</f>
        <v/>
      </c>
      <c r="P117" s="17">
        <f>32</f>
        <v/>
      </c>
      <c r="Q117" s="17">
        <f>J117+L117+N117+O117-P117-M117</f>
        <v/>
      </c>
    </row>
    <row r="118">
      <c r="A118" s="16" t="inlineStr">
        <is>
          <t>5.1-5.7</t>
        </is>
      </c>
      <c r="B118" s="16" t="inlineStr">
        <is>
          <t>PO-128-00444550902391991</t>
        </is>
      </c>
      <c r="C118" s="16" t="inlineStr">
        <is>
          <t>Delivered</t>
        </is>
      </c>
      <c r="D118" s="16" t="inlineStr">
        <is>
          <t>128-00444571873911991</t>
        </is>
      </c>
      <c r="E118" s="16" t="inlineStr">
        <is>
          <t>Delivered</t>
        </is>
      </c>
      <c r="F118" s="16" t="inlineStr">
        <is>
          <t>LV64W25</t>
        </is>
      </c>
      <c r="G1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8" s="16" t="inlineStr">
        <is>
          <t>Blanco</t>
        </is>
      </c>
      <c r="I118" s="16" t="n">
        <v>1</v>
      </c>
      <c r="J118" s="17" t="n">
        <v>125</v>
      </c>
      <c r="K118" s="17" t="n">
        <v>130.39</v>
      </c>
      <c r="L118" s="17" t="n">
        <v>25.86</v>
      </c>
      <c r="M118" s="17" t="n">
        <v>0</v>
      </c>
      <c r="N118" s="17">
        <f>K118*0.08+L118*0.08</f>
        <v/>
      </c>
      <c r="O118" s="17">
        <f>-(K118*0.025+L118*0.025)</f>
        <v/>
      </c>
      <c r="P118" s="17">
        <f>32</f>
        <v/>
      </c>
      <c r="Q118" s="17">
        <f>J118+L118+N118+O118-P118-M118</f>
        <v/>
      </c>
    </row>
    <row r="119">
      <c r="A119" s="16" t="inlineStr">
        <is>
          <t>5.1-5.7</t>
        </is>
      </c>
      <c r="B119" s="16" t="inlineStr">
        <is>
          <t>PO-128-00182758257272527</t>
        </is>
      </c>
      <c r="C119" s="16" t="inlineStr">
        <is>
          <t>Delivered</t>
        </is>
      </c>
      <c r="D119" s="16" t="inlineStr">
        <is>
          <t>128-00182726799992527</t>
        </is>
      </c>
      <c r="E119" s="16" t="inlineStr">
        <is>
          <t>Delivered</t>
        </is>
      </c>
      <c r="F119" s="16" t="inlineStr">
        <is>
          <t>LV64W25</t>
        </is>
      </c>
      <c r="G1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9" s="16" t="inlineStr">
        <is>
          <t>Blanco</t>
        </is>
      </c>
      <c r="I119" s="16" t="n">
        <v>2</v>
      </c>
      <c r="J119" s="17" t="n">
        <v>250</v>
      </c>
      <c r="K119" s="17" t="n">
        <v>260.78</v>
      </c>
      <c r="L119" s="17" t="n">
        <v>0</v>
      </c>
      <c r="M119" s="17" t="n">
        <v>0</v>
      </c>
      <c r="N119" s="17">
        <f>K119*0.08+L119*0.08</f>
        <v/>
      </c>
      <c r="O119" s="17">
        <f>-(K119*0.025+L119*0.025)</f>
        <v/>
      </c>
      <c r="P119" s="17">
        <f>32</f>
        <v/>
      </c>
      <c r="Q119" s="17">
        <f>J119+L119+N119+O119-P119-M119</f>
        <v/>
      </c>
    </row>
    <row r="120">
      <c r="A120" s="16" t="inlineStr">
        <is>
          <t>5.1-5.7</t>
        </is>
      </c>
      <c r="B120" s="16" t="inlineStr">
        <is>
          <t>PO-128-00577261619830238</t>
        </is>
      </c>
      <c r="C120" s="16" t="inlineStr">
        <is>
          <t>Delivered</t>
        </is>
      </c>
      <c r="D120" s="16" t="inlineStr">
        <is>
          <t>128-00577282591350238</t>
        </is>
      </c>
      <c r="E120" s="16" t="inlineStr">
        <is>
          <t>Delivered</t>
        </is>
      </c>
      <c r="F120" s="16" t="inlineStr">
        <is>
          <t>MB-174-G</t>
        </is>
      </c>
      <c r="G120" s="16" t="inlineStr">
        <is>
          <t>LINK BITS MB-174 Mini Bocina Bluetooth Soporte para Celular Integrado TWS Luz Ambiental 5W 80dB Sonido Claro Carga TYPE-C Material ABS Portátil Ideal como Regalo para Hogar Oficina Exterior Picnic</t>
        </is>
      </c>
      <c r="H120" s="16" t="inlineStr">
        <is>
          <t>GRIS</t>
        </is>
      </c>
      <c r="I120" s="16" t="n">
        <v>1</v>
      </c>
      <c r="J120" s="17" t="n">
        <v>93.8</v>
      </c>
      <c r="K120" s="17" t="n">
        <v>24.54</v>
      </c>
      <c r="L120" s="17" t="n">
        <v>25.86</v>
      </c>
      <c r="M120" s="17" t="n">
        <v>0</v>
      </c>
      <c r="N120" s="17">
        <f>K120*0.08+L120*0.08</f>
        <v/>
      </c>
      <c r="O120" s="17">
        <f>-(K120*0.025+L120*0.025)</f>
        <v/>
      </c>
      <c r="P120" s="17">
        <f>32</f>
        <v/>
      </c>
      <c r="Q120" s="17">
        <f>J120+L120+N120+O120-P120-M120</f>
        <v/>
      </c>
    </row>
    <row r="121">
      <c r="A121" s="16" t="inlineStr">
        <is>
          <t>5.1-5.7</t>
        </is>
      </c>
      <c r="B121" s="16" t="inlineStr">
        <is>
          <t>PO-128-00586096896630059</t>
        </is>
      </c>
      <c r="C121" s="16" t="inlineStr">
        <is>
          <t>Delivered</t>
        </is>
      </c>
      <c r="D121" s="16" t="inlineStr">
        <is>
          <t>128-00586138839670059</t>
        </is>
      </c>
      <c r="E121" s="16" t="inlineStr">
        <is>
          <t>Delivered</t>
        </is>
      </c>
      <c r="F121" s="16" t="inlineStr">
        <is>
          <t>LV64W25</t>
        </is>
      </c>
      <c r="G1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1" s="16" t="inlineStr">
        <is>
          <t>Blanco</t>
        </is>
      </c>
      <c r="I121" s="16" t="n">
        <v>1</v>
      </c>
      <c r="J121" s="17" t="n">
        <v>125</v>
      </c>
      <c r="K121" s="17" t="n">
        <v>85.84999999999999</v>
      </c>
      <c r="L121" s="17" t="n">
        <v>25.86</v>
      </c>
      <c r="M121" s="17" t="n">
        <v>0</v>
      </c>
      <c r="N121" s="17">
        <f>K121*0.08+L121*0.08</f>
        <v/>
      </c>
      <c r="O121" s="17">
        <f>-(K121*0.025+L121*0.025)</f>
        <v/>
      </c>
      <c r="P121" s="17">
        <f>32</f>
        <v/>
      </c>
      <c r="Q121" s="17">
        <f>J121+L121+N121+O121-P121-M121</f>
        <v/>
      </c>
    </row>
    <row r="122">
      <c r="A122" s="16" t="inlineStr">
        <is>
          <t>5.1-5.7</t>
        </is>
      </c>
      <c r="B122" s="16" t="inlineStr">
        <is>
          <t>PO-128-00287540071032863</t>
        </is>
      </c>
      <c r="C122" s="16" t="inlineStr">
        <is>
          <t>Delivered</t>
        </is>
      </c>
      <c r="D122" s="16" t="inlineStr">
        <is>
          <t>128-00287498127992863</t>
        </is>
      </c>
      <c r="E122" s="16" t="inlineStr">
        <is>
          <t>Delivered</t>
        </is>
      </c>
      <c r="F122" s="16" t="inlineStr">
        <is>
          <t>VB349T</t>
        </is>
      </c>
      <c r="G122" s="16" t="inlineStr">
        <is>
          <t>LINKBITS Altavoz Portátil de Doble Altavoz - 3 Pulgadas, Sonido HD, Emparejamiento Rápido de Bluetooth, Conectividad TWS, Reproducción Multimodo (Micro SD/USB/Radio FM) - Perfecto para Oficina, Viajes y Espacios Pequeños</t>
        </is>
      </c>
      <c r="H122" s="16" t="inlineStr">
        <is>
          <t>NEGRO</t>
        </is>
      </c>
      <c r="I122" s="16" t="n">
        <v>3</v>
      </c>
      <c r="J122" s="17" t="n">
        <v>243</v>
      </c>
      <c r="K122" s="17" t="n">
        <v>239.71</v>
      </c>
      <c r="L122" s="17" t="n">
        <v>0</v>
      </c>
      <c r="M122" s="17" t="n">
        <v>0</v>
      </c>
      <c r="N122" s="17">
        <f>K122*0.08+L122*0.08</f>
        <v/>
      </c>
      <c r="O122" s="17">
        <f>-(K122*0.025+L122*0.025)</f>
        <v/>
      </c>
      <c r="P122" s="17">
        <f>32</f>
        <v/>
      </c>
      <c r="Q122" s="17">
        <f>J122+L122+N122+O122-P122-M122</f>
        <v/>
      </c>
    </row>
    <row r="123">
      <c r="A123" s="16" t="inlineStr">
        <is>
          <t>5.1-5.7</t>
        </is>
      </c>
      <c r="B123" s="16" t="inlineStr">
        <is>
          <t>PO-128-00147865528953823</t>
        </is>
      </c>
      <c r="C123" s="16" t="inlineStr">
        <is>
          <t>Delivered</t>
        </is>
      </c>
      <c r="D123" s="16" t="inlineStr">
        <is>
          <t>128-00147834071673823</t>
        </is>
      </c>
      <c r="E123" s="16" t="inlineStr">
        <is>
          <t>Delivered</t>
        </is>
      </c>
      <c r="F123" s="16" t="inlineStr">
        <is>
          <t>LV64W25</t>
        </is>
      </c>
      <c r="G1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3" s="16" t="inlineStr">
        <is>
          <t>Blanco</t>
        </is>
      </c>
      <c r="I123" s="16" t="n">
        <v>1</v>
      </c>
      <c r="J123" s="17" t="n">
        <v>125</v>
      </c>
      <c r="K123" s="17" t="n">
        <v>143.28</v>
      </c>
      <c r="L123" s="17" t="n">
        <v>25.86</v>
      </c>
      <c r="M123" s="17" t="n">
        <v>0</v>
      </c>
      <c r="N123" s="17">
        <f>K123*0.08+L123*0.08</f>
        <v/>
      </c>
      <c r="O123" s="17">
        <f>-(K123*0.025+L123*0.025)</f>
        <v/>
      </c>
      <c r="P123" s="17">
        <f>32</f>
        <v/>
      </c>
      <c r="Q123" s="17">
        <f>J123+L123+N123+O123-P123-M123</f>
        <v/>
      </c>
    </row>
    <row r="124">
      <c r="A124" s="16" t="inlineStr">
        <is>
          <t>5.1-5.7</t>
        </is>
      </c>
      <c r="B124" s="16" t="inlineStr">
        <is>
          <t>PO-128-00654447022710674</t>
        </is>
      </c>
      <c r="C124" s="16" t="inlineStr">
        <is>
          <t>Delivered</t>
        </is>
      </c>
      <c r="D124" s="16" t="inlineStr">
        <is>
          <t>128-00654405079670674</t>
        </is>
      </c>
      <c r="E124" s="16" t="inlineStr">
        <is>
          <t>Delivered</t>
        </is>
      </c>
      <c r="F124" s="16" t="inlineStr">
        <is>
          <t>LV64W25</t>
        </is>
      </c>
      <c r="G1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4" s="16" t="inlineStr">
        <is>
          <t>Blanco</t>
        </is>
      </c>
      <c r="I124" s="16" t="n">
        <v>8</v>
      </c>
      <c r="J124" s="17" t="n">
        <v>1000</v>
      </c>
      <c r="K124" s="17" t="n">
        <v>886.65</v>
      </c>
      <c r="L124" s="17" t="n">
        <v>0</v>
      </c>
      <c r="M124" s="17" t="n">
        <v>0</v>
      </c>
      <c r="N124" s="17">
        <f>K124*0.08+L124*0.08</f>
        <v/>
      </c>
      <c r="O124" s="17">
        <f>-(K124*0.025+L124*0.025)</f>
        <v/>
      </c>
      <c r="P124" s="17">
        <f>32</f>
        <v/>
      </c>
      <c r="Q124" s="17">
        <f>J124+L124+N124+O124-P124-M124</f>
        <v/>
      </c>
    </row>
    <row r="125">
      <c r="A125" s="16" t="inlineStr">
        <is>
          <t>5.1-5.7</t>
        </is>
      </c>
      <c r="B125" s="16" t="inlineStr">
        <is>
          <t>PO-128-00649924024950703</t>
        </is>
      </c>
      <c r="C125" s="16" t="inlineStr">
        <is>
          <t>Delivered</t>
        </is>
      </c>
      <c r="D125" s="16" t="inlineStr">
        <is>
          <t>128-00649882081910703</t>
        </is>
      </c>
      <c r="E125" s="16" t="inlineStr">
        <is>
          <t>Delivered</t>
        </is>
      </c>
      <c r="F125" s="16" t="inlineStr">
        <is>
          <t>LV64W25</t>
        </is>
      </c>
      <c r="G1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5" s="16" t="inlineStr">
        <is>
          <t>Blanco</t>
        </is>
      </c>
      <c r="I125" s="16" t="n">
        <v>2</v>
      </c>
      <c r="J125" s="17" t="n">
        <v>250</v>
      </c>
      <c r="K125" s="17" t="n">
        <v>257.9</v>
      </c>
      <c r="L125" s="17" t="n">
        <v>0</v>
      </c>
      <c r="M125" s="17" t="n">
        <v>0</v>
      </c>
      <c r="N125" s="17">
        <f>K125*0.08+L125*0.08</f>
        <v/>
      </c>
      <c r="O125" s="17">
        <f>-(K125*0.025+L125*0.025)</f>
        <v/>
      </c>
      <c r="P125" s="17">
        <f>32</f>
        <v/>
      </c>
      <c r="Q125" s="17">
        <f>J125+L125+N125+O125-P125-M125</f>
        <v/>
      </c>
    </row>
    <row r="126">
      <c r="A126" s="16" t="inlineStr">
        <is>
          <t>5.1-5.7</t>
        </is>
      </c>
      <c r="B126" s="16" t="inlineStr">
        <is>
          <t>PO-128-00368099523191292</t>
        </is>
      </c>
      <c r="C126" s="16" t="inlineStr">
        <is>
          <t>Delivered</t>
        </is>
      </c>
      <c r="D126" s="16" t="inlineStr">
        <is>
          <t>128-00368146709111292</t>
        </is>
      </c>
      <c r="E126" s="16" t="inlineStr">
        <is>
          <t>Delivered</t>
        </is>
      </c>
      <c r="F126" s="16" t="inlineStr">
        <is>
          <t>LV64W25</t>
        </is>
      </c>
      <c r="G1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6" s="16" t="inlineStr">
        <is>
          <t>Blanco</t>
        </is>
      </c>
      <c r="I126" s="16" t="n">
        <v>1</v>
      </c>
      <c r="J126" s="17" t="n">
        <v>125</v>
      </c>
      <c r="K126" s="17" t="n">
        <v>128.95</v>
      </c>
      <c r="L126" s="17" t="n">
        <v>25.86</v>
      </c>
      <c r="M126" s="17" t="n">
        <v>0</v>
      </c>
      <c r="N126" s="17">
        <f>K126*0.08+L126*0.08</f>
        <v/>
      </c>
      <c r="O126" s="17">
        <f>-(K126*0.025+L126*0.025)</f>
        <v/>
      </c>
      <c r="P126" s="17">
        <f>32</f>
        <v/>
      </c>
      <c r="Q126" s="17">
        <f>J126+L126+N126+O126-P126-M126</f>
        <v/>
      </c>
    </row>
    <row r="127">
      <c r="A127" s="16" t="inlineStr">
        <is>
          <t>5.1-5.7</t>
        </is>
      </c>
      <c r="B127" s="16" t="inlineStr">
        <is>
          <t>PO-128-00470637251191899</t>
        </is>
      </c>
      <c r="C127" s="16" t="inlineStr">
        <is>
          <t>Delivered</t>
        </is>
      </c>
      <c r="D127" s="16" t="inlineStr">
        <is>
          <t>128-00470742108791899</t>
        </is>
      </c>
      <c r="E127" s="16" t="inlineStr">
        <is>
          <t>Delivered</t>
        </is>
      </c>
      <c r="F127" s="16" t="inlineStr">
        <is>
          <t>LV64W25</t>
        </is>
      </c>
      <c r="G1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7" s="16" t="inlineStr">
        <is>
          <t>Blanco</t>
        </is>
      </c>
      <c r="I127" s="16" t="n">
        <v>2</v>
      </c>
      <c r="J127" s="17" t="n">
        <v>250</v>
      </c>
      <c r="K127" s="17" t="n">
        <v>257.9</v>
      </c>
      <c r="L127" s="17" t="n">
        <v>0</v>
      </c>
      <c r="M127" s="17" t="n">
        <v>0</v>
      </c>
      <c r="N127" s="17">
        <f>K127*0.08+L127*0.08</f>
        <v/>
      </c>
      <c r="O127" s="17">
        <f>-(K127*0.025+L127*0.025)</f>
        <v/>
      </c>
      <c r="P127" s="17">
        <f>32</f>
        <v/>
      </c>
      <c r="Q127" s="17">
        <f>J127+L127+N127+O127-P127-M127</f>
        <v/>
      </c>
    </row>
    <row r="128">
      <c r="A128" s="16" t="inlineStr">
        <is>
          <t>5.1-5.7</t>
        </is>
      </c>
      <c r="B128" s="16" t="inlineStr">
        <is>
          <t>PO-128-00330721495672605</t>
        </is>
      </c>
      <c r="C128" s="16" t="inlineStr">
        <is>
          <t>Delivered</t>
        </is>
      </c>
      <c r="D128" s="16" t="inlineStr">
        <is>
          <t>128-00330704783992605</t>
        </is>
      </c>
      <c r="E128" s="16" t="inlineStr">
        <is>
          <t>Delivered</t>
        </is>
      </c>
      <c r="F128" s="16" t="inlineStr">
        <is>
          <t>LV54W25</t>
        </is>
      </c>
      <c r="G128" s="16" t="inlineStr">
        <is>
          <t>TIANLAI Lámpara Ventilador E27 2 en 1, Silenciosa, LED Alta Luminosidad 180°, Instalación Rápida, Ahorro Energético para Dormitorio y Interiores Pequeños</t>
        </is>
      </c>
      <c r="H128" s="16" t="inlineStr">
        <is>
          <t>1 Pieza</t>
        </is>
      </c>
      <c r="I128" s="16" t="n">
        <v>1</v>
      </c>
      <c r="J128" s="17" t="n">
        <v>79</v>
      </c>
      <c r="K128" s="17" t="n">
        <v>82.73</v>
      </c>
      <c r="L128" s="17" t="n">
        <v>25.86</v>
      </c>
      <c r="M128" s="17" t="n">
        <v>0</v>
      </c>
      <c r="N128" s="17">
        <f>K128*0.08+L128*0.08</f>
        <v/>
      </c>
      <c r="O128" s="17">
        <f>-(K128*0.025+L128*0.025)</f>
        <v/>
      </c>
      <c r="P128" s="17">
        <f>32</f>
        <v/>
      </c>
      <c r="Q128" s="17">
        <f>J128+L128+N128+O128-P128-M128</f>
        <v/>
      </c>
    </row>
    <row r="129">
      <c r="A129" s="16" t="inlineStr">
        <is>
          <t>5.1-5.7</t>
        </is>
      </c>
      <c r="B129" s="16" t="inlineStr">
        <is>
          <t>PO-128-00099286958714049</t>
        </is>
      </c>
      <c r="C129" s="16" t="inlineStr">
        <is>
          <t>Delivered</t>
        </is>
      </c>
      <c r="D129" s="16" t="inlineStr">
        <is>
          <t>128-00099245015674049</t>
        </is>
      </c>
      <c r="E129" s="16" t="inlineStr">
        <is>
          <t>Delivered</t>
        </is>
      </c>
      <c r="F129" s="16" t="inlineStr">
        <is>
          <t>LV64W25</t>
        </is>
      </c>
      <c r="G1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9" s="16" t="inlineStr">
        <is>
          <t>Blanco</t>
        </is>
      </c>
      <c r="I129" s="16" t="n">
        <v>1</v>
      </c>
      <c r="J129" s="17" t="n">
        <v>125</v>
      </c>
      <c r="K129" s="17" t="n">
        <v>104.31</v>
      </c>
      <c r="L129" s="17" t="n">
        <v>25.86</v>
      </c>
      <c r="M129" s="17" t="n">
        <v>4.37</v>
      </c>
      <c r="N129" s="17">
        <f>K129*0.08+L129*0.08</f>
        <v/>
      </c>
      <c r="O129" s="17">
        <f>-(K129*0.025+L129*0.025)</f>
        <v/>
      </c>
      <c r="P129" s="17">
        <f>32</f>
        <v/>
      </c>
      <c r="Q129" s="17">
        <f>J129+L129+N129+O129-P129-M129</f>
        <v/>
      </c>
    </row>
    <row r="130">
      <c r="A130" s="16" t="inlineStr">
        <is>
          <t>5.1-5.7</t>
        </is>
      </c>
      <c r="B130" s="16" t="inlineStr">
        <is>
          <t>PO-128-00287187886712865</t>
        </is>
      </c>
      <c r="C130" s="16" t="inlineStr">
        <is>
          <t>Delivered</t>
        </is>
      </c>
      <c r="D130" s="16" t="inlineStr">
        <is>
          <t>128-00287145943672865</t>
        </is>
      </c>
      <c r="E130" s="16" t="inlineStr">
        <is>
          <t>Delivered</t>
        </is>
      </c>
      <c r="F130" s="16" t="inlineStr">
        <is>
          <t>SA323T</t>
        </is>
      </c>
      <c r="G130"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30" s="16" t="inlineStr">
        <is>
          <t>AZUL/SA323T</t>
        </is>
      </c>
      <c r="I130" s="16" t="n">
        <v>1</v>
      </c>
      <c r="J130" s="17" t="n">
        <v>48</v>
      </c>
      <c r="K130" s="17" t="n">
        <v>45.66</v>
      </c>
      <c r="L130" s="17" t="n">
        <v>25.86</v>
      </c>
      <c r="M130" s="17" t="n">
        <v>0</v>
      </c>
      <c r="N130" s="17">
        <f>K130*0.08+L130*0.08</f>
        <v/>
      </c>
      <c r="O130" s="17">
        <f>-(K130*0.025+L130*0.025)</f>
        <v/>
      </c>
      <c r="P130" s="17">
        <f>32</f>
        <v/>
      </c>
      <c r="Q130" s="17">
        <f>J130+L130+N130+O130-P130-M130</f>
        <v/>
      </c>
    </row>
    <row r="131">
      <c r="A131" s="16" t="inlineStr">
        <is>
          <t>5.1-5.7</t>
        </is>
      </c>
      <c r="B131" s="16" t="inlineStr">
        <is>
          <t>PO-128-00580374211190029</t>
        </is>
      </c>
      <c r="C131" s="16" t="inlineStr">
        <is>
          <t>Delivered</t>
        </is>
      </c>
      <c r="D131" s="16" t="inlineStr">
        <is>
          <t>128-00580358482550029</t>
        </is>
      </c>
      <c r="E131" s="16" t="inlineStr">
        <is>
          <t>Delivered</t>
        </is>
      </c>
      <c r="F131" s="16" t="inlineStr">
        <is>
          <t>LV64W25</t>
        </is>
      </c>
      <c r="G1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1" s="16" t="inlineStr">
        <is>
          <t>Blanco</t>
        </is>
      </c>
      <c r="I131" s="16" t="n">
        <v>2</v>
      </c>
      <c r="J131" s="17" t="n">
        <v>250</v>
      </c>
      <c r="K131" s="17" t="n">
        <v>260.78</v>
      </c>
      <c r="L131" s="17" t="n">
        <v>0</v>
      </c>
      <c r="M131" s="17" t="n">
        <v>0</v>
      </c>
      <c r="N131" s="17">
        <f>K131*0.08+L131*0.08</f>
        <v/>
      </c>
      <c r="O131" s="17">
        <f>-(K131*0.025+L131*0.025)</f>
        <v/>
      </c>
      <c r="P131" s="17">
        <f>32</f>
        <v/>
      </c>
      <c r="Q131" s="17">
        <f>J131+L131+N131+O131-P131-M131</f>
        <v/>
      </c>
    </row>
    <row r="132">
      <c r="A132" s="16" t="inlineStr">
        <is>
          <t>5.1-5.7</t>
        </is>
      </c>
      <c r="B132" s="16" t="inlineStr">
        <is>
          <t>PO-128-00274545951353066</t>
        </is>
      </c>
      <c r="C132" s="16" t="inlineStr">
        <is>
          <t>Delivered</t>
        </is>
      </c>
      <c r="D132" s="16" t="inlineStr">
        <is>
          <t>128-00274524979833066</t>
        </is>
      </c>
      <c r="E132" s="16" t="inlineStr">
        <is>
          <t>Delivered</t>
        </is>
      </c>
      <c r="F132" s="16" t="inlineStr">
        <is>
          <t>BSC04</t>
        </is>
      </c>
      <c r="G132" s="16" t="inlineStr">
        <is>
          <t>TIANLAI Báscula Digital BSC04/BSC07, Alta Precisión, Fácil Operación, Ligera y Portátil, Función Tara, Unidad Dual oz/g, Ideal para Cocina, Control de Porciones, Sellos y Objetos Pequeños, Uso en Hogar y Viaje</t>
        </is>
      </c>
      <c r="H132" s="16" t="inlineStr">
        <is>
          <t>5g/White</t>
        </is>
      </c>
      <c r="I132" s="16" t="n">
        <v>1</v>
      </c>
      <c r="J132" s="17" t="n">
        <v>58</v>
      </c>
      <c r="K132" s="17" t="n">
        <v>59.45</v>
      </c>
      <c r="L132" s="17" t="n">
        <v>25.86</v>
      </c>
      <c r="M132" s="17" t="n">
        <v>0</v>
      </c>
      <c r="N132" s="17">
        <f>K132*0.08+L132*0.08</f>
        <v/>
      </c>
      <c r="O132" s="17">
        <f>-(K132*0.025+L132*0.025)</f>
        <v/>
      </c>
      <c r="P132" s="17">
        <f>32</f>
        <v/>
      </c>
      <c r="Q132" s="17">
        <f>J132+L132+N132+O132-P132-M132</f>
        <v/>
      </c>
    </row>
    <row r="133">
      <c r="A133" s="16" t="inlineStr">
        <is>
          <t>5.1-5.7</t>
        </is>
      </c>
      <c r="B133" s="16" t="inlineStr">
        <is>
          <t>PO-128-00396571443831189</t>
        </is>
      </c>
      <c r="C133" s="16" t="inlineStr">
        <is>
          <t>Delivered</t>
        </is>
      </c>
      <c r="D133" s="16" t="inlineStr">
        <is>
          <t>128-00396529500791189</t>
        </is>
      </c>
      <c r="E133" s="16" t="inlineStr">
        <is>
          <t>Delivered</t>
        </is>
      </c>
      <c r="F133" s="16" t="inlineStr">
        <is>
          <t>LV64W25</t>
        </is>
      </c>
      <c r="G1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3" s="16" t="inlineStr">
        <is>
          <t>Blanco</t>
        </is>
      </c>
      <c r="I133" s="16" t="n">
        <v>4</v>
      </c>
      <c r="J133" s="17" t="n">
        <v>500</v>
      </c>
      <c r="K133" s="17" t="n">
        <v>521.5599999999999</v>
      </c>
      <c r="L133" s="17" t="n">
        <v>0</v>
      </c>
      <c r="M133" s="17" t="n">
        <v>0</v>
      </c>
      <c r="N133" s="17">
        <f>K133*0.08+L133*0.08</f>
        <v/>
      </c>
      <c r="O133" s="17">
        <f>-(K133*0.025+L133*0.025)</f>
        <v/>
      </c>
      <c r="P133" s="17">
        <f>32</f>
        <v/>
      </c>
      <c r="Q133" s="17">
        <f>J133+L133+N133+O133-P133-M133</f>
        <v/>
      </c>
    </row>
    <row r="134">
      <c r="A134" s="16" t="inlineStr">
        <is>
          <t>5.1-5.7</t>
        </is>
      </c>
      <c r="B134" s="16" t="inlineStr">
        <is>
          <t>PO-128-19557491753592757</t>
        </is>
      </c>
      <c r="C134" s="16" t="inlineStr">
        <is>
          <t>Delivered</t>
        </is>
      </c>
      <c r="D134" s="16" t="inlineStr">
        <is>
          <t>128-19557512725112757</t>
        </is>
      </c>
      <c r="E134" s="16" t="inlineStr">
        <is>
          <t>Delivered</t>
        </is>
      </c>
      <c r="F134" s="16" t="inlineStr">
        <is>
          <t>LV64W25</t>
        </is>
      </c>
      <c r="G1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4" s="16" t="inlineStr">
        <is>
          <t>Blanco</t>
        </is>
      </c>
      <c r="I134" s="16" t="n">
        <v>5</v>
      </c>
      <c r="J134" s="17" t="n">
        <v>625</v>
      </c>
      <c r="K134" s="17" t="n">
        <v>521.54</v>
      </c>
      <c r="L134" s="17" t="n">
        <v>0</v>
      </c>
      <c r="M134" s="17" t="n">
        <v>0</v>
      </c>
      <c r="N134" s="17">
        <f>K134*0.08+L134*0.08</f>
        <v/>
      </c>
      <c r="O134" s="17">
        <f>-(K134*0.025+L134*0.025)</f>
        <v/>
      </c>
      <c r="P134" s="17">
        <f>32</f>
        <v/>
      </c>
      <c r="Q134" s="17">
        <f>J134+L134+N134+O134-P134-M134</f>
        <v/>
      </c>
    </row>
    <row r="135">
      <c r="A135" s="16" t="inlineStr">
        <is>
          <t>5.1-5.7</t>
        </is>
      </c>
      <c r="B135" s="16" t="inlineStr">
        <is>
          <t>PO-128-19703986683511882</t>
        </is>
      </c>
      <c r="C135" s="16" t="inlineStr">
        <is>
          <t>Delivered</t>
        </is>
      </c>
      <c r="D135" s="16" t="inlineStr">
        <is>
          <t>128-19703944740471882</t>
        </is>
      </c>
      <c r="E135" s="16" t="inlineStr">
        <is>
          <t>Delivered</t>
        </is>
      </c>
      <c r="F135" s="16" t="inlineStr">
        <is>
          <t>LV64W25</t>
        </is>
      </c>
      <c r="G1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5" s="16" t="inlineStr">
        <is>
          <t>Blanco</t>
        </is>
      </c>
      <c r="I135" s="16" t="n">
        <v>3</v>
      </c>
      <c r="J135" s="17" t="n">
        <v>375</v>
      </c>
      <c r="K135" s="17" t="n">
        <v>332.5</v>
      </c>
      <c r="L135" s="17" t="n">
        <v>0</v>
      </c>
      <c r="M135" s="17" t="n">
        <v>0</v>
      </c>
      <c r="N135" s="17">
        <f>K135*0.08+L135*0.08</f>
        <v/>
      </c>
      <c r="O135" s="17">
        <f>-(K135*0.025+L135*0.025)</f>
        <v/>
      </c>
      <c r="P135" s="17">
        <f>32</f>
        <v/>
      </c>
      <c r="Q135" s="17">
        <f>J135+L135+N135+O135-P135-M135</f>
        <v/>
      </c>
    </row>
    <row r="136">
      <c r="A136" s="16" t="inlineStr">
        <is>
          <t>5.1-5.7</t>
        </is>
      </c>
      <c r="B136" s="16" t="inlineStr">
        <is>
          <t>PO-128-19648071194231257</t>
        </is>
      </c>
      <c r="C136" s="16" t="inlineStr">
        <is>
          <t>Delivered</t>
        </is>
      </c>
      <c r="D136" s="16" t="inlineStr">
        <is>
          <t>128-19648092165751257</t>
        </is>
      </c>
      <c r="E136" s="16" t="inlineStr">
        <is>
          <t>Delivered</t>
        </is>
      </c>
      <c r="F136" s="16" t="inlineStr">
        <is>
          <t>LV64W25</t>
        </is>
      </c>
      <c r="G1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6" s="16" t="inlineStr">
        <is>
          <t>Blanco</t>
        </is>
      </c>
      <c r="I136" s="16" t="n">
        <v>1</v>
      </c>
      <c r="J136" s="17" t="n">
        <v>125</v>
      </c>
      <c r="K136" s="17" t="n">
        <v>128.95</v>
      </c>
      <c r="L136" s="17" t="n">
        <v>25.86</v>
      </c>
      <c r="M136" s="17" t="n">
        <v>0</v>
      </c>
      <c r="N136" s="17">
        <f>K136*0.08+L136*0.08</f>
        <v/>
      </c>
      <c r="O136" s="17">
        <f>-(K136*0.025+L136*0.025)</f>
        <v/>
      </c>
      <c r="P136" s="17">
        <f>32</f>
        <v/>
      </c>
      <c r="Q136" s="17">
        <f>J136+L136+N136+O136-P136-M136</f>
        <v/>
      </c>
    </row>
    <row r="137">
      <c r="A137" s="16" t="inlineStr">
        <is>
          <t>5.1-5.7</t>
        </is>
      </c>
      <c r="B137" s="16" t="inlineStr">
        <is>
          <t>PO-128-19344604216954088</t>
        </is>
      </c>
      <c r="C137" s="16" t="inlineStr">
        <is>
          <t>Delivered</t>
        </is>
      </c>
      <c r="D137" s="16" t="inlineStr">
        <is>
          <t>128-19344562273914088</t>
        </is>
      </c>
      <c r="E137" s="16" t="inlineStr">
        <is>
          <t>Delivered</t>
        </is>
      </c>
      <c r="F137" s="16" t="inlineStr">
        <is>
          <t>KTS-2031</t>
        </is>
      </c>
      <c r="G137" s="16" t="inlineStr">
        <is>
          <t>Bocina inalámbrica de 3 pulgadas con linterna multifuncional y panel solar integrado.Altavoz Portátil con Linterna LED 4 Modos, Radio FM, Bluetooth, Carga Solar, Ideal para Apagones, Emergencias, Campo y Exteriores</t>
        </is>
      </c>
      <c r="H137" s="16" t="inlineStr">
        <is>
          <t>NEGRO</t>
        </is>
      </c>
      <c r="I137" s="16" t="n">
        <v>1</v>
      </c>
      <c r="J137" s="17" t="n">
        <v>75</v>
      </c>
      <c r="K137" s="17" t="n">
        <v>69.01000000000001</v>
      </c>
      <c r="L137" s="17" t="n">
        <v>25.86</v>
      </c>
      <c r="M137" s="17" t="n">
        <v>0</v>
      </c>
      <c r="N137" s="17">
        <f>K137*0.08+L137*0.08</f>
        <v/>
      </c>
      <c r="O137" s="17">
        <f>-(K137*0.025+L137*0.025)</f>
        <v/>
      </c>
      <c r="P137" s="17">
        <f>32</f>
        <v/>
      </c>
      <c r="Q137" s="17">
        <f>J137+L137+N137+O137-P137-M137</f>
        <v/>
      </c>
    </row>
    <row r="138">
      <c r="A138" s="16" t="inlineStr">
        <is>
          <t>5.1-5.7</t>
        </is>
      </c>
      <c r="B138" s="16" t="inlineStr">
        <is>
          <t>PO-128-19553342536312781</t>
        </is>
      </c>
      <c r="C138" s="16" t="inlineStr">
        <is>
          <t>Delivered</t>
        </is>
      </c>
      <c r="D138" s="16" t="inlineStr">
        <is>
          <t>128-19553373010552781</t>
        </is>
      </c>
      <c r="E138" s="16" t="inlineStr">
        <is>
          <t>Delivered</t>
        </is>
      </c>
      <c r="F138" s="16" t="inlineStr">
        <is>
          <t>LV64W25</t>
        </is>
      </c>
      <c r="G1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8" s="16" t="inlineStr">
        <is>
          <t>Blanco</t>
        </is>
      </c>
      <c r="I138" s="16" t="n">
        <v>1</v>
      </c>
      <c r="J138" s="17" t="n">
        <v>125</v>
      </c>
      <c r="K138" s="17" t="n">
        <v>127.67</v>
      </c>
      <c r="L138" s="17" t="n">
        <v>25.86</v>
      </c>
      <c r="M138" s="17" t="n">
        <v>0</v>
      </c>
      <c r="N138" s="17">
        <f>K138*0.08+L138*0.08</f>
        <v/>
      </c>
      <c r="O138" s="17">
        <f>-(K138*0.025+L138*0.025)</f>
        <v/>
      </c>
      <c r="P138" s="17">
        <f>32</f>
        <v/>
      </c>
      <c r="Q138" s="17">
        <f>J138+L138+N138+O138-P138-M138</f>
        <v/>
      </c>
    </row>
    <row r="139">
      <c r="A139" s="16" t="inlineStr">
        <is>
          <t>5.1-5.7</t>
        </is>
      </c>
      <c r="B139" s="16" t="inlineStr">
        <is>
          <t>PO-128-19703034563191825</t>
        </is>
      </c>
      <c r="C139" s="16" t="inlineStr">
        <is>
          <t>Delivered</t>
        </is>
      </c>
      <c r="D139" s="16" t="inlineStr">
        <is>
          <t>128-19703055534711825</t>
        </is>
      </c>
      <c r="E139" s="16" t="inlineStr">
        <is>
          <t>Delivered</t>
        </is>
      </c>
      <c r="F139" s="16" t="inlineStr">
        <is>
          <t>LV54W25</t>
        </is>
      </c>
      <c r="G139" s="16" t="inlineStr">
        <is>
          <t>TIANLAI Lámpara Ventilador E27 2 en 1, Silenciosa, LED Alta Luminosidad 180°, Instalación Rápida, Ahorro Energético para Dormitorio y Interiores Pequeños</t>
        </is>
      </c>
      <c r="H139" s="16" t="inlineStr">
        <is>
          <t>1 Pieza</t>
        </is>
      </c>
      <c r="I139" s="16" t="n">
        <v>1</v>
      </c>
      <c r="J139" s="17" t="n">
        <v>79</v>
      </c>
      <c r="K139" s="17" t="n">
        <v>82.73</v>
      </c>
      <c r="L139" s="17" t="n">
        <v>25.86</v>
      </c>
      <c r="M139" s="17" t="n">
        <v>0</v>
      </c>
      <c r="N139" s="17">
        <f>K139*0.08+L139*0.08</f>
        <v/>
      </c>
      <c r="O139" s="17">
        <f>-(K139*0.025+L139*0.025)</f>
        <v/>
      </c>
      <c r="P139" s="17">
        <f>32</f>
        <v/>
      </c>
      <c r="Q139" s="17">
        <f>J139+L139+N139+O139-P139-M139</f>
        <v/>
      </c>
    </row>
    <row r="140">
      <c r="A140" s="16" t="inlineStr">
        <is>
          <t>5.1-5.7</t>
        </is>
      </c>
      <c r="B140" s="16" t="inlineStr">
        <is>
          <t>PO-128-19637164636791192</t>
        </is>
      </c>
      <c r="C140" s="16" t="inlineStr">
        <is>
          <t>Delivered</t>
        </is>
      </c>
      <c r="D140" s="16" t="inlineStr">
        <is>
          <t>128-19637217065591192</t>
        </is>
      </c>
      <c r="E140" s="16" t="inlineStr">
        <is>
          <t>Delivered</t>
        </is>
      </c>
      <c r="F140" s="16" t="inlineStr">
        <is>
          <t>TL1412N17C</t>
        </is>
      </c>
      <c r="G140" s="16" t="inlineStr">
        <is>
          <t>Linkbits, Soporte de Pared Fijo para TV y Monitor de 14"-43", Ultra Delgado 2.3cm, Fuerte Capacidad de Peso de 25KG, Fácil Instalación con Accesorios Completos</t>
        </is>
      </c>
      <c r="H140" s="16" t="inlineStr">
        <is>
          <t>NEGRO</t>
        </is>
      </c>
      <c r="I140" s="16" t="n">
        <v>1</v>
      </c>
      <c r="J140" s="17" t="n">
        <v>36.84</v>
      </c>
      <c r="K140" s="17" t="n">
        <v>48.54</v>
      </c>
      <c r="L140" s="17" t="n">
        <v>25.86</v>
      </c>
      <c r="M140" s="17" t="n">
        <v>0</v>
      </c>
      <c r="N140" s="17">
        <f>K140*0.08+L140*0.08</f>
        <v/>
      </c>
      <c r="O140" s="17">
        <f>-(K140*0.025+L140*0.025)</f>
        <v/>
      </c>
      <c r="P140" s="17">
        <f>32</f>
        <v/>
      </c>
      <c r="Q140" s="17">
        <f>J140+L140+N140+O140-P140-M140</f>
        <v/>
      </c>
    </row>
    <row r="141">
      <c r="A141" s="16" t="inlineStr">
        <is>
          <t>5.1-5.7</t>
        </is>
      </c>
      <c r="B141" s="16" t="inlineStr">
        <is>
          <t>PO-128-19846830070390902</t>
        </is>
      </c>
      <c r="C141" s="16" t="inlineStr">
        <is>
          <t>Delivered</t>
        </is>
      </c>
      <c r="D141" s="16" t="inlineStr">
        <is>
          <t>128-19846788127350902</t>
        </is>
      </c>
      <c r="E141" s="16" t="inlineStr">
        <is>
          <t>Delivered</t>
        </is>
      </c>
      <c r="F141" s="16" t="inlineStr">
        <is>
          <t>LV64W25</t>
        </is>
      </c>
      <c r="G1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1" s="16" t="inlineStr">
        <is>
          <t>Blanco</t>
        </is>
      </c>
      <c r="I141" s="16" t="n">
        <v>2</v>
      </c>
      <c r="J141" s="17" t="n">
        <v>250</v>
      </c>
      <c r="K141" s="17" t="n">
        <v>257.9</v>
      </c>
      <c r="L141" s="17" t="n">
        <v>0</v>
      </c>
      <c r="M141" s="17" t="n">
        <v>0</v>
      </c>
      <c r="N141" s="17">
        <f>K141*0.08+L141*0.08</f>
        <v/>
      </c>
      <c r="O141" s="17">
        <f>-(K141*0.025+L141*0.025)</f>
        <v/>
      </c>
      <c r="P141" s="17">
        <f>32</f>
        <v/>
      </c>
      <c r="Q141" s="17">
        <f>J141+L141+N141+O141-P141-M141</f>
        <v/>
      </c>
    </row>
    <row r="142">
      <c r="A142" s="16" t="inlineStr">
        <is>
          <t>5.1-5.7</t>
        </is>
      </c>
      <c r="B142" s="16" t="inlineStr">
        <is>
          <t>PO-128-19646672748151265</t>
        </is>
      </c>
      <c r="C142" s="16" t="inlineStr">
        <is>
          <t>Delivered</t>
        </is>
      </c>
      <c r="D142" s="16" t="inlineStr">
        <is>
          <t>128-19646636047991265</t>
        </is>
      </c>
      <c r="E142" s="16" t="inlineStr">
        <is>
          <t>Delivered</t>
        </is>
      </c>
      <c r="F142" s="16" t="inlineStr">
        <is>
          <t>KTS-2031</t>
        </is>
      </c>
      <c r="G142" s="16" t="inlineStr">
        <is>
          <t>Bocina inalámbrica de 3 pulgadas con linterna multifuncional y panel solar integrado.Altavoz Portátil con Linterna LED 4 Modos, Radio FM, Bluetooth, Carga Solar, Ideal para Apagones, Emergencias, Campo y Exteriores</t>
        </is>
      </c>
      <c r="H142" s="16" t="inlineStr">
        <is>
          <t>NEGRO</t>
        </is>
      </c>
      <c r="I142" s="16" t="n">
        <v>1</v>
      </c>
      <c r="J142" s="17" t="n">
        <v>75</v>
      </c>
      <c r="K142" s="17" t="n">
        <v>84.23</v>
      </c>
      <c r="L142" s="17" t="n">
        <v>25.86</v>
      </c>
      <c r="M142" s="17" t="n">
        <v>0</v>
      </c>
      <c r="N142" s="17">
        <f>K142*0.08+L142*0.08</f>
        <v/>
      </c>
      <c r="O142" s="17">
        <f>-(K142*0.025+L142*0.025)</f>
        <v/>
      </c>
      <c r="P142" s="17">
        <f>32</f>
        <v/>
      </c>
      <c r="Q142" s="17">
        <f>J142+L142+N142+O142-P142-M142</f>
        <v/>
      </c>
    </row>
    <row r="143">
      <c r="A143" s="16" t="inlineStr">
        <is>
          <t>5.1-5.7</t>
        </is>
      </c>
      <c r="B143" s="16" t="inlineStr">
        <is>
          <t>PO-128-19414370514552456</t>
        </is>
      </c>
      <c r="C143" s="16" t="inlineStr">
        <is>
          <t>Delivered</t>
        </is>
      </c>
      <c r="D143" s="16" t="inlineStr">
        <is>
          <t>128-19414391486072456</t>
        </is>
      </c>
      <c r="E143" s="16" t="inlineStr">
        <is>
          <t>Delivered</t>
        </is>
      </c>
      <c r="F143" s="16" t="inlineStr">
        <is>
          <t>TL1455N20B</t>
        </is>
      </c>
      <c r="G143" s="16" t="inlineStr">
        <is>
          <t>LINK BITS Soporte para TV 14 A 55 Pulgadas, Base para TV Pantalla Articulado Inclinable y Giratorio, MAX VESA 400×400 mm, Soporta hasta 18kg (Acero Reforzado)</t>
        </is>
      </c>
      <c r="H143" s="16" t="inlineStr">
        <is>
          <t>TL1455N20B</t>
        </is>
      </c>
      <c r="I143" s="16" t="n">
        <v>1</v>
      </c>
      <c r="J143" s="17" t="n">
        <v>72</v>
      </c>
      <c r="K143" s="17" t="n">
        <v>75.87</v>
      </c>
      <c r="L143" s="17" t="n">
        <v>25.86</v>
      </c>
      <c r="M143" s="17" t="n">
        <v>0</v>
      </c>
      <c r="N143" s="17">
        <f>K143*0.08+L143*0.08</f>
        <v/>
      </c>
      <c r="O143" s="17">
        <f>-(K143*0.025+L143*0.025)</f>
        <v/>
      </c>
      <c r="P143" s="17">
        <f>32</f>
        <v/>
      </c>
      <c r="Q143" s="17">
        <f>J143+L143+N143+O143-P143-M143</f>
        <v/>
      </c>
    </row>
    <row r="144">
      <c r="A144" s="16" t="inlineStr">
        <is>
          <t>5.1-5.7</t>
        </is>
      </c>
      <c r="B144" s="16" t="inlineStr">
        <is>
          <t>PO-128-19786141271670304</t>
        </is>
      </c>
      <c r="C144" s="16" t="inlineStr">
        <is>
          <t>Delivered</t>
        </is>
      </c>
      <c r="D144" s="16" t="inlineStr">
        <is>
          <t>128-19786193700470304</t>
        </is>
      </c>
      <c r="E144" s="16" t="inlineStr">
        <is>
          <t>Delivered</t>
        </is>
      </c>
      <c r="F144" s="16" t="inlineStr">
        <is>
          <t>LV64W25</t>
        </is>
      </c>
      <c r="G1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 s="16" t="inlineStr">
        <is>
          <t>Blanco</t>
        </is>
      </c>
      <c r="I144" s="16" t="n">
        <v>2</v>
      </c>
      <c r="J144" s="17" t="n">
        <v>250</v>
      </c>
      <c r="K144" s="17" t="n">
        <v>208.62</v>
      </c>
      <c r="L144" s="17" t="n">
        <v>0</v>
      </c>
      <c r="M144" s="17" t="n">
        <v>0</v>
      </c>
      <c r="N144" s="17">
        <f>K144*0.08+L144*0.08</f>
        <v/>
      </c>
      <c r="O144" s="17">
        <f>-(K144*0.025+L144*0.025)</f>
        <v/>
      </c>
      <c r="P144" s="17">
        <f>32</f>
        <v/>
      </c>
      <c r="Q144" s="17">
        <f>J144+L144+N144+O144-P144-M144</f>
        <v/>
      </c>
    </row>
    <row r="145">
      <c r="A145" s="16" t="inlineStr">
        <is>
          <t>5.1-5.7</t>
        </is>
      </c>
      <c r="B145" s="16" t="inlineStr">
        <is>
          <t>PO-128-19641166664311232</t>
        </is>
      </c>
      <c r="C145" s="16" t="inlineStr">
        <is>
          <t>Delivered</t>
        </is>
      </c>
      <c r="D145" s="16" t="inlineStr">
        <is>
          <t>128-19641187635831232</t>
        </is>
      </c>
      <c r="E145" s="16" t="inlineStr">
        <is>
          <t>Delivered</t>
        </is>
      </c>
      <c r="F145" s="16" t="inlineStr">
        <is>
          <t>LV54W25</t>
        </is>
      </c>
      <c r="G145" s="16" t="inlineStr">
        <is>
          <t>TIANLAI Lámpara Ventilador E27 2 en 1, Silenciosa, LED Alta Luminosidad 180°, Instalación Rápida, Ahorro Energético para Dormitorio y Interiores Pequeños</t>
        </is>
      </c>
      <c r="H145" s="16" t="inlineStr">
        <is>
          <t>1 Pieza</t>
        </is>
      </c>
      <c r="I145" s="16" t="n">
        <v>1</v>
      </c>
      <c r="J145" s="17" t="n">
        <v>79</v>
      </c>
      <c r="K145" s="17" t="n">
        <v>76.84999999999999</v>
      </c>
      <c r="L145" s="17" t="n">
        <v>25.86</v>
      </c>
      <c r="M145" s="17" t="n">
        <v>0</v>
      </c>
      <c r="N145" s="17">
        <f>K145*0.08+L145*0.08</f>
        <v/>
      </c>
      <c r="O145" s="17">
        <f>-(K145*0.025+L145*0.025)</f>
        <v/>
      </c>
      <c r="P145" s="17">
        <f>32</f>
        <v/>
      </c>
      <c r="Q145" s="17">
        <f>J145+L145+N145+O145-P145-M145</f>
        <v/>
      </c>
    </row>
    <row r="146">
      <c r="A146" s="16" t="inlineStr">
        <is>
          <t>5.1-5.7</t>
        </is>
      </c>
      <c r="B146" s="16" t="inlineStr">
        <is>
          <t>PO-128-19453595679352414</t>
        </is>
      </c>
      <c r="C146" s="16" t="inlineStr">
        <is>
          <t>Delivered</t>
        </is>
      </c>
      <c r="D146" s="16" t="inlineStr">
        <is>
          <t>128-19453637622392414</t>
        </is>
      </c>
      <c r="E146" s="16" t="inlineStr">
        <is>
          <t>Delivered</t>
        </is>
      </c>
      <c r="F146" s="16" t="inlineStr">
        <is>
          <t>B03W10-10PZS</t>
        </is>
      </c>
      <c r="G14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46" s="16" t="inlineStr">
        <is>
          <t>B03W10</t>
        </is>
      </c>
      <c r="I146" s="16" t="n">
        <v>1</v>
      </c>
      <c r="J146" s="17" t="n">
        <v>70</v>
      </c>
      <c r="K146" s="17" t="n">
        <v>77.56</v>
      </c>
      <c r="L146" s="17" t="n">
        <v>25.86</v>
      </c>
      <c r="M146" s="17" t="n">
        <v>0</v>
      </c>
      <c r="N146" s="17">
        <f>K146*0.08+L146*0.08</f>
        <v/>
      </c>
      <c r="O146" s="17">
        <f>-(K146*0.025+L146*0.025)</f>
        <v/>
      </c>
      <c r="P146" s="17">
        <f>32</f>
        <v/>
      </c>
      <c r="Q146" s="17">
        <f>J146+L146+N146+O146-P146-M146</f>
        <v/>
      </c>
    </row>
    <row r="147">
      <c r="A147" s="16" t="inlineStr">
        <is>
          <t>5.1-5.7</t>
        </is>
      </c>
      <c r="B147" s="16" t="inlineStr">
        <is>
          <t>PO-128-19334540508794020</t>
        </is>
      </c>
      <c r="C147" s="16" t="inlineStr">
        <is>
          <t>Delivered</t>
        </is>
      </c>
      <c r="D147" s="16" t="inlineStr">
        <is>
          <t>128-19334550994554020</t>
        </is>
      </c>
      <c r="E147" s="16" t="inlineStr">
        <is>
          <t>Delivered</t>
        </is>
      </c>
      <c r="F147" s="16" t="inlineStr">
        <is>
          <t>LV64W25</t>
        </is>
      </c>
      <c r="G1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7" s="16" t="inlineStr">
        <is>
          <t>Blanco</t>
        </is>
      </c>
      <c r="I147" s="16" t="n">
        <v>1</v>
      </c>
      <c r="J147" s="17" t="n">
        <v>125</v>
      </c>
      <c r="K147" s="17" t="n">
        <v>128.95</v>
      </c>
      <c r="L147" s="17" t="n">
        <v>25.86</v>
      </c>
      <c r="M147" s="17" t="n">
        <v>0</v>
      </c>
      <c r="N147" s="17">
        <f>K147*0.08+L147*0.08</f>
        <v/>
      </c>
      <c r="O147" s="17">
        <f>-(K147*0.025+L147*0.025)</f>
        <v/>
      </c>
      <c r="P147" s="17">
        <f>32</f>
        <v/>
      </c>
      <c r="Q147" s="17">
        <f>J147+L147+N147+O147-P147-M147</f>
        <v/>
      </c>
    </row>
    <row r="148">
      <c r="A148" s="16" t="inlineStr">
        <is>
          <t>5.1-5.7</t>
        </is>
      </c>
      <c r="B148" s="16" t="inlineStr">
        <is>
          <t>PO-128-19880718751350892</t>
        </is>
      </c>
      <c r="C148" s="16" t="inlineStr">
        <is>
          <t>Delivered</t>
        </is>
      </c>
      <c r="D148" s="16" t="inlineStr">
        <is>
          <t>128-19880760694390892</t>
        </is>
      </c>
      <c r="E148" s="16" t="inlineStr">
        <is>
          <t>Delivered</t>
        </is>
      </c>
      <c r="F148" s="16" t="inlineStr">
        <is>
          <t>TL2663N18C</t>
        </is>
      </c>
      <c r="G148" s="16" t="inlineStr">
        <is>
          <t>Linkbits，Soporte de pared fijo para televisores de 26"-63", Ultra-Delgado Compatible con VESA 400x400mm, Capacidad de Peso Fuerte de 25KG, Instalación Fácil Sin Electricidad</t>
        </is>
      </c>
      <c r="H148" s="16" t="inlineStr">
        <is>
          <t>NEGRO</t>
        </is>
      </c>
      <c r="I148" s="16" t="n">
        <v>1</v>
      </c>
      <c r="J148" s="17" t="n">
        <v>55.5</v>
      </c>
      <c r="K148" s="17" t="n">
        <v>70.48999999999999</v>
      </c>
      <c r="L148" s="17" t="n">
        <v>25.86</v>
      </c>
      <c r="M148" s="17" t="n">
        <v>0</v>
      </c>
      <c r="N148" s="17">
        <f>K148*0.08+L148*0.08</f>
        <v/>
      </c>
      <c r="O148" s="17">
        <f>-(K148*0.025+L148*0.025)</f>
        <v/>
      </c>
      <c r="P148" s="17">
        <f>32</f>
        <v/>
      </c>
      <c r="Q148" s="17">
        <f>J148+L148+N148+O148-P148-M148</f>
        <v/>
      </c>
    </row>
    <row r="149">
      <c r="A149" s="16" t="inlineStr">
        <is>
          <t>5.1-5.7</t>
        </is>
      </c>
      <c r="B149" s="16" t="inlineStr">
        <is>
          <t>PO-128-19792736015990331</t>
        </is>
      </c>
      <c r="C149" s="16" t="inlineStr">
        <is>
          <t>Delivered</t>
        </is>
      </c>
      <c r="D149" s="16" t="inlineStr">
        <is>
          <t>128-19792694072950331</t>
        </is>
      </c>
      <c r="E149" s="16" t="inlineStr">
        <is>
          <t>Delivered</t>
        </is>
      </c>
      <c r="F149" s="16" t="inlineStr">
        <is>
          <t>LV64W25</t>
        </is>
      </c>
      <c r="G1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9" s="16" t="inlineStr">
        <is>
          <t>Blanco</t>
        </is>
      </c>
      <c r="I149" s="16" t="n">
        <v>1</v>
      </c>
      <c r="J149" s="17" t="n">
        <v>125</v>
      </c>
      <c r="K149" s="17" t="n">
        <v>130.39</v>
      </c>
      <c r="L149" s="17" t="n">
        <v>25.86</v>
      </c>
      <c r="M149" s="17" t="n">
        <v>0</v>
      </c>
      <c r="N149" s="17">
        <f>K149*0.08+L149*0.08</f>
        <v/>
      </c>
      <c r="O149" s="17">
        <f>-(K149*0.025+L149*0.025)</f>
        <v/>
      </c>
      <c r="P149" s="17">
        <f>32</f>
        <v/>
      </c>
      <c r="Q149" s="17">
        <f>J149+L149+N149+O149-P149-M149</f>
        <v/>
      </c>
    </row>
    <row r="150">
      <c r="A150" s="16" t="inlineStr">
        <is>
          <t>5.1-5.7</t>
        </is>
      </c>
      <c r="B150" s="16" t="inlineStr">
        <is>
          <t>PO-128-19566023127672576</t>
        </is>
      </c>
      <c r="C150" s="16" t="inlineStr">
        <is>
          <t>Delivered</t>
        </is>
      </c>
      <c r="D150" s="16" t="inlineStr">
        <is>
          <t>128-19566033613432576</t>
        </is>
      </c>
      <c r="E150" s="16" t="inlineStr">
        <is>
          <t>Delivered</t>
        </is>
      </c>
      <c r="F150" s="16" t="inlineStr">
        <is>
          <t>VB349T</t>
        </is>
      </c>
      <c r="G150" s="16" t="inlineStr">
        <is>
          <t>LINKBITS Altavoz Portátil de Doble Altavoz - 3 Pulgadas, Sonido HD, Emparejamiento Rápido de Bluetooth, Conectividad TWS, Reproducción Multimodo (Micro SD/USB/Radio FM) - Perfecto para Oficina, Viajes y Espacios Pequeños</t>
        </is>
      </c>
      <c r="H150" s="16" t="inlineStr">
        <is>
          <t>NEGRO</t>
        </is>
      </c>
      <c r="I150" s="16" t="n">
        <v>1</v>
      </c>
      <c r="J150" s="17" t="n">
        <v>81</v>
      </c>
      <c r="K150" s="17" t="n">
        <v>94.27</v>
      </c>
      <c r="L150" s="17" t="n">
        <v>25.86</v>
      </c>
      <c r="M150" s="17" t="n">
        <v>0</v>
      </c>
      <c r="N150" s="17">
        <f>K150*0.08+L150*0.08</f>
        <v/>
      </c>
      <c r="O150" s="17">
        <f>-(K150*0.025+L150*0.025)</f>
        <v/>
      </c>
      <c r="P150" s="17">
        <f>32</f>
        <v/>
      </c>
      <c r="Q150" s="17">
        <f>J150+L150+N150+O150-P150-M150</f>
        <v/>
      </c>
    </row>
    <row r="151">
      <c r="A151" s="16" t="inlineStr">
        <is>
          <t>5.1-5.7</t>
        </is>
      </c>
      <c r="B151" s="16" t="inlineStr">
        <is>
          <t>PO-128-19769025050230470</t>
        </is>
      </c>
      <c r="C151" s="16" t="inlineStr">
        <is>
          <t>Delivered</t>
        </is>
      </c>
      <c r="D151" s="16" t="inlineStr">
        <is>
          <t>128-19769077479030470</t>
        </is>
      </c>
      <c r="E151" s="16" t="inlineStr">
        <is>
          <t>Delivered</t>
        </is>
      </c>
      <c r="F151" s="16" t="inlineStr">
        <is>
          <t>LV54W25</t>
        </is>
      </c>
      <c r="G151" s="16" t="inlineStr">
        <is>
          <t>TIANLAI Lámpara Ventilador E27 2 en 1, Silenciosa, LED Alta Luminosidad 180°, Instalación Rápida, Ahorro Energético para Dormitorio y Interiores Pequeños</t>
        </is>
      </c>
      <c r="H151" s="16" t="inlineStr">
        <is>
          <t>1 Pieza</t>
        </is>
      </c>
      <c r="I151" s="16" t="n">
        <v>2</v>
      </c>
      <c r="J151" s="17" t="n">
        <v>158</v>
      </c>
      <c r="K151" s="17" t="n">
        <v>165.46</v>
      </c>
      <c r="L151" s="17" t="n">
        <v>25.86</v>
      </c>
      <c r="M151" s="17" t="n">
        <v>0</v>
      </c>
      <c r="N151" s="17">
        <f>K151*0.08+L151*0.08</f>
        <v/>
      </c>
      <c r="O151" s="17">
        <f>-(K151*0.025+L151*0.025)</f>
        <v/>
      </c>
      <c r="P151" s="17">
        <f>32</f>
        <v/>
      </c>
      <c r="Q151" s="17">
        <f>J151+L151+N151+O151-P151-M151</f>
        <v/>
      </c>
    </row>
    <row r="152">
      <c r="A152" s="16" t="inlineStr">
        <is>
          <t>5.1-5.7</t>
        </is>
      </c>
      <c r="B152" s="16" t="inlineStr">
        <is>
          <t>PO-128-19281146952313442</t>
        </is>
      </c>
      <c r="C152" s="16" t="inlineStr">
        <is>
          <t>Delivered</t>
        </is>
      </c>
      <c r="D152" s="16" t="inlineStr">
        <is>
          <t>128-19281199381113442</t>
        </is>
      </c>
      <c r="E152" s="16" t="inlineStr">
        <is>
          <t>Delivered</t>
        </is>
      </c>
      <c r="F152" s="16" t="inlineStr">
        <is>
          <t>TLCD06-12P-R</t>
        </is>
      </c>
      <c r="G15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52" s="16" t="inlineStr">
        <is>
          <t>ROJO/pantalla de 12 pulgadas</t>
        </is>
      </c>
      <c r="I152" s="16" t="n">
        <v>1</v>
      </c>
      <c r="J152" s="17" t="n">
        <v>35</v>
      </c>
      <c r="K152" s="17" t="n">
        <v>40.88</v>
      </c>
      <c r="L152" s="17" t="n">
        <v>25.86</v>
      </c>
      <c r="M152" s="17" t="n">
        <v>0</v>
      </c>
      <c r="N152" s="17">
        <f>K152*0.08+L152*0.08</f>
        <v/>
      </c>
      <c r="O152" s="17">
        <f>-(K152*0.025+L152*0.025)</f>
        <v/>
      </c>
      <c r="P152" s="17">
        <f>32</f>
        <v/>
      </c>
      <c r="Q152" s="17">
        <f>J152+L152+N152+O152-P152-M152</f>
        <v/>
      </c>
    </row>
    <row r="153">
      <c r="A153" s="16" t="inlineStr">
        <is>
          <t>5.1-5.7</t>
        </is>
      </c>
      <c r="B153" s="16" t="inlineStr">
        <is>
          <t>PO-128-19613579274871332</t>
        </is>
      </c>
      <c r="C153" s="16" t="inlineStr">
        <is>
          <t>Delivered</t>
        </is>
      </c>
      <c r="D153" s="16" t="inlineStr">
        <is>
          <t>128-19613626460791332</t>
        </is>
      </c>
      <c r="E153" s="16" t="inlineStr">
        <is>
          <t>Delivered</t>
        </is>
      </c>
      <c r="F153" s="16" t="inlineStr">
        <is>
          <t>LV64W25</t>
        </is>
      </c>
      <c r="G1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3" s="16" t="inlineStr">
        <is>
          <t>Blanco</t>
        </is>
      </c>
      <c r="I153" s="16" t="n">
        <v>1</v>
      </c>
      <c r="J153" s="17" t="n">
        <v>125</v>
      </c>
      <c r="K153" s="17" t="n">
        <v>130.39</v>
      </c>
      <c r="L153" s="17" t="n">
        <v>25.86</v>
      </c>
      <c r="M153" s="17" t="n">
        <v>0</v>
      </c>
      <c r="N153" s="17">
        <f>K153*0.08+L153*0.08</f>
        <v/>
      </c>
      <c r="O153" s="17">
        <f>-(K153*0.025+L153*0.025)</f>
        <v/>
      </c>
      <c r="P153" s="17">
        <f>32</f>
        <v/>
      </c>
      <c r="Q153" s="17">
        <f>J153+L153+N153+O153-P153-M153</f>
        <v/>
      </c>
    </row>
    <row r="154">
      <c r="A154" s="16" t="inlineStr">
        <is>
          <t>5.1-5.7</t>
        </is>
      </c>
      <c r="B154" s="16" t="inlineStr">
        <is>
          <t>PO-128-19480379213432062</t>
        </is>
      </c>
      <c r="C154" s="16" t="inlineStr">
        <is>
          <t>Delivered</t>
        </is>
      </c>
      <c r="D154" s="16" t="inlineStr">
        <is>
          <t>128-19480410670712062</t>
        </is>
      </c>
      <c r="E154" s="16" t="inlineStr">
        <is>
          <t>Delivered</t>
        </is>
      </c>
      <c r="F154" s="16" t="inlineStr">
        <is>
          <t>LV64W25</t>
        </is>
      </c>
      <c r="G1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4" s="16" t="inlineStr">
        <is>
          <t>Blanco</t>
        </is>
      </c>
      <c r="I154" s="16" t="n">
        <v>1</v>
      </c>
      <c r="J154" s="17" t="n">
        <v>125</v>
      </c>
      <c r="K154" s="17" t="n">
        <v>143.28</v>
      </c>
      <c r="L154" s="17" t="n">
        <v>25.86</v>
      </c>
      <c r="M154" s="17" t="n">
        <v>0</v>
      </c>
      <c r="N154" s="17">
        <f>K154*0.08+L154*0.08</f>
        <v/>
      </c>
      <c r="O154" s="17">
        <f>-(K154*0.025+L154*0.025)</f>
        <v/>
      </c>
      <c r="P154" s="17">
        <f>32</f>
        <v/>
      </c>
      <c r="Q154" s="17">
        <f>J154+L154+N154+O154-P154-M154</f>
        <v/>
      </c>
    </row>
    <row r="155">
      <c r="A155" s="16" t="inlineStr">
        <is>
          <t>5.1-5.7</t>
        </is>
      </c>
      <c r="B155" s="16" t="inlineStr">
        <is>
          <t>PO-128-19684741468791996</t>
        </is>
      </c>
      <c r="C155" s="16" t="inlineStr">
        <is>
          <t>Delivered</t>
        </is>
      </c>
      <c r="D155" s="16" t="inlineStr">
        <is>
          <t>128-19684762440311996</t>
        </is>
      </c>
      <c r="E155" s="16" t="inlineStr">
        <is>
          <t>Delivered</t>
        </is>
      </c>
      <c r="F155" s="16" t="inlineStr">
        <is>
          <t>LV64W25</t>
        </is>
      </c>
      <c r="G1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5" s="16" t="inlineStr">
        <is>
          <t>Blanco</t>
        </is>
      </c>
      <c r="I155" s="16" t="n">
        <v>1</v>
      </c>
      <c r="J155" s="17" t="n">
        <v>125</v>
      </c>
      <c r="K155" s="17" t="n">
        <v>130.39</v>
      </c>
      <c r="L155" s="17" t="n">
        <v>25.86</v>
      </c>
      <c r="M155" s="17" t="n">
        <v>0</v>
      </c>
      <c r="N155" s="17">
        <f>K155*0.08+L155*0.08</f>
        <v/>
      </c>
      <c r="O155" s="17">
        <f>-(K155*0.025+L155*0.025)</f>
        <v/>
      </c>
      <c r="P155" s="17">
        <f>32</f>
        <v/>
      </c>
      <c r="Q155" s="17">
        <f>J155+L155+N155+O155-P155-M155</f>
        <v/>
      </c>
    </row>
    <row r="156">
      <c r="A156" s="16" t="inlineStr">
        <is>
          <t>5.1-5.7</t>
        </is>
      </c>
      <c r="B156" s="16" t="inlineStr">
        <is>
          <t>PO-128-19851853440630936</t>
        </is>
      </c>
      <c r="C156" s="16" t="inlineStr">
        <is>
          <t>Delivered</t>
        </is>
      </c>
      <c r="D156" s="16" t="inlineStr">
        <is>
          <t>128-19851845576310936</t>
        </is>
      </c>
      <c r="E156" s="16" t="inlineStr">
        <is>
          <t>Delivered</t>
        </is>
      </c>
      <c r="F156" s="16" t="inlineStr">
        <is>
          <t>LV54W25</t>
        </is>
      </c>
      <c r="G156" s="16" t="inlineStr">
        <is>
          <t>TIANLAI Lámpara Ventilador E27 2 en 1, Silenciosa, LED Alta Luminosidad 180°, Instalación Rápida, Ahorro Energético para Dormitorio y Interiores Pequeños</t>
        </is>
      </c>
      <c r="H156" s="16" t="inlineStr">
        <is>
          <t>1 Pieza</t>
        </is>
      </c>
      <c r="I156" s="16" t="n">
        <v>4</v>
      </c>
      <c r="J156" s="17" t="n">
        <v>316</v>
      </c>
      <c r="K156" s="17" t="n">
        <v>330.92</v>
      </c>
      <c r="L156" s="17" t="n">
        <v>0</v>
      </c>
      <c r="M156" s="17" t="n">
        <v>0</v>
      </c>
      <c r="N156" s="17">
        <f>K156*0.08+L156*0.08</f>
        <v/>
      </c>
      <c r="O156" s="17">
        <f>-(K156*0.025+L156*0.025)</f>
        <v/>
      </c>
      <c r="P156" s="17">
        <f>32</f>
        <v/>
      </c>
      <c r="Q156" s="17">
        <f>J156+L156+N156+O156-P156-M156</f>
        <v/>
      </c>
    </row>
    <row r="157">
      <c r="A157" s="16" t="inlineStr">
        <is>
          <t>5.1-5.7</t>
        </is>
      </c>
      <c r="B157" s="16" t="inlineStr">
        <is>
          <t>PO-128-19884922215030869</t>
        </is>
      </c>
      <c r="C157" s="16" t="inlineStr">
        <is>
          <t>Delivered</t>
        </is>
      </c>
      <c r="D157" s="16" t="inlineStr">
        <is>
          <t>128-19884932700790869</t>
        </is>
      </c>
      <c r="E157" s="16" t="inlineStr">
        <is>
          <t>Delivered</t>
        </is>
      </c>
      <c r="F157" s="16" t="inlineStr">
        <is>
          <t>LV64W25</t>
        </is>
      </c>
      <c r="G1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7" s="16" t="inlineStr">
        <is>
          <t>Blanco</t>
        </is>
      </c>
      <c r="I157" s="16" t="n">
        <v>1</v>
      </c>
      <c r="J157" s="17" t="n">
        <v>125</v>
      </c>
      <c r="K157" s="17" t="n">
        <v>104.31</v>
      </c>
      <c r="L157" s="17" t="n">
        <v>25.86</v>
      </c>
      <c r="M157" s="17" t="n">
        <v>0</v>
      </c>
      <c r="N157" s="17">
        <f>K157*0.08+L157*0.08</f>
        <v/>
      </c>
      <c r="O157" s="17">
        <f>-(K157*0.025+L157*0.025)</f>
        <v/>
      </c>
      <c r="P157" s="17">
        <f>32</f>
        <v/>
      </c>
      <c r="Q157" s="17">
        <f>J157+L157+N157+O157-P157-M157</f>
        <v/>
      </c>
    </row>
    <row r="158">
      <c r="A158" s="16" t="inlineStr">
        <is>
          <t>5.1-5.7</t>
        </is>
      </c>
      <c r="B158" s="16" t="inlineStr">
        <is>
          <t>PO-128-19883295719030879</t>
        </is>
      </c>
      <c r="C158" s="16" t="inlineStr">
        <is>
          <t>Delivered</t>
        </is>
      </c>
      <c r="D158" s="16" t="inlineStr">
        <is>
          <t>128-19883316690550879</t>
        </is>
      </c>
      <c r="E158" s="16" t="inlineStr">
        <is>
          <t>Delivered</t>
        </is>
      </c>
      <c r="F158" s="16" t="inlineStr">
        <is>
          <t>LV54W25</t>
        </is>
      </c>
      <c r="G158" s="16" t="inlineStr">
        <is>
          <t>TIANLAI Lámpara Ventilador E27 2 en 1, Silenciosa, LED Alta Luminosidad 180°, Instalación Rápida, Ahorro Energético para Dormitorio y Interiores Pequeños</t>
        </is>
      </c>
      <c r="H158" s="16" t="inlineStr">
        <is>
          <t>1 Pieza</t>
        </is>
      </c>
      <c r="I158" s="16" t="n">
        <v>1</v>
      </c>
      <c r="J158" s="17" t="n">
        <v>79</v>
      </c>
      <c r="K158" s="17" t="n">
        <v>82.73</v>
      </c>
      <c r="L158" s="17" t="n">
        <v>25.86</v>
      </c>
      <c r="M158" s="17" t="n">
        <v>0</v>
      </c>
      <c r="N158" s="17">
        <f>K158*0.08+L158*0.08</f>
        <v/>
      </c>
      <c r="O158" s="17">
        <f>-(K158*0.025+L158*0.025)</f>
        <v/>
      </c>
      <c r="P158" s="17">
        <f>32</f>
        <v/>
      </c>
      <c r="Q158" s="17">
        <f>J158+L158+N158+O158-P158-M158</f>
        <v/>
      </c>
    </row>
    <row r="159">
      <c r="A159" s="16" t="inlineStr">
        <is>
          <t>5.1-5.7</t>
        </is>
      </c>
      <c r="B159" s="16" t="inlineStr">
        <is>
          <t>PO-128-19763471509110441</t>
        </is>
      </c>
      <c r="C159" s="16" t="inlineStr">
        <is>
          <t>Delivered</t>
        </is>
      </c>
      <c r="D159" s="16" t="inlineStr">
        <is>
          <t>128-19763450537590441</t>
        </is>
      </c>
      <c r="E159" s="16" t="inlineStr">
        <is>
          <t>Delivered</t>
        </is>
      </c>
      <c r="F159" s="16" t="inlineStr">
        <is>
          <t>LV54W25</t>
        </is>
      </c>
      <c r="G159" s="16" t="inlineStr">
        <is>
          <t>TIANLAI Lámpara Ventilador E27 2 en 1, Silenciosa, LED Alta Luminosidad 180°, Instalación Rápida, Ahorro Energético para Dormitorio y Interiores Pequeños</t>
        </is>
      </c>
      <c r="H159" s="16" t="inlineStr">
        <is>
          <t>1 Pieza</t>
        </is>
      </c>
      <c r="I159" s="16" t="n">
        <v>1</v>
      </c>
      <c r="J159" s="17" t="n">
        <v>79</v>
      </c>
      <c r="K159" s="17" t="n">
        <v>55.47</v>
      </c>
      <c r="L159" s="17" t="n">
        <v>25.86</v>
      </c>
      <c r="M159" s="17" t="n">
        <v>0</v>
      </c>
      <c r="N159" s="17">
        <f>K159*0.08+L159*0.08</f>
        <v/>
      </c>
      <c r="O159" s="17">
        <f>-(K159*0.025+L159*0.025)</f>
        <v/>
      </c>
      <c r="P159" s="17">
        <f>32</f>
        <v/>
      </c>
      <c r="Q159" s="17">
        <f>J159+L159+N159+O159-P159-M159</f>
        <v/>
      </c>
    </row>
    <row r="160">
      <c r="A160" s="16" t="inlineStr">
        <is>
          <t>5.1-5.7</t>
        </is>
      </c>
      <c r="B160" s="16" t="inlineStr">
        <is>
          <t>PO-128-19712389560951896</t>
        </is>
      </c>
      <c r="C160" s="16" t="inlineStr">
        <is>
          <t>Delivered</t>
        </is>
      </c>
      <c r="D160" s="16" t="inlineStr">
        <is>
          <t>128-19712347617911896</t>
        </is>
      </c>
      <c r="E160" s="16" t="inlineStr">
        <is>
          <t>Delivered</t>
        </is>
      </c>
      <c r="F160" s="16" t="inlineStr">
        <is>
          <t>VB349T</t>
        </is>
      </c>
      <c r="G160" s="16" t="inlineStr">
        <is>
          <t>LINKBITS Altavoz Portátil de Doble Altavoz - 3 Pulgadas, Sonido HD, Emparejamiento Rápido de Bluetooth, Conectividad TWS, Reproducción Multimodo (Micro SD/USB/Radio FM) - Perfecto para Oficina, Viajes y Espacios Pequeños</t>
        </is>
      </c>
      <c r="H160" s="16" t="inlineStr">
        <is>
          <t>NEGRO</t>
        </is>
      </c>
      <c r="I160" s="16" t="n">
        <v>1</v>
      </c>
      <c r="J160" s="17" t="n">
        <v>81</v>
      </c>
      <c r="K160" s="17" t="n">
        <v>94.27</v>
      </c>
      <c r="L160" s="17" t="n">
        <v>25.86</v>
      </c>
      <c r="M160" s="17" t="n">
        <v>0</v>
      </c>
      <c r="N160" s="17">
        <f>K160*0.08+L160*0.08</f>
        <v/>
      </c>
      <c r="O160" s="17">
        <f>-(K160*0.025+L160*0.025)</f>
        <v/>
      </c>
      <c r="P160" s="17">
        <f>32</f>
        <v/>
      </c>
      <c r="Q160" s="17">
        <f>J160+L160+N160+O160-P160-M160</f>
        <v/>
      </c>
    </row>
    <row r="161">
      <c r="A161" s="16" t="inlineStr">
        <is>
          <t>5.1-5.7</t>
        </is>
      </c>
      <c r="B161" s="16" t="inlineStr">
        <is>
          <t>PO-128-19478701491832072</t>
        </is>
      </c>
      <c r="C161" s="16" t="inlineStr">
        <is>
          <t>Delivered</t>
        </is>
      </c>
      <c r="D161" s="16" t="inlineStr">
        <is>
          <t>128-19478732949112072</t>
        </is>
      </c>
      <c r="E161" s="16" t="inlineStr">
        <is>
          <t>Delivered</t>
        </is>
      </c>
      <c r="F161" s="16" t="inlineStr">
        <is>
          <t>i12-B</t>
        </is>
      </c>
      <c r="G161" s="16" t="inlineStr">
        <is>
          <t>Auriculares Inalámbricos TWS - Ideales para Usuarios Android e iPhone, Entusiastas del Deporte &amp; Música, Controles Táctiles, Audífonos Para Correr y Jugar</t>
        </is>
      </c>
      <c r="H161" s="16" t="inlineStr">
        <is>
          <t>Blanco</t>
        </is>
      </c>
      <c r="I161" s="16" t="n">
        <v>5</v>
      </c>
      <c r="J161" s="17" t="n">
        <v>224</v>
      </c>
      <c r="K161" s="17" t="n">
        <v>243.92</v>
      </c>
      <c r="L161" s="17" t="n">
        <v>0</v>
      </c>
      <c r="M161" s="17" t="n">
        <v>0</v>
      </c>
      <c r="N161" s="17">
        <f>K161*0.08+L161*0.08</f>
        <v/>
      </c>
      <c r="O161" s="17">
        <f>-(K161*0.025+L161*0.025)</f>
        <v/>
      </c>
      <c r="P161" s="17">
        <f>32</f>
        <v/>
      </c>
      <c r="Q161" s="17">
        <f>J161+L161+N161+O161-P161-M161</f>
        <v/>
      </c>
    </row>
    <row r="162">
      <c r="A162" s="16" t="inlineStr">
        <is>
          <t>5.1-5.7</t>
        </is>
      </c>
      <c r="B162" s="16" t="inlineStr">
        <is>
          <t>PO-128-19362201447033921</t>
        </is>
      </c>
      <c r="C162" s="16" t="inlineStr">
        <is>
          <t>Delivered</t>
        </is>
      </c>
      <c r="D162" s="16" t="inlineStr">
        <is>
          <t>128-19362222418553921</t>
        </is>
      </c>
      <c r="E162" s="16" t="inlineStr">
        <is>
          <t>Delivered</t>
        </is>
      </c>
      <c r="F162" s="16" t="inlineStr">
        <is>
          <t>LV54W25</t>
        </is>
      </c>
      <c r="G162" s="16" t="inlineStr">
        <is>
          <t>TIANLAI Lámpara Ventilador E27 2 en 1, Silenciosa, LED Alta Luminosidad 180°, Instalación Rápida, Ahorro Energético para Dormitorio y Interiores Pequeños</t>
        </is>
      </c>
      <c r="H162" s="16" t="inlineStr">
        <is>
          <t>1 Pieza</t>
        </is>
      </c>
      <c r="I162" s="16" t="n">
        <v>3</v>
      </c>
      <c r="J162" s="17" t="n">
        <v>237</v>
      </c>
      <c r="K162" s="17" t="n">
        <v>248.19</v>
      </c>
      <c r="L162" s="17" t="n">
        <v>0</v>
      </c>
      <c r="M162" s="17" t="n">
        <v>0</v>
      </c>
      <c r="N162" s="17">
        <f>K162*0.08+L162*0.08</f>
        <v/>
      </c>
      <c r="O162" s="17">
        <f>-(K162*0.025+L162*0.025)</f>
        <v/>
      </c>
      <c r="P162" s="17">
        <f>32</f>
        <v/>
      </c>
      <c r="Q162" s="17">
        <f>J162+L162+N162+O162-P162-M162</f>
        <v/>
      </c>
    </row>
    <row r="163">
      <c r="A163" s="16" t="inlineStr">
        <is>
          <t>5.1-5.7</t>
        </is>
      </c>
      <c r="B163" s="16" t="inlineStr">
        <is>
          <t>PO-128-19400316933753628</t>
        </is>
      </c>
      <c r="C163" s="16" t="inlineStr">
        <is>
          <t>Delivered</t>
        </is>
      </c>
      <c r="D163" s="16" t="inlineStr">
        <is>
          <t>128-19400295962233628</t>
        </is>
      </c>
      <c r="E163" s="16" t="inlineStr">
        <is>
          <t>Delivered</t>
        </is>
      </c>
      <c r="F163" s="16" t="inlineStr">
        <is>
          <t>LV64W25</t>
        </is>
      </c>
      <c r="G1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3" s="16" t="inlineStr">
        <is>
          <t>Blanco</t>
        </is>
      </c>
      <c r="I163" s="16" t="n">
        <v>2</v>
      </c>
      <c r="J163" s="17" t="n">
        <v>250</v>
      </c>
      <c r="K163" s="17" t="n">
        <v>247.22</v>
      </c>
      <c r="L163" s="17" t="n">
        <v>0</v>
      </c>
      <c r="M163" s="17" t="n">
        <v>0</v>
      </c>
      <c r="N163" s="17">
        <f>K163*0.08+L163*0.08</f>
        <v/>
      </c>
      <c r="O163" s="17">
        <f>-(K163*0.025+L163*0.025)</f>
        <v/>
      </c>
      <c r="P163" s="17">
        <f>32</f>
        <v/>
      </c>
      <c r="Q163" s="17">
        <f>J163+L163+N163+O163-P163-M163</f>
        <v/>
      </c>
    </row>
    <row r="164">
      <c r="A164" s="16" t="inlineStr">
        <is>
          <t>5.1-5.7</t>
        </is>
      </c>
      <c r="B164" s="16" t="inlineStr">
        <is>
          <t>PO-128-19473232579192299</t>
        </is>
      </c>
      <c r="C164" s="16" t="inlineStr">
        <is>
          <t>Delivered</t>
        </is>
      </c>
      <c r="D164" s="16" t="inlineStr">
        <is>
          <t>128-19473312533112299</t>
        </is>
      </c>
      <c r="E164" s="16" t="inlineStr">
        <is>
          <t>Delivered</t>
        </is>
      </c>
      <c r="F164" s="16" t="inlineStr">
        <is>
          <t>LV64W25</t>
        </is>
      </c>
      <c r="G1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4" s="16" t="inlineStr">
        <is>
          <t>Blanco</t>
        </is>
      </c>
      <c r="I164" s="16" t="n">
        <v>2</v>
      </c>
      <c r="J164" s="17" t="n">
        <v>250</v>
      </c>
      <c r="K164" s="17" t="n">
        <v>273.67</v>
      </c>
      <c r="L164" s="17" t="n">
        <v>0</v>
      </c>
      <c r="M164" s="17" t="n">
        <v>143.28</v>
      </c>
      <c r="N164" s="17">
        <f>K164*0.08+L164*0.08</f>
        <v/>
      </c>
      <c r="O164" s="17">
        <f>-(K164*0.025+L164*0.025)</f>
        <v/>
      </c>
      <c r="P164" s="17">
        <f>32</f>
        <v/>
      </c>
      <c r="Q164" s="17">
        <f>J164+L164+N164+O164-P164-M164</f>
        <v/>
      </c>
    </row>
    <row r="165">
      <c r="A165" s="16" t="inlineStr">
        <is>
          <t>5.1-5.7</t>
        </is>
      </c>
      <c r="B165" s="16" t="inlineStr">
        <is>
          <t>PO-128-19628113285751182</t>
        </is>
      </c>
      <c r="C165" s="16" t="inlineStr">
        <is>
          <t>Delivered</t>
        </is>
      </c>
      <c r="D165" s="16" t="inlineStr">
        <is>
          <t>128-19628134257271182</t>
        </is>
      </c>
      <c r="E165" s="16" t="inlineStr">
        <is>
          <t>Delivered</t>
        </is>
      </c>
      <c r="F165" s="16" t="inlineStr">
        <is>
          <t>BSC07</t>
        </is>
      </c>
      <c r="G165" s="16" t="inlineStr">
        <is>
          <t>TIANLAI Báscula Digital BSC04/BSC07, Alta Precisión, Fácil Operación, Ligera y Portátil, Función Tara, Unidad Dual oz/g, Ideal para Cocina, Control de Porciones, Sellos y Objetos Pequeños, Uso en Hogar y Viaje</t>
        </is>
      </c>
      <c r="H165" s="16" t="inlineStr">
        <is>
          <t>1g/White</t>
        </is>
      </c>
      <c r="I165" s="16" t="n">
        <v>1</v>
      </c>
      <c r="J165" s="17" t="n">
        <v>44</v>
      </c>
      <c r="K165" s="17" t="n">
        <v>4.49</v>
      </c>
      <c r="L165" s="17" t="n">
        <v>25.86</v>
      </c>
      <c r="M165" s="17" t="n">
        <v>0.73</v>
      </c>
      <c r="N165" s="17">
        <f>K165*0.08+L165*0.08</f>
        <v/>
      </c>
      <c r="O165" s="17">
        <f>-(K165*0.025+L165*0.025)</f>
        <v/>
      </c>
      <c r="P165" s="17">
        <f>32</f>
        <v/>
      </c>
      <c r="Q165" s="17">
        <f>J165+L165+N165+O165-P165-M165</f>
        <v/>
      </c>
    </row>
    <row r="166">
      <c r="A166" s="16" t="inlineStr">
        <is>
          <t>5.1-5.7</t>
        </is>
      </c>
      <c r="B166" s="16" t="inlineStr">
        <is>
          <t>PO-128-19543756216952711</t>
        </is>
      </c>
      <c r="C166" s="16" t="inlineStr">
        <is>
          <t>Delivered</t>
        </is>
      </c>
      <c r="D166" s="16" t="inlineStr">
        <is>
          <t>128-19543771945592711</t>
        </is>
      </c>
      <c r="E166" s="16" t="inlineStr">
        <is>
          <t>Delivered</t>
        </is>
      </c>
      <c r="F166" s="16" t="inlineStr">
        <is>
          <t>KTS-2031</t>
        </is>
      </c>
      <c r="G166" s="16" t="inlineStr">
        <is>
          <t>Bocina inalámbrica de 3 pulgadas con linterna multifuncional y panel solar integrado.Altavoz Portátil con Linterna LED 4 Modos, Radio FM, Bluetooth, Carga Solar, Ideal para Apagones, Emergencias, Campo y Exteriores</t>
        </is>
      </c>
      <c r="H166" s="16" t="inlineStr">
        <is>
          <t>NEGRO</t>
        </is>
      </c>
      <c r="I166" s="16" t="n">
        <v>2</v>
      </c>
      <c r="J166" s="17" t="n">
        <v>150</v>
      </c>
      <c r="K166" s="17" t="n">
        <v>168.46</v>
      </c>
      <c r="L166" s="17" t="n">
        <v>25.86</v>
      </c>
      <c r="M166" s="17" t="n">
        <v>0</v>
      </c>
      <c r="N166" s="17">
        <f>K166*0.08+L166*0.08</f>
        <v/>
      </c>
      <c r="O166" s="17">
        <f>-(K166*0.025+L166*0.025)</f>
        <v/>
      </c>
      <c r="P166" s="17">
        <f>32</f>
        <v/>
      </c>
      <c r="Q166" s="17">
        <f>J166+L166+N166+O166-P166-M166</f>
        <v/>
      </c>
    </row>
    <row r="167">
      <c r="A167" s="16" t="inlineStr">
        <is>
          <t>5.1-5.7</t>
        </is>
      </c>
      <c r="B167" s="16" t="inlineStr">
        <is>
          <t>PO-128-19638967194231247</t>
        </is>
      </c>
      <c r="C167" s="16" t="inlineStr">
        <is>
          <t>Delivered</t>
        </is>
      </c>
      <c r="D167" s="16" t="inlineStr">
        <is>
          <t>128-19639009137271247</t>
        </is>
      </c>
      <c r="E167" s="16" t="inlineStr">
        <is>
          <t>Delivered</t>
        </is>
      </c>
      <c r="F167" s="16" t="inlineStr">
        <is>
          <t>BSC04</t>
        </is>
      </c>
      <c r="G167" s="16" t="inlineStr">
        <is>
          <t>TIANLAI Báscula Digital BSC04/BSC07, Alta Precisión, Fácil Operación, Ligera y Portátil, Función Tara, Unidad Dual oz/g, Ideal para Cocina, Control de Porciones, Sellos y Objetos Pequeños, Uso en Hogar y Viaje</t>
        </is>
      </c>
      <c r="H167" s="16" t="inlineStr">
        <is>
          <t>5g/White</t>
        </is>
      </c>
      <c r="I167" s="16" t="n">
        <v>1</v>
      </c>
      <c r="J167" s="17" t="n">
        <v>57.2</v>
      </c>
      <c r="K167" s="17" t="n">
        <v>73.51000000000001</v>
      </c>
      <c r="L167" s="17" t="n">
        <v>25.86</v>
      </c>
      <c r="M167" s="17" t="n">
        <v>0</v>
      </c>
      <c r="N167" s="17">
        <f>K167*0.08+L167*0.08</f>
        <v/>
      </c>
      <c r="O167" s="17">
        <f>-(K167*0.025+L167*0.025)</f>
        <v/>
      </c>
      <c r="P167" s="17">
        <f>32</f>
        <v/>
      </c>
      <c r="Q167" s="17">
        <f>J167+L167+N167+O167-P167-M167</f>
        <v/>
      </c>
    </row>
    <row r="168">
      <c r="A168" s="16" t="inlineStr">
        <is>
          <t>5.1-5.7</t>
        </is>
      </c>
      <c r="B168" s="16" t="inlineStr">
        <is>
          <t>PO-128-19276146703993408</t>
        </is>
      </c>
      <c r="C168" s="16" t="inlineStr">
        <is>
          <t>Delivered</t>
        </is>
      </c>
      <c r="D168" s="16" t="inlineStr">
        <is>
          <t>128-19276104760953408</t>
        </is>
      </c>
      <c r="E168" s="16" t="inlineStr">
        <is>
          <t>Delivered</t>
        </is>
      </c>
      <c r="F168" s="16" t="inlineStr">
        <is>
          <t>LV64W25</t>
        </is>
      </c>
      <c r="G1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 s="16" t="inlineStr">
        <is>
          <t>Blanco</t>
        </is>
      </c>
      <c r="I168" s="16" t="n">
        <v>2</v>
      </c>
      <c r="J168" s="17" t="n">
        <v>250</v>
      </c>
      <c r="K168" s="17" t="n">
        <v>257.9</v>
      </c>
      <c r="L168" s="17" t="n">
        <v>0</v>
      </c>
      <c r="M168" s="17" t="n">
        <v>0</v>
      </c>
      <c r="N168" s="17">
        <f>K168*0.08+L168*0.08</f>
        <v/>
      </c>
      <c r="O168" s="17">
        <f>-(K168*0.025+L168*0.025)</f>
        <v/>
      </c>
      <c r="P168" s="17">
        <f>32</f>
        <v/>
      </c>
      <c r="Q168" s="17">
        <f>J168+L168+N168+O168-P168-M168</f>
        <v/>
      </c>
    </row>
    <row r="169">
      <c r="A169" s="16" t="inlineStr">
        <is>
          <t>5.1-5.7</t>
        </is>
      </c>
      <c r="B169" s="16" t="inlineStr">
        <is>
          <t>PO-128-19487622702712085</t>
        </is>
      </c>
      <c r="C169" s="16" t="inlineStr">
        <is>
          <t>Delivered</t>
        </is>
      </c>
      <c r="D169" s="16" t="inlineStr">
        <is>
          <t>128-19487617459832085</t>
        </is>
      </c>
      <c r="E169" s="16" t="inlineStr">
        <is>
          <t>Delivered</t>
        </is>
      </c>
      <c r="F169" s="16" t="inlineStr">
        <is>
          <t>LV54W25</t>
        </is>
      </c>
      <c r="G169" s="16" t="inlineStr">
        <is>
          <t>TIANLAI Lámpara Ventilador E27 2 en 1, Silenciosa, LED Alta Luminosidad 180°, Instalación Rápida, Ahorro Energético para Dormitorio y Interiores Pequeños</t>
        </is>
      </c>
      <c r="H169" s="16" t="inlineStr">
        <is>
          <t>1 Pieza</t>
        </is>
      </c>
      <c r="I169" s="16" t="n">
        <v>1</v>
      </c>
      <c r="J169" s="17" t="n">
        <v>79</v>
      </c>
      <c r="K169" s="17" t="n">
        <v>82.73</v>
      </c>
      <c r="L169" s="17" t="n">
        <v>25.86</v>
      </c>
      <c r="M169" s="17" t="n">
        <v>0</v>
      </c>
      <c r="N169" s="17">
        <f>K169*0.08+L169*0.08</f>
        <v/>
      </c>
      <c r="O169" s="17">
        <f>-(K169*0.025+L169*0.025)</f>
        <v/>
      </c>
      <c r="P169" s="17">
        <f>32</f>
        <v/>
      </c>
      <c r="Q169" s="17">
        <f>J169+L169+N169+O169-P169-M169</f>
        <v/>
      </c>
    </row>
    <row r="170">
      <c r="A170" s="16" t="inlineStr">
        <is>
          <t>5.1-5.7</t>
        </is>
      </c>
      <c r="B170" s="16" t="inlineStr">
        <is>
          <t>PO-128-19341636040314043</t>
        </is>
      </c>
      <c r="C170" s="16" t="inlineStr">
        <is>
          <t>Delivered</t>
        </is>
      </c>
      <c r="D170" s="16" t="inlineStr">
        <is>
          <t>128-19341632108154043</t>
        </is>
      </c>
      <c r="E170" s="16" t="inlineStr">
        <is>
          <t>Delivered</t>
        </is>
      </c>
      <c r="F170" s="16" t="inlineStr">
        <is>
          <t>LV54W25</t>
        </is>
      </c>
      <c r="G170" s="16" t="inlineStr">
        <is>
          <t>TIANLAI Lámpara Ventilador E27 2 en 1, Silenciosa, LED Alta Luminosidad 180°, Instalación Rápida, Ahorro Energético para Dormitorio y Interiores Pequeños</t>
        </is>
      </c>
      <c r="H170" s="16" t="inlineStr">
        <is>
          <t>1 Pieza</t>
        </is>
      </c>
      <c r="I170" s="16" t="n">
        <v>2</v>
      </c>
      <c r="J170" s="17" t="n">
        <v>158</v>
      </c>
      <c r="K170" s="17" t="n">
        <v>165.46</v>
      </c>
      <c r="L170" s="17" t="n">
        <v>25.86</v>
      </c>
      <c r="M170" s="17" t="n">
        <v>0</v>
      </c>
      <c r="N170" s="17">
        <f>K170*0.08+L170*0.08</f>
        <v/>
      </c>
      <c r="O170" s="17">
        <f>-(K170*0.025+L170*0.025)</f>
        <v/>
      </c>
      <c r="P170" s="17">
        <f>32</f>
        <v/>
      </c>
      <c r="Q170" s="17">
        <f>J170+L170+N170+O170-P170-M170</f>
        <v/>
      </c>
    </row>
    <row r="171">
      <c r="A171" s="16" t="inlineStr">
        <is>
          <t>5.1-5.7</t>
        </is>
      </c>
      <c r="B171" s="16" t="inlineStr">
        <is>
          <t>PO-128-19328991130233991</t>
        </is>
      </c>
      <c r="C171" s="16" t="inlineStr">
        <is>
          <t>Delivered</t>
        </is>
      </c>
      <c r="D171" s="16" t="inlineStr">
        <is>
          <t>128-19329008169593991</t>
        </is>
      </c>
      <c r="E171" s="16" t="inlineStr">
        <is>
          <t>Delivered</t>
        </is>
      </c>
      <c r="F171" s="16" t="inlineStr">
        <is>
          <t>LV64W25</t>
        </is>
      </c>
      <c r="G1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1" s="16" t="inlineStr">
        <is>
          <t>Blanco</t>
        </is>
      </c>
      <c r="I171" s="16" t="n">
        <v>1</v>
      </c>
      <c r="J171" s="17" t="n">
        <v>125</v>
      </c>
      <c r="K171" s="17" t="n">
        <v>103.16</v>
      </c>
      <c r="L171" s="17" t="n">
        <v>16.22</v>
      </c>
      <c r="M171" s="17" t="n">
        <v>0</v>
      </c>
      <c r="N171" s="17">
        <f>K171*0.08+L171*0.08</f>
        <v/>
      </c>
      <c r="O171" s="17">
        <f>-(K171*0.025+L171*0.025)</f>
        <v/>
      </c>
      <c r="P171" s="17">
        <f>32</f>
        <v/>
      </c>
      <c r="Q171" s="17">
        <f>J171+L171+N171+O171-P171-M171</f>
        <v/>
      </c>
    </row>
    <row r="172">
      <c r="A172" s="16" t="inlineStr">
        <is>
          <t>5.1-5.7</t>
        </is>
      </c>
      <c r="B172" s="16" t="inlineStr">
        <is>
          <t>PO-128-19328991130233991</t>
        </is>
      </c>
      <c r="C172" s="16" t="inlineStr">
        <is>
          <t>Delivered</t>
        </is>
      </c>
      <c r="D172" s="16" t="inlineStr">
        <is>
          <t>128-19329029141113991</t>
        </is>
      </c>
      <c r="E172" s="16" t="inlineStr">
        <is>
          <t>Delivered</t>
        </is>
      </c>
      <c r="F172" s="16" t="inlineStr">
        <is>
          <t>B03W10-10PZS</t>
        </is>
      </c>
      <c r="G17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2" s="16" t="inlineStr">
        <is>
          <t>B03W10</t>
        </is>
      </c>
      <c r="I172" s="16" t="n">
        <v>1</v>
      </c>
      <c r="J172" s="17" t="n">
        <v>70</v>
      </c>
      <c r="K172" s="17" t="n">
        <v>61.31</v>
      </c>
      <c r="L172" s="17" t="n">
        <v>9.640000000000001</v>
      </c>
      <c r="M172" s="17" t="n">
        <v>0</v>
      </c>
      <c r="N172" s="17">
        <f>K172*0.08+L172*0.08</f>
        <v/>
      </c>
      <c r="O172" s="17">
        <f>-(K172*0.025+L172*0.025)</f>
        <v/>
      </c>
      <c r="P172" s="17">
        <f>32</f>
        <v/>
      </c>
      <c r="Q172" s="17">
        <f>J172+L172+N172+O172-P172-M172</f>
        <v/>
      </c>
    </row>
    <row r="173">
      <c r="A173" s="16" t="inlineStr">
        <is>
          <t>5.1-5.7</t>
        </is>
      </c>
      <c r="B173" s="16" t="inlineStr">
        <is>
          <t>PO-128-19764991795830430</t>
        </is>
      </c>
      <c r="C173" s="16" t="inlineStr">
        <is>
          <t>Delivered</t>
        </is>
      </c>
      <c r="D173" s="16" t="inlineStr">
        <is>
          <t>128-19765059953270430</t>
        </is>
      </c>
      <c r="E173" s="16" t="inlineStr">
        <is>
          <t>Delivered</t>
        </is>
      </c>
      <c r="F173" s="16" t="inlineStr">
        <is>
          <t>LV64W25</t>
        </is>
      </c>
      <c r="G1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3" s="16" t="inlineStr">
        <is>
          <t>Blanco</t>
        </is>
      </c>
      <c r="I173" s="16" t="n">
        <v>3</v>
      </c>
      <c r="J173" s="17" t="n">
        <v>375</v>
      </c>
      <c r="K173" s="17" t="n">
        <v>391.17</v>
      </c>
      <c r="L173" s="17" t="n">
        <v>0</v>
      </c>
      <c r="M173" s="17" t="n">
        <v>0</v>
      </c>
      <c r="N173" s="17">
        <f>K173*0.08+L173*0.08</f>
        <v/>
      </c>
      <c r="O173" s="17">
        <f>-(K173*0.025+L173*0.025)</f>
        <v/>
      </c>
      <c r="P173" s="17">
        <f>32</f>
        <v/>
      </c>
      <c r="Q173" s="17">
        <f>J173+L173+N173+O173-P173-M173</f>
        <v/>
      </c>
    </row>
    <row r="174">
      <c r="A174" s="16" t="inlineStr">
        <is>
          <t>5.1-5.7</t>
        </is>
      </c>
      <c r="B174" s="16" t="inlineStr">
        <is>
          <t>PO-128-19621207061111353</t>
        </is>
      </c>
      <c r="C174" s="16" t="inlineStr">
        <is>
          <t>Delivered</t>
        </is>
      </c>
      <c r="D174" s="16" t="inlineStr">
        <is>
          <t>128-19621288981111353</t>
        </is>
      </c>
      <c r="E174" s="16" t="inlineStr">
        <is>
          <t>Delivered</t>
        </is>
      </c>
      <c r="F174" s="16" t="inlineStr">
        <is>
          <t>LV64W25</t>
        </is>
      </c>
      <c r="G1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4" s="16" t="inlineStr">
        <is>
          <t>Blanco</t>
        </is>
      </c>
      <c r="I174" s="16" t="n">
        <v>4</v>
      </c>
      <c r="J174" s="17" t="n">
        <v>500</v>
      </c>
      <c r="K174" s="17" t="n">
        <v>443.33</v>
      </c>
      <c r="L174" s="17" t="n">
        <v>0</v>
      </c>
      <c r="M174" s="17" t="n">
        <v>0</v>
      </c>
      <c r="N174" s="17">
        <f>K174*0.08+L174*0.08</f>
        <v/>
      </c>
      <c r="O174" s="17">
        <f>-(K174*0.025+L174*0.025)</f>
        <v/>
      </c>
      <c r="P174" s="17">
        <f>32</f>
        <v/>
      </c>
      <c r="Q174" s="17">
        <f>J174+L174+N174+O174-P174-M174</f>
        <v/>
      </c>
    </row>
    <row r="175">
      <c r="A175" s="16" t="inlineStr">
        <is>
          <t>5.1-5.7</t>
        </is>
      </c>
      <c r="B175" s="16" t="inlineStr">
        <is>
          <t>PO-128-19904770765430751</t>
        </is>
      </c>
      <c r="C175" s="16" t="inlineStr">
        <is>
          <t>Delivered</t>
        </is>
      </c>
      <c r="D175" s="16" t="inlineStr">
        <is>
          <t>128-19904791736950751</t>
        </is>
      </c>
      <c r="E175" s="16" t="inlineStr">
        <is>
          <t>Delivered</t>
        </is>
      </c>
      <c r="F175" s="16" t="inlineStr">
        <is>
          <t>LV64W25</t>
        </is>
      </c>
      <c r="G1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5" s="16" t="inlineStr">
        <is>
          <t>Blanco</t>
        </is>
      </c>
      <c r="I175" s="16" t="n">
        <v>3</v>
      </c>
      <c r="J175" s="17" t="n">
        <v>375</v>
      </c>
      <c r="K175" s="17" t="n">
        <v>386.85</v>
      </c>
      <c r="L175" s="17" t="n">
        <v>0</v>
      </c>
      <c r="M175" s="17" t="n">
        <v>0</v>
      </c>
      <c r="N175" s="17">
        <f>K175*0.08+L175*0.08</f>
        <v/>
      </c>
      <c r="O175" s="17">
        <f>-(K175*0.025+L175*0.025)</f>
        <v/>
      </c>
      <c r="P175" s="17">
        <f>32</f>
        <v/>
      </c>
      <c r="Q175" s="17">
        <f>J175+L175+N175+O175-P175-M175</f>
        <v/>
      </c>
    </row>
    <row r="176">
      <c r="A176" s="16" t="inlineStr">
        <is>
          <t>5.1-5.7</t>
        </is>
      </c>
      <c r="B176" s="16" t="inlineStr">
        <is>
          <t>PO-128-19314216028793119</t>
        </is>
      </c>
      <c r="C176" s="16" t="inlineStr">
        <is>
          <t>Delivered</t>
        </is>
      </c>
      <c r="D176" s="16" t="inlineStr">
        <is>
          <t>128-19314237000313119</t>
        </is>
      </c>
      <c r="E176" s="16" t="inlineStr">
        <is>
          <t>Delivered</t>
        </is>
      </c>
      <c r="F176" s="16" t="inlineStr">
        <is>
          <t>LV64W25</t>
        </is>
      </c>
      <c r="G1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 s="16" t="inlineStr">
        <is>
          <t>Blanco</t>
        </is>
      </c>
      <c r="I176" s="16" t="n">
        <v>1</v>
      </c>
      <c r="J176" s="17" t="n">
        <v>125</v>
      </c>
      <c r="K176" s="17" t="n">
        <v>143.28</v>
      </c>
      <c r="L176" s="17" t="n">
        <v>25.86</v>
      </c>
      <c r="M176" s="17" t="n">
        <v>0</v>
      </c>
      <c r="N176" s="17">
        <f>K176*0.08+L176*0.08</f>
        <v/>
      </c>
      <c r="O176" s="17">
        <f>-(K176*0.025+L176*0.025)</f>
        <v/>
      </c>
      <c r="P176" s="17">
        <f>32</f>
        <v/>
      </c>
      <c r="Q176" s="17">
        <f>J176+L176+N176+O176-P176-M176</f>
        <v/>
      </c>
    </row>
    <row r="177">
      <c r="A177" s="16" t="inlineStr">
        <is>
          <t>5.1-5.7</t>
        </is>
      </c>
      <c r="B177" s="16" t="inlineStr">
        <is>
          <t>PO-128-19862864384631001</t>
        </is>
      </c>
      <c r="C177" s="16" t="inlineStr">
        <is>
          <t>Delivered</t>
        </is>
      </c>
      <c r="D177" s="16" t="inlineStr">
        <is>
          <t>128-19862822441591001</t>
        </is>
      </c>
      <c r="E177" s="16" t="inlineStr">
        <is>
          <t>Delivered</t>
        </is>
      </c>
      <c r="F177" s="16" t="inlineStr">
        <is>
          <t>LV54W25</t>
        </is>
      </c>
      <c r="G177" s="16" t="inlineStr">
        <is>
          <t>TIANLAI Lámpara Ventilador E27 2 en 1, Silenciosa, LED Alta Luminosidad 180°, Instalación Rápida, Ahorro Energético para Dormitorio y Interiores Pequeños</t>
        </is>
      </c>
      <c r="H177" s="16" t="inlineStr">
        <is>
          <t>1 Pieza</t>
        </is>
      </c>
      <c r="I177" s="16" t="n">
        <v>3</v>
      </c>
      <c r="J177" s="17" t="n">
        <v>237</v>
      </c>
      <c r="K177" s="17" t="n">
        <v>210.96</v>
      </c>
      <c r="L177" s="17" t="n">
        <v>0</v>
      </c>
      <c r="M177" s="17" t="n">
        <v>0</v>
      </c>
      <c r="N177" s="17">
        <f>K177*0.08+L177*0.08</f>
        <v/>
      </c>
      <c r="O177" s="17">
        <f>-(K177*0.025+L177*0.025)</f>
        <v/>
      </c>
      <c r="P177" s="17">
        <f>32</f>
        <v/>
      </c>
      <c r="Q177" s="17">
        <f>J177+L177+N177+O177-P177-M177</f>
        <v/>
      </c>
    </row>
    <row r="178">
      <c r="A178" s="16" t="inlineStr">
        <is>
          <t>5.1-5.7</t>
        </is>
      </c>
      <c r="B178" s="16" t="inlineStr">
        <is>
          <t>PO-128-19321684818553136</t>
        </is>
      </c>
      <c r="C178" s="16" t="inlineStr">
        <is>
          <t>Delivered</t>
        </is>
      </c>
      <c r="D178" s="16" t="inlineStr">
        <is>
          <t>128-19321674332793136</t>
        </is>
      </c>
      <c r="E178" s="16" t="inlineStr">
        <is>
          <t>Delivered</t>
        </is>
      </c>
      <c r="F178" s="16" t="inlineStr">
        <is>
          <t>KTS-1936</t>
        </is>
      </c>
      <c r="G178" s="16" t="inlineStr">
        <is>
          <t>Espejo con Luz para Makeup，Espejo con Luz LED y Bocina Bluetooth，Espejo para Maquillaje con Aumentos y Luces LED de Intensidad Ajustable，Lente de Aumento 10X+Reproductor TF+ TWS，espejo de portátil y para estudiantes, oficina, dormitorio, mejor regalo</t>
        </is>
      </c>
      <c r="H178" s="16" t="inlineStr">
        <is>
          <t>BLANCO</t>
        </is>
      </c>
      <c r="I178" s="16" t="n">
        <v>1</v>
      </c>
      <c r="J178" s="17" t="n">
        <v>217.75</v>
      </c>
      <c r="K178" s="17" t="n">
        <v>245.6</v>
      </c>
      <c r="L178" s="17" t="n">
        <v>25.86</v>
      </c>
      <c r="M178" s="17" t="n">
        <v>0</v>
      </c>
      <c r="N178" s="17">
        <f>K178*0.08+L178*0.08</f>
        <v/>
      </c>
      <c r="O178" s="17">
        <f>-(K178*0.025+L178*0.025)</f>
        <v/>
      </c>
      <c r="P178" s="17">
        <f>32</f>
        <v/>
      </c>
      <c r="Q178" s="17">
        <f>J178+L178+N178+O178-P178-M178</f>
        <v/>
      </c>
    </row>
    <row r="179">
      <c r="A179" s="16" t="inlineStr">
        <is>
          <t>5.1-5.7</t>
        </is>
      </c>
      <c r="B179" s="16" t="inlineStr">
        <is>
          <t>PO-128-19817818634870245</t>
        </is>
      </c>
      <c r="C179" s="16" t="inlineStr">
        <is>
          <t>Delivered</t>
        </is>
      </c>
      <c r="D179" s="16" t="inlineStr">
        <is>
          <t>128-19817776691830245</t>
        </is>
      </c>
      <c r="E179" s="16" t="inlineStr">
        <is>
          <t>Delivered</t>
        </is>
      </c>
      <c r="F179" s="16" t="inlineStr">
        <is>
          <t>LV64W25</t>
        </is>
      </c>
      <c r="G1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 s="16" t="inlineStr">
        <is>
          <t>Blanco</t>
        </is>
      </c>
      <c r="I179" s="16" t="n">
        <v>1</v>
      </c>
      <c r="J179" s="17" t="n">
        <v>125</v>
      </c>
      <c r="K179" s="17" t="n">
        <v>130.39</v>
      </c>
      <c r="L179" s="17" t="n">
        <v>25.86</v>
      </c>
      <c r="M179" s="17" t="n">
        <v>0</v>
      </c>
      <c r="N179" s="17">
        <f>K179*0.08+L179*0.08</f>
        <v/>
      </c>
      <c r="O179" s="17">
        <f>-(K179*0.025+L179*0.025)</f>
        <v/>
      </c>
      <c r="P179" s="17">
        <f>32</f>
        <v/>
      </c>
      <c r="Q179" s="17">
        <f>J179+L179+N179+O179-P179-M179</f>
        <v/>
      </c>
    </row>
    <row r="180">
      <c r="A180" s="16" t="inlineStr">
        <is>
          <t>5.1-5.7</t>
        </is>
      </c>
      <c r="B180" s="16" t="inlineStr">
        <is>
          <t>PO-128-19494706852472171</t>
        </is>
      </c>
      <c r="C180" s="16" t="inlineStr">
        <is>
          <t>Delivered</t>
        </is>
      </c>
      <c r="D180" s="16" t="inlineStr">
        <is>
          <t>128-19494694400632171</t>
        </is>
      </c>
      <c r="E180" s="16" t="inlineStr">
        <is>
          <t>Delivered</t>
        </is>
      </c>
      <c r="F180" s="16" t="inlineStr">
        <is>
          <t>KTS-2031</t>
        </is>
      </c>
      <c r="G180" s="16" t="inlineStr">
        <is>
          <t>Bocina inalámbrica de 3 pulgadas con linterna multifuncional y panel solar integrado.Altavoz Portátil con Linterna LED 4 Modos, Radio FM, Bluetooth, Carga Solar, Ideal para Apagones, Emergencias, Campo y Exteriores</t>
        </is>
      </c>
      <c r="H180" s="16" t="inlineStr">
        <is>
          <t>NEGRO</t>
        </is>
      </c>
      <c r="I180" s="16" t="n">
        <v>1</v>
      </c>
      <c r="J180" s="17" t="n">
        <v>75</v>
      </c>
      <c r="K180" s="17" t="n">
        <v>84.23</v>
      </c>
      <c r="L180" s="17" t="n">
        <v>25.86</v>
      </c>
      <c r="M180" s="17" t="n">
        <v>0</v>
      </c>
      <c r="N180" s="17">
        <f>K180*0.08+L180*0.08</f>
        <v/>
      </c>
      <c r="O180" s="17">
        <f>-(K180*0.025+L180*0.025)</f>
        <v/>
      </c>
      <c r="P180" s="17">
        <f>32</f>
        <v/>
      </c>
      <c r="Q180" s="17">
        <f>J180+L180+N180+O180-P180-M180</f>
        <v/>
      </c>
    </row>
    <row r="181">
      <c r="A181" s="16" t="inlineStr">
        <is>
          <t>5.1-5.7</t>
        </is>
      </c>
      <c r="B181" s="16" t="inlineStr">
        <is>
          <t>PO-128-19330120315513982</t>
        </is>
      </c>
      <c r="C181" s="16" t="inlineStr">
        <is>
          <t>Delivered</t>
        </is>
      </c>
      <c r="D181" s="16" t="inlineStr">
        <is>
          <t>128-19330141287033982</t>
        </is>
      </c>
      <c r="E181" s="16" t="inlineStr">
        <is>
          <t>Delivered</t>
        </is>
      </c>
      <c r="F181" s="16" t="inlineStr">
        <is>
          <t>LV64W25</t>
        </is>
      </c>
      <c r="G1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1" s="16" t="inlineStr">
        <is>
          <t>Blanco</t>
        </is>
      </c>
      <c r="I181" s="16" t="n">
        <v>1</v>
      </c>
      <c r="J181" s="17" t="n">
        <v>125</v>
      </c>
      <c r="K181" s="17" t="n">
        <v>143.28</v>
      </c>
      <c r="L181" s="17" t="n">
        <v>25.86</v>
      </c>
      <c r="M181" s="17" t="n">
        <v>0</v>
      </c>
      <c r="N181" s="17">
        <f>K181*0.08+L181*0.08</f>
        <v/>
      </c>
      <c r="O181" s="17">
        <f>-(K181*0.025+L181*0.025)</f>
        <v/>
      </c>
      <c r="P181" s="17">
        <f>32</f>
        <v/>
      </c>
      <c r="Q181" s="17">
        <f>J181+L181+N181+O181-P181-M181</f>
        <v/>
      </c>
    </row>
    <row r="182">
      <c r="A182" s="16" t="inlineStr">
        <is>
          <t>5.1-5.7</t>
        </is>
      </c>
      <c r="B182" s="16" t="inlineStr">
        <is>
          <t>PO-128-19623312348791402</t>
        </is>
      </c>
      <c r="C182" s="16" t="inlineStr">
        <is>
          <t>Delivered</t>
        </is>
      </c>
      <c r="D182" s="16" t="inlineStr">
        <is>
          <t>128-19623338563191402</t>
        </is>
      </c>
      <c r="E182" s="16" t="inlineStr">
        <is>
          <t>Delivered</t>
        </is>
      </c>
      <c r="F182" s="16" t="inlineStr">
        <is>
          <t>LV64W25</t>
        </is>
      </c>
      <c r="G1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2" s="16" t="inlineStr">
        <is>
          <t>Blanco</t>
        </is>
      </c>
      <c r="I182" s="16" t="n">
        <v>1</v>
      </c>
      <c r="J182" s="17" t="n">
        <v>125</v>
      </c>
      <c r="K182" s="17" t="n">
        <v>128.95</v>
      </c>
      <c r="L182" s="17" t="n">
        <v>25.86</v>
      </c>
      <c r="M182" s="17" t="n">
        <v>0</v>
      </c>
      <c r="N182" s="17">
        <f>K182*0.08+L182*0.08</f>
        <v/>
      </c>
      <c r="O182" s="17">
        <f>-(K182*0.025+L182*0.025)</f>
        <v/>
      </c>
      <c r="P182" s="17">
        <f>32</f>
        <v/>
      </c>
      <c r="Q182" s="17">
        <f>J182+L182+N182+O182-P182-M182</f>
        <v/>
      </c>
    </row>
    <row r="183">
      <c r="A183" s="16" t="inlineStr">
        <is>
          <t>5.1-5.7</t>
        </is>
      </c>
      <c r="B183" s="16" t="inlineStr">
        <is>
          <t>PO-128-19902873196150760</t>
        </is>
      </c>
      <c r="C183" s="16" t="inlineStr">
        <is>
          <t>Delivered</t>
        </is>
      </c>
      <c r="D183" s="16" t="inlineStr">
        <is>
          <t>128-19902846981750760</t>
        </is>
      </c>
      <c r="E183" s="16" t="inlineStr">
        <is>
          <t>Delivered</t>
        </is>
      </c>
      <c r="F183" s="16" t="inlineStr">
        <is>
          <t>KTS-2031</t>
        </is>
      </c>
      <c r="G183" s="16" t="inlineStr">
        <is>
          <t>Bocina inalámbrica de 3 pulgadas con linterna multifuncional y panel solar integrado.Altavoz Portátil con Linterna LED 4 Modos, Radio FM, Bluetooth, Carga Solar, Ideal para Apagones, Emergencias, Campo y Exteriores</t>
        </is>
      </c>
      <c r="H183" s="16" t="inlineStr">
        <is>
          <t>NEGRO</t>
        </is>
      </c>
      <c r="I183" s="16" t="n">
        <v>1</v>
      </c>
      <c r="J183" s="17" t="n">
        <v>75</v>
      </c>
      <c r="K183" s="17" t="n">
        <v>76.55</v>
      </c>
      <c r="L183" s="17" t="n">
        <v>0</v>
      </c>
      <c r="M183" s="17" t="n">
        <v>0</v>
      </c>
      <c r="N183" s="17">
        <f>K183*0.08+L183*0.08</f>
        <v/>
      </c>
      <c r="O183" s="17">
        <f>-(K183*0.025+L183*0.025)</f>
        <v/>
      </c>
      <c r="P183" s="17">
        <f>32</f>
        <v/>
      </c>
      <c r="Q183" s="17">
        <f>J183+L183+N183+O183-P183-M183</f>
        <v/>
      </c>
    </row>
    <row r="184">
      <c r="A184" s="16" t="inlineStr">
        <is>
          <t>5.1-5.7</t>
        </is>
      </c>
      <c r="B184" s="16" t="inlineStr">
        <is>
          <t>PO-128-19902873196150760</t>
        </is>
      </c>
      <c r="C184" s="16" t="inlineStr">
        <is>
          <t>Delivered</t>
        </is>
      </c>
      <c r="D184" s="16" t="inlineStr">
        <is>
          <t>128-19902841738870760</t>
        </is>
      </c>
      <c r="E184" s="16" t="inlineStr">
        <is>
          <t>Delivered</t>
        </is>
      </c>
      <c r="F184" s="16" t="inlineStr">
        <is>
          <t>LV54W25</t>
        </is>
      </c>
      <c r="G184" s="16" t="inlineStr">
        <is>
          <t>TIANLAI Lámpara Ventilador E27 2 en 1, Silenciosa, LED Alta Luminosidad 180°, Instalación Rápida, Ahorro Energético para Dormitorio y Interiores Pequeños</t>
        </is>
      </c>
      <c r="H184" s="16" t="inlineStr">
        <is>
          <t>1 Pieza</t>
        </is>
      </c>
      <c r="I184" s="16" t="n">
        <v>2</v>
      </c>
      <c r="J184" s="17" t="n">
        <v>158</v>
      </c>
      <c r="K184" s="17" t="n">
        <v>150.39</v>
      </c>
      <c r="L184" s="17" t="n">
        <v>0</v>
      </c>
      <c r="M184" s="17" t="n">
        <v>0</v>
      </c>
      <c r="N184" s="17">
        <f>K184*0.08+L184*0.08</f>
        <v/>
      </c>
      <c r="O184" s="17">
        <f>-(K184*0.025+L184*0.025)</f>
        <v/>
      </c>
      <c r="P184" s="17">
        <f>32</f>
        <v/>
      </c>
      <c r="Q184" s="17">
        <f>J184+L184+N184+O184-P184-M184</f>
        <v/>
      </c>
    </row>
    <row r="185">
      <c r="A185" s="16" t="inlineStr">
        <is>
          <t>5.1-5.7</t>
        </is>
      </c>
      <c r="B185" s="16" t="inlineStr">
        <is>
          <t>PO-128-19572546872952603</t>
        </is>
      </c>
      <c r="C185" s="16" t="inlineStr">
        <is>
          <t>Delivered</t>
        </is>
      </c>
      <c r="D185" s="16" t="inlineStr">
        <is>
          <t>128-19572504929912603</t>
        </is>
      </c>
      <c r="E185" s="16" t="inlineStr">
        <is>
          <t>Delivered</t>
        </is>
      </c>
      <c r="F185" s="16" t="inlineStr">
        <is>
          <t>LV64W25</t>
        </is>
      </c>
      <c r="G1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5" s="16" t="inlineStr">
        <is>
          <t>Blanco</t>
        </is>
      </c>
      <c r="I185" s="16" t="n">
        <v>1</v>
      </c>
      <c r="J185" s="17" t="n">
        <v>125</v>
      </c>
      <c r="K185" s="17" t="n">
        <v>130.39</v>
      </c>
      <c r="L185" s="17" t="n">
        <v>25.86</v>
      </c>
      <c r="M185" s="17" t="n">
        <v>0</v>
      </c>
      <c r="N185" s="17">
        <f>K185*0.08+L185*0.08</f>
        <v/>
      </c>
      <c r="O185" s="17">
        <f>-(K185*0.025+L185*0.025)</f>
        <v/>
      </c>
      <c r="P185" s="17">
        <f>32</f>
        <v/>
      </c>
      <c r="Q185" s="17">
        <f>J185+L185+N185+O185-P185-M185</f>
        <v/>
      </c>
    </row>
    <row r="186">
      <c r="A186" s="16" t="inlineStr">
        <is>
          <t>5.1-5.7</t>
        </is>
      </c>
      <c r="B186" s="16" t="inlineStr">
        <is>
          <t>PO-128-19618501965431369</t>
        </is>
      </c>
      <c r="C186" s="16" t="inlineStr">
        <is>
          <t>Delivered</t>
        </is>
      </c>
      <c r="D186" s="16" t="inlineStr">
        <is>
          <t>128-19618543908471369</t>
        </is>
      </c>
      <c r="E186" s="16" t="inlineStr">
        <is>
          <t>Delivered</t>
        </is>
      </c>
      <c r="F186" s="16" t="inlineStr">
        <is>
          <t>LV64W25</t>
        </is>
      </c>
      <c r="G1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 s="16" t="inlineStr">
        <is>
          <t>Blanco</t>
        </is>
      </c>
      <c r="I186" s="16" t="n">
        <v>1</v>
      </c>
      <c r="J186" s="17" t="n">
        <v>125</v>
      </c>
      <c r="K186" s="17" t="n">
        <v>103.17</v>
      </c>
      <c r="L186" s="17" t="n">
        <v>25.86</v>
      </c>
      <c r="M186" s="17" t="n">
        <v>0</v>
      </c>
      <c r="N186" s="17">
        <f>K186*0.08+L186*0.08</f>
        <v/>
      </c>
      <c r="O186" s="17">
        <f>-(K186*0.025+L186*0.025)</f>
        <v/>
      </c>
      <c r="P186" s="17">
        <f>32</f>
        <v/>
      </c>
      <c r="Q186" s="17">
        <f>J186+L186+N186+O186-P186-M186</f>
        <v/>
      </c>
    </row>
    <row r="187">
      <c r="A187" s="16" t="inlineStr">
        <is>
          <t>5.1-5.7</t>
        </is>
      </c>
      <c r="B187" s="16" t="inlineStr">
        <is>
          <t>PO-128-19365987354233960</t>
        </is>
      </c>
      <c r="C187" s="16" t="inlineStr">
        <is>
          <t>Delivered</t>
        </is>
      </c>
      <c r="D187" s="16" t="inlineStr">
        <is>
          <t>128-19365979489913960</t>
        </is>
      </c>
      <c r="E187" s="16" t="inlineStr">
        <is>
          <t>Delivered</t>
        </is>
      </c>
      <c r="F187" s="16" t="inlineStr">
        <is>
          <t>LV64W25</t>
        </is>
      </c>
      <c r="G1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7" s="16" t="inlineStr">
        <is>
          <t>Blanco</t>
        </is>
      </c>
      <c r="I187" s="16" t="n">
        <v>1</v>
      </c>
      <c r="J187" s="17" t="n">
        <v>125</v>
      </c>
      <c r="K187" s="17" t="n">
        <v>130.39</v>
      </c>
      <c r="L187" s="17" t="n">
        <v>25.86</v>
      </c>
      <c r="M187" s="17" t="n">
        <v>0</v>
      </c>
      <c r="N187" s="17">
        <f>K187*0.08+L187*0.08</f>
        <v/>
      </c>
      <c r="O187" s="17">
        <f>-(K187*0.025+L187*0.025)</f>
        <v/>
      </c>
      <c r="P187" s="17">
        <f>32</f>
        <v/>
      </c>
      <c r="Q187" s="17">
        <f>J187+L187+N187+O187-P187-M187</f>
        <v/>
      </c>
    </row>
    <row r="188">
      <c r="A188" s="16" t="inlineStr">
        <is>
          <t>5.1-5.7</t>
        </is>
      </c>
      <c r="B188" s="16" t="inlineStr">
        <is>
          <t>PO-128-19243897493113472</t>
        </is>
      </c>
      <c r="C188" s="16" t="inlineStr">
        <is>
          <t>Delivered</t>
        </is>
      </c>
      <c r="D188" s="16" t="inlineStr">
        <is>
          <t>128-19243949921913472</t>
        </is>
      </c>
      <c r="E188" s="16" t="inlineStr">
        <is>
          <t>Delivered</t>
        </is>
      </c>
      <c r="F188" s="16" t="inlineStr">
        <is>
          <t>VA371T</t>
        </is>
      </c>
      <c r="G188" s="16" t="inlineStr">
        <is>
          <t>Linkbits Bocina Bluetooth Portátil 3" de Alta Gama，Hi-Res Audio y Graves Potentes，Luces LED + Soporte USB/TF/FM/TWS，Ideal para Hogar y Aire Libre</t>
        </is>
      </c>
      <c r="H188" s="16" t="inlineStr">
        <is>
          <t>VA371T</t>
        </is>
      </c>
      <c r="I188" s="16" t="n">
        <v>1</v>
      </c>
      <c r="J188" s="17" t="n">
        <v>45.8</v>
      </c>
      <c r="K188" s="17" t="n">
        <v>54.17</v>
      </c>
      <c r="L188" s="17" t="n">
        <v>0</v>
      </c>
      <c r="M188" s="17" t="n">
        <v>0</v>
      </c>
      <c r="N188" s="17">
        <f>K188*0.08+L188*0.08</f>
        <v/>
      </c>
      <c r="O188" s="17">
        <f>-(K188*0.025+L188*0.025)</f>
        <v/>
      </c>
      <c r="P188" s="17">
        <f>32</f>
        <v/>
      </c>
      <c r="Q188" s="17">
        <f>J188+L188+N188+O188-P188-M188</f>
        <v/>
      </c>
    </row>
    <row r="189">
      <c r="A189" s="16" t="inlineStr">
        <is>
          <t>5.1-5.7</t>
        </is>
      </c>
      <c r="B189" s="16" t="inlineStr">
        <is>
          <t>PO-128-19243897493113472</t>
        </is>
      </c>
      <c r="C189" s="16" t="inlineStr">
        <is>
          <t>Delivered</t>
        </is>
      </c>
      <c r="D189" s="16" t="inlineStr">
        <is>
          <t>128-19243866035833472</t>
        </is>
      </c>
      <c r="E189" s="16" t="inlineStr">
        <is>
          <t>Delivered</t>
        </is>
      </c>
      <c r="F189" s="16" t="inlineStr">
        <is>
          <t>LV64W25</t>
        </is>
      </c>
      <c r="G1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9" s="16" t="inlineStr">
        <is>
          <t>Blanco</t>
        </is>
      </c>
      <c r="I189" s="16" t="n">
        <v>1</v>
      </c>
      <c r="J189" s="17" t="n">
        <v>125</v>
      </c>
      <c r="K189" s="17" t="n">
        <v>128.95</v>
      </c>
      <c r="L189" s="17" t="n">
        <v>0</v>
      </c>
      <c r="M189" s="17" t="n">
        <v>0</v>
      </c>
      <c r="N189" s="17">
        <f>K189*0.08+L189*0.08</f>
        <v/>
      </c>
      <c r="O189" s="17">
        <f>-(K189*0.025+L189*0.025)</f>
        <v/>
      </c>
      <c r="P189" s="17">
        <f>32</f>
        <v/>
      </c>
      <c r="Q189" s="17">
        <f>J189+L189+N189+O189-P189-M189</f>
        <v/>
      </c>
    </row>
    <row r="190">
      <c r="A190" s="16" t="inlineStr">
        <is>
          <t>5.1-5.7</t>
        </is>
      </c>
      <c r="B190" s="16" t="inlineStr">
        <is>
          <t>PO-128-19243897493113472</t>
        </is>
      </c>
      <c r="C190" s="16" t="inlineStr">
        <is>
          <t>Delivered</t>
        </is>
      </c>
      <c r="D190" s="16" t="inlineStr">
        <is>
          <t>128-19243907978873472</t>
        </is>
      </c>
      <c r="E190" s="16" t="inlineStr">
        <is>
          <t>Delivered</t>
        </is>
      </c>
      <c r="F190" s="16" t="inlineStr">
        <is>
          <t>LV54W25</t>
        </is>
      </c>
      <c r="G190" s="16" t="inlineStr">
        <is>
          <t>TIANLAI Lámpara Ventilador E27 2 en 1, Silenciosa, LED Alta Luminosidad 180°, Instalación Rápida, Ahorro Energético para Dormitorio y Interiores Pequeños</t>
        </is>
      </c>
      <c r="H190" s="16" t="inlineStr">
        <is>
          <t>1 Pieza</t>
        </is>
      </c>
      <c r="I190" s="16" t="n">
        <v>1</v>
      </c>
      <c r="J190" s="17" t="n">
        <v>79</v>
      </c>
      <c r="K190" s="17" t="n">
        <v>82.73</v>
      </c>
      <c r="L190" s="17" t="n">
        <v>0</v>
      </c>
      <c r="M190" s="17" t="n">
        <v>0</v>
      </c>
      <c r="N190" s="17">
        <f>K190*0.08+L190*0.08</f>
        <v/>
      </c>
      <c r="O190" s="17">
        <f>-(K190*0.025+L190*0.025)</f>
        <v/>
      </c>
      <c r="P190" s="17">
        <f>32</f>
        <v/>
      </c>
      <c r="Q190" s="17">
        <f>J190+L190+N190+O190-P190-M190</f>
        <v/>
      </c>
    </row>
    <row r="191">
      <c r="A191" s="16" t="inlineStr">
        <is>
          <t>5.1-5.7</t>
        </is>
      </c>
      <c r="B191" s="16" t="inlineStr">
        <is>
          <t>PO-128-19556052357752765</t>
        </is>
      </c>
      <c r="C191" s="16" t="inlineStr">
        <is>
          <t>Delivered</t>
        </is>
      </c>
      <c r="D191" s="16" t="inlineStr">
        <is>
          <t>128-19556065464952765</t>
        </is>
      </c>
      <c r="E191" s="16" t="inlineStr">
        <is>
          <t>Delivered</t>
        </is>
      </c>
      <c r="F191" s="16" t="inlineStr">
        <is>
          <t>LV54W25</t>
        </is>
      </c>
      <c r="G191" s="16" t="inlineStr">
        <is>
          <t>TIANLAI Lámpara Ventilador E27 2 en 1, Silenciosa, LED Alta Luminosidad 180°, Instalación Rápida, Ahorro Energético para Dormitorio y Interiores Pequeños</t>
        </is>
      </c>
      <c r="H191" s="16" t="inlineStr">
        <is>
          <t>1 Pieza</t>
        </is>
      </c>
      <c r="I191" s="16" t="n">
        <v>3</v>
      </c>
      <c r="J191" s="17" t="n">
        <v>237</v>
      </c>
      <c r="K191" s="17" t="n">
        <v>248.19</v>
      </c>
      <c r="L191" s="17" t="n">
        <v>0</v>
      </c>
      <c r="M191" s="17" t="n">
        <v>0</v>
      </c>
      <c r="N191" s="17">
        <f>K191*0.08+L191*0.08</f>
        <v/>
      </c>
      <c r="O191" s="17">
        <f>-(K191*0.025+L191*0.025)</f>
        <v/>
      </c>
      <c r="P191" s="17">
        <f>32</f>
        <v/>
      </c>
      <c r="Q191" s="17">
        <f>J191+L191+N191+O191-P191-M191</f>
        <v/>
      </c>
    </row>
    <row r="192">
      <c r="A192" s="16" t="inlineStr">
        <is>
          <t>5.1-5.7</t>
        </is>
      </c>
      <c r="B192" s="16" t="inlineStr">
        <is>
          <t>PO-128-19829840558710045</t>
        </is>
      </c>
      <c r="C192" s="16" t="inlineStr">
        <is>
          <t>Delivered</t>
        </is>
      </c>
      <c r="D192" s="16" t="inlineStr">
        <is>
          <t>128-19829908716150045</t>
        </is>
      </c>
      <c r="E192" s="16" t="inlineStr">
        <is>
          <t>Delivered</t>
        </is>
      </c>
      <c r="F192" s="16" t="inlineStr">
        <is>
          <t>LV64W25</t>
        </is>
      </c>
      <c r="G1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2" s="16" t="inlineStr">
        <is>
          <t>Blanco</t>
        </is>
      </c>
      <c r="I192" s="16" t="n">
        <v>1</v>
      </c>
      <c r="J192" s="17" t="n">
        <v>125</v>
      </c>
      <c r="K192" s="17" t="n">
        <v>130.39</v>
      </c>
      <c r="L192" s="17" t="n">
        <v>25.86</v>
      </c>
      <c r="M192" s="17" t="n">
        <v>0</v>
      </c>
      <c r="N192" s="17">
        <f>K192*0.08+L192*0.08</f>
        <v/>
      </c>
      <c r="O192" s="17">
        <f>-(K192*0.025+L192*0.025)</f>
        <v/>
      </c>
      <c r="P192" s="17">
        <f>32</f>
        <v/>
      </c>
      <c r="Q192" s="17">
        <f>J192+L192+N192+O192-P192-M192</f>
        <v/>
      </c>
    </row>
    <row r="193">
      <c r="A193" s="16" t="inlineStr">
        <is>
          <t>5.1-5.7</t>
        </is>
      </c>
      <c r="B193" s="16" t="inlineStr">
        <is>
          <t>PO-128-19328167839353994</t>
        </is>
      </c>
      <c r="C193" s="16" t="inlineStr">
        <is>
          <t>Delivered</t>
        </is>
      </c>
      <c r="D193" s="16" t="inlineStr">
        <is>
          <t>128-19328125896313994</t>
        </is>
      </c>
      <c r="E193" s="16" t="inlineStr">
        <is>
          <t>Delivered</t>
        </is>
      </c>
      <c r="F193" s="16" t="inlineStr">
        <is>
          <t>LV54W25</t>
        </is>
      </c>
      <c r="G193" s="16" t="inlineStr">
        <is>
          <t>TIANLAI Lámpara Ventilador E27 2 en 1, Silenciosa, LED Alta Luminosidad 180°, Instalación Rápida, Ahorro Energético para Dormitorio y Interiores Pequeños</t>
        </is>
      </c>
      <c r="H193" s="16" t="inlineStr">
        <is>
          <t>1 Pieza</t>
        </is>
      </c>
      <c r="I193" s="16" t="n">
        <v>1</v>
      </c>
      <c r="J193" s="17" t="n">
        <v>79</v>
      </c>
      <c r="K193" s="17" t="n">
        <v>82.73</v>
      </c>
      <c r="L193" s="17" t="n">
        <v>25.86</v>
      </c>
      <c r="M193" s="17" t="n">
        <v>0</v>
      </c>
      <c r="N193" s="17">
        <f>K193*0.08+L193*0.08</f>
        <v/>
      </c>
      <c r="O193" s="17">
        <f>-(K193*0.025+L193*0.025)</f>
        <v/>
      </c>
      <c r="P193" s="17">
        <f>32</f>
        <v/>
      </c>
      <c r="Q193" s="17">
        <f>J193+L193+N193+O193-P193-M193</f>
        <v/>
      </c>
    </row>
    <row r="194">
      <c r="A194" s="16" t="inlineStr">
        <is>
          <t>5.1-5.7</t>
        </is>
      </c>
      <c r="B194" s="16" t="inlineStr">
        <is>
          <t>PO-128-19404716687993667</t>
        </is>
      </c>
      <c r="C194" s="16" t="inlineStr">
        <is>
          <t>Delivered</t>
        </is>
      </c>
      <c r="D194" s="16" t="inlineStr">
        <is>
          <t>128-19404853002873667</t>
        </is>
      </c>
      <c r="E194" s="16" t="inlineStr">
        <is>
          <t>Delivered</t>
        </is>
      </c>
      <c r="F194" s="16" t="inlineStr">
        <is>
          <t>KTS-2031</t>
        </is>
      </c>
      <c r="G194" s="16" t="inlineStr">
        <is>
          <t>Bocina inalámbrica de 3 pulgadas con linterna multifuncional y panel solar integrado.Altavoz Portátil con Linterna LED 4 Modos, Radio FM, Bluetooth, Carga Solar, Ideal para Apagones, Emergencias, Campo y Exteriores</t>
        </is>
      </c>
      <c r="H194" s="16" t="inlineStr">
        <is>
          <t>NEGRO</t>
        </is>
      </c>
      <c r="I194" s="16" t="n">
        <v>1</v>
      </c>
      <c r="J194" s="17" t="n">
        <v>75</v>
      </c>
      <c r="K194" s="17" t="n">
        <v>1.47</v>
      </c>
      <c r="L194" s="17" t="n">
        <v>25.86</v>
      </c>
      <c r="M194" s="17" t="n">
        <v>0</v>
      </c>
      <c r="N194" s="17">
        <f>K194*0.08+L194*0.08</f>
        <v/>
      </c>
      <c r="O194" s="17">
        <f>-(K194*0.025+L194*0.025)</f>
        <v/>
      </c>
      <c r="P194" s="17">
        <f>32</f>
        <v/>
      </c>
      <c r="Q194" s="17">
        <f>J194+L194+N194+O194-P194-M194</f>
        <v/>
      </c>
    </row>
    <row r="195">
      <c r="A195" s="16" t="inlineStr">
        <is>
          <t>5.1-5.7</t>
        </is>
      </c>
      <c r="B195" s="16" t="inlineStr">
        <is>
          <t>PO-128-19851535596150938</t>
        </is>
      </c>
      <c r="C195" s="16" t="inlineStr">
        <is>
          <t>Delivered</t>
        </is>
      </c>
      <c r="D195" s="16" t="inlineStr">
        <is>
          <t>128-19851525110390938</t>
        </is>
      </c>
      <c r="E195" s="16" t="inlineStr">
        <is>
          <t>Delivered</t>
        </is>
      </c>
      <c r="F195" s="16" t="inlineStr">
        <is>
          <t>LV54W25</t>
        </is>
      </c>
      <c r="G195" s="16" t="inlineStr">
        <is>
          <t>TIANLAI Lámpara Ventilador E27 2 en 1, Silenciosa, LED Alta Luminosidad 180°, Instalación Rápida, Ahorro Energético para Dormitorio y Interiores Pequeños</t>
        </is>
      </c>
      <c r="H195" s="16" t="inlineStr">
        <is>
          <t>1 Pieza</t>
        </is>
      </c>
      <c r="I195" s="16" t="n">
        <v>1</v>
      </c>
      <c r="J195" s="17" t="n">
        <v>79</v>
      </c>
      <c r="K195" s="17" t="n">
        <v>70.31999999999999</v>
      </c>
      <c r="L195" s="17" t="n">
        <v>25.86</v>
      </c>
      <c r="M195" s="17" t="n">
        <v>0</v>
      </c>
      <c r="N195" s="17">
        <f>K195*0.08+L195*0.08</f>
        <v/>
      </c>
      <c r="O195" s="17">
        <f>-(K195*0.025+L195*0.025)</f>
        <v/>
      </c>
      <c r="P195" s="17">
        <f>32</f>
        <v/>
      </c>
      <c r="Q195" s="17">
        <f>J195+L195+N195+O195-P195-M195</f>
        <v/>
      </c>
    </row>
    <row r="196">
      <c r="A196" s="16" t="inlineStr">
        <is>
          <t>5.1-5.7</t>
        </is>
      </c>
      <c r="B196" s="16" t="inlineStr">
        <is>
          <t>PO-128-19336967132794007</t>
        </is>
      </c>
      <c r="C196" s="16" t="inlineStr">
        <is>
          <t>Delivered</t>
        </is>
      </c>
      <c r="D196" s="16" t="inlineStr">
        <is>
          <t>128-19337009075834007</t>
        </is>
      </c>
      <c r="E196" s="16" t="inlineStr">
        <is>
          <t>Delivered</t>
        </is>
      </c>
      <c r="F196" s="16" t="inlineStr">
        <is>
          <t>LV64W25</t>
        </is>
      </c>
      <c r="G1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6" s="16" t="inlineStr">
        <is>
          <t>Blanco</t>
        </is>
      </c>
      <c r="I196" s="16" t="n">
        <v>1</v>
      </c>
      <c r="J196" s="17" t="n">
        <v>125</v>
      </c>
      <c r="K196" s="17" t="n">
        <v>87.29000000000001</v>
      </c>
      <c r="L196" s="17" t="n">
        <v>25.86</v>
      </c>
      <c r="M196" s="17" t="n">
        <v>0</v>
      </c>
      <c r="N196" s="17">
        <f>K196*0.08+L196*0.08</f>
        <v/>
      </c>
      <c r="O196" s="17">
        <f>-(K196*0.025+L196*0.025)</f>
        <v/>
      </c>
      <c r="P196" s="17">
        <f>32</f>
        <v/>
      </c>
      <c r="Q196" s="17">
        <f>J196+L196+N196+O196-P196-M196</f>
        <v/>
      </c>
    </row>
    <row r="197">
      <c r="A197" s="16" t="inlineStr">
        <is>
          <t>5.1-5.7</t>
        </is>
      </c>
      <c r="B197" s="16" t="inlineStr">
        <is>
          <t>PO-128-19561013432952798</t>
        </is>
      </c>
      <c r="C197" s="16" t="inlineStr">
        <is>
          <t>Delivered</t>
        </is>
      </c>
      <c r="D197" s="16" t="inlineStr">
        <is>
          <t>128-19561034404472798</t>
        </is>
      </c>
      <c r="E197" s="16" t="inlineStr">
        <is>
          <t>Delivered</t>
        </is>
      </c>
      <c r="F197" s="16" t="inlineStr">
        <is>
          <t>LV64W25</t>
        </is>
      </c>
      <c r="G1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7" s="16" t="inlineStr">
        <is>
          <t>Blanco</t>
        </is>
      </c>
      <c r="I197" s="16" t="n">
        <v>2</v>
      </c>
      <c r="J197" s="17" t="n">
        <v>250</v>
      </c>
      <c r="K197" s="17" t="n">
        <v>206.32</v>
      </c>
      <c r="L197" s="17" t="n">
        <v>0</v>
      </c>
      <c r="M197" s="17" t="n">
        <v>0</v>
      </c>
      <c r="N197" s="17">
        <f>K197*0.08+L197*0.08</f>
        <v/>
      </c>
      <c r="O197" s="17">
        <f>-(K197*0.025+L197*0.025)</f>
        <v/>
      </c>
      <c r="P197" s="17">
        <f>32</f>
        <v/>
      </c>
      <c r="Q197" s="17">
        <f>J197+L197+N197+O197-P197-M197</f>
        <v/>
      </c>
    </row>
    <row r="198">
      <c r="A198" s="16" t="inlineStr">
        <is>
          <t>5.1-5.7</t>
        </is>
      </c>
      <c r="B198" s="16" t="inlineStr">
        <is>
          <t>PO-128-19540329708152923</t>
        </is>
      </c>
      <c r="C198" s="16" t="inlineStr">
        <is>
          <t>Delivered</t>
        </is>
      </c>
      <c r="D198" s="16" t="inlineStr">
        <is>
          <t>128-19540371651192923</t>
        </is>
      </c>
      <c r="E198" s="16" t="inlineStr">
        <is>
          <t>Delivered</t>
        </is>
      </c>
      <c r="F198" s="16" t="inlineStr">
        <is>
          <t>LV64W25</t>
        </is>
      </c>
      <c r="G1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8" s="16" t="inlineStr">
        <is>
          <t>Blanco</t>
        </is>
      </c>
      <c r="I198" s="16" t="n">
        <v>3</v>
      </c>
      <c r="J198" s="17" t="n">
        <v>375</v>
      </c>
      <c r="K198" s="17" t="n">
        <v>386.85</v>
      </c>
      <c r="L198" s="17" t="n">
        <v>0</v>
      </c>
      <c r="M198" s="17" t="n">
        <v>0</v>
      </c>
      <c r="N198" s="17">
        <f>K198*0.08+L198*0.08</f>
        <v/>
      </c>
      <c r="O198" s="17">
        <f>-(K198*0.025+L198*0.025)</f>
        <v/>
      </c>
      <c r="P198" s="17">
        <f>32</f>
        <v/>
      </c>
      <c r="Q198" s="17">
        <f>J198+L198+N198+O198-P198-M198</f>
        <v/>
      </c>
    </row>
    <row r="199">
      <c r="A199" s="16" t="inlineStr">
        <is>
          <t>5.1-5.7</t>
        </is>
      </c>
      <c r="B199" s="16" t="inlineStr">
        <is>
          <t>PO-128-19734561935991765</t>
        </is>
      </c>
      <c r="C199" s="16" t="inlineStr">
        <is>
          <t>Delivered</t>
        </is>
      </c>
      <c r="D199" s="16" t="inlineStr">
        <is>
          <t>128-19734575043191765</t>
        </is>
      </c>
      <c r="E199" s="16" t="inlineStr">
        <is>
          <t>Delivered</t>
        </is>
      </c>
      <c r="F199" s="16" t="inlineStr">
        <is>
          <t>B03W10-10PZS</t>
        </is>
      </c>
      <c r="G19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99" s="16" t="inlineStr">
        <is>
          <t>B03W10</t>
        </is>
      </c>
      <c r="I199" s="16" t="n">
        <v>1</v>
      </c>
      <c r="J199" s="17" t="n">
        <v>70</v>
      </c>
      <c r="K199" s="17" t="n">
        <v>77.56</v>
      </c>
      <c r="L199" s="17" t="n">
        <v>25.86</v>
      </c>
      <c r="M199" s="17" t="n">
        <v>0</v>
      </c>
      <c r="N199" s="17">
        <f>K199*0.08+L199*0.08</f>
        <v/>
      </c>
      <c r="O199" s="17">
        <f>-(K199*0.025+L199*0.025)</f>
        <v/>
      </c>
      <c r="P199" s="17">
        <f>32</f>
        <v/>
      </c>
      <c r="Q199" s="17">
        <f>J199+L199+N199+O199-P199-M199</f>
        <v/>
      </c>
    </row>
    <row r="200">
      <c r="A200" s="16" t="inlineStr">
        <is>
          <t>5.1-5.7</t>
        </is>
      </c>
      <c r="B200" s="16" t="inlineStr">
        <is>
          <t>PO-128-19846009759350909</t>
        </is>
      </c>
      <c r="C200" s="16" t="inlineStr">
        <is>
          <t>Delivered</t>
        </is>
      </c>
      <c r="D200" s="16" t="inlineStr">
        <is>
          <t>128-19845988787830909</t>
        </is>
      </c>
      <c r="E200" s="16" t="inlineStr">
        <is>
          <t>Delivered</t>
        </is>
      </c>
      <c r="F200" s="16" t="inlineStr">
        <is>
          <t>LV64W25</t>
        </is>
      </c>
      <c r="G2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0" s="16" t="inlineStr">
        <is>
          <t>Blanco</t>
        </is>
      </c>
      <c r="I200" s="16" t="n">
        <v>1</v>
      </c>
      <c r="J200" s="17" t="n">
        <v>125</v>
      </c>
      <c r="K200" s="17" t="n">
        <v>143.28</v>
      </c>
      <c r="L200" s="17" t="n">
        <v>25.86</v>
      </c>
      <c r="M200" s="17" t="n">
        <v>0</v>
      </c>
      <c r="N200" s="17">
        <f>K200*0.08+L200*0.08</f>
        <v/>
      </c>
      <c r="O200" s="17">
        <f>-(K200*0.025+L200*0.025)</f>
        <v/>
      </c>
      <c r="P200" s="17">
        <f>32</f>
        <v/>
      </c>
      <c r="Q200" s="17">
        <f>J200+L200+N200+O200-P200-M200</f>
        <v/>
      </c>
    </row>
    <row r="201">
      <c r="A201" s="16" t="inlineStr">
        <is>
          <t>5.1-5.7</t>
        </is>
      </c>
      <c r="B201" s="16" t="inlineStr">
        <is>
          <t>PO-128-19689509791352032</t>
        </is>
      </c>
      <c r="C201" s="16" t="inlineStr">
        <is>
          <t>Delivered</t>
        </is>
      </c>
      <c r="D201" s="16" t="inlineStr">
        <is>
          <t>128-19689562220152032</t>
        </is>
      </c>
      <c r="E201" s="16" t="inlineStr">
        <is>
          <t>Delivered</t>
        </is>
      </c>
      <c r="F201" s="16" t="inlineStr">
        <is>
          <t>KTS-2031</t>
        </is>
      </c>
      <c r="G201" s="16" t="inlineStr">
        <is>
          <t>Bocina inalámbrica de 3 pulgadas con linterna multifuncional y panel solar integrado.Altavoz Portátil con Linterna LED 4 Modos, Radio FM, Bluetooth, Carga Solar, Ideal para Apagones, Emergencias, Campo y Exteriores</t>
        </is>
      </c>
      <c r="H201" s="16" t="inlineStr">
        <is>
          <t>NEGRO</t>
        </is>
      </c>
      <c r="I201" s="16" t="n">
        <v>1</v>
      </c>
      <c r="J201" s="17" t="n">
        <v>75</v>
      </c>
      <c r="K201" s="17" t="n">
        <v>1.47</v>
      </c>
      <c r="L201" s="17" t="n">
        <v>25.86</v>
      </c>
      <c r="M201" s="17" t="n">
        <v>0</v>
      </c>
      <c r="N201" s="17">
        <f>K201*0.08+L201*0.08</f>
        <v/>
      </c>
      <c r="O201" s="17">
        <f>-(K201*0.025+L201*0.025)</f>
        <v/>
      </c>
      <c r="P201" s="17">
        <f>32</f>
        <v/>
      </c>
      <c r="Q201" s="17">
        <f>J201+L201+N201+O201-P201-M201</f>
        <v/>
      </c>
    </row>
    <row r="202">
      <c r="A202" s="16" t="inlineStr">
        <is>
          <t>5.1-5.7</t>
        </is>
      </c>
      <c r="B202" s="16" t="inlineStr">
        <is>
          <t>PO-128-19776382802550490</t>
        </is>
      </c>
      <c r="C202" s="16" t="inlineStr">
        <is>
          <t>Delivered</t>
        </is>
      </c>
      <c r="D202" s="16" t="inlineStr">
        <is>
          <t>128-19776325130870490</t>
        </is>
      </c>
      <c r="E202" s="16" t="inlineStr">
        <is>
          <t>Delivered</t>
        </is>
      </c>
      <c r="F202" s="16" t="inlineStr">
        <is>
          <t>LV54W25</t>
        </is>
      </c>
      <c r="G202" s="16" t="inlineStr">
        <is>
          <t>TIANLAI Lámpara Ventilador E27 2 en 1, Silenciosa, LED Alta Luminosidad 180°, Instalación Rápida, Ahorro Energético para Dormitorio y Interiores Pequeños</t>
        </is>
      </c>
      <c r="H202" s="16" t="inlineStr">
        <is>
          <t>1 Pieza</t>
        </is>
      </c>
      <c r="I202" s="16" t="n">
        <v>1</v>
      </c>
      <c r="J202" s="17" t="n">
        <v>79</v>
      </c>
      <c r="K202" s="17" t="n">
        <v>74.45999999999999</v>
      </c>
      <c r="L202" s="17" t="n">
        <v>25.86</v>
      </c>
      <c r="M202" s="17" t="n">
        <v>0</v>
      </c>
      <c r="N202" s="17">
        <f>K202*0.08+L202*0.08</f>
        <v/>
      </c>
      <c r="O202" s="17">
        <f>-(K202*0.025+L202*0.025)</f>
        <v/>
      </c>
      <c r="P202" s="17">
        <f>32</f>
        <v/>
      </c>
      <c r="Q202" s="17">
        <f>J202+L202+N202+O202-P202-M202</f>
        <v/>
      </c>
    </row>
    <row r="203">
      <c r="A203" s="16" t="inlineStr">
        <is>
          <t>5.1-5.7</t>
        </is>
      </c>
      <c r="B203" s="16" t="inlineStr">
        <is>
          <t>PO-128-19271613445753373</t>
        </is>
      </c>
      <c r="C203" s="16" t="inlineStr">
        <is>
          <t>Delivered</t>
        </is>
      </c>
      <c r="D203" s="16" t="inlineStr">
        <is>
          <t>128-19271571502713373</t>
        </is>
      </c>
      <c r="E203" s="16" t="inlineStr">
        <is>
          <t>Delivered</t>
        </is>
      </c>
      <c r="F203" s="16" t="inlineStr">
        <is>
          <t>LV54W25</t>
        </is>
      </c>
      <c r="G203" s="16" t="inlineStr">
        <is>
          <t>TIANLAI Lámpara Ventilador E27 2 en 1, Silenciosa, LED Alta Luminosidad 180°, Instalación Rápida, Ahorro Energético para Dormitorio y Interiores Pequeños</t>
        </is>
      </c>
      <c r="H203" s="16" t="inlineStr">
        <is>
          <t>1 Pieza</t>
        </is>
      </c>
      <c r="I203" s="16" t="n">
        <v>1</v>
      </c>
      <c r="J203" s="17" t="n">
        <v>79</v>
      </c>
      <c r="K203" s="17" t="n">
        <v>39.63</v>
      </c>
      <c r="L203" s="17" t="n">
        <v>25.86</v>
      </c>
      <c r="M203" s="17" t="n">
        <v>0</v>
      </c>
      <c r="N203" s="17">
        <f>K203*0.08+L203*0.08</f>
        <v/>
      </c>
      <c r="O203" s="17">
        <f>-(K203*0.025+L203*0.025)</f>
        <v/>
      </c>
      <c r="P203" s="17">
        <f>32</f>
        <v/>
      </c>
      <c r="Q203" s="17">
        <f>J203+L203+N203+O203-P203-M203</f>
        <v/>
      </c>
    </row>
    <row r="204">
      <c r="A204" s="16" t="inlineStr">
        <is>
          <t>5.1-5.7</t>
        </is>
      </c>
      <c r="B204" s="16" t="inlineStr">
        <is>
          <t>PO-128-19866853550710785</t>
        </is>
      </c>
      <c r="C204" s="16" t="inlineStr">
        <is>
          <t>Delivered</t>
        </is>
      </c>
      <c r="D204" s="16" t="inlineStr">
        <is>
          <t>128-19866874522230785</t>
        </is>
      </c>
      <c r="E204" s="16" t="inlineStr">
        <is>
          <t>Delivered</t>
        </is>
      </c>
      <c r="F204" s="16" t="inlineStr">
        <is>
          <t>LV64W25</t>
        </is>
      </c>
      <c r="G2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4" s="16" t="inlineStr">
        <is>
          <t>Blanco</t>
        </is>
      </c>
      <c r="I204" s="16" t="n">
        <v>1</v>
      </c>
      <c r="J204" s="17" t="n">
        <v>125</v>
      </c>
      <c r="K204" s="17" t="n">
        <v>100.18</v>
      </c>
      <c r="L204" s="17" t="n">
        <v>25.86</v>
      </c>
      <c r="M204" s="17" t="n">
        <v>0</v>
      </c>
      <c r="N204" s="17">
        <f>K204*0.08+L204*0.08</f>
        <v/>
      </c>
      <c r="O204" s="17">
        <f>-(K204*0.025+L204*0.025)</f>
        <v/>
      </c>
      <c r="P204" s="17">
        <f>32</f>
        <v/>
      </c>
      <c r="Q204" s="17">
        <f>J204+L204+N204+O204-P204-M204</f>
        <v/>
      </c>
    </row>
    <row r="205">
      <c r="A205" s="16" t="inlineStr">
        <is>
          <t>5.1-5.7</t>
        </is>
      </c>
      <c r="B205" s="16" t="inlineStr">
        <is>
          <t>PO-128-19789911245430347</t>
        </is>
      </c>
      <c r="C205" s="16" t="inlineStr">
        <is>
          <t>Delivered</t>
        </is>
      </c>
      <c r="D205" s="16" t="inlineStr">
        <is>
          <t>128-19789921731190347</t>
        </is>
      </c>
      <c r="E205" s="16" t="inlineStr">
        <is>
          <t>Delivered</t>
        </is>
      </c>
      <c r="F205" s="16" t="inlineStr">
        <is>
          <t>TL2663N18C</t>
        </is>
      </c>
      <c r="G205" s="16" t="inlineStr">
        <is>
          <t>Linkbits，Soporte de pared fijo para televisores de 26"-63", Ultra-Delgado Compatible con VESA 400x400mm, Capacidad de Peso Fuerte de 25KG, Instalación Fácil Sin Electricidad</t>
        </is>
      </c>
      <c r="H205" s="16" t="inlineStr">
        <is>
          <t>NEGRO</t>
        </is>
      </c>
      <c r="I205" s="16" t="n">
        <v>1</v>
      </c>
      <c r="J205" s="17" t="n">
        <v>55.5</v>
      </c>
      <c r="K205" s="17" t="n">
        <v>70.48999999999999</v>
      </c>
      <c r="L205" s="17" t="n">
        <v>25.86</v>
      </c>
      <c r="M205" s="17" t="n">
        <v>0</v>
      </c>
      <c r="N205" s="17">
        <f>K205*0.08+L205*0.08</f>
        <v/>
      </c>
      <c r="O205" s="17">
        <f>-(K205*0.025+L205*0.025)</f>
        <v/>
      </c>
      <c r="P205" s="17">
        <f>32</f>
        <v/>
      </c>
      <c r="Q205" s="17">
        <f>J205+L205+N205+O205-P205-M205</f>
        <v/>
      </c>
    </row>
    <row r="206">
      <c r="A206" s="16" t="inlineStr">
        <is>
          <t>5.1-5.7</t>
        </is>
      </c>
      <c r="B206" s="16" t="inlineStr">
        <is>
          <t>PO-128-19468030311032264</t>
        </is>
      </c>
      <c r="C206" s="16" t="inlineStr">
        <is>
          <t>Delivered</t>
        </is>
      </c>
      <c r="D206" s="16" t="inlineStr">
        <is>
          <t>128-19468008356472264</t>
        </is>
      </c>
      <c r="E206" s="16" t="inlineStr">
        <is>
          <t>Delivered</t>
        </is>
      </c>
      <c r="F206" s="16" t="inlineStr">
        <is>
          <t>LV64W25</t>
        </is>
      </c>
      <c r="G2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 s="16" t="inlineStr">
        <is>
          <t>Blanco</t>
        </is>
      </c>
      <c r="I206" s="16" t="n">
        <v>3</v>
      </c>
      <c r="J206" s="17" t="n">
        <v>375</v>
      </c>
      <c r="K206" s="17" t="n">
        <v>391.17</v>
      </c>
      <c r="L206" s="17" t="n">
        <v>0</v>
      </c>
      <c r="M206" s="17" t="n">
        <v>0</v>
      </c>
      <c r="N206" s="17">
        <f>K206*0.08+L206*0.08</f>
        <v/>
      </c>
      <c r="O206" s="17">
        <f>-(K206*0.025+L206*0.025)</f>
        <v/>
      </c>
      <c r="P206" s="17">
        <f>32</f>
        <v/>
      </c>
      <c r="Q206" s="17">
        <f>J206+L206+N206+O206-P206-M206</f>
        <v/>
      </c>
    </row>
    <row r="207">
      <c r="A207" s="16" t="inlineStr">
        <is>
          <t>5.1-5.7</t>
        </is>
      </c>
      <c r="B207" s="16" t="inlineStr">
        <is>
          <t>PO-128-19705335726711874</t>
        </is>
      </c>
      <c r="C207" s="16" t="inlineStr">
        <is>
          <t>Delivered</t>
        </is>
      </c>
      <c r="D207" s="16" t="inlineStr">
        <is>
          <t>128-19705293783671874</t>
        </is>
      </c>
      <c r="E207" s="16" t="inlineStr">
        <is>
          <t>Delivered</t>
        </is>
      </c>
      <c r="F207" s="16" t="inlineStr">
        <is>
          <t>LV64W25</t>
        </is>
      </c>
      <c r="G2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7" s="16" t="inlineStr">
        <is>
          <t>Blanco</t>
        </is>
      </c>
      <c r="I207" s="16" t="n">
        <v>4</v>
      </c>
      <c r="J207" s="17" t="n">
        <v>500</v>
      </c>
      <c r="K207" s="17" t="n">
        <v>515.8</v>
      </c>
      <c r="L207" s="17" t="n">
        <v>0</v>
      </c>
      <c r="M207" s="17" t="n">
        <v>0</v>
      </c>
      <c r="N207" s="17">
        <f>K207*0.08+L207*0.08</f>
        <v/>
      </c>
      <c r="O207" s="17">
        <f>-(K207*0.025+L207*0.025)</f>
        <v/>
      </c>
      <c r="P207" s="17">
        <f>32</f>
        <v/>
      </c>
      <c r="Q207" s="17">
        <f>J207+L207+N207+O207-P207-M207</f>
        <v/>
      </c>
    </row>
    <row r="208">
      <c r="A208" s="16" t="inlineStr">
        <is>
          <t>5.1-5.7</t>
        </is>
      </c>
      <c r="B208" s="16" t="inlineStr">
        <is>
          <t>PO-128-19419506893432491</t>
        </is>
      </c>
      <c r="C208" s="16" t="inlineStr">
        <is>
          <t>Delivered</t>
        </is>
      </c>
      <c r="D208" s="16" t="inlineStr">
        <is>
          <t>128-19419548836472491</t>
        </is>
      </c>
      <c r="E208" s="16" t="inlineStr">
        <is>
          <t>Delivered</t>
        </is>
      </c>
      <c r="F208" s="16" t="inlineStr">
        <is>
          <t>LV64W25</t>
        </is>
      </c>
      <c r="G2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8" s="16" t="inlineStr">
        <is>
          <t>Blanco</t>
        </is>
      </c>
      <c r="I208" s="16" t="n">
        <v>2</v>
      </c>
      <c r="J208" s="17" t="n">
        <v>250</v>
      </c>
      <c r="K208" s="17" t="n">
        <v>219.22</v>
      </c>
      <c r="L208" s="17" t="n">
        <v>0</v>
      </c>
      <c r="M208" s="17" t="n">
        <v>0</v>
      </c>
      <c r="N208" s="17">
        <f>K208*0.08+L208*0.08</f>
        <v/>
      </c>
      <c r="O208" s="17">
        <f>-(K208*0.025+L208*0.025)</f>
        <v/>
      </c>
      <c r="P208" s="17">
        <f>32</f>
        <v/>
      </c>
      <c r="Q208" s="17">
        <f>J208+L208+N208+O208-P208-M208</f>
        <v/>
      </c>
    </row>
    <row r="209">
      <c r="A209" s="16" t="inlineStr">
        <is>
          <t>5.1-5.7</t>
        </is>
      </c>
      <c r="B209" s="16" t="inlineStr">
        <is>
          <t>PO-128-19392395623033613</t>
        </is>
      </c>
      <c r="C209" s="16" t="inlineStr">
        <is>
          <t>Delivered</t>
        </is>
      </c>
      <c r="D209" s="16" t="inlineStr">
        <is>
          <t>128-19392358922873613</t>
        </is>
      </c>
      <c r="E209" s="16" t="inlineStr">
        <is>
          <t>Delivered</t>
        </is>
      </c>
      <c r="F209" s="16" t="inlineStr">
        <is>
          <t>TL1412N17C</t>
        </is>
      </c>
      <c r="G209" s="16" t="inlineStr">
        <is>
          <t>Linkbits, Soporte de Pared Fijo para TV y Monitor de 14"-43", Ultra Delgado 2.3cm, Fuerte Capacidad de Peso de 25KG, Fácil Instalación con Accesorios Completos</t>
        </is>
      </c>
      <c r="H209" s="16" t="inlineStr">
        <is>
          <t>NEGRO</t>
        </is>
      </c>
      <c r="I209" s="16" t="n">
        <v>1</v>
      </c>
      <c r="J209" s="17" t="n">
        <v>36.84</v>
      </c>
      <c r="K209" s="17" t="n">
        <v>47.63</v>
      </c>
      <c r="L209" s="17" t="n">
        <v>25.86</v>
      </c>
      <c r="M209" s="17" t="n">
        <v>0</v>
      </c>
      <c r="N209" s="17">
        <f>K209*0.08+L209*0.08</f>
        <v/>
      </c>
      <c r="O209" s="17">
        <f>-(K209*0.025+L209*0.025)</f>
        <v/>
      </c>
      <c r="P209" s="17">
        <f>32</f>
        <v/>
      </c>
      <c r="Q209" s="17">
        <f>J209+L209+N209+O209-P209-M209</f>
        <v/>
      </c>
    </row>
    <row r="210">
      <c r="A210" s="16" t="inlineStr">
        <is>
          <t>5.1-5.7</t>
        </is>
      </c>
      <c r="B210" s="16" t="inlineStr">
        <is>
          <t>PO-128-19419499571832491</t>
        </is>
      </c>
      <c r="C210" s="16" t="inlineStr">
        <is>
          <t>Delivered</t>
        </is>
      </c>
      <c r="D210" s="16" t="inlineStr">
        <is>
          <t>128-19419478600312491</t>
        </is>
      </c>
      <c r="E210" s="16" t="inlineStr">
        <is>
          <t>Delivered</t>
        </is>
      </c>
      <c r="F210" s="16" t="inlineStr">
        <is>
          <t>LV64W25</t>
        </is>
      </c>
      <c r="G2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0" s="16" t="inlineStr">
        <is>
          <t>Blanco</t>
        </is>
      </c>
      <c r="I210" s="16" t="n">
        <v>1</v>
      </c>
      <c r="J210" s="17" t="n">
        <v>125</v>
      </c>
      <c r="K210" s="17" t="n">
        <v>98.53</v>
      </c>
      <c r="L210" s="17" t="n">
        <v>25.86</v>
      </c>
      <c r="M210" s="17" t="n">
        <v>0</v>
      </c>
      <c r="N210" s="17">
        <f>K210*0.08+L210*0.08</f>
        <v/>
      </c>
      <c r="O210" s="17">
        <f>-(K210*0.025+L210*0.025)</f>
        <v/>
      </c>
      <c r="P210" s="17">
        <f>32</f>
        <v/>
      </c>
      <c r="Q210" s="17">
        <f>J210+L210+N210+O210-P210-M210</f>
        <v/>
      </c>
    </row>
    <row r="211">
      <c r="A211" s="16" t="inlineStr">
        <is>
          <t>5.1-5.7</t>
        </is>
      </c>
      <c r="B211" s="16" t="inlineStr">
        <is>
          <t>PO-128-19434523064952528</t>
        </is>
      </c>
      <c r="C211" s="16" t="inlineStr">
        <is>
          <t>Delivered</t>
        </is>
      </c>
      <c r="D211" s="16" t="inlineStr">
        <is>
          <t>128-19434496850552528</t>
        </is>
      </c>
      <c r="E211" s="16" t="inlineStr">
        <is>
          <t>Delivered</t>
        </is>
      </c>
      <c r="F211" s="16" t="inlineStr">
        <is>
          <t>LV64W25</t>
        </is>
      </c>
      <c r="G2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1" s="16" t="inlineStr">
        <is>
          <t>Blanco</t>
        </is>
      </c>
      <c r="I211" s="16" t="n">
        <v>1</v>
      </c>
      <c r="J211" s="17" t="n">
        <v>125</v>
      </c>
      <c r="K211" s="17" t="n">
        <v>130.39</v>
      </c>
      <c r="L211" s="17" t="n">
        <v>25.86</v>
      </c>
      <c r="M211" s="17" t="n">
        <v>0</v>
      </c>
      <c r="N211" s="17">
        <f>K211*0.08+L211*0.08</f>
        <v/>
      </c>
      <c r="O211" s="17">
        <f>-(K211*0.025+L211*0.025)</f>
        <v/>
      </c>
      <c r="P211" s="17">
        <f>32</f>
        <v/>
      </c>
      <c r="Q211" s="17">
        <f>J211+L211+N211+O211-P211-M211</f>
        <v/>
      </c>
    </row>
    <row r="212">
      <c r="A212" s="16" t="inlineStr">
        <is>
          <t>5.1-5.7</t>
        </is>
      </c>
      <c r="B212" s="16" t="inlineStr">
        <is>
          <t>PO-128-19902519982710762</t>
        </is>
      </c>
      <c r="C212" s="16" t="inlineStr">
        <is>
          <t>Delivered</t>
        </is>
      </c>
      <c r="D212" s="16" t="inlineStr">
        <is>
          <t>128-19902561925750762</t>
        </is>
      </c>
      <c r="E212" s="16" t="inlineStr">
        <is>
          <t>Delivered</t>
        </is>
      </c>
      <c r="F212" s="16" t="inlineStr">
        <is>
          <t>LV64W25</t>
        </is>
      </c>
      <c r="G2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2" s="16" t="inlineStr">
        <is>
          <t>Blanco</t>
        </is>
      </c>
      <c r="I212" s="16" t="n">
        <v>2</v>
      </c>
      <c r="J212" s="17" t="n">
        <v>250</v>
      </c>
      <c r="K212" s="17" t="n">
        <v>257.9</v>
      </c>
      <c r="L212" s="17" t="n">
        <v>0</v>
      </c>
      <c r="M212" s="17" t="n">
        <v>0</v>
      </c>
      <c r="N212" s="17">
        <f>K212*0.08+L212*0.08</f>
        <v/>
      </c>
      <c r="O212" s="17">
        <f>-(K212*0.025+L212*0.025)</f>
        <v/>
      </c>
      <c r="P212" s="17">
        <f>32</f>
        <v/>
      </c>
      <c r="Q212" s="17">
        <f>J212+L212+N212+O212-P212-M212</f>
        <v/>
      </c>
    </row>
    <row r="213">
      <c r="A213" s="16" t="inlineStr">
        <is>
          <t>5.1-5.7</t>
        </is>
      </c>
      <c r="B213" s="16" t="inlineStr">
        <is>
          <t>PO-128-19736653824631561</t>
        </is>
      </c>
      <c r="C213" s="16" t="inlineStr">
        <is>
          <t>Delivered</t>
        </is>
      </c>
      <c r="D213" s="16" t="inlineStr">
        <is>
          <t>128-19736643338871561</t>
        </is>
      </c>
      <c r="E213" s="16" t="inlineStr">
        <is>
          <t>Delivered</t>
        </is>
      </c>
      <c r="F213" s="16" t="inlineStr">
        <is>
          <t>VB349T</t>
        </is>
      </c>
      <c r="G213" s="16" t="inlineStr">
        <is>
          <t>LINKBITS Altavoz Portátil de Doble Altavoz - 3 Pulgadas, Sonido HD, Emparejamiento Rápido de Bluetooth, Conectividad TWS, Reproducción Multimodo (Micro SD/USB/Radio FM) - Perfecto para Oficina, Viajes y Espacios Pequeños</t>
        </is>
      </c>
      <c r="H213" s="16" t="inlineStr">
        <is>
          <t>NEGRO</t>
        </is>
      </c>
      <c r="I213" s="16" t="n">
        <v>1</v>
      </c>
      <c r="J213" s="17" t="n">
        <v>81</v>
      </c>
      <c r="K213" s="17" t="n">
        <v>94.27</v>
      </c>
      <c r="L213" s="17" t="n">
        <v>25.86</v>
      </c>
      <c r="M213" s="17" t="n">
        <v>0</v>
      </c>
      <c r="N213" s="17">
        <f>K213*0.08+L213*0.08</f>
        <v/>
      </c>
      <c r="O213" s="17">
        <f>-(K213*0.025+L213*0.025)</f>
        <v/>
      </c>
      <c r="P213" s="17">
        <f>32</f>
        <v/>
      </c>
      <c r="Q213" s="17">
        <f>J213+L213+N213+O213-P213-M213</f>
        <v/>
      </c>
    </row>
    <row r="214">
      <c r="A214" s="16" t="inlineStr">
        <is>
          <t>5.1-5.7</t>
        </is>
      </c>
      <c r="B214" s="16" t="inlineStr">
        <is>
          <t>PO-128-19715374700151686</t>
        </is>
      </c>
      <c r="C214" s="16" t="inlineStr">
        <is>
          <t>Delivered</t>
        </is>
      </c>
      <c r="D214" s="16" t="inlineStr">
        <is>
          <t>128-19715332757111686</t>
        </is>
      </c>
      <c r="E214" s="16" t="inlineStr">
        <is>
          <t>Delivered</t>
        </is>
      </c>
      <c r="F214" s="16" t="inlineStr">
        <is>
          <t>LV64W25</t>
        </is>
      </c>
      <c r="G2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4" s="16" t="inlineStr">
        <is>
          <t>Blanco</t>
        </is>
      </c>
      <c r="I214" s="16" t="n">
        <v>12</v>
      </c>
      <c r="J214" s="17" t="n">
        <v>1500</v>
      </c>
      <c r="K214" s="17" t="n">
        <v>1351.91</v>
      </c>
      <c r="L214" s="17" t="n">
        <v>0</v>
      </c>
      <c r="M214" s="17" t="n">
        <v>0</v>
      </c>
      <c r="N214" s="17">
        <f>K214*0.08+L214*0.08</f>
        <v/>
      </c>
      <c r="O214" s="17">
        <f>-(K214*0.025+L214*0.025)</f>
        <v/>
      </c>
      <c r="P214" s="17">
        <f>32</f>
        <v/>
      </c>
      <c r="Q214" s="17">
        <f>J214+L214+N214+O214-P214-M214</f>
        <v/>
      </c>
    </row>
    <row r="215">
      <c r="A215" s="16" t="inlineStr">
        <is>
          <t>5.1-5.7</t>
        </is>
      </c>
      <c r="B215" s="16" t="inlineStr">
        <is>
          <t>PO-128-19274220810873421</t>
        </is>
      </c>
      <c r="C215" s="16" t="inlineStr">
        <is>
          <t>Delivered</t>
        </is>
      </c>
      <c r="D215" s="16" t="inlineStr">
        <is>
          <t>128-19274197217913421</t>
        </is>
      </c>
      <c r="E215" s="16" t="inlineStr">
        <is>
          <t>Delivered</t>
        </is>
      </c>
      <c r="F215" s="16" t="inlineStr">
        <is>
          <t>LV64W25</t>
        </is>
      </c>
      <c r="G2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5" s="16" t="inlineStr">
        <is>
          <t>Blanco</t>
        </is>
      </c>
      <c r="I215" s="16" t="n">
        <v>2</v>
      </c>
      <c r="J215" s="17" t="n">
        <v>250</v>
      </c>
      <c r="K215" s="17" t="n">
        <v>260.78</v>
      </c>
      <c r="L215" s="17" t="n">
        <v>0</v>
      </c>
      <c r="M215" s="17" t="n">
        <v>0</v>
      </c>
      <c r="N215" s="17">
        <f>K215*0.08+L215*0.08</f>
        <v/>
      </c>
      <c r="O215" s="17">
        <f>-(K215*0.025+L215*0.025)</f>
        <v/>
      </c>
      <c r="P215" s="17">
        <f>32</f>
        <v/>
      </c>
      <c r="Q215" s="17">
        <f>J215+L215+N215+O215-P215-M215</f>
        <v/>
      </c>
    </row>
    <row r="216">
      <c r="A216" s="16" t="inlineStr">
        <is>
          <t>5.1-5.7</t>
        </is>
      </c>
      <c r="B216" s="16" t="inlineStr">
        <is>
          <t>PO-128-19731010529911787</t>
        </is>
      </c>
      <c r="C216" s="16" t="inlineStr">
        <is>
          <t>Delivered</t>
        </is>
      </c>
      <c r="D216" s="16" t="inlineStr">
        <is>
          <t>128-19731005287031787</t>
        </is>
      </c>
      <c r="E216" s="16" t="inlineStr">
        <is>
          <t>Delivered</t>
        </is>
      </c>
      <c r="F216" s="16" t="inlineStr">
        <is>
          <t>LV54W25</t>
        </is>
      </c>
      <c r="G216" s="16" t="inlineStr">
        <is>
          <t>TIANLAI Lámpara Ventilador E27 2 en 1, Silenciosa, LED Alta Luminosidad 180°, Instalación Rápida, Ahorro Energético para Dormitorio y Interiores Pequeños</t>
        </is>
      </c>
      <c r="H216" s="16" t="inlineStr">
        <is>
          <t>1 Pieza</t>
        </is>
      </c>
      <c r="I216" s="16" t="n">
        <v>1</v>
      </c>
      <c r="J216" s="17" t="n">
        <v>79</v>
      </c>
      <c r="K216" s="17" t="n">
        <v>82.73</v>
      </c>
      <c r="L216" s="17" t="n">
        <v>25.86</v>
      </c>
      <c r="M216" s="17" t="n">
        <v>0</v>
      </c>
      <c r="N216" s="17">
        <f>K216*0.08+L216*0.08</f>
        <v/>
      </c>
      <c r="O216" s="17">
        <f>-(K216*0.025+L216*0.025)</f>
        <v/>
      </c>
      <c r="P216" s="17">
        <f>32</f>
        <v/>
      </c>
      <c r="Q216" s="17">
        <f>J216+L216+N216+O216-P216-M216</f>
        <v/>
      </c>
    </row>
    <row r="217">
      <c r="A217" s="16" t="inlineStr">
        <is>
          <t>5.1-5.7</t>
        </is>
      </c>
      <c r="B217" s="16" t="inlineStr">
        <is>
          <t>PO-128-19477065431672274</t>
        </is>
      </c>
      <c r="C217" s="16" t="inlineStr">
        <is>
          <t>Delivered</t>
        </is>
      </c>
      <c r="D217" s="16" t="inlineStr">
        <is>
          <t>128-19477107374712274</t>
        </is>
      </c>
      <c r="E217" s="16" t="inlineStr">
        <is>
          <t>Delivered</t>
        </is>
      </c>
      <c r="F217" s="16" t="inlineStr">
        <is>
          <t>LV64W25</t>
        </is>
      </c>
      <c r="G2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7" s="16" t="inlineStr">
        <is>
          <t>Blanco</t>
        </is>
      </c>
      <c r="I217" s="16" t="n">
        <v>2</v>
      </c>
      <c r="J217" s="17" t="n">
        <v>250</v>
      </c>
      <c r="K217" s="17" t="n">
        <v>260.78</v>
      </c>
      <c r="L217" s="17" t="n">
        <v>0</v>
      </c>
      <c r="M217" s="17" t="n">
        <v>0</v>
      </c>
      <c r="N217" s="17">
        <f>K217*0.08+L217*0.08</f>
        <v/>
      </c>
      <c r="O217" s="17">
        <f>-(K217*0.025+L217*0.025)</f>
        <v/>
      </c>
      <c r="P217" s="17">
        <f>32</f>
        <v/>
      </c>
      <c r="Q217" s="17">
        <f>J217+L217+N217+O217-P217-M217</f>
        <v/>
      </c>
    </row>
    <row r="218">
      <c r="A218" s="16" t="inlineStr">
        <is>
          <t>5.1-5.7</t>
        </is>
      </c>
      <c r="B218" s="16" t="inlineStr">
        <is>
          <t>PO-128-19428332513912503</t>
        </is>
      </c>
      <c r="C218" s="16" t="inlineStr">
        <is>
          <t>Delivered</t>
        </is>
      </c>
      <c r="D218" s="16" t="inlineStr">
        <is>
          <t>128-19428248627832503</t>
        </is>
      </c>
      <c r="E218" s="16" t="inlineStr">
        <is>
          <t>Delivered</t>
        </is>
      </c>
      <c r="F218" s="16" t="inlineStr">
        <is>
          <t>LV64W25</t>
        </is>
      </c>
      <c r="G2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8" s="16" t="inlineStr">
        <is>
          <t>Blanco</t>
        </is>
      </c>
      <c r="I218" s="16" t="n">
        <v>1</v>
      </c>
      <c r="J218" s="17" t="n">
        <v>125</v>
      </c>
      <c r="K218" s="17" t="n">
        <v>119.13</v>
      </c>
      <c r="L218" s="17" t="n">
        <v>14.49</v>
      </c>
      <c r="M218" s="17" t="n">
        <v>0</v>
      </c>
      <c r="N218" s="17">
        <f>K218*0.08+L218*0.08</f>
        <v/>
      </c>
      <c r="O218" s="17">
        <f>-(K218*0.025+L218*0.025)</f>
        <v/>
      </c>
      <c r="P218" s="17">
        <f>32</f>
        <v/>
      </c>
      <c r="Q218" s="17">
        <f>J218+L218+N218+O218-P218-M218</f>
        <v/>
      </c>
    </row>
    <row r="219">
      <c r="A219" s="16" t="inlineStr">
        <is>
          <t>5.1-5.7</t>
        </is>
      </c>
      <c r="B219" s="16" t="inlineStr">
        <is>
          <t>PO-128-19428332513912503</t>
        </is>
      </c>
      <c r="C219" s="16" t="inlineStr">
        <is>
          <t>Delivered</t>
        </is>
      </c>
      <c r="D219" s="16" t="inlineStr">
        <is>
          <t>128-19428290570872503</t>
        </is>
      </c>
      <c r="E219" s="16" t="inlineStr">
        <is>
          <t>Delivered</t>
        </is>
      </c>
      <c r="F219" s="16" t="inlineStr">
        <is>
          <t>LE27M10W18</t>
        </is>
      </c>
      <c r="G219" s="16" t="inlineStr">
        <is>
          <t>Lámpara LED de Techo Tianlai LE27M10W18 - Plafón E27 18W 950LM, Diseño de Cielo Estrellado, 3 Tonos de Luz Ajustables, IP20 a Prueba de Polvo para Dormitorio, Cocina, Comedor y Baño</t>
        </is>
      </c>
      <c r="H219" s="16" t="inlineStr">
        <is>
          <t>LE27M10W18</t>
        </is>
      </c>
      <c r="I219" s="16" t="n">
        <v>1</v>
      </c>
      <c r="J219" s="17" t="n">
        <v>95</v>
      </c>
      <c r="K219" s="17" t="n">
        <v>93.52</v>
      </c>
      <c r="L219" s="17" t="n">
        <v>11.37</v>
      </c>
      <c r="M219" s="17" t="n">
        <v>0</v>
      </c>
      <c r="N219" s="17">
        <f>K219*0.08+L219*0.08</f>
        <v/>
      </c>
      <c r="O219" s="17">
        <f>-(K219*0.025+L219*0.025)</f>
        <v/>
      </c>
      <c r="P219" s="17">
        <f>32</f>
        <v/>
      </c>
      <c r="Q219" s="17">
        <f>J219+L219+N219+O219-P219-M219</f>
        <v/>
      </c>
    </row>
    <row r="220">
      <c r="A220" s="16" t="inlineStr">
        <is>
          <t>5.1-5.7</t>
        </is>
      </c>
      <c r="B220" s="16" t="inlineStr">
        <is>
          <t>PO-128-19717506908791675</t>
        </is>
      </c>
      <c r="C220" s="16" t="inlineStr">
        <is>
          <t>Delivered</t>
        </is>
      </c>
      <c r="D220" s="16" t="inlineStr">
        <is>
          <t>128-19717548851831675</t>
        </is>
      </c>
      <c r="E220" s="16" t="inlineStr">
        <is>
          <t>Delivered</t>
        </is>
      </c>
      <c r="F220" s="16" t="inlineStr">
        <is>
          <t>i12-B</t>
        </is>
      </c>
      <c r="G220" s="16" t="inlineStr">
        <is>
          <t>Auriculares Inalámbricos TWS - Ideales para Usuarios Android e iPhone, Entusiastas del Deporte &amp; Música, Controles Táctiles, Audífonos Para Correr y Jugar</t>
        </is>
      </c>
      <c r="H220" s="16" t="inlineStr">
        <is>
          <t>Blanco</t>
        </is>
      </c>
      <c r="I220" s="16" t="n">
        <v>1</v>
      </c>
      <c r="J220" s="17" t="n">
        <v>44.8</v>
      </c>
      <c r="K220" s="17" t="n">
        <v>17.88</v>
      </c>
      <c r="L220" s="17" t="n">
        <v>25.86</v>
      </c>
      <c r="M220" s="17" t="n">
        <v>0</v>
      </c>
      <c r="N220" s="17">
        <f>K220*0.08+L220*0.08</f>
        <v/>
      </c>
      <c r="O220" s="17">
        <f>-(K220*0.025+L220*0.025)</f>
        <v/>
      </c>
      <c r="P220" s="17">
        <f>32</f>
        <v/>
      </c>
      <c r="Q220" s="17">
        <f>J220+L220+N220+O220-P220-M220</f>
        <v/>
      </c>
    </row>
    <row r="221">
      <c r="A221" s="16" t="inlineStr">
        <is>
          <t>5.1-5.7</t>
        </is>
      </c>
      <c r="B221" s="16" t="inlineStr">
        <is>
          <t>PO-128-19417080453752440</t>
        </is>
      </c>
      <c r="C221" s="16" t="inlineStr">
        <is>
          <t>Delivered</t>
        </is>
      </c>
      <c r="D221" s="16" t="inlineStr">
        <is>
          <t>128-19417038510712440</t>
        </is>
      </c>
      <c r="E221" s="16" t="inlineStr">
        <is>
          <t>Delivered</t>
        </is>
      </c>
      <c r="F221" s="16" t="inlineStr">
        <is>
          <t>LV64W25</t>
        </is>
      </c>
      <c r="G2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1" s="16" t="inlineStr">
        <is>
          <t>Blanco</t>
        </is>
      </c>
      <c r="I221" s="16" t="n">
        <v>8</v>
      </c>
      <c r="J221" s="17" t="n">
        <v>1000</v>
      </c>
      <c r="K221" s="17" t="n">
        <v>782.36</v>
      </c>
      <c r="L221" s="17" t="n">
        <v>0</v>
      </c>
      <c r="M221" s="17" t="n">
        <v>0</v>
      </c>
      <c r="N221" s="17">
        <f>K221*0.08+L221*0.08</f>
        <v/>
      </c>
      <c r="O221" s="17">
        <f>-(K221*0.025+L221*0.025)</f>
        <v/>
      </c>
      <c r="P221" s="17">
        <f>32</f>
        <v/>
      </c>
      <c r="Q221" s="17">
        <f>J221+L221+N221+O221-P221-M221</f>
        <v/>
      </c>
    </row>
    <row r="222">
      <c r="A222" s="16" t="inlineStr">
        <is>
          <t>5.1-5.7</t>
        </is>
      </c>
      <c r="B222" s="16" t="inlineStr">
        <is>
          <t>PO-128-19417073777272440</t>
        </is>
      </c>
      <c r="C222" s="16" t="inlineStr">
        <is>
          <t>Delivered</t>
        </is>
      </c>
      <c r="D222" s="16" t="inlineStr">
        <is>
          <t>128-19417031834232440</t>
        </is>
      </c>
      <c r="E222" s="16" t="inlineStr">
        <is>
          <t>Delivered</t>
        </is>
      </c>
      <c r="F222" s="16" t="inlineStr">
        <is>
          <t>LV64W25</t>
        </is>
      </c>
      <c r="G2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2" s="16" t="inlineStr">
        <is>
          <t>Blanco</t>
        </is>
      </c>
      <c r="I222" s="16" t="n">
        <v>15</v>
      </c>
      <c r="J222" s="17" t="n">
        <v>1875</v>
      </c>
      <c r="K222" s="17" t="n">
        <v>1589.35</v>
      </c>
      <c r="L222" s="17" t="n">
        <v>0</v>
      </c>
      <c r="M222" s="17" t="n">
        <v>0</v>
      </c>
      <c r="N222" s="17">
        <f>K222*0.08+L222*0.08</f>
        <v/>
      </c>
      <c r="O222" s="17">
        <f>-(K222*0.025+L222*0.025)</f>
        <v/>
      </c>
      <c r="P222" s="17">
        <f>32</f>
        <v/>
      </c>
      <c r="Q222" s="17">
        <f>J222+L222+N222+O222-P222-M222</f>
        <v/>
      </c>
    </row>
    <row r="223">
      <c r="A223" s="16" t="inlineStr">
        <is>
          <t>5.1-5.7</t>
        </is>
      </c>
      <c r="B223" s="16" t="inlineStr">
        <is>
          <t>PO-128-19652429066871039</t>
        </is>
      </c>
      <c r="C223" s="16" t="inlineStr">
        <is>
          <t>Delivered</t>
        </is>
      </c>
      <c r="D223" s="16" t="inlineStr">
        <is>
          <t>128-19652481495671039</t>
        </is>
      </c>
      <c r="E223" s="16" t="inlineStr">
        <is>
          <t>Delivered</t>
        </is>
      </c>
      <c r="F223" s="16" t="inlineStr">
        <is>
          <t>LV54W25</t>
        </is>
      </c>
      <c r="G223" s="16" t="inlineStr">
        <is>
          <t>TIANLAI Lámpara Ventilador E27 2 en 1, Silenciosa, LED Alta Luminosidad 180°, Instalación Rápida, Ahorro Energético para Dormitorio y Interiores Pequeños</t>
        </is>
      </c>
      <c r="H223" s="16" t="inlineStr">
        <is>
          <t>1 Pieza</t>
        </is>
      </c>
      <c r="I223" s="16" t="n">
        <v>1</v>
      </c>
      <c r="J223" s="17" t="n">
        <v>79</v>
      </c>
      <c r="K223" s="17" t="n">
        <v>70.31999999999999</v>
      </c>
      <c r="L223" s="17" t="n">
        <v>25.86</v>
      </c>
      <c r="M223" s="17" t="n">
        <v>0</v>
      </c>
      <c r="N223" s="17">
        <f>K223*0.08+L223*0.08</f>
        <v/>
      </c>
      <c r="O223" s="17">
        <f>-(K223*0.025+L223*0.025)</f>
        <v/>
      </c>
      <c r="P223" s="17">
        <f>32</f>
        <v/>
      </c>
      <c r="Q223" s="17">
        <f>J223+L223+N223+O223-P223-M223</f>
        <v/>
      </c>
    </row>
    <row r="224">
      <c r="A224" s="16" t="inlineStr">
        <is>
          <t>5.1-5.7</t>
        </is>
      </c>
      <c r="B224" s="16" t="inlineStr">
        <is>
          <t>PO-128-19671707003511946</t>
        </is>
      </c>
      <c r="C224" s="16" t="inlineStr">
        <is>
          <t>Delivered</t>
        </is>
      </c>
      <c r="D224" s="16" t="inlineStr">
        <is>
          <t>128-19671786957431946</t>
        </is>
      </c>
      <c r="E224" s="16" t="inlineStr">
        <is>
          <t>Delivered</t>
        </is>
      </c>
      <c r="F224" s="16" t="inlineStr">
        <is>
          <t>LV64W25</t>
        </is>
      </c>
      <c r="G2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4" s="16" t="inlineStr">
        <is>
          <t>Blanco</t>
        </is>
      </c>
      <c r="I224" s="16" t="n">
        <v>1</v>
      </c>
      <c r="J224" s="17" t="n">
        <v>125</v>
      </c>
      <c r="K224" s="17" t="n">
        <v>85.84999999999999</v>
      </c>
      <c r="L224" s="17" t="n">
        <v>25.86</v>
      </c>
      <c r="M224" s="17" t="n">
        <v>0</v>
      </c>
      <c r="N224" s="17">
        <f>K224*0.08+L224*0.08</f>
        <v/>
      </c>
      <c r="O224" s="17">
        <f>-(K224*0.025+L224*0.025)</f>
        <v/>
      </c>
      <c r="P224" s="17">
        <f>32</f>
        <v/>
      </c>
      <c r="Q224" s="17">
        <f>J224+L224+N224+O224-P224-M224</f>
        <v/>
      </c>
    </row>
    <row r="225">
      <c r="A225" s="16" t="inlineStr">
        <is>
          <t>5.1-5.7</t>
        </is>
      </c>
      <c r="B225" s="16" t="inlineStr">
        <is>
          <t>PO-128-19635323474551205</t>
        </is>
      </c>
      <c r="C225" s="16" t="inlineStr">
        <is>
          <t>Delivered</t>
        </is>
      </c>
      <c r="D225" s="16" t="inlineStr">
        <is>
          <t>128-19635344446071205</t>
        </is>
      </c>
      <c r="E225" s="16" t="inlineStr">
        <is>
          <t>Delivered</t>
        </is>
      </c>
      <c r="F225" s="16" t="inlineStr">
        <is>
          <t>LV64W25</t>
        </is>
      </c>
      <c r="G2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5" s="16" t="inlineStr">
        <is>
          <t>Blanco</t>
        </is>
      </c>
      <c r="I225" s="16" t="n">
        <v>7</v>
      </c>
      <c r="J225" s="17" t="n">
        <v>875</v>
      </c>
      <c r="K225" s="17" t="n">
        <v>902.65</v>
      </c>
      <c r="L225" s="17" t="n">
        <v>0</v>
      </c>
      <c r="M225" s="17" t="n">
        <v>0</v>
      </c>
      <c r="N225" s="17">
        <f>K225*0.08+L225*0.08</f>
        <v/>
      </c>
      <c r="O225" s="17">
        <f>-(K225*0.025+L225*0.025)</f>
        <v/>
      </c>
      <c r="P225" s="17">
        <f>32</f>
        <v/>
      </c>
      <c r="Q225" s="17">
        <f>J225+L225+N225+O225-P225-M225</f>
        <v/>
      </c>
    </row>
    <row r="226">
      <c r="A226" s="16" t="inlineStr">
        <is>
          <t>5.1-5.7</t>
        </is>
      </c>
      <c r="B226" s="16" t="inlineStr">
        <is>
          <t>PO-128-19915372841590558</t>
        </is>
      </c>
      <c r="C226" s="16" t="inlineStr">
        <is>
          <t>Delivered</t>
        </is>
      </c>
      <c r="D226" s="16" t="inlineStr">
        <is>
          <t>128-19915330898550558</t>
        </is>
      </c>
      <c r="E226" s="16" t="inlineStr">
        <is>
          <t>Delivered</t>
        </is>
      </c>
      <c r="F226" s="16" t="inlineStr">
        <is>
          <t>LV64W25</t>
        </is>
      </c>
      <c r="G2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6" s="16" t="inlineStr">
        <is>
          <t>Blanco</t>
        </is>
      </c>
      <c r="I226" s="16" t="n">
        <v>2</v>
      </c>
      <c r="J226" s="17" t="n">
        <v>250</v>
      </c>
      <c r="K226" s="17" t="n">
        <v>257.9</v>
      </c>
      <c r="L226" s="17" t="n">
        <v>0</v>
      </c>
      <c r="M226" s="17" t="n">
        <v>0</v>
      </c>
      <c r="N226" s="17">
        <f>K226*0.08+L226*0.08</f>
        <v/>
      </c>
      <c r="O226" s="17">
        <f>-(K226*0.025+L226*0.025)</f>
        <v/>
      </c>
      <c r="P226" s="17">
        <f>32</f>
        <v/>
      </c>
      <c r="Q226" s="17">
        <f>J226+L226+N226+O226-P226-M226</f>
        <v/>
      </c>
    </row>
    <row r="227">
      <c r="A227" s="16" t="inlineStr">
        <is>
          <t>5.1-5.7</t>
        </is>
      </c>
      <c r="B227" s="16" t="inlineStr">
        <is>
          <t>PO-128-19673325240951936</t>
        </is>
      </c>
      <c r="C227" s="16" t="inlineStr">
        <is>
          <t>Delivered</t>
        </is>
      </c>
      <c r="D227" s="16" t="inlineStr">
        <is>
          <t>128-19673430098551936</t>
        </is>
      </c>
      <c r="E227" s="16" t="inlineStr">
        <is>
          <t>Delivered</t>
        </is>
      </c>
      <c r="F227" s="16" t="inlineStr">
        <is>
          <t>LV64W25</t>
        </is>
      </c>
      <c r="G2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7" s="16" t="inlineStr">
        <is>
          <t>Blanco</t>
        </is>
      </c>
      <c r="I227" s="16" t="n">
        <v>1</v>
      </c>
      <c r="J227" s="17" t="n">
        <v>125</v>
      </c>
      <c r="K227" s="17" t="n">
        <v>128.95</v>
      </c>
      <c r="L227" s="17" t="n">
        <v>25.86</v>
      </c>
      <c r="M227" s="17" t="n">
        <v>0</v>
      </c>
      <c r="N227" s="17">
        <f>K227*0.08+L227*0.08</f>
        <v/>
      </c>
      <c r="O227" s="17">
        <f>-(K227*0.025+L227*0.025)</f>
        <v/>
      </c>
      <c r="P227" s="17">
        <f>32</f>
        <v/>
      </c>
      <c r="Q227" s="17">
        <f>J227+L227+N227+O227-P227-M227</f>
        <v/>
      </c>
    </row>
    <row r="228">
      <c r="A228" s="16" t="inlineStr">
        <is>
          <t>5.1-5.7</t>
        </is>
      </c>
      <c r="B228" s="16" t="inlineStr">
        <is>
          <t>PO-128-19890456412790642</t>
        </is>
      </c>
      <c r="C228" s="16" t="inlineStr">
        <is>
          <t>Delivered</t>
        </is>
      </c>
      <c r="D228" s="16" t="inlineStr">
        <is>
          <t>128-19890498355830642</t>
        </is>
      </c>
      <c r="E228" s="16" t="inlineStr">
        <is>
          <t>Delivered</t>
        </is>
      </c>
      <c r="F228" s="16" t="inlineStr">
        <is>
          <t>LV64W25</t>
        </is>
      </c>
      <c r="G2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 s="16" t="inlineStr">
        <is>
          <t>Blanco</t>
        </is>
      </c>
      <c r="I228" s="16" t="n">
        <v>1</v>
      </c>
      <c r="J228" s="17" t="n">
        <v>125</v>
      </c>
      <c r="K228" s="17" t="n">
        <v>44.18</v>
      </c>
      <c r="L228" s="17" t="n">
        <v>25.86</v>
      </c>
      <c r="M228" s="17" t="n">
        <v>0</v>
      </c>
      <c r="N228" s="17">
        <f>K228*0.08+L228*0.08</f>
        <v/>
      </c>
      <c r="O228" s="17">
        <f>-(K228*0.025+L228*0.025)</f>
        <v/>
      </c>
      <c r="P228" s="17">
        <f>32</f>
        <v/>
      </c>
      <c r="Q228" s="17">
        <f>J228+L228+N228+O228-P228-M228</f>
        <v/>
      </c>
    </row>
    <row r="229">
      <c r="A229" s="16" t="inlineStr">
        <is>
          <t>5.1-5.7</t>
        </is>
      </c>
      <c r="B229" s="16" t="inlineStr">
        <is>
          <t>PO-128-19751934966391660</t>
        </is>
      </c>
      <c r="C229" s="16" t="inlineStr">
        <is>
          <t>Delivered</t>
        </is>
      </c>
      <c r="D229" s="16" t="inlineStr">
        <is>
          <t>128-19751853701751660</t>
        </is>
      </c>
      <c r="E229" s="16" t="inlineStr">
        <is>
          <t>Delivered</t>
        </is>
      </c>
      <c r="F229" s="16" t="inlineStr">
        <is>
          <t>SA323T</t>
        </is>
      </c>
      <c r="G229"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229" s="16" t="inlineStr">
        <is>
          <t>AZUL/SA323T</t>
        </is>
      </c>
      <c r="I229" s="16" t="n">
        <v>1</v>
      </c>
      <c r="J229" s="17" t="n">
        <v>47</v>
      </c>
      <c r="K229" s="17" t="n">
        <v>48.85</v>
      </c>
      <c r="L229" s="17" t="n">
        <v>25.86</v>
      </c>
      <c r="M229" s="17" t="n">
        <v>0</v>
      </c>
      <c r="N229" s="17">
        <f>K229*0.08+L229*0.08</f>
        <v/>
      </c>
      <c r="O229" s="17">
        <f>-(K229*0.025+L229*0.025)</f>
        <v/>
      </c>
      <c r="P229" s="17">
        <f>32</f>
        <v/>
      </c>
      <c r="Q229" s="17">
        <f>J229+L229+N229+O229-P229-M229</f>
        <v/>
      </c>
    </row>
    <row r="230">
      <c r="A230" s="16" t="inlineStr">
        <is>
          <t>5.1-5.7</t>
        </is>
      </c>
      <c r="B230" s="16" t="inlineStr">
        <is>
          <t>PO-128-19820015340150230</t>
        </is>
      </c>
      <c r="C230" s="16" t="inlineStr">
        <is>
          <t>Delivered</t>
        </is>
      </c>
      <c r="D230" s="16" t="inlineStr">
        <is>
          <t>128-19819994368630230</t>
        </is>
      </c>
      <c r="E230" s="16" t="inlineStr">
        <is>
          <t>Delivered</t>
        </is>
      </c>
      <c r="F230" s="16" t="inlineStr">
        <is>
          <t>LV54W25</t>
        </is>
      </c>
      <c r="G230" s="16" t="inlineStr">
        <is>
          <t>TIANLAI Lámpara Ventilador E27 2 en 1, Silenciosa, LED Alta Luminosidad 180°, Instalación Rápida, Ahorro Energético para Dormitorio y Interiores Pequeños</t>
        </is>
      </c>
      <c r="H230" s="16" t="inlineStr">
        <is>
          <t>1 Pieza</t>
        </is>
      </c>
      <c r="I230" s="16" t="n">
        <v>1</v>
      </c>
      <c r="J230" s="17" t="n">
        <v>79</v>
      </c>
      <c r="K230" s="17" t="n">
        <v>96.2</v>
      </c>
      <c r="L230" s="17" t="n">
        <v>25.86</v>
      </c>
      <c r="M230" s="17" t="n">
        <v>0</v>
      </c>
      <c r="N230" s="17">
        <f>K230*0.08+L230*0.08</f>
        <v/>
      </c>
      <c r="O230" s="17">
        <f>-(K230*0.025+L230*0.025)</f>
        <v/>
      </c>
      <c r="P230" s="17">
        <f>32</f>
        <v/>
      </c>
      <c r="Q230" s="17">
        <f>J230+L230+N230+O230-P230-M230</f>
        <v/>
      </c>
    </row>
    <row r="231">
      <c r="A231" s="16" t="inlineStr">
        <is>
          <t>5.1-5.7</t>
        </is>
      </c>
      <c r="B231" s="16" t="inlineStr">
        <is>
          <t>PO-128-19502915553912952</t>
        </is>
      </c>
      <c r="C231" s="16" t="inlineStr">
        <is>
          <t>Delivered</t>
        </is>
      </c>
      <c r="D231" s="16" t="inlineStr">
        <is>
          <t>128-19502873610872952</t>
        </is>
      </c>
      <c r="E231" s="16" t="inlineStr">
        <is>
          <t>Delivered</t>
        </is>
      </c>
      <c r="F231" s="16" t="inlineStr">
        <is>
          <t>LV54W25</t>
        </is>
      </c>
      <c r="G231" s="16" t="inlineStr">
        <is>
          <t>TIANLAI Lámpara Ventilador E27 2 en 1, Silenciosa, LED Alta Luminosidad 180°, Instalación Rápida, Ahorro Energético para Dormitorio y Interiores Pequeños</t>
        </is>
      </c>
      <c r="H231" s="16" t="inlineStr">
        <is>
          <t>1 Pieza</t>
        </is>
      </c>
      <c r="I231" s="16" t="n">
        <v>1</v>
      </c>
      <c r="J231" s="17" t="n">
        <v>79</v>
      </c>
      <c r="K231" s="17" t="n">
        <v>96.2</v>
      </c>
      <c r="L231" s="17" t="n">
        <v>25.86</v>
      </c>
      <c r="M231" s="17" t="n">
        <v>0</v>
      </c>
      <c r="N231" s="17">
        <f>K231*0.08+L231*0.08</f>
        <v/>
      </c>
      <c r="O231" s="17">
        <f>-(K231*0.025+L231*0.025)</f>
        <v/>
      </c>
      <c r="P231" s="17">
        <f>32</f>
        <v/>
      </c>
      <c r="Q231" s="17">
        <f>J231+L231+N231+O231-P231-M231</f>
        <v/>
      </c>
    </row>
    <row r="232">
      <c r="A232" s="16" t="inlineStr">
        <is>
          <t>5.1-5.7</t>
        </is>
      </c>
      <c r="B232" s="16" t="inlineStr">
        <is>
          <t>PO-128-19310385521273076</t>
        </is>
      </c>
      <c r="C232" s="16" t="inlineStr">
        <is>
          <t>Delivered</t>
        </is>
      </c>
      <c r="D232" s="16" t="inlineStr">
        <is>
          <t>128-19310380278393076</t>
        </is>
      </c>
      <c r="E232" s="16" t="inlineStr">
        <is>
          <t>Delivered</t>
        </is>
      </c>
      <c r="F232" s="16" t="inlineStr">
        <is>
          <t>LV64W25</t>
        </is>
      </c>
      <c r="G2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2" s="16" t="inlineStr">
        <is>
          <t>Blanco</t>
        </is>
      </c>
      <c r="I232" s="16" t="n">
        <v>2</v>
      </c>
      <c r="J232" s="17" t="n">
        <v>250</v>
      </c>
      <c r="K232" s="17" t="n">
        <v>229.21</v>
      </c>
      <c r="L232" s="17" t="n">
        <v>0</v>
      </c>
      <c r="M232" s="17" t="n">
        <v>0</v>
      </c>
      <c r="N232" s="17">
        <f>K232*0.08+L232*0.08</f>
        <v/>
      </c>
      <c r="O232" s="17">
        <f>-(K232*0.025+L232*0.025)</f>
        <v/>
      </c>
      <c r="P232" s="17">
        <f>32</f>
        <v/>
      </c>
      <c r="Q232" s="17">
        <f>J232+L232+N232+O232-P232-M232</f>
        <v/>
      </c>
    </row>
    <row r="233">
      <c r="A233" s="16" t="inlineStr">
        <is>
          <t>5.1-5.7</t>
        </is>
      </c>
      <c r="B233" s="16" t="inlineStr">
        <is>
          <t>PO-128-19696735949431799</t>
        </is>
      </c>
      <c r="C233" s="16" t="inlineStr">
        <is>
          <t>Delivered</t>
        </is>
      </c>
      <c r="D233" s="16" t="inlineStr">
        <is>
          <t>128-19696756920951799</t>
        </is>
      </c>
      <c r="E233" s="16" t="inlineStr">
        <is>
          <t>Delivered</t>
        </is>
      </c>
      <c r="F233" s="16" t="inlineStr">
        <is>
          <t>LV64W25</t>
        </is>
      </c>
      <c r="G2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3" s="16" t="inlineStr">
        <is>
          <t>Blanco</t>
        </is>
      </c>
      <c r="I233" s="16" t="n">
        <v>2</v>
      </c>
      <c r="J233" s="17" t="n">
        <v>250</v>
      </c>
      <c r="K233" s="17" t="n">
        <v>257.9</v>
      </c>
      <c r="L233" s="17" t="n">
        <v>0</v>
      </c>
      <c r="M233" s="17" t="n">
        <v>0</v>
      </c>
      <c r="N233" s="17">
        <f>K233*0.08+L233*0.08</f>
        <v/>
      </c>
      <c r="O233" s="17">
        <f>-(K233*0.025+L233*0.025)</f>
        <v/>
      </c>
      <c r="P233" s="17">
        <f>32</f>
        <v/>
      </c>
      <c r="Q233" s="17">
        <f>J233+L233+N233+O233-P233-M233</f>
        <v/>
      </c>
    </row>
    <row r="234">
      <c r="A234" s="16" t="inlineStr">
        <is>
          <t>5.1-5.7</t>
        </is>
      </c>
      <c r="B234" s="16" t="inlineStr">
        <is>
          <t>PO-128-19302140713593319</t>
        </is>
      </c>
      <c r="C234" s="16" t="inlineStr">
        <is>
          <t>Delivered</t>
        </is>
      </c>
      <c r="D234" s="16" t="inlineStr">
        <is>
          <t>128-19302161685113319</t>
        </is>
      </c>
      <c r="E234" s="16" t="inlineStr">
        <is>
          <t>Delivered</t>
        </is>
      </c>
      <c r="F234" s="16" t="inlineStr">
        <is>
          <t>LV64W25</t>
        </is>
      </c>
      <c r="G2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4" s="16" t="inlineStr">
        <is>
          <t>Blanco</t>
        </is>
      </c>
      <c r="I234" s="16" t="n">
        <v>2</v>
      </c>
      <c r="J234" s="17" t="n">
        <v>250</v>
      </c>
      <c r="K234" s="17" t="n">
        <v>257.9</v>
      </c>
      <c r="L234" s="17" t="n">
        <v>0</v>
      </c>
      <c r="M234" s="17" t="n">
        <v>0</v>
      </c>
      <c r="N234" s="17">
        <f>K234*0.08+L234*0.08</f>
        <v/>
      </c>
      <c r="O234" s="17">
        <f>-(K234*0.025+L234*0.025)</f>
        <v/>
      </c>
      <c r="P234" s="17">
        <f>32</f>
        <v/>
      </c>
      <c r="Q234" s="17">
        <f>J234+L234+N234+O234-P234-M234</f>
        <v/>
      </c>
    </row>
    <row r="235">
      <c r="A235" s="16" t="inlineStr">
        <is>
          <t>5.1-5.7</t>
        </is>
      </c>
      <c r="B235" s="16" t="inlineStr">
        <is>
          <t>PO-128-19258017905273580</t>
        </is>
      </c>
      <c r="C235" s="16" t="inlineStr">
        <is>
          <t>Delivered</t>
        </is>
      </c>
      <c r="D235" s="16" t="inlineStr">
        <is>
          <t>128-19258038876793580</t>
        </is>
      </c>
      <c r="E235" s="16" t="inlineStr">
        <is>
          <t>Delivered</t>
        </is>
      </c>
      <c r="F235" s="16" t="inlineStr">
        <is>
          <t>LV64W25</t>
        </is>
      </c>
      <c r="G2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5" s="16" t="inlineStr">
        <is>
          <t>Blanco</t>
        </is>
      </c>
      <c r="I235" s="16" t="n">
        <v>4</v>
      </c>
      <c r="J235" s="17" t="n">
        <v>500</v>
      </c>
      <c r="K235" s="17" t="n">
        <v>573.12</v>
      </c>
      <c r="L235" s="17" t="n">
        <v>0</v>
      </c>
      <c r="M235" s="17" t="n">
        <v>0</v>
      </c>
      <c r="N235" s="17">
        <f>K235*0.08+L235*0.08</f>
        <v/>
      </c>
      <c r="O235" s="17">
        <f>-(K235*0.025+L235*0.025)</f>
        <v/>
      </c>
      <c r="P235" s="17">
        <f>32</f>
        <v/>
      </c>
      <c r="Q235" s="17">
        <f>J235+L235+N235+O235-P235-M235</f>
        <v/>
      </c>
    </row>
    <row r="236">
      <c r="A236" s="16" t="inlineStr">
        <is>
          <t>5.1-5.7</t>
        </is>
      </c>
      <c r="B236" s="16" t="inlineStr">
        <is>
          <t>PO-128-19702971689591824</t>
        </is>
      </c>
      <c r="C236" s="16" t="inlineStr">
        <is>
          <t>Delivered</t>
        </is>
      </c>
      <c r="D236" s="16" t="inlineStr">
        <is>
          <t>128-19702929746551824</t>
        </is>
      </c>
      <c r="E236" s="16" t="inlineStr">
        <is>
          <t>Delivered</t>
        </is>
      </c>
      <c r="F236" s="16" t="inlineStr">
        <is>
          <t>LV64W25</t>
        </is>
      </c>
      <c r="G2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6" s="16" t="inlineStr">
        <is>
          <t>Blanco</t>
        </is>
      </c>
      <c r="I236" s="16" t="n">
        <v>2</v>
      </c>
      <c r="J236" s="17" t="n">
        <v>250</v>
      </c>
      <c r="K236" s="17" t="n">
        <v>260.78</v>
      </c>
      <c r="L236" s="17" t="n">
        <v>0</v>
      </c>
      <c r="M236" s="17" t="n">
        <v>0</v>
      </c>
      <c r="N236" s="17">
        <f>K236*0.08+L236*0.08</f>
        <v/>
      </c>
      <c r="O236" s="17">
        <f>-(K236*0.025+L236*0.025)</f>
        <v/>
      </c>
      <c r="P236" s="17">
        <f>32</f>
        <v/>
      </c>
      <c r="Q236" s="17">
        <f>J236+L236+N236+O236-P236-M236</f>
        <v/>
      </c>
    </row>
    <row r="237">
      <c r="A237" s="16" t="inlineStr">
        <is>
          <t>5.1-5.7</t>
        </is>
      </c>
      <c r="B237" s="16" t="inlineStr">
        <is>
          <t>PO-128-19689201265272034</t>
        </is>
      </c>
      <c r="C237" s="16" t="inlineStr">
        <is>
          <t>Delivered</t>
        </is>
      </c>
      <c r="D237" s="16" t="inlineStr">
        <is>
          <t>128-19689159322232034</t>
        </is>
      </c>
      <c r="E237" s="16" t="inlineStr">
        <is>
          <t>Delivered</t>
        </is>
      </c>
      <c r="F237" s="16" t="inlineStr">
        <is>
          <t>BG-115-P</t>
        </is>
      </c>
      <c r="G237" s="16" t="inlineStr">
        <is>
          <t>LINK BITS Audífonos Inalámbricos con Luces Multicolor, Recargables y en Adorable Forma de Orejas de Gato - Conecta a Celulares y PCs, Tiene Radio FM, Tarjeta TF y AUX - 7 Horas de Reproducción, Plegables y Perfectos para Trabajo, Juegos y Estudio</t>
        </is>
      </c>
      <c r="H237" s="16" t="inlineStr">
        <is>
          <t>rosa</t>
        </is>
      </c>
      <c r="I237" s="16" t="n">
        <v>1</v>
      </c>
      <c r="J237" s="17" t="n">
        <v>76</v>
      </c>
      <c r="K237" s="17" t="n">
        <v>86.73999999999999</v>
      </c>
      <c r="L237" s="17" t="n">
        <v>25.86</v>
      </c>
      <c r="M237" s="17" t="n">
        <v>0</v>
      </c>
      <c r="N237" s="17">
        <f>K237*0.08+L237*0.08</f>
        <v/>
      </c>
      <c r="O237" s="17">
        <f>-(K237*0.025+L237*0.025)</f>
        <v/>
      </c>
      <c r="P237" s="17">
        <f>32</f>
        <v/>
      </c>
      <c r="Q237" s="17">
        <f>J237+L237+N237+O237-P237-M237</f>
        <v/>
      </c>
    </row>
    <row r="238">
      <c r="A238" s="16" t="inlineStr">
        <is>
          <t>5.1-5.7</t>
        </is>
      </c>
      <c r="B238" s="16" t="inlineStr">
        <is>
          <t>PO-128-19309982812793078</t>
        </is>
      </c>
      <c r="C238" s="16" t="inlineStr">
        <is>
          <t>Delivered</t>
        </is>
      </c>
      <c r="D238" s="16" t="inlineStr">
        <is>
          <t>128-19310024755833078</t>
        </is>
      </c>
      <c r="E238" s="16" t="inlineStr">
        <is>
          <t>Delivered</t>
        </is>
      </c>
      <c r="F238" s="16" t="inlineStr">
        <is>
          <t>LV64W25</t>
        </is>
      </c>
      <c r="G2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8" s="16" t="inlineStr">
        <is>
          <t>Blanco</t>
        </is>
      </c>
      <c r="I238" s="16" t="n">
        <v>1</v>
      </c>
      <c r="J238" s="17" t="n">
        <v>125</v>
      </c>
      <c r="K238" s="17" t="n">
        <v>128.95</v>
      </c>
      <c r="L238" s="17" t="n">
        <v>25.86</v>
      </c>
      <c r="M238" s="17" t="n">
        <v>0</v>
      </c>
      <c r="N238" s="17">
        <f>K238*0.08+L238*0.08</f>
        <v/>
      </c>
      <c r="O238" s="17">
        <f>-(K238*0.025+L238*0.025)</f>
        <v/>
      </c>
      <c r="P238" s="17">
        <f>32</f>
        <v/>
      </c>
      <c r="Q238" s="17">
        <f>J238+L238+N238+O238-P238-M238</f>
        <v/>
      </c>
    </row>
    <row r="239">
      <c r="A239" s="16" t="inlineStr">
        <is>
          <t>5.1-5.7</t>
        </is>
      </c>
      <c r="B239" s="16" t="inlineStr">
        <is>
          <t>PO-128-19567453061752569</t>
        </is>
      </c>
      <c r="C239" s="16" t="inlineStr">
        <is>
          <t>Delivered</t>
        </is>
      </c>
      <c r="D239" s="16" t="inlineStr">
        <is>
          <t>128-19567589376632569</t>
        </is>
      </c>
      <c r="E239" s="16" t="inlineStr">
        <is>
          <t>Delivered</t>
        </is>
      </c>
      <c r="F239" s="16" t="inlineStr">
        <is>
          <t>LV64W25</t>
        </is>
      </c>
      <c r="G2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9" s="16" t="inlineStr">
        <is>
          <t>Blanco</t>
        </is>
      </c>
      <c r="I239" s="16" t="n">
        <v>2</v>
      </c>
      <c r="J239" s="17" t="n">
        <v>250</v>
      </c>
      <c r="K239" s="17" t="n">
        <v>286.56</v>
      </c>
      <c r="L239" s="17" t="n">
        <v>0</v>
      </c>
      <c r="M239" s="17" t="n">
        <v>0</v>
      </c>
      <c r="N239" s="17">
        <f>K239*0.08+L239*0.08</f>
        <v/>
      </c>
      <c r="O239" s="17">
        <f>-(K239*0.025+L239*0.025)</f>
        <v/>
      </c>
      <c r="P239" s="17">
        <f>32</f>
        <v/>
      </c>
      <c r="Q239" s="17">
        <f>J239+L239+N239+O239-P239-M239</f>
        <v/>
      </c>
    </row>
    <row r="240">
      <c r="A240" s="16" t="inlineStr">
        <is>
          <t>5.1-5.7</t>
        </is>
      </c>
      <c r="B240" s="16" t="inlineStr">
        <is>
          <t>PO-128-19398030060153643</t>
        </is>
      </c>
      <c r="C240" s="16" t="inlineStr">
        <is>
          <t>Delivered</t>
        </is>
      </c>
      <c r="D240" s="16" t="inlineStr">
        <is>
          <t>128-19398085110393643</t>
        </is>
      </c>
      <c r="E240" s="16" t="inlineStr">
        <is>
          <t>Delivered</t>
        </is>
      </c>
      <c r="F240" s="16" t="inlineStr">
        <is>
          <t>LV54W25</t>
        </is>
      </c>
      <c r="G240" s="16" t="inlineStr">
        <is>
          <t>TIANLAI Lámpara Ventilador E27 2 en 1, Silenciosa, LED Alta Luminosidad 180°, Instalación Rápida, Ahorro Energético para Dormitorio y Interiores Pequeños</t>
        </is>
      </c>
      <c r="H240" s="16" t="inlineStr">
        <is>
          <t>1 Pieza</t>
        </is>
      </c>
      <c r="I240" s="16" t="n">
        <v>2</v>
      </c>
      <c r="J240" s="17" t="n">
        <v>158</v>
      </c>
      <c r="K240" s="17" t="n">
        <v>165.46</v>
      </c>
      <c r="L240" s="17" t="n">
        <v>25.86</v>
      </c>
      <c r="M240" s="17" t="n">
        <v>0</v>
      </c>
      <c r="N240" s="17">
        <f>K240*0.08+L240*0.08</f>
        <v/>
      </c>
      <c r="O240" s="17">
        <f>-(K240*0.025+L240*0.025)</f>
        <v/>
      </c>
      <c r="P240" s="17">
        <f>32</f>
        <v/>
      </c>
      <c r="Q240" s="17">
        <f>J240+L240+N240+O240-P240-M240</f>
        <v/>
      </c>
    </row>
    <row r="241">
      <c r="A241" s="16" t="inlineStr">
        <is>
          <t>5.1-5.7</t>
        </is>
      </c>
      <c r="B241" s="16" t="inlineStr">
        <is>
          <t>PO-128-19365319025273964</t>
        </is>
      </c>
      <c r="C241" s="16" t="inlineStr">
        <is>
          <t>Delivered</t>
        </is>
      </c>
      <c r="D241" s="16" t="inlineStr">
        <is>
          <t>128-19365387182713964</t>
        </is>
      </c>
      <c r="E241" s="16" t="inlineStr">
        <is>
          <t>Delivered</t>
        </is>
      </c>
      <c r="F241" s="16" t="inlineStr">
        <is>
          <t>LV64W25</t>
        </is>
      </c>
      <c r="G2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1" s="16" t="inlineStr">
        <is>
          <t>Blanco</t>
        </is>
      </c>
      <c r="I241" s="16" t="n">
        <v>2</v>
      </c>
      <c r="J241" s="17" t="n">
        <v>250</v>
      </c>
      <c r="K241" s="17" t="n">
        <v>219.22</v>
      </c>
      <c r="L241" s="17" t="n">
        <v>0</v>
      </c>
      <c r="M241" s="17" t="n">
        <v>0</v>
      </c>
      <c r="N241" s="17">
        <f>K241*0.08+L241*0.08</f>
        <v/>
      </c>
      <c r="O241" s="17">
        <f>-(K241*0.025+L241*0.025)</f>
        <v/>
      </c>
      <c r="P241" s="17">
        <f>32</f>
        <v/>
      </c>
      <c r="Q241" s="17">
        <f>J241+L241+N241+O241-P241-M241</f>
        <v/>
      </c>
    </row>
    <row r="242">
      <c r="A242" s="16" t="inlineStr">
        <is>
          <t>5.1-5.7</t>
        </is>
      </c>
      <c r="B242" s="16" t="inlineStr">
        <is>
          <t>PO-128-19359388078713872</t>
        </is>
      </c>
      <c r="C242" s="16" t="inlineStr">
        <is>
          <t>Delivered</t>
        </is>
      </c>
      <c r="D242" s="16" t="inlineStr">
        <is>
          <t>128-19359377592953872</t>
        </is>
      </c>
      <c r="E242" s="16" t="inlineStr">
        <is>
          <t>Delivered</t>
        </is>
      </c>
      <c r="F242" s="16" t="inlineStr">
        <is>
          <t>KTS-2031</t>
        </is>
      </c>
      <c r="G242" s="16" t="inlineStr">
        <is>
          <t>Bocina inalámbrica de 3 pulgadas con linterna multifuncional y panel solar integrado.Altavoz Portátil con Linterna LED 4 Modos, Radio FM, Bluetooth, Carga Solar, Ideal para Apagones, Emergencias, Campo y Exteriores</t>
        </is>
      </c>
      <c r="H242" s="16" t="inlineStr">
        <is>
          <t>NEGRO</t>
        </is>
      </c>
      <c r="I242" s="16" t="n">
        <v>1</v>
      </c>
      <c r="J242" s="17" t="n">
        <v>75</v>
      </c>
      <c r="K242" s="17" t="n">
        <v>84.23</v>
      </c>
      <c r="L242" s="17" t="n">
        <v>25.86</v>
      </c>
      <c r="M242" s="17" t="n">
        <v>0</v>
      </c>
      <c r="N242" s="17">
        <f>K242*0.08+L242*0.08</f>
        <v/>
      </c>
      <c r="O242" s="17">
        <f>-(K242*0.025+L242*0.025)</f>
        <v/>
      </c>
      <c r="P242" s="17">
        <f>32</f>
        <v/>
      </c>
      <c r="Q242" s="17">
        <f>J242+L242+N242+O242-P242-M242</f>
        <v/>
      </c>
    </row>
    <row r="243">
      <c r="A243" s="16" t="inlineStr">
        <is>
          <t>5.1-5.7</t>
        </is>
      </c>
      <c r="B243" s="16" t="inlineStr">
        <is>
          <t>PO-128-19625494282871391</t>
        </is>
      </c>
      <c r="C243" s="16" t="inlineStr">
        <is>
          <t>Delivered</t>
        </is>
      </c>
      <c r="D243" s="16" t="inlineStr">
        <is>
          <t>128-19625646326391391</t>
        </is>
      </c>
      <c r="E243" s="16" t="inlineStr">
        <is>
          <t>Delivered</t>
        </is>
      </c>
      <c r="F243" s="16" t="inlineStr">
        <is>
          <t>TLCD08-16P-Vv</t>
        </is>
      </c>
      <c r="G24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43" s="16" t="inlineStr">
        <is>
          <t>VERDE/pantalla de 16 pulgadas</t>
        </is>
      </c>
      <c r="I243" s="16" t="n">
        <v>1</v>
      </c>
      <c r="J243" s="17" t="n">
        <v>62.5</v>
      </c>
      <c r="K243" s="17" t="n">
        <v>81.64</v>
      </c>
      <c r="L243" s="17" t="n">
        <v>25.86</v>
      </c>
      <c r="M243" s="17" t="n">
        <v>0</v>
      </c>
      <c r="N243" s="17">
        <f>K243*0.08+L243*0.08</f>
        <v/>
      </c>
      <c r="O243" s="17">
        <f>-(K243*0.025+L243*0.025)</f>
        <v/>
      </c>
      <c r="P243" s="17">
        <f>32</f>
        <v/>
      </c>
      <c r="Q243" s="17">
        <f>J243+L243+N243+O243-P243-M243</f>
        <v/>
      </c>
    </row>
    <row r="244">
      <c r="A244" s="16" t="inlineStr">
        <is>
          <t>5.1-5.7</t>
        </is>
      </c>
      <c r="B244" s="16" t="inlineStr">
        <is>
          <t>PO-128-19410232115833699</t>
        </is>
      </c>
      <c r="C244" s="16" t="inlineStr">
        <is>
          <t>Delivered</t>
        </is>
      </c>
      <c r="D244" s="16" t="inlineStr">
        <is>
          <t>128-19410211144313699</t>
        </is>
      </c>
      <c r="E244" s="16" t="inlineStr">
        <is>
          <t>Delivered</t>
        </is>
      </c>
      <c r="F244" s="16" t="inlineStr">
        <is>
          <t>LV64W25</t>
        </is>
      </c>
      <c r="G2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4" s="16" t="inlineStr">
        <is>
          <t>Blanco</t>
        </is>
      </c>
      <c r="I244" s="16" t="n">
        <v>2</v>
      </c>
      <c r="J244" s="17" t="n">
        <v>250</v>
      </c>
      <c r="K244" s="17" t="n">
        <v>257.9</v>
      </c>
      <c r="L244" s="17" t="n">
        <v>0</v>
      </c>
      <c r="M244" s="17" t="n">
        <v>0</v>
      </c>
      <c r="N244" s="17">
        <f>K244*0.08+L244*0.08</f>
        <v/>
      </c>
      <c r="O244" s="17">
        <f>-(K244*0.025+L244*0.025)</f>
        <v/>
      </c>
      <c r="P244" s="17">
        <f>32</f>
        <v/>
      </c>
      <c r="Q244" s="17">
        <f>J244+L244+N244+O244-P244-M244</f>
        <v/>
      </c>
    </row>
    <row r="245">
      <c r="A245" s="16" t="inlineStr">
        <is>
          <t>5.1-5.7</t>
        </is>
      </c>
      <c r="B245" s="16" t="inlineStr">
        <is>
          <t>PO-128-19470579774072251</t>
        </is>
      </c>
      <c r="C245" s="16" t="inlineStr">
        <is>
          <t>Delivered</t>
        </is>
      </c>
      <c r="D245" s="16" t="inlineStr">
        <is>
          <t>128-19470600745592251</t>
        </is>
      </c>
      <c r="E245" s="16" t="inlineStr">
        <is>
          <t>Delivered</t>
        </is>
      </c>
      <c r="F245" s="16" t="inlineStr">
        <is>
          <t>LV64W25</t>
        </is>
      </c>
      <c r="G2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5" s="16" t="inlineStr">
        <is>
          <t>Blanco</t>
        </is>
      </c>
      <c r="I245" s="16" t="n">
        <v>1</v>
      </c>
      <c r="J245" s="17" t="n">
        <v>125</v>
      </c>
      <c r="K245" s="17" t="n">
        <v>128.95</v>
      </c>
      <c r="L245" s="17" t="n">
        <v>25.86</v>
      </c>
      <c r="M245" s="17" t="n">
        <v>0</v>
      </c>
      <c r="N245" s="17">
        <f>K245*0.08+L245*0.08</f>
        <v/>
      </c>
      <c r="O245" s="17">
        <f>-(K245*0.025+L245*0.025)</f>
        <v/>
      </c>
      <c r="P245" s="17">
        <f>32</f>
        <v/>
      </c>
      <c r="Q245" s="17">
        <f>J245+L245+N245+O245-P245-M245</f>
        <v/>
      </c>
    </row>
    <row r="246">
      <c r="A246" s="16" t="inlineStr">
        <is>
          <t>5.1-5.7</t>
        </is>
      </c>
      <c r="B246" s="16" t="inlineStr">
        <is>
          <t>PO-128-19417183580792441</t>
        </is>
      </c>
      <c r="C246" s="16" t="inlineStr">
        <is>
          <t>Delivered</t>
        </is>
      </c>
      <c r="D246" s="16" t="inlineStr">
        <is>
          <t>128-19417162609272441</t>
        </is>
      </c>
      <c r="E246" s="16" t="inlineStr">
        <is>
          <t>Delivered</t>
        </is>
      </c>
      <c r="F246" s="16" t="inlineStr">
        <is>
          <t>LV64W25</t>
        </is>
      </c>
      <c r="G2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6" s="16" t="inlineStr">
        <is>
          <t>Blanco</t>
        </is>
      </c>
      <c r="I246" s="16" t="n">
        <v>1</v>
      </c>
      <c r="J246" s="17" t="n">
        <v>125</v>
      </c>
      <c r="K246" s="17" t="n">
        <v>128.95</v>
      </c>
      <c r="L246" s="17" t="n">
        <v>25.86</v>
      </c>
      <c r="M246" s="17" t="n">
        <v>0</v>
      </c>
      <c r="N246" s="17">
        <f>K246*0.08+L246*0.08</f>
        <v/>
      </c>
      <c r="O246" s="17">
        <f>-(K246*0.025+L246*0.025)</f>
        <v/>
      </c>
      <c r="P246" s="17">
        <f>32</f>
        <v/>
      </c>
      <c r="Q246" s="17">
        <f>J246+L246+N246+O246-P246-M246</f>
        <v/>
      </c>
    </row>
    <row r="247">
      <c r="A247" s="16" t="inlineStr">
        <is>
          <t>5.1-5.7</t>
        </is>
      </c>
      <c r="B247" s="16" t="inlineStr">
        <is>
          <t>PO-128-19730341120631791</t>
        </is>
      </c>
      <c r="C247" s="16" t="inlineStr">
        <is>
          <t>Delivered</t>
        </is>
      </c>
      <c r="D247" s="16" t="inlineStr">
        <is>
          <t>128-19730299177591791</t>
        </is>
      </c>
      <c r="E247" s="16" t="inlineStr">
        <is>
          <t>Delivered</t>
        </is>
      </c>
      <c r="F247" s="16" t="inlineStr">
        <is>
          <t>LV64W25</t>
        </is>
      </c>
      <c r="G2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7" s="16" t="inlineStr">
        <is>
          <t>Blanco</t>
        </is>
      </c>
      <c r="I247" s="16" t="n">
        <v>4</v>
      </c>
      <c r="J247" s="17" t="n">
        <v>500</v>
      </c>
      <c r="K247" s="17" t="n">
        <v>515.8</v>
      </c>
      <c r="L247" s="17" t="n">
        <v>0</v>
      </c>
      <c r="M247" s="17" t="n">
        <v>0</v>
      </c>
      <c r="N247" s="17">
        <f>K247*0.08+L247*0.08</f>
        <v/>
      </c>
      <c r="O247" s="17">
        <f>-(K247*0.025+L247*0.025)</f>
        <v/>
      </c>
      <c r="P247" s="17">
        <f>32</f>
        <v/>
      </c>
      <c r="Q247" s="17">
        <f>J247+L247+N247+O247-P247-M247</f>
        <v/>
      </c>
    </row>
    <row r="248">
      <c r="A248" s="16" t="inlineStr">
        <is>
          <t>5.1-5.7</t>
        </is>
      </c>
      <c r="B248" s="16" t="inlineStr">
        <is>
          <t>PO-128-19472082453112240</t>
        </is>
      </c>
      <c r="C248" s="16" t="inlineStr">
        <is>
          <t>Delivered</t>
        </is>
      </c>
      <c r="D248" s="16" t="inlineStr">
        <is>
          <t>128-19472032645752240</t>
        </is>
      </c>
      <c r="E248" s="16" t="inlineStr">
        <is>
          <t>Delivered</t>
        </is>
      </c>
      <c r="F248" s="16" t="inlineStr">
        <is>
          <t>LV54W25</t>
        </is>
      </c>
      <c r="G248" s="16" t="inlineStr">
        <is>
          <t>TIANLAI Lámpara Ventilador E27 2 en 1, Silenciosa, LED Alta Luminosidad 180°, Instalación Rápida, Ahorro Energético para Dormitorio y Interiores Pequeños</t>
        </is>
      </c>
      <c r="H248" s="16" t="inlineStr">
        <is>
          <t>1 Pieza</t>
        </is>
      </c>
      <c r="I248" s="16" t="n">
        <v>1</v>
      </c>
      <c r="J248" s="17" t="n">
        <v>79</v>
      </c>
      <c r="K248" s="17" t="n">
        <v>82.73</v>
      </c>
      <c r="L248" s="17" t="n">
        <v>25.86</v>
      </c>
      <c r="M248" s="17" t="n">
        <v>0</v>
      </c>
      <c r="N248" s="17">
        <f>K248*0.08+L248*0.08</f>
        <v/>
      </c>
      <c r="O248" s="17">
        <f>-(K248*0.025+L248*0.025)</f>
        <v/>
      </c>
      <c r="P248" s="17">
        <f>32</f>
        <v/>
      </c>
      <c r="Q248" s="17">
        <f>J248+L248+N248+O248-P248-M248</f>
        <v/>
      </c>
    </row>
    <row r="249">
      <c r="A249" s="16" t="inlineStr">
        <is>
          <t>5.1-5.7</t>
        </is>
      </c>
      <c r="B249" s="16" t="inlineStr">
        <is>
          <t>PO-128-19262831831673553</t>
        </is>
      </c>
      <c r="C249" s="16" t="inlineStr">
        <is>
          <t>Delivered</t>
        </is>
      </c>
      <c r="D249" s="16" t="inlineStr">
        <is>
          <t>128-19262873774713553</t>
        </is>
      </c>
      <c r="E249" s="16" t="inlineStr">
        <is>
          <t>Delivered</t>
        </is>
      </c>
      <c r="F249" s="16" t="inlineStr">
        <is>
          <t>LV54W25</t>
        </is>
      </c>
      <c r="G249" s="16" t="inlineStr">
        <is>
          <t>TIANLAI Lámpara Ventilador E27 2 en 1, Silenciosa, LED Alta Luminosidad 180°, Instalación Rápida, Ahorro Energético para Dormitorio y Interiores Pequeños</t>
        </is>
      </c>
      <c r="H249" s="16" t="inlineStr">
        <is>
          <t>1 Pieza</t>
        </is>
      </c>
      <c r="I249" s="16" t="n">
        <v>1</v>
      </c>
      <c r="J249" s="17" t="n">
        <v>79</v>
      </c>
      <c r="K249" s="17" t="n">
        <v>96.2</v>
      </c>
      <c r="L249" s="17" t="n">
        <v>25.86</v>
      </c>
      <c r="M249" s="17" t="n">
        <v>0</v>
      </c>
      <c r="N249" s="17">
        <f>K249*0.08+L249*0.08</f>
        <v/>
      </c>
      <c r="O249" s="17">
        <f>-(K249*0.025+L249*0.025)</f>
        <v/>
      </c>
      <c r="P249" s="17">
        <f>32</f>
        <v/>
      </c>
      <c r="Q249" s="17">
        <f>J249+L249+N249+O249-P249-M249</f>
        <v/>
      </c>
    </row>
    <row r="250">
      <c r="A250" s="16" t="inlineStr">
        <is>
          <t>5.1-5.7</t>
        </is>
      </c>
      <c r="B250" s="16" t="inlineStr">
        <is>
          <t>PO-128-19506622710392994</t>
        </is>
      </c>
      <c r="C250" s="16" t="inlineStr">
        <is>
          <t>Delivered</t>
        </is>
      </c>
      <c r="D250" s="16" t="inlineStr">
        <is>
          <t>128-19506690867832994</t>
        </is>
      </c>
      <c r="E250" s="16" t="inlineStr">
        <is>
          <t>Delivered</t>
        </is>
      </c>
      <c r="F250" s="16" t="inlineStr">
        <is>
          <t>LV64W25</t>
        </is>
      </c>
      <c r="G2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0" s="16" t="inlineStr">
        <is>
          <t>Blanco</t>
        </is>
      </c>
      <c r="I250" s="16" t="n">
        <v>3</v>
      </c>
      <c r="J250" s="17" t="n">
        <v>375</v>
      </c>
      <c r="K250" s="17" t="n">
        <v>313.59</v>
      </c>
      <c r="L250" s="17" t="n">
        <v>0</v>
      </c>
      <c r="M250" s="17" t="n">
        <v>0</v>
      </c>
      <c r="N250" s="17">
        <f>K250*0.08+L250*0.08</f>
        <v/>
      </c>
      <c r="O250" s="17">
        <f>-(K250*0.025+L250*0.025)</f>
        <v/>
      </c>
      <c r="P250" s="17">
        <f>32</f>
        <v/>
      </c>
      <c r="Q250" s="17">
        <f>J250+L250+N250+O250-P250-M250</f>
        <v/>
      </c>
    </row>
    <row r="251">
      <c r="A251" s="16" t="inlineStr">
        <is>
          <t>5.1-5.7</t>
        </is>
      </c>
      <c r="B251" s="16" t="inlineStr">
        <is>
          <t>PO-128-19856348181110975</t>
        </is>
      </c>
      <c r="C251" s="16" t="inlineStr">
        <is>
          <t>Delivered</t>
        </is>
      </c>
      <c r="D251" s="16" t="inlineStr">
        <is>
          <t>128-19856416338550975</t>
        </is>
      </c>
      <c r="E251" s="16" t="inlineStr">
        <is>
          <t>Delivered</t>
        </is>
      </c>
      <c r="F251" s="16" t="inlineStr">
        <is>
          <t>LV64W25</t>
        </is>
      </c>
      <c r="G2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1" s="16" t="inlineStr">
        <is>
          <t>Blanco</t>
        </is>
      </c>
      <c r="I251" s="16" t="n">
        <v>1</v>
      </c>
      <c r="J251" s="17" t="n">
        <v>125</v>
      </c>
      <c r="K251" s="17" t="n">
        <v>143.28</v>
      </c>
      <c r="L251" s="17" t="n">
        <v>25.86</v>
      </c>
      <c r="M251" s="17" t="n">
        <v>0</v>
      </c>
      <c r="N251" s="17">
        <f>K251*0.08+L251*0.08</f>
        <v/>
      </c>
      <c r="O251" s="17">
        <f>-(K251*0.025+L251*0.025)</f>
        <v/>
      </c>
      <c r="P251" s="17">
        <f>32</f>
        <v/>
      </c>
      <c r="Q251" s="17">
        <f>J251+L251+N251+O251-P251-M251</f>
        <v/>
      </c>
    </row>
    <row r="252">
      <c r="A252" s="16" t="inlineStr">
        <is>
          <t>5.1-5.7</t>
        </is>
      </c>
      <c r="B252" s="16" t="inlineStr">
        <is>
          <t>PO-128-19440952853112363</t>
        </is>
      </c>
      <c r="C252" s="16" t="inlineStr">
        <is>
          <t>Delivered</t>
        </is>
      </c>
      <c r="D252" s="16" t="inlineStr">
        <is>
          <t>128-19441089167992363</t>
        </is>
      </c>
      <c r="E252" s="16" t="inlineStr">
        <is>
          <t>Delivered</t>
        </is>
      </c>
      <c r="F252" s="16" t="inlineStr">
        <is>
          <t>LV64W25</t>
        </is>
      </c>
      <c r="G2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2" s="16" t="inlineStr">
        <is>
          <t>Blanco</t>
        </is>
      </c>
      <c r="I252" s="16" t="n">
        <v>1</v>
      </c>
      <c r="J252" s="17" t="n">
        <v>125</v>
      </c>
      <c r="K252" s="17" t="n">
        <v>130.39</v>
      </c>
      <c r="L252" s="17" t="n">
        <v>25.86</v>
      </c>
      <c r="M252" s="17" t="n">
        <v>0</v>
      </c>
      <c r="N252" s="17">
        <f>K252*0.08+L252*0.08</f>
        <v/>
      </c>
      <c r="O252" s="17">
        <f>-(K252*0.025+L252*0.025)</f>
        <v/>
      </c>
      <c r="P252" s="17">
        <f>32</f>
        <v/>
      </c>
      <c r="Q252" s="17">
        <f>J252+L252+N252+O252-P252-M252</f>
        <v/>
      </c>
    </row>
    <row r="253">
      <c r="A253" s="16" t="inlineStr">
        <is>
          <t>5.1-5.7</t>
        </is>
      </c>
      <c r="B253" s="16" t="inlineStr">
        <is>
          <t>PO-128-19679999263351963</t>
        </is>
      </c>
      <c r="C253" s="16" t="inlineStr">
        <is>
          <t>Delivered</t>
        </is>
      </c>
      <c r="D253" s="16" t="inlineStr">
        <is>
          <t>128-19680004506231963</t>
        </is>
      </c>
      <c r="E253" s="16" t="inlineStr">
        <is>
          <t>Delivered</t>
        </is>
      </c>
      <c r="F253" s="16" t="inlineStr">
        <is>
          <t>BSC04</t>
        </is>
      </c>
      <c r="G253" s="16" t="inlineStr">
        <is>
          <t>TIANLAI Báscula Digital BSC04/BSC07, Alta Precisión, Fácil Operación, Ligera y Portátil, Función Tara, Unidad Dual oz/g, Ideal para Cocina, Control de Porciones, Sellos y Objetos Pequeños, Uso en Hogar y Viaje</t>
        </is>
      </c>
      <c r="H253" s="16" t="inlineStr">
        <is>
          <t>5g/White</t>
        </is>
      </c>
      <c r="I253" s="16" t="n">
        <v>1</v>
      </c>
      <c r="J253" s="17" t="n">
        <v>65</v>
      </c>
      <c r="K253" s="17" t="n">
        <v>81.31</v>
      </c>
      <c r="L253" s="17" t="n">
        <v>25.86</v>
      </c>
      <c r="M253" s="17" t="n">
        <v>0</v>
      </c>
      <c r="N253" s="17">
        <f>K253*0.08+L253*0.08</f>
        <v/>
      </c>
      <c r="O253" s="17">
        <f>-(K253*0.025+L253*0.025)</f>
        <v/>
      </c>
      <c r="P253" s="17">
        <f>32</f>
        <v/>
      </c>
      <c r="Q253" s="17">
        <f>J253+L253+N253+O253-P253-M253</f>
        <v/>
      </c>
    </row>
    <row r="254">
      <c r="A254" s="16" t="inlineStr">
        <is>
          <t>5.1-5.7</t>
        </is>
      </c>
      <c r="B254" s="16" t="inlineStr">
        <is>
          <t>PO-128-19302562376313314</t>
        </is>
      </c>
      <c r="C254" s="16" t="inlineStr">
        <is>
          <t>Delivered</t>
        </is>
      </c>
      <c r="D254" s="16" t="inlineStr">
        <is>
          <t>128-19302667233913314</t>
        </is>
      </c>
      <c r="E254" s="16" t="inlineStr">
        <is>
          <t>Delivered</t>
        </is>
      </c>
      <c r="F254" s="16" t="inlineStr">
        <is>
          <t>VB349T</t>
        </is>
      </c>
      <c r="G254" s="16" t="inlineStr">
        <is>
          <t>LINKBITS Altavoz Portátil de Doble Altavoz - 3 Pulgadas, Sonido HD, Emparejamiento Rápido de Bluetooth, Conectividad TWS, Reproducción Multimodo (Micro SD/USB/Radio FM) - Perfecto para Oficina, Viajes y Espacios Pequeños</t>
        </is>
      </c>
      <c r="H254" s="16" t="inlineStr">
        <is>
          <t>NEGRO</t>
        </is>
      </c>
      <c r="I254" s="16" t="n">
        <v>1</v>
      </c>
      <c r="J254" s="17" t="n">
        <v>81</v>
      </c>
      <c r="K254" s="17" t="n">
        <v>94.27</v>
      </c>
      <c r="L254" s="17" t="n">
        <v>25.86</v>
      </c>
      <c r="M254" s="17" t="n">
        <v>0</v>
      </c>
      <c r="N254" s="17">
        <f>K254*0.08+L254*0.08</f>
        <v/>
      </c>
      <c r="O254" s="17">
        <f>-(K254*0.025+L254*0.025)</f>
        <v/>
      </c>
      <c r="P254" s="17">
        <f>32</f>
        <v/>
      </c>
      <c r="Q254" s="17">
        <f>J254+L254+N254+O254-P254-M254</f>
        <v/>
      </c>
    </row>
    <row r="255">
      <c r="A255" s="16" t="inlineStr">
        <is>
          <t>5.1-5.7</t>
        </is>
      </c>
      <c r="B255" s="16" t="inlineStr">
        <is>
          <t>PO-128-19916656333430550</t>
        </is>
      </c>
      <c r="C255" s="16" t="inlineStr">
        <is>
          <t>Delivered</t>
        </is>
      </c>
      <c r="D255" s="16" t="inlineStr">
        <is>
          <t>128-19916732355190550</t>
        </is>
      </c>
      <c r="E255" s="16" t="inlineStr">
        <is>
          <t>Delivered</t>
        </is>
      </c>
      <c r="F255" s="16" t="inlineStr">
        <is>
          <t>LV64W25</t>
        </is>
      </c>
      <c r="G2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5" s="16" t="inlineStr">
        <is>
          <t>Blanco</t>
        </is>
      </c>
      <c r="I255" s="16" t="n">
        <v>1</v>
      </c>
      <c r="J255" s="17" t="n">
        <v>125</v>
      </c>
      <c r="K255" s="17" t="n">
        <v>130.39</v>
      </c>
      <c r="L255" s="17" t="n">
        <v>25.86</v>
      </c>
      <c r="M255" s="17" t="n">
        <v>0</v>
      </c>
      <c r="N255" s="17">
        <f>K255*0.08+L255*0.08</f>
        <v/>
      </c>
      <c r="O255" s="17">
        <f>-(K255*0.025+L255*0.025)</f>
        <v/>
      </c>
      <c r="P255" s="17">
        <f>32</f>
        <v/>
      </c>
      <c r="Q255" s="17">
        <f>J255+L255+N255+O255-P255-M255</f>
        <v/>
      </c>
    </row>
    <row r="256">
      <c r="A256" s="16" t="inlineStr">
        <is>
          <t>5.1-5.7</t>
        </is>
      </c>
      <c r="B256" s="16" t="inlineStr">
        <is>
          <t>PO-128-19900420588150713</t>
        </is>
      </c>
      <c r="C256" s="16" t="inlineStr">
        <is>
          <t>Delivered</t>
        </is>
      </c>
      <c r="D256" s="16" t="inlineStr">
        <is>
          <t>128-19900378645110713</t>
        </is>
      </c>
      <c r="E256" s="16" t="inlineStr">
        <is>
          <t>Delivered</t>
        </is>
      </c>
      <c r="F256" s="16" t="inlineStr">
        <is>
          <t>LV54W25</t>
        </is>
      </c>
      <c r="G256" s="16" t="inlineStr">
        <is>
          <t>TIANLAI Lámpara Ventilador E27 2 en 1, Silenciosa, LED Alta Luminosidad 180°, Instalación Rápida, Ahorro Energético para Dormitorio y Interiores Pequeños</t>
        </is>
      </c>
      <c r="H256" s="16" t="inlineStr">
        <is>
          <t>1 Pieza</t>
        </is>
      </c>
      <c r="I256" s="16" t="n">
        <v>1</v>
      </c>
      <c r="J256" s="17" t="n">
        <v>79</v>
      </c>
      <c r="K256" s="17" t="n">
        <v>82.73</v>
      </c>
      <c r="L256" s="17" t="n">
        <v>25.86</v>
      </c>
      <c r="M256" s="17" t="n">
        <v>0</v>
      </c>
      <c r="N256" s="17">
        <f>K256*0.08+L256*0.08</f>
        <v/>
      </c>
      <c r="O256" s="17">
        <f>-(K256*0.025+L256*0.025)</f>
        <v/>
      </c>
      <c r="P256" s="17">
        <f>32</f>
        <v/>
      </c>
      <c r="Q256" s="17">
        <f>J256+L256+N256+O256-P256-M256</f>
        <v/>
      </c>
    </row>
    <row r="257">
      <c r="A257" s="16" t="inlineStr">
        <is>
          <t>5.1-5.7</t>
        </is>
      </c>
      <c r="B257" s="16" t="inlineStr">
        <is>
          <t>PO-128-19359193426553875</t>
        </is>
      </c>
      <c r="C257" s="16" t="inlineStr">
        <is>
          <t>Delivered</t>
        </is>
      </c>
      <c r="D257" s="16" t="inlineStr">
        <is>
          <t>128-19359151483513875</t>
        </is>
      </c>
      <c r="E257" s="16" t="inlineStr">
        <is>
          <t>Delivered</t>
        </is>
      </c>
      <c r="F257" s="16" t="inlineStr">
        <is>
          <t>LV64W25</t>
        </is>
      </c>
      <c r="G2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7" s="16" t="inlineStr">
        <is>
          <t>Blanco</t>
        </is>
      </c>
      <c r="I257" s="16" t="n">
        <v>2</v>
      </c>
      <c r="J257" s="17" t="n">
        <v>250</v>
      </c>
      <c r="K257" s="17" t="n">
        <v>286.56</v>
      </c>
      <c r="L257" s="17" t="n">
        <v>0</v>
      </c>
      <c r="M257" s="17" t="n">
        <v>0</v>
      </c>
      <c r="N257" s="17">
        <f>K257*0.08+L257*0.08</f>
        <v/>
      </c>
      <c r="O257" s="17">
        <f>-(K257*0.025+L257*0.025)</f>
        <v/>
      </c>
      <c r="P257" s="17">
        <f>32</f>
        <v/>
      </c>
      <c r="Q257" s="17">
        <f>J257+L257+N257+O257-P257-M257</f>
        <v/>
      </c>
    </row>
    <row r="258">
      <c r="A258" s="16" t="inlineStr">
        <is>
          <t>5.1-5.7</t>
        </is>
      </c>
      <c r="B258" s="16" t="inlineStr">
        <is>
          <t>PO-128-19633667738231215</t>
        </is>
      </c>
      <c r="C258" s="16" t="inlineStr">
        <is>
          <t>Delivered</t>
        </is>
      </c>
      <c r="D258" s="16" t="inlineStr">
        <is>
          <t>128-19633625795191215</t>
        </is>
      </c>
      <c r="E258" s="16" t="inlineStr">
        <is>
          <t>Delivered</t>
        </is>
      </c>
      <c r="F258" s="16" t="inlineStr">
        <is>
          <t>LV64W25</t>
        </is>
      </c>
      <c r="G2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8" s="16" t="inlineStr">
        <is>
          <t>Blanco</t>
        </is>
      </c>
      <c r="I258" s="16" t="n">
        <v>1</v>
      </c>
      <c r="J258" s="17" t="n">
        <v>125</v>
      </c>
      <c r="K258" s="17" t="n">
        <v>117.42</v>
      </c>
      <c r="L258" s="17" t="n">
        <v>25.86</v>
      </c>
      <c r="M258" s="17" t="n">
        <v>0</v>
      </c>
      <c r="N258" s="17">
        <f>K258*0.08+L258*0.08</f>
        <v/>
      </c>
      <c r="O258" s="17">
        <f>-(K258*0.025+L258*0.025)</f>
        <v/>
      </c>
      <c r="P258" s="17">
        <f>32</f>
        <v/>
      </c>
      <c r="Q258" s="17">
        <f>J258+L258+N258+O258-P258-M258</f>
        <v/>
      </c>
    </row>
    <row r="259">
      <c r="A259" s="16" t="inlineStr">
        <is>
          <t>5.1-5.7</t>
        </is>
      </c>
      <c r="B259" s="16" t="inlineStr">
        <is>
          <t>PO-128-19645202432631272</t>
        </is>
      </c>
      <c r="C259" s="16" t="inlineStr">
        <is>
          <t>Delivered</t>
        </is>
      </c>
      <c r="D259" s="16" t="inlineStr">
        <is>
          <t>128-19645155246711272</t>
        </is>
      </c>
      <c r="E259" s="16" t="inlineStr">
        <is>
          <t>Delivered</t>
        </is>
      </c>
      <c r="F259" s="16" t="inlineStr">
        <is>
          <t>LV54W25</t>
        </is>
      </c>
      <c r="G259" s="16" t="inlineStr">
        <is>
          <t>TIANLAI Lámpara Ventilador E27 2 en 1, Silenciosa, LED Alta Luminosidad 180°, Instalación Rápida, Ahorro Energético para Dormitorio y Interiores Pequeños</t>
        </is>
      </c>
      <c r="H259" s="16" t="inlineStr">
        <is>
          <t>1 Pieza</t>
        </is>
      </c>
      <c r="I259" s="16" t="n">
        <v>1</v>
      </c>
      <c r="J259" s="17" t="n">
        <v>79</v>
      </c>
      <c r="K259" s="17" t="n">
        <v>82.73</v>
      </c>
      <c r="L259" s="17" t="n">
        <v>25.86</v>
      </c>
      <c r="M259" s="17" t="n">
        <v>0</v>
      </c>
      <c r="N259" s="17">
        <f>K259*0.08+L259*0.08</f>
        <v/>
      </c>
      <c r="O259" s="17">
        <f>-(K259*0.025+L259*0.025)</f>
        <v/>
      </c>
      <c r="P259" s="17">
        <f>32</f>
        <v/>
      </c>
      <c r="Q259" s="17">
        <f>J259+L259+N259+O259-P259-M259</f>
        <v/>
      </c>
    </row>
    <row r="260">
      <c r="A260" s="16" t="inlineStr">
        <is>
          <t>5.1-5.7</t>
        </is>
      </c>
      <c r="B260" s="16" t="inlineStr">
        <is>
          <t>PO-128-19423453471352466</t>
        </is>
      </c>
      <c r="C260" s="16" t="inlineStr">
        <is>
          <t>Delivered</t>
        </is>
      </c>
      <c r="D260" s="16" t="inlineStr">
        <is>
          <t>128-19423411528312466</t>
        </is>
      </c>
      <c r="E260" s="16" t="inlineStr">
        <is>
          <t>Delivered</t>
        </is>
      </c>
      <c r="F260" s="16" t="inlineStr">
        <is>
          <t>LV64W25</t>
        </is>
      </c>
      <c r="G2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0" s="16" t="inlineStr">
        <is>
          <t>Blanco</t>
        </is>
      </c>
      <c r="I260" s="16" t="n">
        <v>2</v>
      </c>
      <c r="J260" s="17" t="n">
        <v>250</v>
      </c>
      <c r="K260" s="17" t="n">
        <v>286.56</v>
      </c>
      <c r="L260" s="17" t="n">
        <v>0</v>
      </c>
      <c r="M260" s="17" t="n">
        <v>0</v>
      </c>
      <c r="N260" s="17">
        <f>K260*0.08+L260*0.08</f>
        <v/>
      </c>
      <c r="O260" s="17">
        <f>-(K260*0.025+L260*0.025)</f>
        <v/>
      </c>
      <c r="P260" s="17">
        <f>32</f>
        <v/>
      </c>
      <c r="Q260" s="17">
        <f>J260+L260+N260+O260-P260-M260</f>
        <v/>
      </c>
    </row>
    <row r="261">
      <c r="A261" s="16" t="inlineStr">
        <is>
          <t>5.1-5.7</t>
        </is>
      </c>
      <c r="B261" s="16" t="inlineStr">
        <is>
          <t>PO-128-19481729976952054</t>
        </is>
      </c>
      <c r="C261" s="16" t="inlineStr">
        <is>
          <t>Delivered</t>
        </is>
      </c>
      <c r="D261" s="16" t="inlineStr">
        <is>
          <t>128-19481735219832054</t>
        </is>
      </c>
      <c r="E261" s="16" t="inlineStr">
        <is>
          <t>Delivered</t>
        </is>
      </c>
      <c r="F261" s="16" t="inlineStr">
        <is>
          <t>LV64W25</t>
        </is>
      </c>
      <c r="G2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1" s="16" t="inlineStr">
        <is>
          <t>Blanco</t>
        </is>
      </c>
      <c r="I261" s="16" t="n">
        <v>1</v>
      </c>
      <c r="J261" s="17" t="n">
        <v>125</v>
      </c>
      <c r="K261" s="17" t="n">
        <v>109.67</v>
      </c>
      <c r="L261" s="17" t="n">
        <v>25.86</v>
      </c>
      <c r="M261" s="17" t="n">
        <v>0</v>
      </c>
      <c r="N261" s="17">
        <f>K261*0.08+L261*0.08</f>
        <v/>
      </c>
      <c r="O261" s="17">
        <f>-(K261*0.025+L261*0.025)</f>
        <v/>
      </c>
      <c r="P261" s="17">
        <f>32</f>
        <v/>
      </c>
      <c r="Q261" s="17">
        <f>J261+L261+N261+O261-P261-M261</f>
        <v/>
      </c>
    </row>
    <row r="262">
      <c r="A262" s="16" t="inlineStr">
        <is>
          <t>5.1-5.7</t>
        </is>
      </c>
      <c r="B262" s="16" t="inlineStr">
        <is>
          <t>PO-128-19473545820792297</t>
        </is>
      </c>
      <c r="C262" s="16" t="inlineStr">
        <is>
          <t>Delivered</t>
        </is>
      </c>
      <c r="D262" s="16" t="inlineStr">
        <is>
          <t>128-19473513380472297</t>
        </is>
      </c>
      <c r="E262" s="16" t="inlineStr">
        <is>
          <t>Delivered</t>
        </is>
      </c>
      <c r="F262" s="16" t="inlineStr">
        <is>
          <t>B03W10-10PZS</t>
        </is>
      </c>
      <c r="G2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62" s="16" t="inlineStr">
        <is>
          <t>B03W10</t>
        </is>
      </c>
      <c r="I262" s="16" t="n">
        <v>1</v>
      </c>
      <c r="J262" s="17" t="n">
        <v>71.5</v>
      </c>
      <c r="K262" s="17" t="n">
        <v>64.81999999999999</v>
      </c>
      <c r="L262" s="17" t="n">
        <v>25.86</v>
      </c>
      <c r="M262" s="17" t="n">
        <v>0</v>
      </c>
      <c r="N262" s="17">
        <f>K262*0.08+L262*0.08</f>
        <v/>
      </c>
      <c r="O262" s="17">
        <f>-(K262*0.025+L262*0.025)</f>
        <v/>
      </c>
      <c r="P262" s="17">
        <f>32</f>
        <v/>
      </c>
      <c r="Q262" s="17">
        <f>J262+L262+N262+O262-P262-M262</f>
        <v/>
      </c>
    </row>
    <row r="263">
      <c r="A263" s="16" t="inlineStr">
        <is>
          <t>5.1-5.7</t>
        </is>
      </c>
      <c r="B263" s="16" t="inlineStr">
        <is>
          <t>PO-128-19475200359032287</t>
        </is>
      </c>
      <c r="C263" s="16" t="inlineStr">
        <is>
          <t>Delivered</t>
        </is>
      </c>
      <c r="D263" s="16" t="inlineStr">
        <is>
          <t>128-19475189873272287</t>
        </is>
      </c>
      <c r="E263" s="16" t="inlineStr">
        <is>
          <t>Delivered</t>
        </is>
      </c>
      <c r="F263" s="16" t="inlineStr">
        <is>
          <t>LV64W25</t>
        </is>
      </c>
      <c r="G2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3" s="16" t="inlineStr">
        <is>
          <t>Blanco</t>
        </is>
      </c>
      <c r="I263" s="16" t="n">
        <v>2</v>
      </c>
      <c r="J263" s="17" t="n">
        <v>250</v>
      </c>
      <c r="K263" s="17" t="n">
        <v>221.67</v>
      </c>
      <c r="L263" s="17" t="n">
        <v>0</v>
      </c>
      <c r="M263" s="17" t="n">
        <v>0</v>
      </c>
      <c r="N263" s="17">
        <f>K263*0.08+L263*0.08</f>
        <v/>
      </c>
      <c r="O263" s="17">
        <f>-(K263*0.025+L263*0.025)</f>
        <v/>
      </c>
      <c r="P263" s="17">
        <f>32</f>
        <v/>
      </c>
      <c r="Q263" s="17">
        <f>J263+L263+N263+O263-P263-M263</f>
        <v/>
      </c>
    </row>
    <row r="264">
      <c r="A264" s="16" t="inlineStr">
        <is>
          <t>5.1-5.7</t>
        </is>
      </c>
      <c r="B264" s="16" t="inlineStr">
        <is>
          <t>PO-128-19603067351671525</t>
        </is>
      </c>
      <c r="C264" s="16" t="inlineStr">
        <is>
          <t>Delivered</t>
        </is>
      </c>
      <c r="D264" s="16" t="inlineStr">
        <is>
          <t>128-19603046380151525</t>
        </is>
      </c>
      <c r="E264" s="16" t="inlineStr">
        <is>
          <t>Delivered</t>
        </is>
      </c>
      <c r="F264" s="16" t="inlineStr">
        <is>
          <t>LV64W25</t>
        </is>
      </c>
      <c r="G2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4" s="16" t="inlineStr">
        <is>
          <t>Blanco</t>
        </is>
      </c>
      <c r="I264" s="16" t="n">
        <v>1</v>
      </c>
      <c r="J264" s="17" t="n">
        <v>125</v>
      </c>
      <c r="K264" s="17" t="n">
        <v>143.28</v>
      </c>
      <c r="L264" s="17" t="n">
        <v>25.86</v>
      </c>
      <c r="M264" s="17" t="n">
        <v>0</v>
      </c>
      <c r="N264" s="17">
        <f>K264*0.08+L264*0.08</f>
        <v/>
      </c>
      <c r="O264" s="17">
        <f>-(K264*0.025+L264*0.025)</f>
        <v/>
      </c>
      <c r="P264" s="17">
        <f>32</f>
        <v/>
      </c>
      <c r="Q264" s="17">
        <f>J264+L264+N264+O264-P264-M264</f>
        <v/>
      </c>
    </row>
    <row r="265">
      <c r="A265" s="16" t="inlineStr">
        <is>
          <t>5.1-5.7</t>
        </is>
      </c>
      <c r="B265" s="16" t="inlineStr">
        <is>
          <t>PO-128-19550695445112733</t>
        </is>
      </c>
      <c r="C265" s="16" t="inlineStr">
        <is>
          <t>Delivered</t>
        </is>
      </c>
      <c r="D265" s="16" t="inlineStr">
        <is>
          <t>128-19550705930872733</t>
        </is>
      </c>
      <c r="E265" s="16" t="inlineStr">
        <is>
          <t>Delivered</t>
        </is>
      </c>
      <c r="F265" s="16" t="inlineStr">
        <is>
          <t>LV64W25</t>
        </is>
      </c>
      <c r="G2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5" s="16" t="inlineStr">
        <is>
          <t>Blanco</t>
        </is>
      </c>
      <c r="I265" s="16" t="n">
        <v>1</v>
      </c>
      <c r="J265" s="17" t="n">
        <v>125</v>
      </c>
      <c r="K265" s="17" t="n">
        <v>143.28</v>
      </c>
      <c r="L265" s="17" t="n">
        <v>25.86</v>
      </c>
      <c r="M265" s="17" t="n">
        <v>0</v>
      </c>
      <c r="N265" s="17">
        <f>K265*0.08+L265*0.08</f>
        <v/>
      </c>
      <c r="O265" s="17">
        <f>-(K265*0.025+L265*0.025)</f>
        <v/>
      </c>
      <c r="P265" s="17">
        <f>32</f>
        <v/>
      </c>
      <c r="Q265" s="17">
        <f>J265+L265+N265+O265-P265-M265</f>
        <v/>
      </c>
    </row>
    <row r="266">
      <c r="A266" s="16" t="inlineStr">
        <is>
          <t>5.1-5.7</t>
        </is>
      </c>
      <c r="B266" s="16" t="inlineStr">
        <is>
          <t>PO-128-19581032786552678</t>
        </is>
      </c>
      <c r="C266" s="16" t="inlineStr">
        <is>
          <t>Delivered</t>
        </is>
      </c>
      <c r="D266" s="16" t="inlineStr">
        <is>
          <t>128-19581184830072678</t>
        </is>
      </c>
      <c r="E266" s="16" t="inlineStr">
        <is>
          <t>Delivered</t>
        </is>
      </c>
      <c r="F266" s="16" t="inlineStr">
        <is>
          <t>LV64W25</t>
        </is>
      </c>
      <c r="G2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6" s="16" t="inlineStr">
        <is>
          <t>Blanco</t>
        </is>
      </c>
      <c r="I266" s="16" t="n">
        <v>1</v>
      </c>
      <c r="J266" s="17" t="n">
        <v>125</v>
      </c>
      <c r="K266" s="17" t="n">
        <v>128.95</v>
      </c>
      <c r="L266" s="17" t="n">
        <v>25.86</v>
      </c>
      <c r="M266" s="17" t="n">
        <v>0</v>
      </c>
      <c r="N266" s="17">
        <f>K266*0.08+L266*0.08</f>
        <v/>
      </c>
      <c r="O266" s="17">
        <f>-(K266*0.025+L266*0.025)</f>
        <v/>
      </c>
      <c r="P266" s="17">
        <f>32</f>
        <v/>
      </c>
      <c r="Q266" s="17">
        <f>J266+L266+N266+O266-P266-M266</f>
        <v/>
      </c>
    </row>
    <row r="267">
      <c r="A267" s="16" t="inlineStr">
        <is>
          <t>5.1-5.7</t>
        </is>
      </c>
      <c r="B267" s="16" t="inlineStr">
        <is>
          <t>PO-128-19435020616312335</t>
        </is>
      </c>
      <c r="C267" s="16" t="inlineStr">
        <is>
          <t>Delivered</t>
        </is>
      </c>
      <c r="D267" s="16" t="inlineStr">
        <is>
          <t>128-19434978673272335</t>
        </is>
      </c>
      <c r="E267" s="16" t="inlineStr">
        <is>
          <t>Delivered</t>
        </is>
      </c>
      <c r="F267" s="16" t="inlineStr">
        <is>
          <t>LV64W25</t>
        </is>
      </c>
      <c r="G2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7" s="16" t="inlineStr">
        <is>
          <t>Blanco</t>
        </is>
      </c>
      <c r="I267" s="16" t="n">
        <v>1</v>
      </c>
      <c r="J267" s="17" t="n">
        <v>125</v>
      </c>
      <c r="K267" s="17" t="n">
        <v>46.19</v>
      </c>
      <c r="L267" s="17" t="n">
        <v>25.86</v>
      </c>
      <c r="M267" s="17" t="n">
        <v>0</v>
      </c>
      <c r="N267" s="17">
        <f>K267*0.08+L267*0.08</f>
        <v/>
      </c>
      <c r="O267" s="17">
        <f>-(K267*0.025+L267*0.025)</f>
        <v/>
      </c>
      <c r="P267" s="17">
        <f>32</f>
        <v/>
      </c>
      <c r="Q267" s="17">
        <f>J267+L267+N267+O267-P267-M267</f>
        <v/>
      </c>
    </row>
    <row r="268">
      <c r="A268" s="16" t="inlineStr">
        <is>
          <t>5.1-5.7</t>
        </is>
      </c>
      <c r="B268" s="16" t="inlineStr">
        <is>
          <t>PO-128-08547092255352718</t>
        </is>
      </c>
      <c r="C268" s="16" t="inlineStr">
        <is>
          <t>Delivered</t>
        </is>
      </c>
      <c r="D268" s="16" t="inlineStr">
        <is>
          <t>128-08547113226872718</t>
        </is>
      </c>
      <c r="E268" s="16" t="inlineStr">
        <is>
          <t>Delivered</t>
        </is>
      </c>
      <c r="F268" s="16" t="inlineStr">
        <is>
          <t>LV64W25</t>
        </is>
      </c>
      <c r="G2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8" s="16" t="inlineStr">
        <is>
          <t>Blanco</t>
        </is>
      </c>
      <c r="I268" s="16" t="n">
        <v>2</v>
      </c>
      <c r="J268" s="17" t="n">
        <v>250</v>
      </c>
      <c r="K268" s="17" t="n">
        <v>286.56</v>
      </c>
      <c r="L268" s="17" t="n">
        <v>0</v>
      </c>
      <c r="M268" s="17" t="n">
        <v>0</v>
      </c>
      <c r="N268" s="17">
        <f>K268*0.08+L268*0.08</f>
        <v/>
      </c>
      <c r="O268" s="17">
        <f>-(K268*0.025+L268*0.025)</f>
        <v/>
      </c>
      <c r="P268" s="17">
        <f>32</f>
        <v/>
      </c>
      <c r="Q268" s="17">
        <f>J268+L268+N268+O268-P268-M268</f>
        <v/>
      </c>
    </row>
    <row r="269">
      <c r="A269" s="16" t="inlineStr">
        <is>
          <t>5.1-5.7</t>
        </is>
      </c>
      <c r="B269" s="16" t="inlineStr">
        <is>
          <t>PO-128-08764090931830400</t>
        </is>
      </c>
      <c r="C269" s="16" t="inlineStr">
        <is>
          <t>Delivered</t>
        </is>
      </c>
      <c r="D269" s="16" t="inlineStr">
        <is>
          <t>128-08764117146230400</t>
        </is>
      </c>
      <c r="E269" s="16" t="inlineStr">
        <is>
          <t>Delivered</t>
        </is>
      </c>
      <c r="F269" s="16" t="inlineStr">
        <is>
          <t>BG-115-P</t>
        </is>
      </c>
      <c r="G269" s="16" t="inlineStr">
        <is>
          <t>LINK BITS Audífonos Inalámbricos con Luces Multicolor, Recargables y en Adorable Forma de Orejas de Gato - Conecta a Celulares y PCs, Tiene Radio FM, Tarjeta TF y AUX - 7 Horas de Reproducción, Plegables y Perfectos para Trabajo, Juegos y Estudio</t>
        </is>
      </c>
      <c r="H269" s="16" t="inlineStr">
        <is>
          <t>rosa</t>
        </is>
      </c>
      <c r="I269" s="16" t="n">
        <v>1</v>
      </c>
      <c r="J269" s="17" t="n">
        <v>76</v>
      </c>
      <c r="K269" s="17" t="n">
        <v>86.73999999999999</v>
      </c>
      <c r="L269" s="17" t="n">
        <v>25.86</v>
      </c>
      <c r="M269" s="17" t="n">
        <v>0</v>
      </c>
      <c r="N269" s="17">
        <f>K269*0.08+L269*0.08</f>
        <v/>
      </c>
      <c r="O269" s="17">
        <f>-(K269*0.025+L269*0.025)</f>
        <v/>
      </c>
      <c r="P269" s="17">
        <f>32</f>
        <v/>
      </c>
      <c r="Q269" s="17">
        <f>J269+L269+N269+O269-P269-M269</f>
        <v/>
      </c>
    </row>
    <row r="270">
      <c r="A270" s="16" t="inlineStr">
        <is>
          <t>5.1-5.7</t>
        </is>
      </c>
      <c r="B270" s="16" t="inlineStr">
        <is>
          <t>PO-128-08775396106870463</t>
        </is>
      </c>
      <c r="C270" s="16" t="inlineStr">
        <is>
          <t>Delivered</t>
        </is>
      </c>
      <c r="D270" s="16" t="inlineStr">
        <is>
          <t>128-08775438049910463</t>
        </is>
      </c>
      <c r="E270" s="16" t="inlineStr">
        <is>
          <t>Delivered</t>
        </is>
      </c>
      <c r="F270" s="16" t="inlineStr">
        <is>
          <t>LV64W25</t>
        </is>
      </c>
      <c r="G2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0" s="16" t="inlineStr">
        <is>
          <t>Blanco</t>
        </is>
      </c>
      <c r="I270" s="16" t="n">
        <v>1</v>
      </c>
      <c r="J270" s="17" t="n">
        <v>125</v>
      </c>
      <c r="K270" s="17" t="n">
        <v>46.19</v>
      </c>
      <c r="L270" s="17" t="n">
        <v>25.86</v>
      </c>
      <c r="M270" s="17" t="n">
        <v>0</v>
      </c>
      <c r="N270" s="17">
        <f>K270*0.08+L270*0.08</f>
        <v/>
      </c>
      <c r="O270" s="17">
        <f>-(K270*0.025+L270*0.025)</f>
        <v/>
      </c>
      <c r="P270" s="17">
        <f>32</f>
        <v/>
      </c>
      <c r="Q270" s="17">
        <f>J270+L270+N270+O270-P270-M270</f>
        <v/>
      </c>
    </row>
    <row r="271">
      <c r="A271" s="16" t="inlineStr">
        <is>
          <t>5.1-5.7</t>
        </is>
      </c>
      <c r="B271" s="16" t="inlineStr">
        <is>
          <t>PO-128-08740466084471567</t>
        </is>
      </c>
      <c r="C271" s="16" t="inlineStr">
        <is>
          <t>Delivered</t>
        </is>
      </c>
      <c r="D271" s="16" t="inlineStr">
        <is>
          <t>128-08740570942071567</t>
        </is>
      </c>
      <c r="E271" s="16" t="inlineStr">
        <is>
          <t>Delivered</t>
        </is>
      </c>
      <c r="F271" s="16" t="inlineStr">
        <is>
          <t>LV64W25</t>
        </is>
      </c>
      <c r="G2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1" s="16" t="inlineStr">
        <is>
          <t>Blanco</t>
        </is>
      </c>
      <c r="I271" s="16" t="n">
        <v>1</v>
      </c>
      <c r="J271" s="17" t="n">
        <v>125</v>
      </c>
      <c r="K271" s="17" t="n">
        <v>143.28</v>
      </c>
      <c r="L271" s="17" t="n">
        <v>25.86</v>
      </c>
      <c r="M271" s="17" t="n">
        <v>0</v>
      </c>
      <c r="N271" s="17">
        <f>K271*0.08+L271*0.08</f>
        <v/>
      </c>
      <c r="O271" s="17">
        <f>-(K271*0.025+L271*0.025)</f>
        <v/>
      </c>
      <c r="P271" s="17">
        <f>32</f>
        <v/>
      </c>
      <c r="Q271" s="17">
        <f>J271+L271+N271+O271-P271-M271</f>
        <v/>
      </c>
    </row>
    <row r="272">
      <c r="A272" s="16" t="inlineStr">
        <is>
          <t>5.1-5.7</t>
        </is>
      </c>
      <c r="B272" s="16" t="inlineStr">
        <is>
          <t>PO-128-08434081782392497</t>
        </is>
      </c>
      <c r="C272" s="16" t="inlineStr">
        <is>
          <t>Delivered</t>
        </is>
      </c>
      <c r="D272" s="16" t="inlineStr">
        <is>
          <t>128-08434233825912497</t>
        </is>
      </c>
      <c r="E272" s="16" t="inlineStr">
        <is>
          <t>Delivered</t>
        </is>
      </c>
      <c r="F272" s="16" t="inlineStr">
        <is>
          <t>LV54W25</t>
        </is>
      </c>
      <c r="G272" s="16" t="inlineStr">
        <is>
          <t>TIANLAI Lámpara Ventilador E27 2 en 1, Silenciosa, LED Alta Luminosidad 180°, Instalación Rápida, Ahorro Energético para Dormitorio y Interiores Pequeños</t>
        </is>
      </c>
      <c r="H272" s="16" t="inlineStr">
        <is>
          <t>1 Pieza</t>
        </is>
      </c>
      <c r="I272" s="16" t="n">
        <v>1</v>
      </c>
      <c r="J272" s="17" t="n">
        <v>79</v>
      </c>
      <c r="K272" s="17" t="n">
        <v>66.19</v>
      </c>
      <c r="L272" s="17" t="n">
        <v>25.86</v>
      </c>
      <c r="M272" s="17" t="n">
        <v>0</v>
      </c>
      <c r="N272" s="17">
        <f>K272*0.08+L272*0.08</f>
        <v/>
      </c>
      <c r="O272" s="17">
        <f>-(K272*0.025+L272*0.025)</f>
        <v/>
      </c>
      <c r="P272" s="17">
        <f>32</f>
        <v/>
      </c>
      <c r="Q272" s="17">
        <f>J272+L272+N272+O272-P272-M272</f>
        <v/>
      </c>
    </row>
    <row r="273">
      <c r="A273" s="16" t="inlineStr">
        <is>
          <t>5.1-5.7</t>
        </is>
      </c>
      <c r="B273" s="16" t="inlineStr">
        <is>
          <t>PO-128-08548685425272708</t>
        </is>
      </c>
      <c r="C273" s="16" t="inlineStr">
        <is>
          <t>Delivered</t>
        </is>
      </c>
      <c r="D273" s="16" t="inlineStr">
        <is>
          <t>128-08548702464632708</t>
        </is>
      </c>
      <c r="E273" s="16" t="inlineStr">
        <is>
          <t>Delivered</t>
        </is>
      </c>
      <c r="F273" s="16" t="inlineStr">
        <is>
          <t>BSC04</t>
        </is>
      </c>
      <c r="G273" s="16" t="inlineStr">
        <is>
          <t>TIANLAI Báscula Digital BSC04/BSC07, Alta Precisión, Fácil Operación, Ligera y Portátil, Función Tara, Unidad Dual oz/g, Ideal para Cocina, Control de Porciones, Sellos y Objetos Pequeños, Uso en Hogar y Viaje</t>
        </is>
      </c>
      <c r="H273" s="16" t="inlineStr">
        <is>
          <t>5g/White</t>
        </is>
      </c>
      <c r="I273" s="16" t="n">
        <v>2</v>
      </c>
      <c r="J273" s="17" t="n">
        <v>130</v>
      </c>
      <c r="K273" s="17" t="n">
        <v>162.62</v>
      </c>
      <c r="L273" s="17" t="n">
        <v>25.86</v>
      </c>
      <c r="M273" s="17" t="n">
        <v>0</v>
      </c>
      <c r="N273" s="17">
        <f>K273*0.08+L273*0.08</f>
        <v/>
      </c>
      <c r="O273" s="17">
        <f>-(K273*0.025+L273*0.025)</f>
        <v/>
      </c>
      <c r="P273" s="17">
        <f>32</f>
        <v/>
      </c>
      <c r="Q273" s="17">
        <f>J273+L273+N273+O273-P273-M273</f>
        <v/>
      </c>
    </row>
    <row r="274">
      <c r="A274" s="16" t="inlineStr">
        <is>
          <t>5.1-5.7</t>
        </is>
      </c>
      <c r="B274" s="16" t="inlineStr">
        <is>
          <t>PO-128-08286785608313439</t>
        </is>
      </c>
      <c r="C274" s="16" t="inlineStr">
        <is>
          <t>Delivered</t>
        </is>
      </c>
      <c r="D274" s="16" t="inlineStr">
        <is>
          <t>128-08286796094073439</t>
        </is>
      </c>
      <c r="E274" s="16" t="inlineStr">
        <is>
          <t>Delivered</t>
        </is>
      </c>
      <c r="F274" s="16" t="inlineStr">
        <is>
          <t>LV64W25</t>
        </is>
      </c>
      <c r="G2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4" s="16" t="inlineStr">
        <is>
          <t>Blanco</t>
        </is>
      </c>
      <c r="I274" s="16" t="n">
        <v>1</v>
      </c>
      <c r="J274" s="17" t="n">
        <v>125</v>
      </c>
      <c r="K274" s="17" t="n">
        <v>130.39</v>
      </c>
      <c r="L274" s="17" t="n">
        <v>25.86</v>
      </c>
      <c r="M274" s="17" t="n">
        <v>0</v>
      </c>
      <c r="N274" s="17">
        <f>K274*0.08+L274*0.08</f>
        <v/>
      </c>
      <c r="O274" s="17">
        <f>-(K274*0.025+L274*0.025)</f>
        <v/>
      </c>
      <c r="P274" s="17">
        <f>32</f>
        <v/>
      </c>
      <c r="Q274" s="17">
        <f>J274+L274+N274+O274-P274-M274</f>
        <v/>
      </c>
    </row>
    <row r="275">
      <c r="A275" s="16" t="inlineStr">
        <is>
          <t>5.1-5.7</t>
        </is>
      </c>
      <c r="B275" s="16" t="inlineStr">
        <is>
          <t>PO-128-08884037816950838</t>
        </is>
      </c>
      <c r="C275" s="16" t="inlineStr">
        <is>
          <t>Delivered</t>
        </is>
      </c>
      <c r="D275" s="16" t="inlineStr">
        <is>
          <t>128-08883995873910838</t>
        </is>
      </c>
      <c r="E275" s="16" t="inlineStr">
        <is>
          <t>Delivered</t>
        </is>
      </c>
      <c r="F275" s="16" t="inlineStr">
        <is>
          <t>LV54W25</t>
        </is>
      </c>
      <c r="G275" s="16" t="inlineStr">
        <is>
          <t>TIANLAI Lámpara Ventilador E27 2 en 1, Silenciosa, LED Alta Luminosidad 180°, Instalación Rápida, Ahorro Energético para Dormitorio y Interiores Pequeños</t>
        </is>
      </c>
      <c r="H275" s="16" t="inlineStr">
        <is>
          <t>1 Pieza</t>
        </is>
      </c>
      <c r="I275" s="16" t="n">
        <v>1</v>
      </c>
      <c r="J275" s="17" t="n">
        <v>79</v>
      </c>
      <c r="K275" s="17" t="n">
        <v>82.73</v>
      </c>
      <c r="L275" s="17" t="n">
        <v>25.86</v>
      </c>
      <c r="M275" s="17" t="n">
        <v>0</v>
      </c>
      <c r="N275" s="17">
        <f>K275*0.08+L275*0.08</f>
        <v/>
      </c>
      <c r="O275" s="17">
        <f>-(K275*0.025+L275*0.025)</f>
        <v/>
      </c>
      <c r="P275" s="17">
        <f>32</f>
        <v/>
      </c>
      <c r="Q275" s="17">
        <f>J275+L275+N275+O275-P275-M275</f>
        <v/>
      </c>
    </row>
    <row r="276">
      <c r="A276" s="16" t="inlineStr">
        <is>
          <t>5.1-5.7</t>
        </is>
      </c>
      <c r="B276" s="16" t="inlineStr">
        <is>
          <t>PO-128-08831315057270000</t>
        </is>
      </c>
      <c r="C276" s="16" t="inlineStr">
        <is>
          <t>Delivered</t>
        </is>
      </c>
      <c r="D276" s="16" t="inlineStr">
        <is>
          <t>128-08831336028790000</t>
        </is>
      </c>
      <c r="E276" s="16" t="inlineStr">
        <is>
          <t>Delivered</t>
        </is>
      </c>
      <c r="F276" s="16" t="inlineStr">
        <is>
          <t>LV64W25</t>
        </is>
      </c>
      <c r="G2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6" s="16" t="inlineStr">
        <is>
          <t>Blanco</t>
        </is>
      </c>
      <c r="I276" s="16" t="n">
        <v>1</v>
      </c>
      <c r="J276" s="17" t="n">
        <v>125</v>
      </c>
      <c r="K276" s="17" t="n">
        <v>143.28</v>
      </c>
      <c r="L276" s="17" t="n">
        <v>25.86</v>
      </c>
      <c r="M276" s="17" t="n">
        <v>0</v>
      </c>
      <c r="N276" s="17">
        <f>K276*0.08+L276*0.08</f>
        <v/>
      </c>
      <c r="O276" s="17">
        <f>-(K276*0.025+L276*0.025)</f>
        <v/>
      </c>
      <c r="P276" s="17">
        <f>32</f>
        <v/>
      </c>
      <c r="Q276" s="17">
        <f>J276+L276+N276+O276-P276-M276</f>
        <v/>
      </c>
    </row>
    <row r="277">
      <c r="A277" s="16" t="inlineStr">
        <is>
          <t>5.1-5.7</t>
        </is>
      </c>
      <c r="B277" s="16" t="inlineStr">
        <is>
          <t>PO-128-08476987751032240</t>
        </is>
      </c>
      <c r="C277" s="16" t="inlineStr">
        <is>
          <t>Delivered</t>
        </is>
      </c>
      <c r="D277" s="16" t="inlineStr">
        <is>
          <t>128-08477013965432240</t>
        </is>
      </c>
      <c r="E277" s="16" t="inlineStr">
        <is>
          <t>Delivered</t>
        </is>
      </c>
      <c r="F277" s="16" t="inlineStr">
        <is>
          <t>LV64W25</t>
        </is>
      </c>
      <c r="G2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7" s="16" t="inlineStr">
        <is>
          <t>Blanco</t>
        </is>
      </c>
      <c r="I277" s="16" t="n">
        <v>3</v>
      </c>
      <c r="J277" s="17" t="n">
        <v>375</v>
      </c>
      <c r="K277" s="17" t="n">
        <v>429.84</v>
      </c>
      <c r="L277" s="17" t="n">
        <v>0</v>
      </c>
      <c r="M277" s="17" t="n">
        <v>0</v>
      </c>
      <c r="N277" s="17">
        <f>K277*0.08+L277*0.08</f>
        <v/>
      </c>
      <c r="O277" s="17">
        <f>-(K277*0.025+L277*0.025)</f>
        <v/>
      </c>
      <c r="P277" s="17">
        <f>32</f>
        <v/>
      </c>
      <c r="Q277" s="17">
        <f>J277+L277+N277+O277-P277-M277</f>
        <v/>
      </c>
    </row>
    <row r="278">
      <c r="A278" s="16" t="inlineStr">
        <is>
          <t>5.1-5.7</t>
        </is>
      </c>
      <c r="B278" s="16" t="inlineStr">
        <is>
          <t>PO-128-08863463588470960</t>
        </is>
      </c>
      <c r="C278" s="16" t="inlineStr">
        <is>
          <t>Delivered</t>
        </is>
      </c>
      <c r="D278" s="16" t="inlineStr">
        <is>
          <t>128-08863505531510960</t>
        </is>
      </c>
      <c r="E278" s="16" t="inlineStr">
        <is>
          <t>Delivered</t>
        </is>
      </c>
      <c r="F278" s="16" t="inlineStr">
        <is>
          <t>TL2663N18C</t>
        </is>
      </c>
      <c r="G278" s="16" t="inlineStr">
        <is>
          <t>Linkbits，Soporte de pared fijo para televisores de 26"-63", Ultra-Delgado Compatible con VESA 400x400mm, Capacidad de Peso Fuerte de 25KG, Instalación Fácil Sin Electricidad</t>
        </is>
      </c>
      <c r="H278" s="16" t="inlineStr">
        <is>
          <t>NEGRO</t>
        </is>
      </c>
      <c r="I278" s="16" t="n">
        <v>1</v>
      </c>
      <c r="J278" s="17" t="n">
        <v>55.5</v>
      </c>
      <c r="K278" s="17" t="n">
        <v>70.48999999999999</v>
      </c>
      <c r="L278" s="17" t="n">
        <v>25.86</v>
      </c>
      <c r="M278" s="17" t="n">
        <v>0</v>
      </c>
      <c r="N278" s="17">
        <f>K278*0.08+L278*0.08</f>
        <v/>
      </c>
      <c r="O278" s="17">
        <f>-(K278*0.025+L278*0.025)</f>
        <v/>
      </c>
      <c r="P278" s="17">
        <f>32</f>
        <v/>
      </c>
      <c r="Q278" s="17">
        <f>J278+L278+N278+O278-P278-M278</f>
        <v/>
      </c>
    </row>
    <row r="279">
      <c r="A279" s="16" t="inlineStr">
        <is>
          <t>5.1-5.7</t>
        </is>
      </c>
      <c r="B279" s="16" t="inlineStr">
        <is>
          <t>PO-128-08583644949112628</t>
        </is>
      </c>
      <c r="C279" s="16" t="inlineStr">
        <is>
          <t>Delivered</t>
        </is>
      </c>
      <c r="D279" s="16" t="inlineStr">
        <is>
          <t>128-08583724903032628</t>
        </is>
      </c>
      <c r="E279" s="16" t="inlineStr">
        <is>
          <t>Delivered</t>
        </is>
      </c>
      <c r="F279" s="16" t="inlineStr">
        <is>
          <t>LV64W25</t>
        </is>
      </c>
      <c r="G2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9" s="16" t="inlineStr">
        <is>
          <t>Blanco</t>
        </is>
      </c>
      <c r="I279" s="16" t="n">
        <v>1</v>
      </c>
      <c r="J279" s="17" t="n">
        <v>125</v>
      </c>
      <c r="K279" s="17" t="n">
        <v>128.95</v>
      </c>
      <c r="L279" s="17" t="n">
        <v>25.86</v>
      </c>
      <c r="M279" s="17" t="n">
        <v>0</v>
      </c>
      <c r="N279" s="17">
        <f>K279*0.08+L279*0.08</f>
        <v/>
      </c>
      <c r="O279" s="17">
        <f>-(K279*0.025+L279*0.025)</f>
        <v/>
      </c>
      <c r="P279" s="17">
        <f>32</f>
        <v/>
      </c>
      <c r="Q279" s="17">
        <f>J279+L279+N279+O279-P279-M279</f>
        <v/>
      </c>
    </row>
    <row r="280">
      <c r="A280" s="16" t="inlineStr">
        <is>
          <t>5.1-5.7</t>
        </is>
      </c>
      <c r="B280" s="16" t="inlineStr">
        <is>
          <t>PO-128-08390923356793779</t>
        </is>
      </c>
      <c r="C280" s="16" t="inlineStr">
        <is>
          <t>Delivered</t>
        </is>
      </c>
      <c r="D280" s="16" t="inlineStr">
        <is>
          <t>128-08390881413753779</t>
        </is>
      </c>
      <c r="E280" s="16" t="inlineStr">
        <is>
          <t>Delivered</t>
        </is>
      </c>
      <c r="F280" s="16" t="inlineStr">
        <is>
          <t>LV64W25</t>
        </is>
      </c>
      <c r="G2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0" s="16" t="inlineStr">
        <is>
          <t>Blanco</t>
        </is>
      </c>
      <c r="I280" s="16" t="n">
        <v>2</v>
      </c>
      <c r="J280" s="17" t="n">
        <v>250</v>
      </c>
      <c r="K280" s="17" t="n">
        <v>175.14</v>
      </c>
      <c r="L280" s="17" t="n">
        <v>0</v>
      </c>
      <c r="M280" s="17" t="n">
        <v>7.34</v>
      </c>
      <c r="N280" s="17">
        <f>K280*0.08+L280*0.08</f>
        <v/>
      </c>
      <c r="O280" s="17">
        <f>-(K280*0.025+L280*0.025)</f>
        <v/>
      </c>
      <c r="P280" s="17">
        <f>32</f>
        <v/>
      </c>
      <c r="Q280" s="17">
        <f>J280+L280+N280+O280-P280-M280</f>
        <v/>
      </c>
    </row>
    <row r="281">
      <c r="A281" s="16" t="inlineStr">
        <is>
          <t>5.1-5.7</t>
        </is>
      </c>
      <c r="B281" s="16" t="inlineStr">
        <is>
          <t>PO-128-08415814595193692</t>
        </is>
      </c>
      <c r="C281" s="16" t="inlineStr">
        <is>
          <t>Delivered</t>
        </is>
      </c>
      <c r="D281" s="16" t="inlineStr">
        <is>
          <t>128-08415819838073692</t>
        </is>
      </c>
      <c r="E281" s="16" t="inlineStr">
        <is>
          <t>Delivered</t>
        </is>
      </c>
      <c r="F281" s="16" t="inlineStr">
        <is>
          <t>LV64W25</t>
        </is>
      </c>
      <c r="G2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1" s="16" t="inlineStr">
        <is>
          <t>Blanco</t>
        </is>
      </c>
      <c r="I281" s="16" t="n">
        <v>3</v>
      </c>
      <c r="J281" s="17" t="n">
        <v>375</v>
      </c>
      <c r="K281" s="17" t="n">
        <v>309.5</v>
      </c>
      <c r="L281" s="17" t="n">
        <v>0</v>
      </c>
      <c r="M281" s="17" t="n">
        <v>13.02</v>
      </c>
      <c r="N281" s="17">
        <f>K281*0.08+L281*0.08</f>
        <v/>
      </c>
      <c r="O281" s="17">
        <f>-(K281*0.025+L281*0.025)</f>
        <v/>
      </c>
      <c r="P281" s="17">
        <f>32</f>
        <v/>
      </c>
      <c r="Q281" s="17">
        <f>J281+L281+N281+O281-P281-M281</f>
        <v/>
      </c>
    </row>
    <row r="282">
      <c r="A282" s="16" t="inlineStr">
        <is>
          <t>5.1-5.7</t>
        </is>
      </c>
      <c r="B282" s="16" t="inlineStr">
        <is>
          <t>PO-128-08269582490233348</t>
        </is>
      </c>
      <c r="C282" s="16" t="inlineStr">
        <is>
          <t>Delivered</t>
        </is>
      </c>
      <c r="D282" s="16" t="inlineStr">
        <is>
          <t>128-08269650647673348</t>
        </is>
      </c>
      <c r="E282" s="16" t="inlineStr">
        <is>
          <t>Delivered</t>
        </is>
      </c>
      <c r="F282" s="16" t="inlineStr">
        <is>
          <t>LV54W25</t>
        </is>
      </c>
      <c r="G282" s="16" t="inlineStr">
        <is>
          <t>TIANLAI Lámpara Ventilador E27 2 en 1, Silenciosa, LED Alta Luminosidad 180°, Instalación Rápida, Ahorro Energético para Dormitorio y Interiores Pequeños</t>
        </is>
      </c>
      <c r="H282" s="16" t="inlineStr">
        <is>
          <t>1 Pieza</t>
        </is>
      </c>
      <c r="I282" s="16" t="n">
        <v>1</v>
      </c>
      <c r="J282" s="17" t="n">
        <v>79</v>
      </c>
      <c r="K282" s="17" t="n">
        <v>39.63</v>
      </c>
      <c r="L282" s="17" t="n">
        <v>25.86</v>
      </c>
      <c r="M282" s="17" t="n">
        <v>0</v>
      </c>
      <c r="N282" s="17">
        <f>K282*0.08+L282*0.08</f>
        <v/>
      </c>
      <c r="O282" s="17">
        <f>-(K282*0.025+L282*0.025)</f>
        <v/>
      </c>
      <c r="P282" s="17">
        <f>32</f>
        <v/>
      </c>
      <c r="Q282" s="17">
        <f>J282+L282+N282+O282-P282-M282</f>
        <v/>
      </c>
    </row>
    <row r="283">
      <c r="A283" s="16" t="inlineStr">
        <is>
          <t>5.1-5.7</t>
        </is>
      </c>
      <c r="B283" s="16" t="inlineStr">
        <is>
          <t>PO-128-08714395863671915</t>
        </is>
      </c>
      <c r="C283" s="16" t="inlineStr">
        <is>
          <t>Delivered</t>
        </is>
      </c>
      <c r="D283" s="16" t="inlineStr">
        <is>
          <t>128-08714406349431915</t>
        </is>
      </c>
      <c r="E283" s="16" t="inlineStr">
        <is>
          <t>Delivered</t>
        </is>
      </c>
      <c r="F283" s="16" t="inlineStr">
        <is>
          <t>BSC04</t>
        </is>
      </c>
      <c r="G283" s="16" t="inlineStr">
        <is>
          <t>TIANLAI Báscula Digital BSC04/BSC07, Alta Precisión, Fácil Operación, Ligera y Portátil, Función Tara, Unidad Dual oz/g, Ideal para Cocina, Control de Porciones, Sellos y Objetos Pequeños, Uso en Hogar y Viaje</t>
        </is>
      </c>
      <c r="H283" s="16" t="inlineStr">
        <is>
          <t>5g/White</t>
        </is>
      </c>
      <c r="I283" s="16" t="n">
        <v>1</v>
      </c>
      <c r="J283" s="17" t="n">
        <v>65</v>
      </c>
      <c r="K283" s="17" t="n">
        <v>81.31</v>
      </c>
      <c r="L283" s="17" t="n">
        <v>25.86</v>
      </c>
      <c r="M283" s="17" t="n">
        <v>0</v>
      </c>
      <c r="N283" s="17">
        <f>K283*0.08+L283*0.08</f>
        <v/>
      </c>
      <c r="O283" s="17">
        <f>-(K283*0.025+L283*0.025)</f>
        <v/>
      </c>
      <c r="P283" s="17">
        <f>32</f>
        <v/>
      </c>
      <c r="Q283" s="17">
        <f>J283+L283+N283+O283-P283-M283</f>
        <v/>
      </c>
    </row>
    <row r="284">
      <c r="A284" s="16" t="inlineStr">
        <is>
          <t>5.1-5.7</t>
        </is>
      </c>
      <c r="B284" s="16" t="inlineStr">
        <is>
          <t>PO-128-08776863427190452</t>
        </is>
      </c>
      <c r="C284" s="16" t="inlineStr">
        <is>
          <t>Delivered</t>
        </is>
      </c>
      <c r="D284" s="16" t="inlineStr">
        <is>
          <t>128-08776968284790452</t>
        </is>
      </c>
      <c r="E284" s="16" t="inlineStr">
        <is>
          <t>Delivered</t>
        </is>
      </c>
      <c r="F284" s="16" t="inlineStr">
        <is>
          <t>LV64W25</t>
        </is>
      </c>
      <c r="G2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4" s="16" t="inlineStr">
        <is>
          <t>Blanco</t>
        </is>
      </c>
      <c r="I284" s="16" t="n">
        <v>2</v>
      </c>
      <c r="J284" s="17" t="n">
        <v>250</v>
      </c>
      <c r="K284" s="17" t="n">
        <v>257.9</v>
      </c>
      <c r="L284" s="17" t="n">
        <v>0</v>
      </c>
      <c r="M284" s="17" t="n">
        <v>0</v>
      </c>
      <c r="N284" s="17">
        <f>K284*0.08+L284*0.08</f>
        <v/>
      </c>
      <c r="O284" s="17">
        <f>-(K284*0.025+L284*0.025)</f>
        <v/>
      </c>
      <c r="P284" s="17">
        <f>32</f>
        <v/>
      </c>
      <c r="Q284" s="17">
        <f>J284+L284+N284+O284-P284-M284</f>
        <v/>
      </c>
    </row>
    <row r="285">
      <c r="A285" s="16" t="inlineStr">
        <is>
          <t>5.1-5.7</t>
        </is>
      </c>
      <c r="B285" s="16" t="inlineStr">
        <is>
          <t>PO-128-08857681132150933</t>
        </is>
      </c>
      <c r="C285" s="16" t="inlineStr">
        <is>
          <t>Delivered</t>
        </is>
      </c>
      <c r="D285" s="16" t="inlineStr">
        <is>
          <t>128-08857639189110933</t>
        </is>
      </c>
      <c r="E285" s="16" t="inlineStr">
        <is>
          <t>Delivered</t>
        </is>
      </c>
      <c r="F285" s="16" t="inlineStr">
        <is>
          <t>LV54W25</t>
        </is>
      </c>
      <c r="G285" s="16" t="inlineStr">
        <is>
          <t>TIANLAI Lámpara Ventilador E27 2 en 1, Silenciosa, LED Alta Luminosidad 180°, Instalación Rápida, Ahorro Energético para Dormitorio y Interiores Pequeños</t>
        </is>
      </c>
      <c r="H285" s="16" t="inlineStr">
        <is>
          <t>1 Pieza</t>
        </is>
      </c>
      <c r="I285" s="16" t="n">
        <v>1</v>
      </c>
      <c r="J285" s="17" t="n">
        <v>79</v>
      </c>
      <c r="K285" s="17" t="n">
        <v>82.73</v>
      </c>
      <c r="L285" s="17" t="n">
        <v>25.86</v>
      </c>
      <c r="M285" s="17" t="n">
        <v>0</v>
      </c>
      <c r="N285" s="17">
        <f>K285*0.08+L285*0.08</f>
        <v/>
      </c>
      <c r="O285" s="17">
        <f>-(K285*0.025+L285*0.025)</f>
        <v/>
      </c>
      <c r="P285" s="17">
        <f>32</f>
        <v/>
      </c>
      <c r="Q285" s="17">
        <f>J285+L285+N285+O285-P285-M285</f>
        <v/>
      </c>
    </row>
    <row r="286">
      <c r="A286" s="16" t="inlineStr">
        <is>
          <t>5.1-5.7</t>
        </is>
      </c>
      <c r="B286" s="16" t="inlineStr">
        <is>
          <t>PO-128-08607841608311524</t>
        </is>
      </c>
      <c r="C286" s="16" t="inlineStr">
        <is>
          <t>Delivered</t>
        </is>
      </c>
      <c r="D286" s="16" t="inlineStr">
        <is>
          <t>128-08607862579831524</t>
        </is>
      </c>
      <c r="E286" s="16" t="inlineStr">
        <is>
          <t>Delivered</t>
        </is>
      </c>
      <c r="F286" s="16" t="inlineStr">
        <is>
          <t>TL1412N17C</t>
        </is>
      </c>
      <c r="G286" s="16" t="inlineStr">
        <is>
          <t>Linkbits, Soporte de Pared Fijo para TV y Monitor de 14"-43", Ultra Delgado 2.3cm, Fuerte Capacidad de Peso de 25KG, Fácil Instalación con Accesorios Completos</t>
        </is>
      </c>
      <c r="H286" s="16" t="inlineStr">
        <is>
          <t>NEGRO</t>
        </is>
      </c>
      <c r="I286" s="16" t="n">
        <v>1</v>
      </c>
      <c r="J286" s="17" t="n">
        <v>36.84</v>
      </c>
      <c r="K286" s="17" t="n">
        <v>5.44</v>
      </c>
      <c r="L286" s="17" t="n">
        <v>25.86</v>
      </c>
      <c r="M286" s="17" t="n">
        <v>0</v>
      </c>
      <c r="N286" s="17">
        <f>K286*0.08+L286*0.08</f>
        <v/>
      </c>
      <c r="O286" s="17">
        <f>-(K286*0.025+L286*0.025)</f>
        <v/>
      </c>
      <c r="P286" s="17">
        <f>32</f>
        <v/>
      </c>
      <c r="Q286" s="17">
        <f>J286+L286+N286+O286-P286-M286</f>
        <v/>
      </c>
    </row>
    <row r="287">
      <c r="A287" s="16" t="inlineStr">
        <is>
          <t>5.1-5.7</t>
        </is>
      </c>
      <c r="B287" s="16" t="inlineStr">
        <is>
          <t>PO-128-08496990126712120</t>
        </is>
      </c>
      <c r="C287" s="16" t="inlineStr">
        <is>
          <t>Delivered</t>
        </is>
      </c>
      <c r="D287" s="16" t="inlineStr">
        <is>
          <t>128-08497070080632120</t>
        </is>
      </c>
      <c r="E287" s="16" t="inlineStr">
        <is>
          <t>Delivered</t>
        </is>
      </c>
      <c r="F287" s="16" t="inlineStr">
        <is>
          <t>LV64W25</t>
        </is>
      </c>
      <c r="G2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7" s="16" t="inlineStr">
        <is>
          <t>Blanco</t>
        </is>
      </c>
      <c r="I287" s="16" t="n">
        <v>1</v>
      </c>
      <c r="J287" s="17" t="n">
        <v>125</v>
      </c>
      <c r="K287" s="17" t="n">
        <v>143.28</v>
      </c>
      <c r="L287" s="17" t="n">
        <v>25.86</v>
      </c>
      <c r="M287" s="17" t="n">
        <v>0</v>
      </c>
      <c r="N287" s="17">
        <f>K287*0.08+L287*0.08</f>
        <v/>
      </c>
      <c r="O287" s="17">
        <f>-(K287*0.025+L287*0.025)</f>
        <v/>
      </c>
      <c r="P287" s="17">
        <f>32</f>
        <v/>
      </c>
      <c r="Q287" s="17">
        <f>J287+L287+N287+O287-P287-M287</f>
        <v/>
      </c>
    </row>
    <row r="288">
      <c r="A288" s="16" t="inlineStr">
        <is>
          <t>5.1-5.7</t>
        </is>
      </c>
      <c r="B288" s="16" t="inlineStr">
        <is>
          <t>PO-128-08828275559030018</t>
        </is>
      </c>
      <c r="C288" s="16" t="inlineStr">
        <is>
          <t>Delivered</t>
        </is>
      </c>
      <c r="D288" s="16" t="inlineStr">
        <is>
          <t>128-08828327987830018</t>
        </is>
      </c>
      <c r="E288" s="16" t="inlineStr">
        <is>
          <t>Delivered</t>
        </is>
      </c>
      <c r="F288" s="16" t="inlineStr">
        <is>
          <t>LV64W25</t>
        </is>
      </c>
      <c r="G2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8" s="16" t="inlineStr">
        <is>
          <t>Blanco</t>
        </is>
      </c>
      <c r="I288" s="16" t="n">
        <v>1</v>
      </c>
      <c r="J288" s="17" t="n">
        <v>125</v>
      </c>
      <c r="K288" s="17" t="n">
        <v>109.61</v>
      </c>
      <c r="L288" s="17" t="n">
        <v>25.86</v>
      </c>
      <c r="M288" s="17" t="n">
        <v>0</v>
      </c>
      <c r="N288" s="17">
        <f>K288*0.08+L288*0.08</f>
        <v/>
      </c>
      <c r="O288" s="17">
        <f>-(K288*0.025+L288*0.025)</f>
        <v/>
      </c>
      <c r="P288" s="17">
        <f>32</f>
        <v/>
      </c>
      <c r="Q288" s="17">
        <f>J288+L288+N288+O288-P288-M288</f>
        <v/>
      </c>
    </row>
    <row r="289">
      <c r="A289" s="16" t="inlineStr">
        <is>
          <t>5.1-5.7</t>
        </is>
      </c>
      <c r="B289" s="16" t="inlineStr">
        <is>
          <t>PO-128-08248168182393476</t>
        </is>
      </c>
      <c r="C289" s="16" t="inlineStr">
        <is>
          <t>Delivered</t>
        </is>
      </c>
      <c r="D289" s="16" t="inlineStr">
        <is>
          <t>128-08248126239353476</t>
        </is>
      </c>
      <c r="E289" s="16" t="inlineStr">
        <is>
          <t>Delivered</t>
        </is>
      </c>
      <c r="F289" s="16" t="inlineStr">
        <is>
          <t>LV64W25</t>
        </is>
      </c>
      <c r="G2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9" s="16" t="inlineStr">
        <is>
          <t>Blanco</t>
        </is>
      </c>
      <c r="I289" s="16" t="n">
        <v>1</v>
      </c>
      <c r="J289" s="17" t="n">
        <v>125</v>
      </c>
      <c r="K289" s="17" t="n">
        <v>143.28</v>
      </c>
      <c r="L289" s="17" t="n">
        <v>25.86</v>
      </c>
      <c r="M289" s="17" t="n">
        <v>0</v>
      </c>
      <c r="N289" s="17">
        <f>K289*0.08+L289*0.08</f>
        <v/>
      </c>
      <c r="O289" s="17">
        <f>-(K289*0.025+L289*0.025)</f>
        <v/>
      </c>
      <c r="P289" s="17">
        <f>32</f>
        <v/>
      </c>
      <c r="Q289" s="17">
        <f>J289+L289+N289+O289-P289-M289</f>
        <v/>
      </c>
    </row>
    <row r="290">
      <c r="A290" s="16" t="inlineStr">
        <is>
          <t>5.1-5.7</t>
        </is>
      </c>
      <c r="B290" s="16" t="inlineStr">
        <is>
          <t>PO-128-08262777191033583</t>
        </is>
      </c>
      <c r="C290" s="16" t="inlineStr">
        <is>
          <t>Delivered</t>
        </is>
      </c>
      <c r="D290" s="16" t="inlineStr">
        <is>
          <t>128-08262735247993583</t>
        </is>
      </c>
      <c r="E290" s="16" t="inlineStr">
        <is>
          <t>Delivered</t>
        </is>
      </c>
      <c r="F290" s="16" t="inlineStr">
        <is>
          <t>LV64W25</t>
        </is>
      </c>
      <c r="G2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 s="16" t="inlineStr">
        <is>
          <t>Blanco</t>
        </is>
      </c>
      <c r="I290" s="16" t="n">
        <v>3</v>
      </c>
      <c r="J290" s="17" t="n">
        <v>375</v>
      </c>
      <c r="K290" s="17" t="n">
        <v>50.53</v>
      </c>
      <c r="L290" s="17" t="n">
        <v>0</v>
      </c>
      <c r="M290" s="17" t="n">
        <v>0</v>
      </c>
      <c r="N290" s="17">
        <f>K290*0.08+L290*0.08</f>
        <v/>
      </c>
      <c r="O290" s="17">
        <f>-(K290*0.025+L290*0.025)</f>
        <v/>
      </c>
      <c r="P290" s="17">
        <f>32</f>
        <v/>
      </c>
      <c r="Q290" s="17">
        <f>J290+L290+N290+O290-P290-M290</f>
        <v/>
      </c>
    </row>
    <row r="291">
      <c r="A291" s="16" t="inlineStr">
        <is>
          <t>5.1-5.7</t>
        </is>
      </c>
      <c r="B291" s="16" t="inlineStr">
        <is>
          <t>PO-128-08811901071990181</t>
        </is>
      </c>
      <c r="C291" s="16" t="inlineStr">
        <is>
          <t>Delivered</t>
        </is>
      </c>
      <c r="D291" s="16" t="inlineStr">
        <is>
          <t>128-08811914179190181</t>
        </is>
      </c>
      <c r="E291" s="16" t="inlineStr">
        <is>
          <t>Delivered</t>
        </is>
      </c>
      <c r="F291" s="16" t="inlineStr">
        <is>
          <t>MB-174-N</t>
        </is>
      </c>
      <c r="G291" s="16" t="inlineStr">
        <is>
          <t>LINK BITS MB-174 Mini Bocina Bluetooth Soporte para Celular Integrado TWS Luz Ambiental 5W 80dB Sonido Claro Carga TYPE-C Material ABS Portátil Ideal como Regalo para Hogar Oficina Exterior Picnic</t>
        </is>
      </c>
      <c r="H291" s="16" t="inlineStr">
        <is>
          <t>NEGRO</t>
        </is>
      </c>
      <c r="I291" s="16" t="n">
        <v>1</v>
      </c>
      <c r="J291" s="17" t="n">
        <v>94.5</v>
      </c>
      <c r="K291" s="17" t="n">
        <v>112.57</v>
      </c>
      <c r="L291" s="17" t="n">
        <v>25.86</v>
      </c>
      <c r="M291" s="17" t="n">
        <v>0</v>
      </c>
      <c r="N291" s="17">
        <f>K291*0.08+L291*0.08</f>
        <v/>
      </c>
      <c r="O291" s="17">
        <f>-(K291*0.025+L291*0.025)</f>
        <v/>
      </c>
      <c r="P291" s="17">
        <f>32</f>
        <v/>
      </c>
      <c r="Q291" s="17">
        <f>J291+L291+N291+O291-P291-M291</f>
        <v/>
      </c>
    </row>
    <row r="292">
      <c r="A292" s="16" t="inlineStr">
        <is>
          <t>5.1-5.7</t>
        </is>
      </c>
      <c r="B292" s="16" t="inlineStr">
        <is>
          <t>PO-128-08903620967030723</t>
        </is>
      </c>
      <c r="C292" s="16" t="inlineStr">
        <is>
          <t>Delivered</t>
        </is>
      </c>
      <c r="D292" s="16" t="inlineStr">
        <is>
          <t>128-08903599995510723</t>
        </is>
      </c>
      <c r="E292" s="16" t="inlineStr">
        <is>
          <t>Delivered</t>
        </is>
      </c>
      <c r="F292" s="16" t="inlineStr">
        <is>
          <t>LV54W25</t>
        </is>
      </c>
      <c r="G292" s="16" t="inlineStr">
        <is>
          <t>TIANLAI Lámpara Ventilador E27 2 en 1, Silenciosa, LED Alta Luminosidad 180°, Instalación Rápida, Ahorro Energético para Dormitorio y Interiores Pequeños</t>
        </is>
      </c>
      <c r="H292" s="16" t="inlineStr">
        <is>
          <t>1 Pieza</t>
        </is>
      </c>
      <c r="I292" s="16" t="n">
        <v>1</v>
      </c>
      <c r="J292" s="17" t="n">
        <v>79</v>
      </c>
      <c r="K292" s="17" t="n">
        <v>96.2</v>
      </c>
      <c r="L292" s="17" t="n">
        <v>25.86</v>
      </c>
      <c r="M292" s="17" t="n">
        <v>0</v>
      </c>
      <c r="N292" s="17">
        <f>K292*0.08+L292*0.08</f>
        <v/>
      </c>
      <c r="O292" s="17">
        <f>-(K292*0.025+L292*0.025)</f>
        <v/>
      </c>
      <c r="P292" s="17">
        <f>32</f>
        <v/>
      </c>
      <c r="Q292" s="17">
        <f>J292+L292+N292+O292-P292-M292</f>
        <v/>
      </c>
    </row>
    <row r="293">
      <c r="A293" s="16" t="inlineStr">
        <is>
          <t>5.1-5.7</t>
        </is>
      </c>
      <c r="B293" s="16" t="inlineStr">
        <is>
          <t>PO-128-08731648963191746</t>
        </is>
      </c>
      <c r="C293" s="16" t="inlineStr">
        <is>
          <t>Delivered</t>
        </is>
      </c>
      <c r="D293" s="16" t="inlineStr">
        <is>
          <t>128-08731627991671746</t>
        </is>
      </c>
      <c r="E293" s="16" t="inlineStr">
        <is>
          <t>Delivered</t>
        </is>
      </c>
      <c r="F293" s="16" t="inlineStr">
        <is>
          <t>LV54W25</t>
        </is>
      </c>
      <c r="G293" s="16" t="inlineStr">
        <is>
          <t>TIANLAI Lámpara Ventilador E27 2 en 1, Silenciosa, LED Alta Luminosidad 180°, Instalación Rápida, Ahorro Energético para Dormitorio y Interiores Pequeños</t>
        </is>
      </c>
      <c r="H293" s="16" t="inlineStr">
        <is>
          <t>1 Pieza</t>
        </is>
      </c>
      <c r="I293" s="16" t="n">
        <v>1</v>
      </c>
      <c r="J293" s="17" t="n">
        <v>79</v>
      </c>
      <c r="K293" s="17" t="n">
        <v>66.06999999999999</v>
      </c>
      <c r="L293" s="17" t="n">
        <v>25.86</v>
      </c>
      <c r="M293" s="17" t="n">
        <v>0</v>
      </c>
      <c r="N293" s="17">
        <f>K293*0.08+L293*0.08</f>
        <v/>
      </c>
      <c r="O293" s="17">
        <f>-(K293*0.025+L293*0.025)</f>
        <v/>
      </c>
      <c r="P293" s="17">
        <f>32</f>
        <v/>
      </c>
      <c r="Q293" s="17">
        <f>J293+L293+N293+O293-P293-M293</f>
        <v/>
      </c>
    </row>
    <row r="294">
      <c r="A294" s="16" t="inlineStr">
        <is>
          <t>5.1-5.7</t>
        </is>
      </c>
      <c r="B294" s="16" t="inlineStr">
        <is>
          <t>PO-128-08674982554231124</t>
        </is>
      </c>
      <c r="C294" s="16" t="inlineStr">
        <is>
          <t>Delivered</t>
        </is>
      </c>
      <c r="D294" s="16" t="inlineStr">
        <is>
          <t>128-08674940611191124</t>
        </is>
      </c>
      <c r="E294" s="16" t="inlineStr">
        <is>
          <t>Delivered</t>
        </is>
      </c>
      <c r="F294" s="16" t="inlineStr">
        <is>
          <t>KTS-2031</t>
        </is>
      </c>
      <c r="G294" s="16" t="inlineStr">
        <is>
          <t>Bocina inalámbrica de 3 pulgadas con linterna multifuncional y panel solar integrado.Altavoz Portátil con Linterna LED 4 Modos, Radio FM, Bluetooth, Carga Solar, Ideal para Apagones, Emergencias, Campo y Exteriores</t>
        </is>
      </c>
      <c r="H294" s="16" t="inlineStr">
        <is>
          <t>NEGRO</t>
        </is>
      </c>
      <c r="I294" s="16" t="n">
        <v>1</v>
      </c>
      <c r="J294" s="17" t="n">
        <v>75</v>
      </c>
      <c r="K294" s="17" t="n">
        <v>32.51</v>
      </c>
      <c r="L294" s="17" t="n">
        <v>25.86</v>
      </c>
      <c r="M294" s="17" t="n">
        <v>0</v>
      </c>
      <c r="N294" s="17">
        <f>K294*0.08+L294*0.08</f>
        <v/>
      </c>
      <c r="O294" s="17">
        <f>-(K294*0.025+L294*0.025)</f>
        <v/>
      </c>
      <c r="P294" s="17">
        <f>32</f>
        <v/>
      </c>
      <c r="Q294" s="17">
        <f>J294+L294+N294+O294-P294-M294</f>
        <v/>
      </c>
    </row>
    <row r="295">
      <c r="A295" s="16" t="inlineStr">
        <is>
          <t>5.1-5.7</t>
        </is>
      </c>
      <c r="B295" s="16" t="inlineStr">
        <is>
          <t>PO-128-08570670797432579</t>
        </is>
      </c>
      <c r="C295" s="16" t="inlineStr">
        <is>
          <t>Delivered</t>
        </is>
      </c>
      <c r="D295" s="16" t="inlineStr">
        <is>
          <t>128-08570775655032579</t>
        </is>
      </c>
      <c r="E295" s="16" t="inlineStr">
        <is>
          <t>Delivered</t>
        </is>
      </c>
      <c r="F295" s="16" t="inlineStr">
        <is>
          <t>LV64W25</t>
        </is>
      </c>
      <c r="G2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5" s="16" t="inlineStr">
        <is>
          <t>Blanco</t>
        </is>
      </c>
      <c r="I295" s="16" t="n">
        <v>4</v>
      </c>
      <c r="J295" s="17" t="n">
        <v>500</v>
      </c>
      <c r="K295" s="17" t="n">
        <v>573.12</v>
      </c>
      <c r="L295" s="17" t="n">
        <v>0</v>
      </c>
      <c r="M295" s="17" t="n">
        <v>0</v>
      </c>
      <c r="N295" s="17">
        <f>K295*0.08+L295*0.08</f>
        <v/>
      </c>
      <c r="O295" s="17">
        <f>-(K295*0.025+L295*0.025)</f>
        <v/>
      </c>
      <c r="P295" s="17">
        <f>32</f>
        <v/>
      </c>
      <c r="Q295" s="17">
        <f>J295+L295+N295+O295-P295-M295</f>
        <v/>
      </c>
    </row>
    <row r="296">
      <c r="A296" s="16" t="inlineStr">
        <is>
          <t>5.1-5.7</t>
        </is>
      </c>
      <c r="B296" s="16" t="inlineStr">
        <is>
          <t>PO-128-08930428109430627</t>
        </is>
      </c>
      <c r="C296" s="16" t="inlineStr">
        <is>
          <t>Delivered</t>
        </is>
      </c>
      <c r="D296" s="16" t="inlineStr">
        <is>
          <t>128-08930470052470627</t>
        </is>
      </c>
      <c r="E296" s="16" t="inlineStr">
        <is>
          <t>Delivered</t>
        </is>
      </c>
      <c r="F296" s="16" t="inlineStr">
        <is>
          <t>LV54W25</t>
        </is>
      </c>
      <c r="G296" s="16" t="inlineStr">
        <is>
          <t>TIANLAI Lámpara Ventilador E27 2 en 1, Silenciosa, LED Alta Luminosidad 180°, Instalación Rápida, Ahorro Energético para Dormitorio y Interiores Pequeños</t>
        </is>
      </c>
      <c r="H296" s="16" t="inlineStr">
        <is>
          <t>1 Pieza</t>
        </is>
      </c>
      <c r="I296" s="16" t="n">
        <v>3</v>
      </c>
      <c r="J296" s="17" t="n">
        <v>237</v>
      </c>
      <c r="K296" s="17" t="n">
        <v>248.19</v>
      </c>
      <c r="L296" s="17" t="n">
        <v>0</v>
      </c>
      <c r="M296" s="17" t="n">
        <v>0</v>
      </c>
      <c r="N296" s="17">
        <f>K296*0.08+L296*0.08</f>
        <v/>
      </c>
      <c r="O296" s="17">
        <f>-(K296*0.025+L296*0.025)</f>
        <v/>
      </c>
      <c r="P296" s="17">
        <f>32</f>
        <v/>
      </c>
      <c r="Q296" s="17">
        <f>J296+L296+N296+O296-P296-M296</f>
        <v/>
      </c>
    </row>
    <row r="297">
      <c r="A297" s="16" t="inlineStr">
        <is>
          <t>5.1-5.7</t>
        </is>
      </c>
      <c r="B297" s="16" t="inlineStr">
        <is>
          <t>PO-128-08652695030391256</t>
        </is>
      </c>
      <c r="C297" s="16" t="inlineStr">
        <is>
          <t>Delivered</t>
        </is>
      </c>
      <c r="D297" s="16" t="inlineStr">
        <is>
          <t>128-08652705516151256</t>
        </is>
      </c>
      <c r="E297" s="16" t="inlineStr">
        <is>
          <t>Delivered</t>
        </is>
      </c>
      <c r="F297" s="16" t="inlineStr">
        <is>
          <t>BG-115-B</t>
        </is>
      </c>
      <c r="G297" s="16" t="inlineStr">
        <is>
          <t>LINK BITS Audífonos Inalámbricos con Luces Multicolor, Recargables y en Adorable Forma de Orejas de Gato - Conecta a Celulares y PCs, Tiene Radio FM, Tarjeta TF y AUX - 7 Horas de Reproducción, Plegables y Perfectos para Trabajo, Juegos y Estudio</t>
        </is>
      </c>
      <c r="H297" s="16" t="inlineStr">
        <is>
          <t>blanco</t>
        </is>
      </c>
      <c r="I297" s="16" t="n">
        <v>1</v>
      </c>
      <c r="J297" s="17" t="n">
        <v>76</v>
      </c>
      <c r="K297" s="17" t="n">
        <v>73.73</v>
      </c>
      <c r="L297" s="17" t="n">
        <v>25.86</v>
      </c>
      <c r="M297" s="17" t="n">
        <v>0</v>
      </c>
      <c r="N297" s="17">
        <f>K297*0.08+L297*0.08</f>
        <v/>
      </c>
      <c r="O297" s="17">
        <f>-(K297*0.025+L297*0.025)</f>
        <v/>
      </c>
      <c r="P297" s="17">
        <f>32</f>
        <v/>
      </c>
      <c r="Q297" s="17">
        <f>J297+L297+N297+O297-P297-M297</f>
        <v/>
      </c>
    </row>
    <row r="298">
      <c r="A298" s="16" t="inlineStr">
        <is>
          <t>5.1-5.7</t>
        </is>
      </c>
      <c r="B298" s="16" t="inlineStr">
        <is>
          <t>PO-128-08815119452790160</t>
        </is>
      </c>
      <c r="C298" s="16" t="inlineStr">
        <is>
          <t>Delivered</t>
        </is>
      </c>
      <c r="D298" s="16" t="inlineStr">
        <is>
          <t>128-08815098481270160</t>
        </is>
      </c>
      <c r="E298" s="16" t="inlineStr">
        <is>
          <t>Delivered</t>
        </is>
      </c>
      <c r="F298" s="16" t="inlineStr">
        <is>
          <t>LV64W25</t>
        </is>
      </c>
      <c r="G2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8" s="16" t="inlineStr">
        <is>
          <t>Blanco</t>
        </is>
      </c>
      <c r="I298" s="16" t="n">
        <v>1</v>
      </c>
      <c r="J298" s="17" t="n">
        <v>125</v>
      </c>
      <c r="K298" s="17" t="n">
        <v>135.17</v>
      </c>
      <c r="L298" s="17" t="n">
        <v>25.86</v>
      </c>
      <c r="M298" s="17" t="n">
        <v>0</v>
      </c>
      <c r="N298" s="17">
        <f>K298*0.08+L298*0.08</f>
        <v/>
      </c>
      <c r="O298" s="17">
        <f>-(K298*0.025+L298*0.025)</f>
        <v/>
      </c>
      <c r="P298" s="17">
        <f>32</f>
        <v/>
      </c>
      <c r="Q298" s="17">
        <f>J298+L298+N298+O298-P298-M298</f>
        <v/>
      </c>
    </row>
    <row r="299">
      <c r="A299" s="16" t="inlineStr">
        <is>
          <t>5.1-5.7</t>
        </is>
      </c>
      <c r="B299" s="16" t="inlineStr">
        <is>
          <t>PO-128-08633304218231180</t>
        </is>
      </c>
      <c r="C299" s="16" t="inlineStr">
        <is>
          <t>Delivered</t>
        </is>
      </c>
      <c r="D299" s="16" t="inlineStr">
        <is>
          <t>128-08633387121271180</t>
        </is>
      </c>
      <c r="E299" s="16" t="inlineStr">
        <is>
          <t>Delivered</t>
        </is>
      </c>
      <c r="F299" s="16" t="inlineStr">
        <is>
          <t>LV64W25</t>
        </is>
      </c>
      <c r="G2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9" s="16" t="inlineStr">
        <is>
          <t>Blanco</t>
        </is>
      </c>
      <c r="I299" s="16" t="n">
        <v>1</v>
      </c>
      <c r="J299" s="17" t="n">
        <v>125</v>
      </c>
      <c r="K299" s="17" t="n">
        <v>100.18</v>
      </c>
      <c r="L299" s="17" t="n">
        <v>25.86</v>
      </c>
      <c r="M299" s="17" t="n">
        <v>0</v>
      </c>
      <c r="N299" s="17">
        <f>K299*0.08+L299*0.08</f>
        <v/>
      </c>
      <c r="O299" s="17">
        <f>-(K299*0.025+L299*0.025)</f>
        <v/>
      </c>
      <c r="P299" s="17">
        <f>32</f>
        <v/>
      </c>
      <c r="Q299" s="17">
        <f>J299+L299+N299+O299-P299-M299</f>
        <v/>
      </c>
    </row>
    <row r="300">
      <c r="A300" s="16" t="inlineStr">
        <is>
          <t>5.1-5.7</t>
        </is>
      </c>
      <c r="B300" s="16" t="inlineStr">
        <is>
          <t>PO-128-08281944812153402</t>
        </is>
      </c>
      <c r="C300" s="16" t="inlineStr">
        <is>
          <t>Delivered</t>
        </is>
      </c>
      <c r="D300" s="16" t="inlineStr">
        <is>
          <t>128-08281965783673402</t>
        </is>
      </c>
      <c r="E300" s="16" t="inlineStr">
        <is>
          <t>Delivered</t>
        </is>
      </c>
      <c r="F300" s="16" t="inlineStr">
        <is>
          <t>VB349T</t>
        </is>
      </c>
      <c r="G300" s="16" t="inlineStr">
        <is>
          <t>LINKBITS Altavoz Portátil de Doble Altavoz - 3 Pulgadas, Sonido HD, Emparejamiento Rápido de Bluetooth, Conectividad TWS, Reproducción Multimodo (Micro SD/USB/Radio FM) - Perfecto para Oficina, Viajes y Espacios Pequeños</t>
        </is>
      </c>
      <c r="H300" s="16" t="inlineStr">
        <is>
          <t>NEGRO</t>
        </is>
      </c>
      <c r="I300" s="16" t="n">
        <v>1</v>
      </c>
      <c r="J300" s="17" t="n">
        <v>81</v>
      </c>
      <c r="K300" s="17" t="n">
        <v>94.27</v>
      </c>
      <c r="L300" s="17" t="n">
        <v>25.86</v>
      </c>
      <c r="M300" s="17" t="n">
        <v>0</v>
      </c>
      <c r="N300" s="17">
        <f>K300*0.08+L300*0.08</f>
        <v/>
      </c>
      <c r="O300" s="17">
        <f>-(K300*0.025+L300*0.025)</f>
        <v/>
      </c>
      <c r="P300" s="17">
        <f>32</f>
        <v/>
      </c>
      <c r="Q300" s="17">
        <f>J300+L300+N300+O300-P300-M300</f>
        <v/>
      </c>
    </row>
    <row r="301">
      <c r="A301" s="16" t="inlineStr">
        <is>
          <t>5.1-5.7</t>
        </is>
      </c>
      <c r="B301" s="16" t="inlineStr">
        <is>
          <t>PO-128-08574724188792619</t>
        </is>
      </c>
      <c r="C301" s="16" t="inlineStr">
        <is>
          <t>Delivered</t>
        </is>
      </c>
      <c r="D301" s="16" t="inlineStr">
        <is>
          <t>128-08574810696312619</t>
        </is>
      </c>
      <c r="E301" s="16" t="inlineStr">
        <is>
          <t>Delivered</t>
        </is>
      </c>
      <c r="F301" s="16" t="inlineStr">
        <is>
          <t>B03W10-10PZS</t>
        </is>
      </c>
      <c r="G30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01" s="16" t="inlineStr">
        <is>
          <t>B03W10</t>
        </is>
      </c>
      <c r="I301" s="16" t="n">
        <v>1</v>
      </c>
      <c r="J301" s="17" t="n">
        <v>71.5</v>
      </c>
      <c r="K301" s="17" t="n">
        <v>77.93000000000001</v>
      </c>
      <c r="L301" s="17" t="n">
        <v>25.86</v>
      </c>
      <c r="M301" s="17" t="n">
        <v>0</v>
      </c>
      <c r="N301" s="17">
        <f>K301*0.08+L301*0.08</f>
        <v/>
      </c>
      <c r="O301" s="17">
        <f>-(K301*0.025+L301*0.025)</f>
        <v/>
      </c>
      <c r="P301" s="17">
        <f>32</f>
        <v/>
      </c>
      <c r="Q301" s="17">
        <f>J301+L301+N301+O301-P301-M301</f>
        <v/>
      </c>
    </row>
    <row r="302">
      <c r="A302" s="16" t="inlineStr">
        <is>
          <t>5.1-5.7</t>
        </is>
      </c>
      <c r="B302" s="16" t="inlineStr">
        <is>
          <t>PO-128-08714933340791911</t>
        </is>
      </c>
      <c r="C302" s="16" t="inlineStr">
        <is>
          <t>Delivered</t>
        </is>
      </c>
      <c r="D302" s="16" t="inlineStr">
        <is>
          <t>128-08714959555191911</t>
        </is>
      </c>
      <c r="E302" s="16" t="inlineStr">
        <is>
          <t>Delivered</t>
        </is>
      </c>
      <c r="F302" s="16" t="inlineStr">
        <is>
          <t>VB349T</t>
        </is>
      </c>
      <c r="G302" s="16" t="inlineStr">
        <is>
          <t>LINKBITS Altavoz Portátil de Doble Altavoz - 3 Pulgadas, Sonido HD, Emparejamiento Rápido de Bluetooth, Conectividad TWS, Reproducción Multimodo (Micro SD/USB/Radio FM) - Perfecto para Oficina, Viajes y Espacios Pequeños</t>
        </is>
      </c>
      <c r="H302" s="16" t="inlineStr">
        <is>
          <t>NEGRO</t>
        </is>
      </c>
      <c r="I302" s="16" t="n">
        <v>3</v>
      </c>
      <c r="J302" s="17" t="n">
        <v>243</v>
      </c>
      <c r="K302" s="17" t="n">
        <v>204.75</v>
      </c>
      <c r="L302" s="17" t="n">
        <v>0</v>
      </c>
      <c r="M302" s="17" t="n">
        <v>0</v>
      </c>
      <c r="N302" s="17">
        <f>K302*0.08+L302*0.08</f>
        <v/>
      </c>
      <c r="O302" s="17">
        <f>-(K302*0.025+L302*0.025)</f>
        <v/>
      </c>
      <c r="P302" s="17">
        <f>32</f>
        <v/>
      </c>
      <c r="Q302" s="17">
        <f>J302+L302+N302+O302-P302-M302</f>
        <v/>
      </c>
    </row>
    <row r="303">
      <c r="A303" s="16" t="inlineStr">
        <is>
          <t>5.1-5.7</t>
        </is>
      </c>
      <c r="B303" s="16" t="inlineStr">
        <is>
          <t>PO-128-08305395292793326</t>
        </is>
      </c>
      <c r="C303" s="16" t="inlineStr">
        <is>
          <t>Delivered</t>
        </is>
      </c>
      <c r="D303" s="16" t="inlineStr">
        <is>
          <t>128-08305433303673326</t>
        </is>
      </c>
      <c r="E303" s="16" t="inlineStr">
        <is>
          <t>Delivered</t>
        </is>
      </c>
      <c r="F303" s="16" t="inlineStr">
        <is>
          <t>KTS-2031</t>
        </is>
      </c>
      <c r="G303" s="16" t="inlineStr">
        <is>
          <t>Bocina inalámbrica de 3 pulgadas con linterna multifuncional y panel solar integrado.Altavoz Portátil con Linterna LED 4 Modos, Radio FM, Bluetooth, Carga Solar, Ideal para Apagones, Emergencias, Campo y Exteriores</t>
        </is>
      </c>
      <c r="H303" s="16" t="inlineStr">
        <is>
          <t>NEGRO</t>
        </is>
      </c>
      <c r="I303" s="16" t="n">
        <v>1</v>
      </c>
      <c r="J303" s="17" t="n">
        <v>75</v>
      </c>
      <c r="K303" s="17" t="n">
        <v>84.23</v>
      </c>
      <c r="L303" s="17" t="n">
        <v>25.86</v>
      </c>
      <c r="M303" s="17" t="n">
        <v>0</v>
      </c>
      <c r="N303" s="17">
        <f>K303*0.08+L303*0.08</f>
        <v/>
      </c>
      <c r="O303" s="17">
        <f>-(K303*0.025+L303*0.025)</f>
        <v/>
      </c>
      <c r="P303" s="17">
        <f>32</f>
        <v/>
      </c>
      <c r="Q303" s="17">
        <f>J303+L303+N303+O303-P303-M303</f>
        <v/>
      </c>
    </row>
    <row r="304">
      <c r="A304" s="16" t="inlineStr">
        <is>
          <t>5.1-5.7</t>
        </is>
      </c>
      <c r="B304" s="16" t="inlineStr">
        <is>
          <t>PO-128-08464921907832184</t>
        </is>
      </c>
      <c r="C304" s="16" t="inlineStr">
        <is>
          <t>Delivered</t>
        </is>
      </c>
      <c r="D304" s="16" t="inlineStr">
        <is>
          <t>128-08464879964792184</t>
        </is>
      </c>
      <c r="E304" s="16" t="inlineStr">
        <is>
          <t>Delivered</t>
        </is>
      </c>
      <c r="F304" s="16" t="inlineStr">
        <is>
          <t>LV64W25</t>
        </is>
      </c>
      <c r="G3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4" s="16" t="inlineStr">
        <is>
          <t>Blanco</t>
        </is>
      </c>
      <c r="I304" s="16" t="n">
        <v>1</v>
      </c>
      <c r="J304" s="17" t="n">
        <v>125</v>
      </c>
      <c r="K304" s="17" t="n">
        <v>46.19</v>
      </c>
      <c r="L304" s="17" t="n">
        <v>25.86</v>
      </c>
      <c r="M304" s="17" t="n">
        <v>0</v>
      </c>
      <c r="N304" s="17">
        <f>K304*0.08+L304*0.08</f>
        <v/>
      </c>
      <c r="O304" s="17">
        <f>-(K304*0.025+L304*0.025)</f>
        <v/>
      </c>
      <c r="P304" s="17">
        <f>32</f>
        <v/>
      </c>
      <c r="Q304" s="17">
        <f>J304+L304+N304+O304-P304-M304</f>
        <v/>
      </c>
    </row>
    <row r="305">
      <c r="A305" s="16" t="inlineStr">
        <is>
          <t>5.1-5.7</t>
        </is>
      </c>
      <c r="B305" s="16" t="inlineStr">
        <is>
          <t>PO-128-08394179533433823</t>
        </is>
      </c>
      <c r="C305" s="16" t="inlineStr">
        <is>
          <t>Delivered</t>
        </is>
      </c>
      <c r="D305" s="16" t="inlineStr">
        <is>
          <t>128-08394200504953823</t>
        </is>
      </c>
      <c r="E305" s="16" t="inlineStr">
        <is>
          <t>Delivered</t>
        </is>
      </c>
      <c r="F305" s="16" t="inlineStr">
        <is>
          <t>LV64W25</t>
        </is>
      </c>
      <c r="G3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 s="16" t="inlineStr">
        <is>
          <t>Blanco</t>
        </is>
      </c>
      <c r="I305" s="16" t="n">
        <v>1</v>
      </c>
      <c r="J305" s="17" t="n">
        <v>125</v>
      </c>
      <c r="K305" s="17" t="n">
        <v>143.28</v>
      </c>
      <c r="L305" s="17" t="n">
        <v>25.86</v>
      </c>
      <c r="M305" s="17" t="n">
        <v>0</v>
      </c>
      <c r="N305" s="17">
        <f>K305*0.08+L305*0.08</f>
        <v/>
      </c>
      <c r="O305" s="17">
        <f>-(K305*0.025+L305*0.025)</f>
        <v/>
      </c>
      <c r="P305" s="17">
        <f>32</f>
        <v/>
      </c>
      <c r="Q305" s="17">
        <f>J305+L305+N305+O305-P305-M305</f>
        <v/>
      </c>
    </row>
    <row r="306">
      <c r="A306" s="16" t="inlineStr">
        <is>
          <t>5.1-5.7</t>
        </is>
      </c>
      <c r="B306" s="16" t="inlineStr">
        <is>
          <t>PO-128-08774328883830469</t>
        </is>
      </c>
      <c r="C306" s="16" t="inlineStr">
        <is>
          <t>Delivered</t>
        </is>
      </c>
      <c r="D306" s="16" t="inlineStr">
        <is>
          <t>128-08774465198710469</t>
        </is>
      </c>
      <c r="E306" s="16" t="inlineStr">
        <is>
          <t>Delivered</t>
        </is>
      </c>
      <c r="F306" s="16" t="inlineStr">
        <is>
          <t>LV64W25</t>
        </is>
      </c>
      <c r="G3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6" s="16" t="inlineStr">
        <is>
          <t>Blanco</t>
        </is>
      </c>
      <c r="I306" s="16" t="n">
        <v>4</v>
      </c>
      <c r="J306" s="17" t="n">
        <v>500</v>
      </c>
      <c r="K306" s="17" t="n">
        <v>515.8</v>
      </c>
      <c r="L306" s="17" t="n">
        <v>0</v>
      </c>
      <c r="M306" s="17" t="n">
        <v>0</v>
      </c>
      <c r="N306" s="17">
        <f>K306*0.08+L306*0.08</f>
        <v/>
      </c>
      <c r="O306" s="17">
        <f>-(K306*0.025+L306*0.025)</f>
        <v/>
      </c>
      <c r="P306" s="17">
        <f>32</f>
        <v/>
      </c>
      <c r="Q306" s="17">
        <f>J306+L306+N306+O306-P306-M306</f>
        <v/>
      </c>
    </row>
    <row r="307">
      <c r="A307" s="16" t="inlineStr">
        <is>
          <t>5.1-5.7</t>
        </is>
      </c>
      <c r="B307" s="16" t="inlineStr">
        <is>
          <t>PO-128-08250434519673462</t>
        </is>
      </c>
      <c r="C307" s="16" t="inlineStr">
        <is>
          <t>Delivered</t>
        </is>
      </c>
      <c r="D307" s="16" t="inlineStr">
        <is>
          <t>128-08250413548153462</t>
        </is>
      </c>
      <c r="E307" s="16" t="inlineStr">
        <is>
          <t>Delivered</t>
        </is>
      </c>
      <c r="F307" s="16" t="inlineStr">
        <is>
          <t>LV54W25</t>
        </is>
      </c>
      <c r="G307" s="16" t="inlineStr">
        <is>
          <t>TIANLAI Lámpara Ventilador E27 2 en 1, Silenciosa, LED Alta Luminosidad 180°, Instalación Rápida, Ahorro Energético para Dormitorio y Interiores Pequeños</t>
        </is>
      </c>
      <c r="H307" s="16" t="inlineStr">
        <is>
          <t>1 Pieza</t>
        </is>
      </c>
      <c r="I307" s="16" t="n">
        <v>2</v>
      </c>
      <c r="J307" s="17" t="n">
        <v>158</v>
      </c>
      <c r="K307" s="17" t="n">
        <v>165.46</v>
      </c>
      <c r="L307" s="17" t="n">
        <v>25.86</v>
      </c>
      <c r="M307" s="17" t="n">
        <v>0</v>
      </c>
      <c r="N307" s="17">
        <f>K307*0.08+L307*0.08</f>
        <v/>
      </c>
      <c r="O307" s="17">
        <f>-(K307*0.025+L307*0.025)</f>
        <v/>
      </c>
      <c r="P307" s="17">
        <f>32</f>
        <v/>
      </c>
      <c r="Q307" s="17">
        <f>J307+L307+N307+O307-P307-M307</f>
        <v/>
      </c>
    </row>
    <row r="308">
      <c r="A308" s="16" t="inlineStr">
        <is>
          <t>5.1-5.7</t>
        </is>
      </c>
      <c r="B308" s="16" t="inlineStr">
        <is>
          <t>PO-128-08609955154551513</t>
        </is>
      </c>
      <c r="C308" s="16" t="inlineStr">
        <is>
          <t>Delivered</t>
        </is>
      </c>
      <c r="D308" s="16" t="inlineStr">
        <is>
          <t>128-08609997097591513</t>
        </is>
      </c>
      <c r="E308" s="16" t="inlineStr">
        <is>
          <t>Delivered</t>
        </is>
      </c>
      <c r="F308" s="16" t="inlineStr">
        <is>
          <t>LV64W25</t>
        </is>
      </c>
      <c r="G3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8" s="16" t="inlineStr">
        <is>
          <t>Blanco</t>
        </is>
      </c>
      <c r="I308" s="16" t="n">
        <v>2</v>
      </c>
      <c r="J308" s="17" t="n">
        <v>250</v>
      </c>
      <c r="K308" s="17" t="n">
        <v>209.06</v>
      </c>
      <c r="L308" s="17" t="n">
        <v>0</v>
      </c>
      <c r="M308" s="17" t="n">
        <v>0</v>
      </c>
      <c r="N308" s="17">
        <f>K308*0.08+L308*0.08</f>
        <v/>
      </c>
      <c r="O308" s="17">
        <f>-(K308*0.025+L308*0.025)</f>
        <v/>
      </c>
      <c r="P308" s="17">
        <f>32</f>
        <v/>
      </c>
      <c r="Q308" s="17">
        <f>J308+L308+N308+O308-P308-M308</f>
        <v/>
      </c>
    </row>
    <row r="309">
      <c r="A309" s="16" t="inlineStr">
        <is>
          <t>5.1-5.7</t>
        </is>
      </c>
      <c r="B309" s="16" t="inlineStr">
        <is>
          <t>PO-128-08491962747512086</t>
        </is>
      </c>
      <c r="C309" s="16" t="inlineStr">
        <is>
          <t>Delivered</t>
        </is>
      </c>
      <c r="D309" s="16" t="inlineStr">
        <is>
          <t>128-08491978476152086</t>
        </is>
      </c>
      <c r="E309" s="16" t="inlineStr">
        <is>
          <t>Delivered</t>
        </is>
      </c>
      <c r="F309" s="16" t="inlineStr">
        <is>
          <t>LV64W25</t>
        </is>
      </c>
      <c r="G3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9" s="16" t="inlineStr">
        <is>
          <t>Blanco</t>
        </is>
      </c>
      <c r="I309" s="16" t="n">
        <v>5</v>
      </c>
      <c r="J309" s="17" t="n">
        <v>625</v>
      </c>
      <c r="K309" s="17" t="n">
        <v>644.75</v>
      </c>
      <c r="L309" s="17" t="n">
        <v>0</v>
      </c>
      <c r="M309" s="17" t="n">
        <v>0</v>
      </c>
      <c r="N309" s="17">
        <f>K309*0.08+L309*0.08</f>
        <v/>
      </c>
      <c r="O309" s="17">
        <f>-(K309*0.025+L309*0.025)</f>
        <v/>
      </c>
      <c r="P309" s="17">
        <f>32</f>
        <v/>
      </c>
      <c r="Q309" s="17">
        <f>J309+L309+N309+O309-P309-M309</f>
        <v/>
      </c>
    </row>
    <row r="310">
      <c r="A310" s="16" t="inlineStr">
        <is>
          <t>5.1-5.7</t>
        </is>
      </c>
      <c r="B310" s="16" t="inlineStr">
        <is>
          <t>PO-128-08821323049590253</t>
        </is>
      </c>
      <c r="C310" s="16" t="inlineStr">
        <is>
          <t>Delivered</t>
        </is>
      </c>
      <c r="D310" s="16" t="inlineStr">
        <is>
          <t>128-08821328292470253</t>
        </is>
      </c>
      <c r="E310" s="16" t="inlineStr">
        <is>
          <t>Delivered</t>
        </is>
      </c>
      <c r="F310" s="16" t="inlineStr">
        <is>
          <t>B03W10-10PZS</t>
        </is>
      </c>
      <c r="G31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10" s="16" t="inlineStr">
        <is>
          <t>B03W10</t>
        </is>
      </c>
      <c r="I310" s="16" t="n">
        <v>1</v>
      </c>
      <c r="J310" s="17" t="n">
        <v>71.5</v>
      </c>
      <c r="K310" s="17" t="n">
        <v>78.84999999999999</v>
      </c>
      <c r="L310" s="17" t="n">
        <v>25.86</v>
      </c>
      <c r="M310" s="17" t="n">
        <v>0</v>
      </c>
      <c r="N310" s="17">
        <f>K310*0.08+L310*0.08</f>
        <v/>
      </c>
      <c r="O310" s="17">
        <f>-(K310*0.025+L310*0.025)</f>
        <v/>
      </c>
      <c r="P310" s="17">
        <f>32</f>
        <v/>
      </c>
      <c r="Q310" s="17">
        <f>J310+L310+N310+O310-P310-M310</f>
        <v/>
      </c>
    </row>
    <row r="311">
      <c r="A311" s="16" t="inlineStr">
        <is>
          <t>5.1-5.7</t>
        </is>
      </c>
      <c r="B311" s="16" t="inlineStr">
        <is>
          <t>PO-128-08464990710392185</t>
        </is>
      </c>
      <c r="C311" s="16" t="inlineStr">
        <is>
          <t>Delivered</t>
        </is>
      </c>
      <c r="D311" s="16" t="inlineStr">
        <is>
          <t>128-08465032653432185</t>
        </is>
      </c>
      <c r="E311" s="16" t="inlineStr">
        <is>
          <t>Delivered</t>
        </is>
      </c>
      <c r="F311" s="16" t="inlineStr">
        <is>
          <t>B03W10-10PZS</t>
        </is>
      </c>
      <c r="G31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11" s="16" t="inlineStr">
        <is>
          <t>B03W10</t>
        </is>
      </c>
      <c r="I311" s="16" t="n">
        <v>3</v>
      </c>
      <c r="J311" s="17" t="n">
        <v>214.5</v>
      </c>
      <c r="K311" s="17" t="n">
        <v>190.69</v>
      </c>
      <c r="L311" s="17" t="n">
        <v>0</v>
      </c>
      <c r="M311" s="17" t="n">
        <v>0</v>
      </c>
      <c r="N311" s="17">
        <f>K311*0.08+L311*0.08</f>
        <v/>
      </c>
      <c r="O311" s="17">
        <f>-(K311*0.025+L311*0.025)</f>
        <v/>
      </c>
      <c r="P311" s="17">
        <f>32</f>
        <v/>
      </c>
      <c r="Q311" s="17">
        <f>J311+L311+N311+O311-P311-M311</f>
        <v/>
      </c>
    </row>
    <row r="312">
      <c r="A312" s="16" t="inlineStr">
        <is>
          <t>5.1-5.7</t>
        </is>
      </c>
      <c r="B312" s="16" t="inlineStr">
        <is>
          <t>PO-128-08320307006073110</t>
        </is>
      </c>
      <c r="C312" s="16" t="inlineStr">
        <is>
          <t>Delivered</t>
        </is>
      </c>
      <c r="D312" s="16" t="inlineStr">
        <is>
          <t>128-08320286034553110</t>
        </is>
      </c>
      <c r="E312" s="16" t="inlineStr">
        <is>
          <t>Delivered</t>
        </is>
      </c>
      <c r="F312" s="16" t="inlineStr">
        <is>
          <t>VA371T</t>
        </is>
      </c>
      <c r="G312" s="16" t="inlineStr">
        <is>
          <t>Linkbits Bocina Bluetooth Portátil 3" de Alta Gama，Hi-Res Audio y Graves Potentes，Luces LED + Soporte USB/TF/FM/TWS，Ideal para Hogar y Aire Libre</t>
        </is>
      </c>
      <c r="H312" s="16" t="inlineStr">
        <is>
          <t>VA371T</t>
        </is>
      </c>
      <c r="I312" s="16" t="n">
        <v>2</v>
      </c>
      <c r="J312" s="17" t="n">
        <v>91.59999999999999</v>
      </c>
      <c r="K312" s="17" t="n">
        <v>108.34</v>
      </c>
      <c r="L312" s="17" t="n">
        <v>0</v>
      </c>
      <c r="M312" s="17" t="n">
        <v>0</v>
      </c>
      <c r="N312" s="17">
        <f>K312*0.08+L312*0.08</f>
        <v/>
      </c>
      <c r="O312" s="17">
        <f>-(K312*0.025+L312*0.025)</f>
        <v/>
      </c>
      <c r="P312" s="17">
        <f>32</f>
        <v/>
      </c>
      <c r="Q312" s="17">
        <f>J312+L312+N312+O312-P312-M312</f>
        <v/>
      </c>
    </row>
    <row r="313">
      <c r="A313" s="16" t="inlineStr">
        <is>
          <t>5.1-5.7</t>
        </is>
      </c>
      <c r="B313" s="16" t="inlineStr">
        <is>
          <t>PO-128-08320307006073110</t>
        </is>
      </c>
      <c r="C313" s="16" t="inlineStr">
        <is>
          <t>Delivered</t>
        </is>
      </c>
      <c r="D313" s="16" t="inlineStr">
        <is>
          <t>128-08320320113273110</t>
        </is>
      </c>
      <c r="E313" s="16" t="inlineStr">
        <is>
          <t>Delivered</t>
        </is>
      </c>
      <c r="F313" s="16" t="inlineStr">
        <is>
          <t>SB428T</t>
        </is>
      </c>
      <c r="G313" s="16" t="inlineStr">
        <is>
          <t>LINK BITS La bocina es tu compañero ideal para reuniones en México! Equipada con 2 altavoces de 4 pulgadas y potencia 5W×2, USB y TF, funciona sin internet—perfecta para picnics, fiestas en el jardín o relajación en la terraza.</t>
        </is>
      </c>
      <c r="H313" s="16" t="inlineStr">
        <is>
          <t>SB428T</t>
        </is>
      </c>
      <c r="I313" s="16" t="n">
        <v>1</v>
      </c>
      <c r="J313" s="17" t="n">
        <v>97</v>
      </c>
      <c r="K313" s="17" t="n">
        <v>115.5</v>
      </c>
      <c r="L313" s="17" t="n">
        <v>0</v>
      </c>
      <c r="M313" s="17" t="n">
        <v>0</v>
      </c>
      <c r="N313" s="17">
        <f>K313*0.08+L313*0.08</f>
        <v/>
      </c>
      <c r="O313" s="17">
        <f>-(K313*0.025+L313*0.025)</f>
        <v/>
      </c>
      <c r="P313" s="17">
        <f>32</f>
        <v/>
      </c>
      <c r="Q313" s="17">
        <f>J313+L313+N313+O313-P313-M313</f>
        <v/>
      </c>
    </row>
    <row r="314">
      <c r="A314" s="16" t="inlineStr">
        <is>
          <t>5.1-5.7</t>
        </is>
      </c>
      <c r="B314" s="16" t="inlineStr">
        <is>
          <t>PO-128-08320307006073110</t>
        </is>
      </c>
      <c r="C314" s="16" t="inlineStr">
        <is>
          <t>Delivered</t>
        </is>
      </c>
      <c r="D314" s="16" t="inlineStr">
        <is>
          <t>128-08320299141753110</t>
        </is>
      </c>
      <c r="E314" s="16" t="inlineStr">
        <is>
          <t>Delivered</t>
        </is>
      </c>
      <c r="F314" s="16" t="inlineStr">
        <is>
          <t>SA323T</t>
        </is>
      </c>
      <c r="G314"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314" s="16" t="inlineStr">
        <is>
          <t>AZUL/SA323T</t>
        </is>
      </c>
      <c r="I314" s="16" t="n">
        <v>1</v>
      </c>
      <c r="J314" s="17" t="n">
        <v>47</v>
      </c>
      <c r="K314" s="17" t="n">
        <v>56.07</v>
      </c>
      <c r="L314" s="17" t="n">
        <v>0</v>
      </c>
      <c r="M314" s="17" t="n">
        <v>0</v>
      </c>
      <c r="N314" s="17">
        <f>K314*0.08+L314*0.08</f>
        <v/>
      </c>
      <c r="O314" s="17">
        <f>-(K314*0.025+L314*0.025)</f>
        <v/>
      </c>
      <c r="P314" s="17">
        <f>32</f>
        <v/>
      </c>
      <c r="Q314" s="17">
        <f>J314+L314+N314+O314-P314-M314</f>
        <v/>
      </c>
    </row>
    <row r="315">
      <c r="A315" s="16" t="inlineStr">
        <is>
          <t>5.1-5.7</t>
        </is>
      </c>
      <c r="B315" s="16" t="inlineStr">
        <is>
          <t>PO-128-08460206664312404</t>
        </is>
      </c>
      <c r="C315" s="16" t="inlineStr">
        <is>
          <t>Delivered</t>
        </is>
      </c>
      <c r="D315" s="16" t="inlineStr">
        <is>
          <t>128-08460244675192404</t>
        </is>
      </c>
      <c r="E315" s="16" t="inlineStr">
        <is>
          <t>Delivered</t>
        </is>
      </c>
      <c r="F315" s="16" t="inlineStr">
        <is>
          <t>LV64W25</t>
        </is>
      </c>
      <c r="G3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5" s="16" t="inlineStr">
        <is>
          <t>Blanco</t>
        </is>
      </c>
      <c r="I315" s="16" t="n">
        <v>1</v>
      </c>
      <c r="J315" s="17" t="n">
        <v>125</v>
      </c>
      <c r="K315" s="17" t="n">
        <v>143.28</v>
      </c>
      <c r="L315" s="17" t="n">
        <v>25.86</v>
      </c>
      <c r="M315" s="17" t="n">
        <v>0</v>
      </c>
      <c r="N315" s="17">
        <f>K315*0.08+L315*0.08</f>
        <v/>
      </c>
      <c r="O315" s="17">
        <f>-(K315*0.025+L315*0.025)</f>
        <v/>
      </c>
      <c r="P315" s="17">
        <f>32</f>
        <v/>
      </c>
      <c r="Q315" s="17">
        <f>J315+L315+N315+O315-P315-M315</f>
        <v/>
      </c>
    </row>
    <row r="316">
      <c r="A316" s="16" t="inlineStr">
        <is>
          <t>5.1-5.7</t>
        </is>
      </c>
      <c r="B316" s="16" t="inlineStr">
        <is>
          <t>PO-128-08543190282872935</t>
        </is>
      </c>
      <c r="C316" s="16" t="inlineStr">
        <is>
          <t>Delivered</t>
        </is>
      </c>
      <c r="D316" s="16" t="inlineStr">
        <is>
          <t>128-08543148339832935</t>
        </is>
      </c>
      <c r="E316" s="16" t="inlineStr">
        <is>
          <t>Delivered</t>
        </is>
      </c>
      <c r="F316" s="16" t="inlineStr">
        <is>
          <t>LV64W25</t>
        </is>
      </c>
      <c r="G3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6" s="16" t="inlineStr">
        <is>
          <t>Blanco</t>
        </is>
      </c>
      <c r="I316" s="16" t="n">
        <v>1</v>
      </c>
      <c r="J316" s="17" t="n">
        <v>125</v>
      </c>
      <c r="K316" s="17" t="n">
        <v>143.28</v>
      </c>
      <c r="L316" s="17" t="n">
        <v>25.86</v>
      </c>
      <c r="M316" s="17" t="n">
        <v>0</v>
      </c>
      <c r="N316" s="17">
        <f>K316*0.08+L316*0.08</f>
        <v/>
      </c>
      <c r="O316" s="17">
        <f>-(K316*0.025+L316*0.025)</f>
        <v/>
      </c>
      <c r="P316" s="17">
        <f>32</f>
        <v/>
      </c>
      <c r="Q316" s="17">
        <f>J316+L316+N316+O316-P316-M316</f>
        <v/>
      </c>
    </row>
    <row r="317">
      <c r="A317" s="16" t="inlineStr">
        <is>
          <t>5.1-5.7</t>
        </is>
      </c>
      <c r="B317" s="16" t="inlineStr">
        <is>
          <t>PO-128-08681012449911920</t>
        </is>
      </c>
      <c r="C317" s="16" t="inlineStr">
        <is>
          <t>Delivered</t>
        </is>
      </c>
      <c r="D317" s="16" t="inlineStr">
        <is>
          <t>128-08681022935671920</t>
        </is>
      </c>
      <c r="E317" s="16" t="inlineStr">
        <is>
          <t>Delivered</t>
        </is>
      </c>
      <c r="F317" s="16" t="inlineStr">
        <is>
          <t>LV64W25</t>
        </is>
      </c>
      <c r="G3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 s="16" t="inlineStr">
        <is>
          <t>Blanco</t>
        </is>
      </c>
      <c r="I317" s="16" t="n">
        <v>2</v>
      </c>
      <c r="J317" s="17" t="n">
        <v>250</v>
      </c>
      <c r="K317" s="17" t="n">
        <v>208.61</v>
      </c>
      <c r="L317" s="17" t="n">
        <v>0</v>
      </c>
      <c r="M317" s="17" t="n">
        <v>8.74</v>
      </c>
      <c r="N317" s="17">
        <f>K317*0.08+L317*0.08</f>
        <v/>
      </c>
      <c r="O317" s="17">
        <f>-(K317*0.025+L317*0.025)</f>
        <v/>
      </c>
      <c r="P317" s="17">
        <f>32</f>
        <v/>
      </c>
      <c r="Q317" s="17">
        <f>J317+L317+N317+O317-P317-M317</f>
        <v/>
      </c>
    </row>
    <row r="318">
      <c r="A318" s="16" t="inlineStr">
        <is>
          <t>5.1-5.7</t>
        </is>
      </c>
      <c r="B318" s="16" t="inlineStr">
        <is>
          <t>PO-128-08764501607030398</t>
        </is>
      </c>
      <c r="C318" s="16" t="inlineStr">
        <is>
          <t>Delivered</t>
        </is>
      </c>
      <c r="D318" s="16" t="inlineStr">
        <is>
          <t>128-08764585247350398</t>
        </is>
      </c>
      <c r="E318" s="16" t="inlineStr">
        <is>
          <t>Delivered</t>
        </is>
      </c>
      <c r="F318" s="16" t="inlineStr">
        <is>
          <t>LV64W25</t>
        </is>
      </c>
      <c r="G3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8" s="16" t="inlineStr">
        <is>
          <t>Blanco</t>
        </is>
      </c>
      <c r="I318" s="16" t="n">
        <v>2</v>
      </c>
      <c r="J318" s="17" t="n">
        <v>250</v>
      </c>
      <c r="K318" s="17" t="n">
        <v>257.9</v>
      </c>
      <c r="L318" s="17" t="n">
        <v>0</v>
      </c>
      <c r="M318" s="17" t="n">
        <v>0</v>
      </c>
      <c r="N318" s="17">
        <f>K318*0.08+L318*0.08</f>
        <v/>
      </c>
      <c r="O318" s="17">
        <f>-(K318*0.025+L318*0.025)</f>
        <v/>
      </c>
      <c r="P318" s="17">
        <f>32</f>
        <v/>
      </c>
      <c r="Q318" s="17">
        <f>J318+L318+N318+O318-P318-M318</f>
        <v/>
      </c>
    </row>
    <row r="319">
      <c r="A319" s="16" t="inlineStr">
        <is>
          <t>5.1-5.7</t>
        </is>
      </c>
      <c r="B319" s="16" t="inlineStr">
        <is>
          <t>PO-128-08557772104312782</t>
        </is>
      </c>
      <c r="C319" s="16" t="inlineStr">
        <is>
          <t>Delivered</t>
        </is>
      </c>
      <c r="D319" s="16" t="inlineStr">
        <is>
          <t>128-08557798318712782</t>
        </is>
      </c>
      <c r="E319" s="16" t="inlineStr">
        <is>
          <t>Delivered</t>
        </is>
      </c>
      <c r="F319" s="16" t="inlineStr">
        <is>
          <t>LV64W25</t>
        </is>
      </c>
      <c r="G3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9" s="16" t="inlineStr">
        <is>
          <t>Blanco</t>
        </is>
      </c>
      <c r="I319" s="16" t="n">
        <v>1</v>
      </c>
      <c r="J319" s="17" t="n">
        <v>125</v>
      </c>
      <c r="K319" s="17" t="n">
        <v>100.3</v>
      </c>
      <c r="L319" s="17" t="n">
        <v>25.86</v>
      </c>
      <c r="M319" s="17" t="n">
        <v>0</v>
      </c>
      <c r="N319" s="17">
        <f>K319*0.08+L319*0.08</f>
        <v/>
      </c>
      <c r="O319" s="17">
        <f>-(K319*0.025+L319*0.025)</f>
        <v/>
      </c>
      <c r="P319" s="17">
        <f>32</f>
        <v/>
      </c>
      <c r="Q319" s="17">
        <f>J319+L319+N319+O319-P319-M319</f>
        <v/>
      </c>
    </row>
    <row r="320">
      <c r="A320" s="16" t="inlineStr">
        <is>
          <t>5.1-5.7</t>
        </is>
      </c>
      <c r="B320" s="16" t="inlineStr">
        <is>
          <t>PO-128-08272037683833335</t>
        </is>
      </c>
      <c r="C320" s="16" t="inlineStr">
        <is>
          <t>Delivered</t>
        </is>
      </c>
      <c r="D320" s="16" t="inlineStr">
        <is>
          <t>128-08272142541433335</t>
        </is>
      </c>
      <c r="E320" s="16" t="inlineStr">
        <is>
          <t>Delivered</t>
        </is>
      </c>
      <c r="F320" s="16" t="inlineStr">
        <is>
          <t>LV64W25</t>
        </is>
      </c>
      <c r="G3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0" s="16" t="inlineStr">
        <is>
          <t>Blanco</t>
        </is>
      </c>
      <c r="I320" s="16" t="n">
        <v>1</v>
      </c>
      <c r="J320" s="17" t="n">
        <v>125</v>
      </c>
      <c r="K320" s="17" t="n">
        <v>130.39</v>
      </c>
      <c r="L320" s="17" t="n">
        <v>25.86</v>
      </c>
      <c r="M320" s="17" t="n">
        <v>0</v>
      </c>
      <c r="N320" s="17">
        <f>K320*0.08+L320*0.08</f>
        <v/>
      </c>
      <c r="O320" s="17">
        <f>-(K320*0.025+L320*0.025)</f>
        <v/>
      </c>
      <c r="P320" s="17">
        <f>32</f>
        <v/>
      </c>
      <c r="Q320" s="17">
        <f>J320+L320+N320+O320-P320-M320</f>
        <v/>
      </c>
    </row>
    <row r="321">
      <c r="A321" s="16" t="inlineStr">
        <is>
          <t>5.1-5.7</t>
        </is>
      </c>
      <c r="B321" s="16" t="inlineStr">
        <is>
          <t>PO-128-08324732621433149</t>
        </is>
      </c>
      <c r="C321" s="16" t="inlineStr">
        <is>
          <t>Delivered</t>
        </is>
      </c>
      <c r="D321" s="16" t="inlineStr">
        <is>
          <t>128-08324774564473149</t>
        </is>
      </c>
      <c r="E321" s="16" t="inlineStr">
        <is>
          <t>Delivered</t>
        </is>
      </c>
      <c r="F321" s="16" t="inlineStr">
        <is>
          <t>LV64W25</t>
        </is>
      </c>
      <c r="G3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1" s="16" t="inlineStr">
        <is>
          <t>Blanco</t>
        </is>
      </c>
      <c r="I321" s="16" t="n">
        <v>2</v>
      </c>
      <c r="J321" s="17" t="n">
        <v>250</v>
      </c>
      <c r="K321" s="17" t="n">
        <v>206.33</v>
      </c>
      <c r="L321" s="17" t="n">
        <v>0</v>
      </c>
      <c r="M321" s="17" t="n">
        <v>0</v>
      </c>
      <c r="N321" s="17">
        <f>K321*0.08+L321*0.08</f>
        <v/>
      </c>
      <c r="O321" s="17">
        <f>-(K321*0.025+L321*0.025)</f>
        <v/>
      </c>
      <c r="P321" s="17">
        <f>32</f>
        <v/>
      </c>
      <c r="Q321" s="17">
        <f>J321+L321+N321+O321-P321-M321</f>
        <v/>
      </c>
    </row>
    <row r="322">
      <c r="A322" s="16" t="inlineStr">
        <is>
          <t>5.1-5.7</t>
        </is>
      </c>
      <c r="B322" s="16" t="inlineStr">
        <is>
          <t>PO-128-08613478718071298</t>
        </is>
      </c>
      <c r="C322" s="16" t="inlineStr">
        <is>
          <t>Delivered</t>
        </is>
      </c>
      <c r="D322" s="16" t="inlineStr">
        <is>
          <t>128-08613520661111298</t>
        </is>
      </c>
      <c r="E322" s="16" t="inlineStr">
        <is>
          <t>Delivered</t>
        </is>
      </c>
      <c r="F322" s="16" t="inlineStr">
        <is>
          <t>KTS-2031</t>
        </is>
      </c>
      <c r="G322" s="16" t="inlineStr">
        <is>
          <t>Bocina inalámbrica de 3 pulgadas con linterna multifuncional y panel solar integrado.Altavoz Portátil con Linterna LED 4 Modos, Radio FM, Bluetooth, Carga Solar, Ideal para Apagones, Emergencias, Campo y Exteriores</t>
        </is>
      </c>
      <c r="H322" s="16" t="inlineStr">
        <is>
          <t>NEGRO</t>
        </is>
      </c>
      <c r="I322" s="16" t="n">
        <v>1</v>
      </c>
      <c r="J322" s="17" t="n">
        <v>75</v>
      </c>
      <c r="K322" s="17" t="n">
        <v>1.47</v>
      </c>
      <c r="L322" s="17" t="n">
        <v>25.86</v>
      </c>
      <c r="M322" s="17" t="n">
        <v>0</v>
      </c>
      <c r="N322" s="17">
        <f>K322*0.08+L322*0.08</f>
        <v/>
      </c>
      <c r="O322" s="17">
        <f>-(K322*0.025+L322*0.025)</f>
        <v/>
      </c>
      <c r="P322" s="17">
        <f>32</f>
        <v/>
      </c>
      <c r="Q322" s="17">
        <f>J322+L322+N322+O322-P322-M322</f>
        <v/>
      </c>
    </row>
    <row r="323">
      <c r="A323" s="16" t="inlineStr">
        <is>
          <t>5.1-5.7</t>
        </is>
      </c>
      <c r="B323" s="16" t="inlineStr">
        <is>
          <t>PO-128-08357521592953848</t>
        </is>
      </c>
      <c r="C323" s="16" t="inlineStr">
        <is>
          <t>Delivered</t>
        </is>
      </c>
      <c r="D323" s="16" t="inlineStr">
        <is>
          <t>128-08357542564473848</t>
        </is>
      </c>
      <c r="E323" s="16" t="inlineStr">
        <is>
          <t>Delivered</t>
        </is>
      </c>
      <c r="F323" s="16" t="inlineStr">
        <is>
          <t>LV64W25</t>
        </is>
      </c>
      <c r="G3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3" s="16" t="inlineStr">
        <is>
          <t>Blanco</t>
        </is>
      </c>
      <c r="I323" s="16" t="n">
        <v>1</v>
      </c>
      <c r="J323" s="17" t="n">
        <v>125</v>
      </c>
      <c r="K323" s="17" t="n">
        <v>143.28</v>
      </c>
      <c r="L323" s="17" t="n">
        <v>25.86</v>
      </c>
      <c r="M323" s="17" t="n">
        <v>0</v>
      </c>
      <c r="N323" s="17">
        <f>K323*0.08+L323*0.08</f>
        <v/>
      </c>
      <c r="O323" s="17">
        <f>-(K323*0.025+L323*0.025)</f>
        <v/>
      </c>
      <c r="P323" s="17">
        <f>32</f>
        <v/>
      </c>
      <c r="Q323" s="17">
        <f>J323+L323+N323+O323-P323-M323</f>
        <v/>
      </c>
    </row>
    <row r="324">
      <c r="A324" s="16" t="inlineStr">
        <is>
          <t>5.1-5.7</t>
        </is>
      </c>
      <c r="B324" s="16" t="inlineStr">
        <is>
          <t>PO-128-08889205238390873</t>
        </is>
      </c>
      <c r="C324" s="16" t="inlineStr">
        <is>
          <t>Delivered</t>
        </is>
      </c>
      <c r="D324" s="16" t="inlineStr">
        <is>
          <t>128-08889163295350873</t>
        </is>
      </c>
      <c r="E324" s="16" t="inlineStr">
        <is>
          <t>Delivered</t>
        </is>
      </c>
      <c r="F324" s="16" t="inlineStr">
        <is>
          <t>LV54W25</t>
        </is>
      </c>
      <c r="G324" s="16" t="inlineStr">
        <is>
          <t>TIANLAI Lámpara Ventilador E27 2 en 1, Silenciosa, LED Alta Luminosidad 180°, Instalación Rápida, Ahorro Energético para Dormitorio y Interiores Pequeños</t>
        </is>
      </c>
      <c r="H324" s="16" t="inlineStr">
        <is>
          <t>1 Pieza</t>
        </is>
      </c>
      <c r="I324" s="16" t="n">
        <v>1</v>
      </c>
      <c r="J324" s="17" t="n">
        <v>79</v>
      </c>
      <c r="K324" s="17" t="n">
        <v>96.2</v>
      </c>
      <c r="L324" s="17" t="n">
        <v>25.86</v>
      </c>
      <c r="M324" s="17" t="n">
        <v>0</v>
      </c>
      <c r="N324" s="17">
        <f>K324*0.08+L324*0.08</f>
        <v/>
      </c>
      <c r="O324" s="17">
        <f>-(K324*0.025+L324*0.025)</f>
        <v/>
      </c>
      <c r="P324" s="17">
        <f>32</f>
        <v/>
      </c>
      <c r="Q324" s="17">
        <f>J324+L324+N324+O324-P324-M324</f>
        <v/>
      </c>
    </row>
    <row r="325">
      <c r="A325" s="16" t="inlineStr">
        <is>
          <t>5.1-5.7</t>
        </is>
      </c>
      <c r="B325" s="16" t="inlineStr">
        <is>
          <t>PO-128-08663651727991065</t>
        </is>
      </c>
      <c r="C325" s="16" t="inlineStr">
        <is>
          <t>Delivered</t>
        </is>
      </c>
      <c r="D325" s="16" t="inlineStr">
        <is>
          <t>128-08663693671031065</t>
        </is>
      </c>
      <c r="E325" s="16" t="inlineStr">
        <is>
          <t>Delivered</t>
        </is>
      </c>
      <c r="F325" s="16" t="inlineStr">
        <is>
          <t>LV64W25</t>
        </is>
      </c>
      <c r="G3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5" s="16" t="inlineStr">
        <is>
          <t>Blanco</t>
        </is>
      </c>
      <c r="I325" s="16" t="n">
        <v>3</v>
      </c>
      <c r="J325" s="17" t="n">
        <v>375</v>
      </c>
      <c r="K325" s="17" t="n">
        <v>391.17</v>
      </c>
      <c r="L325" s="17" t="n">
        <v>0</v>
      </c>
      <c r="M325" s="17" t="n">
        <v>0</v>
      </c>
      <c r="N325" s="17">
        <f>K325*0.08+L325*0.08</f>
        <v/>
      </c>
      <c r="O325" s="17">
        <f>-(K325*0.025+L325*0.025)</f>
        <v/>
      </c>
      <c r="P325" s="17">
        <f>32</f>
        <v/>
      </c>
      <c r="Q325" s="17">
        <f>J325+L325+N325+O325-P325-M325</f>
        <v/>
      </c>
    </row>
    <row r="326">
      <c r="A326" s="16" t="inlineStr">
        <is>
          <t>5.1-5.7</t>
        </is>
      </c>
      <c r="B326" s="16" t="inlineStr">
        <is>
          <t>PO-128-08455239762552371</t>
        </is>
      </c>
      <c r="C326" s="16" t="inlineStr">
        <is>
          <t>Delivered</t>
        </is>
      </c>
      <c r="D326" s="16" t="inlineStr">
        <is>
          <t>128-08455344620152371</t>
        </is>
      </c>
      <c r="E326" s="16" t="inlineStr">
        <is>
          <t>Delivered</t>
        </is>
      </c>
      <c r="F326" s="16" t="inlineStr">
        <is>
          <t>BG-115-P</t>
        </is>
      </c>
      <c r="G326" s="16" t="inlineStr">
        <is>
          <t>LINK BITS Audífonos Inalámbricos con Luces Multicolor, Recargables y en Adorable Forma de Orejas de Gato - Conecta a Celulares y PCs, Tiene Radio FM, Tarjeta TF y AUX - 7 Horas de Reproducción, Plegables y Perfectos para Trabajo, Juegos y Estudio</t>
        </is>
      </c>
      <c r="H326" s="16" t="inlineStr">
        <is>
          <t>rosa</t>
        </is>
      </c>
      <c r="I326" s="16" t="n">
        <v>1</v>
      </c>
      <c r="J326" s="17" t="n">
        <v>76</v>
      </c>
      <c r="K326" s="17" t="n">
        <v>0.53</v>
      </c>
      <c r="L326" s="17" t="n">
        <v>25.86</v>
      </c>
      <c r="M326" s="17" t="n">
        <v>0</v>
      </c>
      <c r="N326" s="17">
        <f>K326*0.08+L326*0.08</f>
        <v/>
      </c>
      <c r="O326" s="17">
        <f>-(K326*0.025+L326*0.025)</f>
        <v/>
      </c>
      <c r="P326" s="17">
        <f>32</f>
        <v/>
      </c>
      <c r="Q326" s="17">
        <f>J326+L326+N326+O326-P326-M326</f>
        <v/>
      </c>
    </row>
    <row r="327">
      <c r="A327" s="16" t="inlineStr">
        <is>
          <t>5.1-5.7</t>
        </is>
      </c>
      <c r="B327" s="16" t="inlineStr">
        <is>
          <t>PO-128-08417975870073681</t>
        </is>
      </c>
      <c r="C327" s="16" t="inlineStr">
        <is>
          <t>Delivered</t>
        </is>
      </c>
      <c r="D327" s="16" t="inlineStr">
        <is>
          <t>128-08418127913593681</t>
        </is>
      </c>
      <c r="E327" s="16" t="inlineStr">
        <is>
          <t>Delivered</t>
        </is>
      </c>
      <c r="F327" s="16" t="inlineStr">
        <is>
          <t>LV64W25</t>
        </is>
      </c>
      <c r="G3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7" s="16" t="inlineStr">
        <is>
          <t>Blanco</t>
        </is>
      </c>
      <c r="I327" s="16" t="n">
        <v>1</v>
      </c>
      <c r="J327" s="17" t="n">
        <v>125</v>
      </c>
      <c r="K327" s="17" t="n">
        <v>128.95</v>
      </c>
      <c r="L327" s="17" t="n">
        <v>25.86</v>
      </c>
      <c r="M327" s="17" t="n">
        <v>0</v>
      </c>
      <c r="N327" s="17">
        <f>K327*0.08+L327*0.08</f>
        <v/>
      </c>
      <c r="O327" s="17">
        <f>-(K327*0.025+L327*0.025)</f>
        <v/>
      </c>
      <c r="P327" s="17">
        <f>32</f>
        <v/>
      </c>
      <c r="Q327" s="17">
        <f>J327+L327+N327+O327-P327-M327</f>
        <v/>
      </c>
    </row>
    <row r="328">
      <c r="A328" s="16" t="inlineStr">
        <is>
          <t>5.1-5.7</t>
        </is>
      </c>
      <c r="B328" s="16" t="inlineStr">
        <is>
          <t>PO-128-08672854631031136</t>
        </is>
      </c>
      <c r="C328" s="16" t="inlineStr">
        <is>
          <t>Delivered</t>
        </is>
      </c>
      <c r="D328" s="16" t="inlineStr">
        <is>
          <t>128-08672959488631136</t>
        </is>
      </c>
      <c r="E328" s="16" t="inlineStr">
        <is>
          <t>Delivered</t>
        </is>
      </c>
      <c r="F328" s="16" t="inlineStr">
        <is>
          <t>LV64W25</t>
        </is>
      </c>
      <c r="G3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 s="16" t="inlineStr">
        <is>
          <t>Blanco</t>
        </is>
      </c>
      <c r="I328" s="16" t="n">
        <v>1</v>
      </c>
      <c r="J328" s="17" t="n">
        <v>125</v>
      </c>
      <c r="K328" s="17" t="n">
        <v>143.28</v>
      </c>
      <c r="L328" s="17" t="n">
        <v>25.86</v>
      </c>
      <c r="M328" s="17" t="n">
        <v>0</v>
      </c>
      <c r="N328" s="17">
        <f>K328*0.08+L328*0.08</f>
        <v/>
      </c>
      <c r="O328" s="17">
        <f>-(K328*0.025+L328*0.025)</f>
        <v/>
      </c>
      <c r="P328" s="17">
        <f>32</f>
        <v/>
      </c>
      <c r="Q328" s="17">
        <f>J328+L328+N328+O328-P328-M328</f>
        <v/>
      </c>
    </row>
    <row r="329">
      <c r="A329" s="16" t="inlineStr">
        <is>
          <t>5.1-5.7</t>
        </is>
      </c>
      <c r="B329" s="16" t="inlineStr">
        <is>
          <t>PO-128-08653743954551250</t>
        </is>
      </c>
      <c r="C329" s="16" t="inlineStr">
        <is>
          <t>Delivered</t>
        </is>
      </c>
      <c r="D329" s="16" t="inlineStr">
        <is>
          <t>128-08653785897591250</t>
        </is>
      </c>
      <c r="E329" s="16" t="inlineStr">
        <is>
          <t>Delivered</t>
        </is>
      </c>
      <c r="F329" s="16" t="inlineStr">
        <is>
          <t>LV64W25</t>
        </is>
      </c>
      <c r="G3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9" s="16" t="inlineStr">
        <is>
          <t>Blanco</t>
        </is>
      </c>
      <c r="I329" s="16" t="n">
        <v>3</v>
      </c>
      <c r="J329" s="17" t="n">
        <v>375</v>
      </c>
      <c r="K329" s="17" t="n">
        <v>386.85</v>
      </c>
      <c r="L329" s="17" t="n">
        <v>0</v>
      </c>
      <c r="M329" s="17" t="n">
        <v>0</v>
      </c>
      <c r="N329" s="17">
        <f>K329*0.08+L329*0.08</f>
        <v/>
      </c>
      <c r="O329" s="17">
        <f>-(K329*0.025+L329*0.025)</f>
        <v/>
      </c>
      <c r="P329" s="17">
        <f>32</f>
        <v/>
      </c>
      <c r="Q329" s="17">
        <f>J329+L329+N329+O329-P329-M329</f>
        <v/>
      </c>
    </row>
    <row r="330">
      <c r="A330" s="16" t="inlineStr">
        <is>
          <t>5.1-5.7</t>
        </is>
      </c>
      <c r="B330" s="16" t="inlineStr">
        <is>
          <t>PO-128-08447992371832351</t>
        </is>
      </c>
      <c r="C330" s="16" t="inlineStr">
        <is>
          <t>Delivered</t>
        </is>
      </c>
      <c r="D330" s="16" t="inlineStr">
        <is>
          <t>128-08447971400312351</t>
        </is>
      </c>
      <c r="E330" s="16" t="inlineStr">
        <is>
          <t>Delivered</t>
        </is>
      </c>
      <c r="F330" s="16" t="inlineStr">
        <is>
          <t>LV64W25</t>
        </is>
      </c>
      <c r="G3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 s="16" t="inlineStr">
        <is>
          <t>Blanco</t>
        </is>
      </c>
      <c r="I330" s="16" t="n">
        <v>5</v>
      </c>
      <c r="J330" s="17" t="n">
        <v>625</v>
      </c>
      <c r="K330" s="17" t="n">
        <v>651.95</v>
      </c>
      <c r="L330" s="17" t="n">
        <v>0</v>
      </c>
      <c r="M330" s="17" t="n">
        <v>0</v>
      </c>
      <c r="N330" s="17">
        <f>K330*0.08+L330*0.08</f>
        <v/>
      </c>
      <c r="O330" s="17">
        <f>-(K330*0.025+L330*0.025)</f>
        <v/>
      </c>
      <c r="P330" s="17">
        <f>32</f>
        <v/>
      </c>
      <c r="Q330" s="17">
        <f>J330+L330+N330+O330-P330-M330</f>
        <v/>
      </c>
    </row>
    <row r="331">
      <c r="A331" s="16" t="inlineStr">
        <is>
          <t>5.1-5.7</t>
        </is>
      </c>
      <c r="B331" s="16" t="inlineStr">
        <is>
          <t>PO-128-08279184394873421</t>
        </is>
      </c>
      <c r="C331" s="16" t="inlineStr">
        <is>
          <t>Delivered</t>
        </is>
      </c>
      <c r="D331" s="16" t="inlineStr">
        <is>
          <t>128-08279210609273421</t>
        </is>
      </c>
      <c r="E331" s="16" t="inlineStr">
        <is>
          <t>Delivered</t>
        </is>
      </c>
      <c r="F331" s="16" t="inlineStr">
        <is>
          <t>LV64W25</t>
        </is>
      </c>
      <c r="G3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1" s="16" t="inlineStr">
        <is>
          <t>Blanco</t>
        </is>
      </c>
      <c r="I331" s="16" t="n">
        <v>1</v>
      </c>
      <c r="J331" s="17" t="n">
        <v>125</v>
      </c>
      <c r="K331" s="17" t="n">
        <v>143.28</v>
      </c>
      <c r="L331" s="17" t="n">
        <v>25.86</v>
      </c>
      <c r="M331" s="17" t="n">
        <v>0</v>
      </c>
      <c r="N331" s="17">
        <f>K331*0.08+L331*0.08</f>
        <v/>
      </c>
      <c r="O331" s="17">
        <f>-(K331*0.025+L331*0.025)</f>
        <v/>
      </c>
      <c r="P331" s="17">
        <f>32</f>
        <v/>
      </c>
      <c r="Q331" s="17">
        <f>J331+L331+N331+O331-P331-M331</f>
        <v/>
      </c>
    </row>
    <row r="332">
      <c r="A332" s="16" t="inlineStr">
        <is>
          <t>5.1-5.7</t>
        </is>
      </c>
      <c r="B332" s="16" t="inlineStr">
        <is>
          <t>PO-128-08279082783353421</t>
        </is>
      </c>
      <c r="C332" s="16" t="inlineStr">
        <is>
          <t>Delivered</t>
        </is>
      </c>
      <c r="D332" s="16" t="inlineStr">
        <is>
          <t>128-08279103754873421</t>
        </is>
      </c>
      <c r="E332" s="16" t="inlineStr">
        <is>
          <t>Delivered</t>
        </is>
      </c>
      <c r="F332" s="16" t="inlineStr">
        <is>
          <t>LV64W25</t>
        </is>
      </c>
      <c r="G3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2" s="16" t="inlineStr">
        <is>
          <t>Blanco</t>
        </is>
      </c>
      <c r="I332" s="16" t="n">
        <v>1</v>
      </c>
      <c r="J332" s="17" t="n">
        <v>125</v>
      </c>
      <c r="K332" s="17" t="n">
        <v>143.28</v>
      </c>
      <c r="L332" s="17" t="n">
        <v>25.86</v>
      </c>
      <c r="M332" s="17" t="n">
        <v>0</v>
      </c>
      <c r="N332" s="17">
        <f>K332*0.08+L332*0.08</f>
        <v/>
      </c>
      <c r="O332" s="17">
        <f>-(K332*0.025+L332*0.025)</f>
        <v/>
      </c>
      <c r="P332" s="17">
        <f>32</f>
        <v/>
      </c>
      <c r="Q332" s="17">
        <f>J332+L332+N332+O332-P332-M332</f>
        <v/>
      </c>
    </row>
    <row r="333">
      <c r="A333" s="16" t="inlineStr">
        <is>
          <t>5.1-5.7</t>
        </is>
      </c>
      <c r="B333" s="16" t="inlineStr">
        <is>
          <t>PO-128-08685573837431956</t>
        </is>
      </c>
      <c r="C333" s="16" t="inlineStr">
        <is>
          <t>Delivered</t>
        </is>
      </c>
      <c r="D333" s="16" t="inlineStr">
        <is>
          <t>128-08685725880951956</t>
        </is>
      </c>
      <c r="E333" s="16" t="inlineStr">
        <is>
          <t>Delivered</t>
        </is>
      </c>
      <c r="F333" s="16" t="inlineStr">
        <is>
          <t>LV64W25</t>
        </is>
      </c>
      <c r="G3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3" s="16" t="inlineStr">
        <is>
          <t>Blanco</t>
        </is>
      </c>
      <c r="I333" s="16" t="n">
        <v>3</v>
      </c>
      <c r="J333" s="17" t="n">
        <v>375</v>
      </c>
      <c r="K333" s="17" t="n">
        <v>429.84</v>
      </c>
      <c r="L333" s="17" t="n">
        <v>0</v>
      </c>
      <c r="M333" s="17" t="n">
        <v>0</v>
      </c>
      <c r="N333" s="17">
        <f>K333*0.08+L333*0.08</f>
        <v/>
      </c>
      <c r="O333" s="17">
        <f>-(K333*0.025+L333*0.025)</f>
        <v/>
      </c>
      <c r="P333" s="17">
        <f>32</f>
        <v/>
      </c>
      <c r="Q333" s="17">
        <f>J333+L333+N333+O333-P333-M333</f>
        <v/>
      </c>
    </row>
    <row r="334">
      <c r="A334" s="16" t="inlineStr">
        <is>
          <t>5.1-5.7</t>
        </is>
      </c>
      <c r="B334" s="16" t="inlineStr">
        <is>
          <t>PO-128-08511928904312993</t>
        </is>
      </c>
      <c r="C334" s="16" t="inlineStr">
        <is>
          <t>Delivered</t>
        </is>
      </c>
      <c r="D334" s="16" t="inlineStr">
        <is>
          <t>128-08512080947832993</t>
        </is>
      </c>
      <c r="E334" s="16" t="inlineStr">
        <is>
          <t>Delivered</t>
        </is>
      </c>
      <c r="F334" s="16" t="inlineStr">
        <is>
          <t>VA371T</t>
        </is>
      </c>
      <c r="G334" s="16" t="inlineStr">
        <is>
          <t>Linkbits Bocina Bluetooth Portátil 3" de Alta Gama，Hi-Res Audio y Graves Potentes，Luces LED + Soporte USB/TF/FM/TWS，Ideal para Hogar y Aire Libre</t>
        </is>
      </c>
      <c r="H334" s="16" t="inlineStr">
        <is>
          <t>VA371T</t>
        </is>
      </c>
      <c r="I334" s="16" t="n">
        <v>1</v>
      </c>
      <c r="J334" s="17" t="n">
        <v>45.8</v>
      </c>
      <c r="K334" s="17" t="n">
        <v>2.45</v>
      </c>
      <c r="L334" s="17" t="n">
        <v>25.86</v>
      </c>
      <c r="M334" s="17" t="n">
        <v>0</v>
      </c>
      <c r="N334" s="17">
        <f>K334*0.08+L334*0.08</f>
        <v/>
      </c>
      <c r="O334" s="17">
        <f>-(K334*0.025+L334*0.025)</f>
        <v/>
      </c>
      <c r="P334" s="17">
        <f>32</f>
        <v/>
      </c>
      <c r="Q334" s="17">
        <f>J334+L334+N334+O334-P334-M334</f>
        <v/>
      </c>
    </row>
    <row r="335">
      <c r="A335" s="16" t="inlineStr">
        <is>
          <t>5.1-5.7</t>
        </is>
      </c>
      <c r="B335" s="16" t="inlineStr">
        <is>
          <t>PO-128-08410200760953662</t>
        </is>
      </c>
      <c r="C335" s="16" t="inlineStr">
        <is>
          <t>Delivered</t>
        </is>
      </c>
      <c r="D335" s="16" t="inlineStr">
        <is>
          <t>128-08410221732473662</t>
        </is>
      </c>
      <c r="E335" s="16" t="inlineStr">
        <is>
          <t>Delivered</t>
        </is>
      </c>
      <c r="F335" s="16" t="inlineStr">
        <is>
          <t>LV54W25</t>
        </is>
      </c>
      <c r="G335" s="16" t="inlineStr">
        <is>
          <t>TIANLAI Lámpara Ventilador E27 2 en 1, Silenciosa, LED Alta Luminosidad 180°, Instalación Rápida, Ahorro Energético para Dormitorio y Interiores Pequeños</t>
        </is>
      </c>
      <c r="H335" s="16" t="inlineStr">
        <is>
          <t>1 Pieza</t>
        </is>
      </c>
      <c r="I335" s="16" t="n">
        <v>1</v>
      </c>
      <c r="J335" s="17" t="n">
        <v>79</v>
      </c>
      <c r="K335" s="17" t="n">
        <v>96.2</v>
      </c>
      <c r="L335" s="17" t="n">
        <v>25.86</v>
      </c>
      <c r="M335" s="17" t="n">
        <v>0</v>
      </c>
      <c r="N335" s="17">
        <f>K335*0.08+L335*0.08</f>
        <v/>
      </c>
      <c r="O335" s="17">
        <f>-(K335*0.025+L335*0.025)</f>
        <v/>
      </c>
      <c r="P335" s="17">
        <f>32</f>
        <v/>
      </c>
      <c r="Q335" s="17">
        <f>J335+L335+N335+O335-P335-M335</f>
        <v/>
      </c>
    </row>
    <row r="336">
      <c r="A336" s="16" t="inlineStr">
        <is>
          <t>5.1-5.7</t>
        </is>
      </c>
      <c r="B336" s="16" t="inlineStr">
        <is>
          <t>PO-128-08656606259831043</t>
        </is>
      </c>
      <c r="C336" s="16" t="inlineStr">
        <is>
          <t>Delivered</t>
        </is>
      </c>
      <c r="D336" s="16" t="inlineStr">
        <is>
          <t>128-08656648202871043</t>
        </is>
      </c>
      <c r="E336" s="16" t="inlineStr">
        <is>
          <t>Delivered</t>
        </is>
      </c>
      <c r="F336" s="16" t="inlineStr">
        <is>
          <t>LV64W25</t>
        </is>
      </c>
      <c r="G3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6" s="16" t="inlineStr">
        <is>
          <t>Blanco</t>
        </is>
      </c>
      <c r="I336" s="16" t="n">
        <v>2</v>
      </c>
      <c r="J336" s="17" t="n">
        <v>250</v>
      </c>
      <c r="K336" s="17" t="n">
        <v>257.9</v>
      </c>
      <c r="L336" s="17" t="n">
        <v>0</v>
      </c>
      <c r="M336" s="17" t="n">
        <v>0</v>
      </c>
      <c r="N336" s="17">
        <f>K336*0.08+L336*0.08</f>
        <v/>
      </c>
      <c r="O336" s="17">
        <f>-(K336*0.025+L336*0.025)</f>
        <v/>
      </c>
      <c r="P336" s="17">
        <f>32</f>
        <v/>
      </c>
      <c r="Q336" s="17">
        <f>J336+L336+N336+O336-P336-M336</f>
        <v/>
      </c>
    </row>
    <row r="337">
      <c r="A337" s="16" t="inlineStr">
        <is>
          <t>5.1-5.7</t>
        </is>
      </c>
      <c r="B337" s="16" t="inlineStr">
        <is>
          <t>PO-128-08394496727673821</t>
        </is>
      </c>
      <c r="C337" s="16" t="inlineStr">
        <is>
          <t>Delivered</t>
        </is>
      </c>
      <c r="D337" s="16" t="inlineStr">
        <is>
          <t>128-08394549156473821</t>
        </is>
      </c>
      <c r="E337" s="16" t="inlineStr">
        <is>
          <t>Delivered</t>
        </is>
      </c>
      <c r="F337" s="16" t="inlineStr">
        <is>
          <t>LV64W25</t>
        </is>
      </c>
      <c r="G3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7" s="16" t="inlineStr">
        <is>
          <t>Blanco</t>
        </is>
      </c>
      <c r="I337" s="16" t="n">
        <v>3</v>
      </c>
      <c r="J337" s="17" t="n">
        <v>375</v>
      </c>
      <c r="K337" s="17" t="n">
        <v>391.17</v>
      </c>
      <c r="L337" s="17" t="n">
        <v>0</v>
      </c>
      <c r="M337" s="17" t="n">
        <v>0</v>
      </c>
      <c r="N337" s="17">
        <f>K337*0.08+L337*0.08</f>
        <v/>
      </c>
      <c r="O337" s="17">
        <f>-(K337*0.025+L337*0.025)</f>
        <v/>
      </c>
      <c r="P337" s="17">
        <f>32</f>
        <v/>
      </c>
      <c r="Q337" s="17">
        <f>J337+L337+N337+O337-P337-M337</f>
        <v/>
      </c>
    </row>
    <row r="338">
      <c r="A338" s="16" t="inlineStr">
        <is>
          <t>5.1-5.7</t>
        </is>
      </c>
      <c r="B338" s="16" t="inlineStr">
        <is>
          <t>PO-128-08586786099832675</t>
        </is>
      </c>
      <c r="C338" s="16" t="inlineStr">
        <is>
          <t>Delivered</t>
        </is>
      </c>
      <c r="D338" s="16" t="inlineStr">
        <is>
          <t>128-08586765128312675</t>
        </is>
      </c>
      <c r="E338" s="16" t="inlineStr">
        <is>
          <t>Delivered</t>
        </is>
      </c>
      <c r="F338" s="16" t="inlineStr">
        <is>
          <t>LV64W25</t>
        </is>
      </c>
      <c r="G3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8" s="16" t="inlineStr">
        <is>
          <t>Blanco</t>
        </is>
      </c>
      <c r="I338" s="16" t="n">
        <v>1</v>
      </c>
      <c r="J338" s="17" t="n">
        <v>125</v>
      </c>
      <c r="K338" s="17" t="n">
        <v>143.28</v>
      </c>
      <c r="L338" s="17" t="n">
        <v>25.86</v>
      </c>
      <c r="M338" s="17" t="n">
        <v>0</v>
      </c>
      <c r="N338" s="17">
        <f>K338*0.08+L338*0.08</f>
        <v/>
      </c>
      <c r="O338" s="17">
        <f>-(K338*0.025+L338*0.025)</f>
        <v/>
      </c>
      <c r="P338" s="17">
        <f>32</f>
        <v/>
      </c>
      <c r="Q338" s="17">
        <f>J338+L338+N338+O338-P338-M338</f>
        <v/>
      </c>
    </row>
    <row r="339">
      <c r="A339" s="16" t="inlineStr">
        <is>
          <t>5.1-5.7</t>
        </is>
      </c>
      <c r="B339" s="16" t="inlineStr">
        <is>
          <t>PO-128-08932924324470610</t>
        </is>
      </c>
      <c r="C339" s="16" t="inlineStr">
        <is>
          <t>Delivered</t>
        </is>
      </c>
      <c r="D339" s="16" t="inlineStr">
        <is>
          <t>128-08932966267510610</t>
        </is>
      </c>
      <c r="E339" s="16" t="inlineStr">
        <is>
          <t>Delivered</t>
        </is>
      </c>
      <c r="F339" s="16" t="inlineStr">
        <is>
          <t>LV64W25</t>
        </is>
      </c>
      <c r="G3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9" s="16" t="inlineStr">
        <is>
          <t>Blanco</t>
        </is>
      </c>
      <c r="I339" s="16" t="n">
        <v>2</v>
      </c>
      <c r="J339" s="17" t="n">
        <v>250</v>
      </c>
      <c r="K339" s="17" t="n">
        <v>286.56</v>
      </c>
      <c r="L339" s="17" t="n">
        <v>0</v>
      </c>
      <c r="M339" s="17" t="n">
        <v>0</v>
      </c>
      <c r="N339" s="17">
        <f>K339*0.08+L339*0.08</f>
        <v/>
      </c>
      <c r="O339" s="17">
        <f>-(K339*0.025+L339*0.025)</f>
        <v/>
      </c>
      <c r="P339" s="17">
        <f>32</f>
        <v/>
      </c>
      <c r="Q339" s="17">
        <f>J339+L339+N339+O339-P339-M339</f>
        <v/>
      </c>
    </row>
    <row r="340">
      <c r="A340" s="16" t="inlineStr">
        <is>
          <t>5.1-5.7</t>
        </is>
      </c>
      <c r="B340" s="16" t="inlineStr">
        <is>
          <t>PO-128-08725901711991716</t>
        </is>
      </c>
      <c r="C340" s="16" t="inlineStr">
        <is>
          <t>Delivered</t>
        </is>
      </c>
      <c r="D340" s="16" t="inlineStr">
        <is>
          <t>128-08725844040311716</t>
        </is>
      </c>
      <c r="E340" s="16" t="inlineStr">
        <is>
          <t>Delivered</t>
        </is>
      </c>
      <c r="F340" s="16" t="inlineStr">
        <is>
          <t>LV64W25</t>
        </is>
      </c>
      <c r="G3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0" s="16" t="inlineStr">
        <is>
          <t>Blanco</t>
        </is>
      </c>
      <c r="I340" s="16" t="n">
        <v>1</v>
      </c>
      <c r="J340" s="17" t="n">
        <v>125</v>
      </c>
      <c r="K340" s="17" t="n">
        <v>143.28</v>
      </c>
      <c r="L340" s="17" t="n">
        <v>25.86</v>
      </c>
      <c r="M340" s="17" t="n">
        <v>0</v>
      </c>
      <c r="N340" s="17">
        <f>K340*0.08+L340*0.08</f>
        <v/>
      </c>
      <c r="O340" s="17">
        <f>-(K340*0.025+L340*0.025)</f>
        <v/>
      </c>
      <c r="P340" s="17">
        <f>32</f>
        <v/>
      </c>
      <c r="Q340" s="17">
        <f>J340+L340+N340+O340-P340-M340</f>
        <v/>
      </c>
    </row>
    <row r="341">
      <c r="A341" s="16" t="inlineStr">
        <is>
          <t>5.1-5.7</t>
        </is>
      </c>
      <c r="B341" s="16" t="inlineStr">
        <is>
          <t>PO-128-08612047022711309</t>
        </is>
      </c>
      <c r="C341" s="16" t="inlineStr">
        <is>
          <t>Delivered</t>
        </is>
      </c>
      <c r="D341" s="16" t="inlineStr">
        <is>
          <t>128-08612005079671309</t>
        </is>
      </c>
      <c r="E341" s="16" t="inlineStr">
        <is>
          <t>Delivered</t>
        </is>
      </c>
      <c r="F341" s="16" t="inlineStr">
        <is>
          <t>LV64W25</t>
        </is>
      </c>
      <c r="G3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1" s="16" t="inlineStr">
        <is>
          <t>Blanco</t>
        </is>
      </c>
      <c r="I341" s="16" t="n">
        <v>2</v>
      </c>
      <c r="J341" s="17" t="n">
        <v>250</v>
      </c>
      <c r="K341" s="17" t="n">
        <v>214.8</v>
      </c>
      <c r="L341" s="17" t="n">
        <v>0</v>
      </c>
      <c r="M341" s="17" t="n">
        <v>0</v>
      </c>
      <c r="N341" s="17">
        <f>K341*0.08+L341*0.08</f>
        <v/>
      </c>
      <c r="O341" s="17">
        <f>-(K341*0.025+L341*0.025)</f>
        <v/>
      </c>
      <c r="P341" s="17">
        <f>32</f>
        <v/>
      </c>
      <c r="Q341" s="17">
        <f>J341+L341+N341+O341-P341-M341</f>
        <v/>
      </c>
    </row>
    <row r="342">
      <c r="A342" s="16" t="inlineStr">
        <is>
          <t>5.1-5.7</t>
        </is>
      </c>
      <c r="B342" s="16" t="inlineStr">
        <is>
          <t>PO-128-08359891098233898</t>
        </is>
      </c>
      <c r="C342" s="16" t="inlineStr">
        <is>
          <t>Delivered</t>
        </is>
      </c>
      <c r="D342" s="16" t="inlineStr">
        <is>
          <t>128-08359849155193898</t>
        </is>
      </c>
      <c r="E342" s="16" t="inlineStr">
        <is>
          <t>Delivered</t>
        </is>
      </c>
      <c r="F342" s="16" t="inlineStr">
        <is>
          <t>LV64W25</t>
        </is>
      </c>
      <c r="G3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2" s="16" t="inlineStr">
        <is>
          <t>Blanco</t>
        </is>
      </c>
      <c r="I342" s="16" t="n">
        <v>1</v>
      </c>
      <c r="J342" s="17" t="n">
        <v>125</v>
      </c>
      <c r="K342" s="17" t="n">
        <v>128.95</v>
      </c>
      <c r="L342" s="17" t="n">
        <v>25.86</v>
      </c>
      <c r="M342" s="17" t="n">
        <v>0</v>
      </c>
      <c r="N342" s="17">
        <f>K342*0.08+L342*0.08</f>
        <v/>
      </c>
      <c r="O342" s="17">
        <f>-(K342*0.025+L342*0.025)</f>
        <v/>
      </c>
      <c r="P342" s="17">
        <f>32</f>
        <v/>
      </c>
      <c r="Q342" s="17">
        <f>J342+L342+N342+O342-P342-M342</f>
        <v/>
      </c>
    </row>
    <row r="343">
      <c r="A343" s="16" t="inlineStr">
        <is>
          <t>5.1-5.7</t>
        </is>
      </c>
      <c r="B343" s="16" t="inlineStr">
        <is>
          <t>PO-128-08256953580153489</t>
        </is>
      </c>
      <c r="C343" s="16" t="inlineStr">
        <is>
          <t>Delivered</t>
        </is>
      </c>
      <c r="D343" s="16" t="inlineStr">
        <is>
          <t>128-08256945715833489</t>
        </is>
      </c>
      <c r="E343" s="16" t="inlineStr">
        <is>
          <t>Delivered</t>
        </is>
      </c>
      <c r="F343" s="16" t="inlineStr">
        <is>
          <t>LV64W25</t>
        </is>
      </c>
      <c r="G3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3" s="16" t="inlineStr">
        <is>
          <t>Blanco</t>
        </is>
      </c>
      <c r="I343" s="16" t="n">
        <v>2</v>
      </c>
      <c r="J343" s="17" t="n">
        <v>250</v>
      </c>
      <c r="K343" s="17" t="n">
        <v>260.78</v>
      </c>
      <c r="L343" s="17" t="n">
        <v>0</v>
      </c>
      <c r="M343" s="17" t="n">
        <v>0</v>
      </c>
      <c r="N343" s="17">
        <f>K343*0.08+L343*0.08</f>
        <v/>
      </c>
      <c r="O343" s="17">
        <f>-(K343*0.025+L343*0.025)</f>
        <v/>
      </c>
      <c r="P343" s="17">
        <f>32</f>
        <v/>
      </c>
      <c r="Q343" s="17">
        <f>J343+L343+N343+O343-P343-M343</f>
        <v/>
      </c>
    </row>
    <row r="344">
      <c r="A344" s="16" t="inlineStr">
        <is>
          <t>5.1-5.7</t>
        </is>
      </c>
      <c r="B344" s="16" t="inlineStr">
        <is>
          <t>PO-128-08283433749113395</t>
        </is>
      </c>
      <c r="C344" s="16" t="inlineStr">
        <is>
          <t>Delivered</t>
        </is>
      </c>
      <c r="D344" s="16" t="inlineStr">
        <is>
          <t>128-08283444234873395</t>
        </is>
      </c>
      <c r="E344" s="16" t="inlineStr">
        <is>
          <t>Delivered</t>
        </is>
      </c>
      <c r="F344" s="16" t="inlineStr">
        <is>
          <t>KTS-2031</t>
        </is>
      </c>
      <c r="G344" s="16" t="inlineStr">
        <is>
          <t>Bocina inalámbrica de 3 pulgadas con linterna multifuncional y panel solar integrado.Altavoz Portátil con Linterna LED 4 Modos, Radio FM, Bluetooth, Carga Solar, Ideal para Apagones, Emergencias, Campo y Exteriores</t>
        </is>
      </c>
      <c r="H344" s="16" t="inlineStr">
        <is>
          <t>NEGRO</t>
        </is>
      </c>
      <c r="I344" s="16" t="n">
        <v>1</v>
      </c>
      <c r="J344" s="17" t="n">
        <v>105.26</v>
      </c>
      <c r="K344" s="17" t="n">
        <v>114.5</v>
      </c>
      <c r="L344" s="17" t="n">
        <v>25.86</v>
      </c>
      <c r="M344" s="17" t="n">
        <v>0</v>
      </c>
      <c r="N344" s="17">
        <f>K344*0.08+L344*0.08</f>
        <v/>
      </c>
      <c r="O344" s="17">
        <f>-(K344*0.025+L344*0.025)</f>
        <v/>
      </c>
      <c r="P344" s="17">
        <f>32</f>
        <v/>
      </c>
      <c r="Q344" s="17">
        <f>J344+L344+N344+O344-P344-M344</f>
        <v/>
      </c>
    </row>
    <row r="345">
      <c r="A345" s="16" t="inlineStr">
        <is>
          <t>5.1-5.7</t>
        </is>
      </c>
      <c r="B345" s="16" t="inlineStr">
        <is>
          <t>PO-128-08777312379510450</t>
        </is>
      </c>
      <c r="C345" s="16" t="inlineStr">
        <is>
          <t>Delivered</t>
        </is>
      </c>
      <c r="D345" s="16" t="inlineStr">
        <is>
          <t>128-08777322865270450</t>
        </is>
      </c>
      <c r="E345" s="16" t="inlineStr">
        <is>
          <t>Delivered</t>
        </is>
      </c>
      <c r="F345" s="16" t="inlineStr">
        <is>
          <t>KTS-2031</t>
        </is>
      </c>
      <c r="G345" s="16" t="inlineStr">
        <is>
          <t>Bocina inalámbrica de 3 pulgadas con linterna multifuncional y panel solar integrado.Altavoz Portátil con Linterna LED 4 Modos, Radio FM, Bluetooth, Carga Solar, Ideal para Apagones, Emergencias, Campo y Exteriores</t>
        </is>
      </c>
      <c r="H345" s="16" t="inlineStr">
        <is>
          <t>NEGRO</t>
        </is>
      </c>
      <c r="I345" s="16" t="n">
        <v>1</v>
      </c>
      <c r="J345" s="17" t="n">
        <v>105.26</v>
      </c>
      <c r="K345" s="17" t="n">
        <v>112.46</v>
      </c>
      <c r="L345" s="17" t="n">
        <v>25.86</v>
      </c>
      <c r="M345" s="17" t="n">
        <v>0</v>
      </c>
      <c r="N345" s="17">
        <f>K345*0.08+L345*0.08</f>
        <v/>
      </c>
      <c r="O345" s="17">
        <f>-(K345*0.025+L345*0.025)</f>
        <v/>
      </c>
      <c r="P345" s="17">
        <f>32</f>
        <v/>
      </c>
      <c r="Q345" s="17">
        <f>J345+L345+N345+O345-P345-M345</f>
        <v/>
      </c>
    </row>
    <row r="346">
      <c r="A346" s="16" t="inlineStr">
        <is>
          <t>5.1-5.7</t>
        </is>
      </c>
      <c r="B346" s="16" t="inlineStr">
        <is>
          <t>PO-128-08893138709110657</t>
        </is>
      </c>
      <c r="C346" s="16" t="inlineStr">
        <is>
          <t>Delivered</t>
        </is>
      </c>
      <c r="D346" s="16" t="inlineStr">
        <is>
          <t>128-08893243566710657</t>
        </is>
      </c>
      <c r="E346" s="16" t="inlineStr">
        <is>
          <t>Delivered</t>
        </is>
      </c>
      <c r="F346" s="16" t="inlineStr">
        <is>
          <t>LV64W25</t>
        </is>
      </c>
      <c r="G3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6" s="16" t="inlineStr">
        <is>
          <t>Blanco</t>
        </is>
      </c>
      <c r="I346" s="16" t="n">
        <v>1</v>
      </c>
      <c r="J346" s="17" t="n">
        <v>125</v>
      </c>
      <c r="K346" s="17" t="n">
        <v>100.18</v>
      </c>
      <c r="L346" s="17" t="n">
        <v>25.86</v>
      </c>
      <c r="M346" s="17" t="n">
        <v>0</v>
      </c>
      <c r="N346" s="17">
        <f>K346*0.08+L346*0.08</f>
        <v/>
      </c>
      <c r="O346" s="17">
        <f>-(K346*0.025+L346*0.025)</f>
        <v/>
      </c>
      <c r="P346" s="17">
        <f>32</f>
        <v/>
      </c>
      <c r="Q346" s="17">
        <f>J346+L346+N346+O346-P346-M346</f>
        <v/>
      </c>
    </row>
    <row r="347">
      <c r="A347" s="16" t="inlineStr">
        <is>
          <t>5.1-5.7</t>
        </is>
      </c>
      <c r="B347" s="16" t="inlineStr">
        <is>
          <t>PO-128-08723394263671669</t>
        </is>
      </c>
      <c r="C347" s="16" t="inlineStr">
        <is>
          <t>Delivered</t>
        </is>
      </c>
      <c r="D347" s="16" t="inlineStr">
        <is>
          <t>128-08723436206711669</t>
        </is>
      </c>
      <c r="E347" s="16" t="inlineStr">
        <is>
          <t>Delivered</t>
        </is>
      </c>
      <c r="F347" s="16" t="inlineStr">
        <is>
          <t>LV54W25</t>
        </is>
      </c>
      <c r="G347" s="16" t="inlineStr">
        <is>
          <t>TIANLAI Lámpara Ventilador E27 2 en 1, Silenciosa, LED Alta Luminosidad 180°, Instalación Rápida, Ahorro Energético para Dormitorio y Interiores Pequeños</t>
        </is>
      </c>
      <c r="H347" s="16" t="inlineStr">
        <is>
          <t>1 Pieza</t>
        </is>
      </c>
      <c r="I347" s="16" t="n">
        <v>1</v>
      </c>
      <c r="J347" s="17" t="n">
        <v>79</v>
      </c>
      <c r="K347" s="17" t="n">
        <v>82.73</v>
      </c>
      <c r="L347" s="17" t="n">
        <v>25.86</v>
      </c>
      <c r="M347" s="17" t="n">
        <v>0</v>
      </c>
      <c r="N347" s="17">
        <f>K347*0.08+L347*0.08</f>
        <v/>
      </c>
      <c r="O347" s="17">
        <f>-(K347*0.025+L347*0.025)</f>
        <v/>
      </c>
      <c r="P347" s="17">
        <f>32</f>
        <v/>
      </c>
      <c r="Q347" s="17">
        <f>J347+L347+N347+O347-P347-M347</f>
        <v/>
      </c>
    </row>
    <row r="348">
      <c r="A348" s="16" t="inlineStr">
        <is>
          <t>5.1-5.7</t>
        </is>
      </c>
      <c r="B348" s="16" t="inlineStr">
        <is>
          <t>PO-128-08261725604473525</t>
        </is>
      </c>
      <c r="C348" s="16" t="inlineStr">
        <is>
          <t>Delivered</t>
        </is>
      </c>
      <c r="D348" s="16" t="inlineStr">
        <is>
          <t>128-08261746575993525</t>
        </is>
      </c>
      <c r="E348" s="16" t="inlineStr">
        <is>
          <t>Delivered</t>
        </is>
      </c>
      <c r="F348" s="16" t="inlineStr">
        <is>
          <t>LV64W25</t>
        </is>
      </c>
      <c r="G3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8" s="16" t="inlineStr">
        <is>
          <t>Blanco</t>
        </is>
      </c>
      <c r="I348" s="16" t="n">
        <v>10</v>
      </c>
      <c r="J348" s="17" t="n">
        <v>1250</v>
      </c>
      <c r="K348" s="17" t="n">
        <v>1303.9</v>
      </c>
      <c r="L348" s="17" t="n">
        <v>0</v>
      </c>
      <c r="M348" s="17" t="n">
        <v>0</v>
      </c>
      <c r="N348" s="17">
        <f>K348*0.08+L348*0.08</f>
        <v/>
      </c>
      <c r="O348" s="17">
        <f>-(K348*0.025+L348*0.025)</f>
        <v/>
      </c>
      <c r="P348" s="17">
        <f>32</f>
        <v/>
      </c>
      <c r="Q348" s="17">
        <f>J348+L348+N348+O348-P348-M348</f>
        <v/>
      </c>
    </row>
    <row r="349">
      <c r="A349" s="16" t="inlineStr">
        <is>
          <t>5.1-5.7</t>
        </is>
      </c>
      <c r="B349" s="16" t="inlineStr">
        <is>
          <t>PO-128-08325149389433147</t>
        </is>
      </c>
      <c r="C349" s="16" t="inlineStr">
        <is>
          <t>Delivered</t>
        </is>
      </c>
      <c r="D349" s="16" t="inlineStr">
        <is>
          <t>128-08325189366393147</t>
        </is>
      </c>
      <c r="E349" s="16" t="inlineStr">
        <is>
          <t>Delivered</t>
        </is>
      </c>
      <c r="F349" s="16" t="inlineStr">
        <is>
          <t>LV54W25</t>
        </is>
      </c>
      <c r="G349" s="16" t="inlineStr">
        <is>
          <t>TIANLAI Lámpara Ventilador E27 2 en 1, Silenciosa, LED Alta Luminosidad 180°, Instalación Rápida, Ahorro Energético para Dormitorio y Interiores Pequeños</t>
        </is>
      </c>
      <c r="H349" s="16" t="inlineStr">
        <is>
          <t>1 Pieza</t>
        </is>
      </c>
      <c r="I349" s="16" t="n">
        <v>1</v>
      </c>
      <c r="J349" s="17" t="n">
        <v>79</v>
      </c>
      <c r="K349" s="17" t="n">
        <v>82.73</v>
      </c>
      <c r="L349" s="17" t="n">
        <v>25.86</v>
      </c>
      <c r="M349" s="17" t="n">
        <v>0</v>
      </c>
      <c r="N349" s="17">
        <f>K349*0.08+L349*0.08</f>
        <v/>
      </c>
      <c r="O349" s="17">
        <f>-(K349*0.025+L349*0.025)</f>
        <v/>
      </c>
      <c r="P349" s="17">
        <f>32</f>
        <v/>
      </c>
      <c r="Q349" s="17">
        <f>J349+L349+N349+O349-P349-M349</f>
        <v/>
      </c>
    </row>
    <row r="350">
      <c r="A350" s="16" t="inlineStr">
        <is>
          <t>5.1-5.7</t>
        </is>
      </c>
      <c r="B350" s="16" t="inlineStr">
        <is>
          <t>PO-128-08402523228793644</t>
        </is>
      </c>
      <c r="C350" s="16" t="inlineStr">
        <is>
          <t>Delivered</t>
        </is>
      </c>
      <c r="D350" s="16" t="inlineStr">
        <is>
          <t>128-08402481285753644</t>
        </is>
      </c>
      <c r="E350" s="16" t="inlineStr">
        <is>
          <t>Delivered</t>
        </is>
      </c>
      <c r="F350" s="16" t="inlineStr">
        <is>
          <t>LV64W25</t>
        </is>
      </c>
      <c r="G3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0" s="16" t="inlineStr">
        <is>
          <t>Blanco</t>
        </is>
      </c>
      <c r="I350" s="16" t="n">
        <v>1</v>
      </c>
      <c r="J350" s="17" t="n">
        <v>125</v>
      </c>
      <c r="K350" s="17" t="n">
        <v>143.28</v>
      </c>
      <c r="L350" s="17" t="n">
        <v>25.86</v>
      </c>
      <c r="M350" s="17" t="n">
        <v>0</v>
      </c>
      <c r="N350" s="17">
        <f>K350*0.08+L350*0.08</f>
        <v/>
      </c>
      <c r="O350" s="17">
        <f>-(K350*0.025+L350*0.025)</f>
        <v/>
      </c>
      <c r="P350" s="17">
        <f>32</f>
        <v/>
      </c>
      <c r="Q350" s="17">
        <f>J350+L350+N350+O350-P350-M350</f>
        <v/>
      </c>
    </row>
    <row r="351">
      <c r="A351" s="16" t="inlineStr">
        <is>
          <t>5.1-5.7</t>
        </is>
      </c>
      <c r="B351" s="16" t="inlineStr">
        <is>
          <t>PO-128-08468273644152228</t>
        </is>
      </c>
      <c r="C351" s="16" t="inlineStr">
        <is>
          <t>Delivered</t>
        </is>
      </c>
      <c r="D351" s="16" t="inlineStr">
        <is>
          <t>128-08468189758072228</t>
        </is>
      </c>
      <c r="E351" s="16" t="inlineStr">
        <is>
          <t>Delivered</t>
        </is>
      </c>
      <c r="F351" s="16" t="inlineStr">
        <is>
          <t>LV64W25</t>
        </is>
      </c>
      <c r="G3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1" s="16" t="inlineStr">
        <is>
          <t>Blanco</t>
        </is>
      </c>
      <c r="I351" s="16" t="n">
        <v>1</v>
      </c>
      <c r="J351" s="17" t="n">
        <v>125</v>
      </c>
      <c r="K351" s="17" t="n">
        <v>103.16</v>
      </c>
      <c r="L351" s="17" t="n">
        <v>0</v>
      </c>
      <c r="M351" s="17" t="n">
        <v>4.32</v>
      </c>
      <c r="N351" s="17">
        <f>K351*0.08+L351*0.08</f>
        <v/>
      </c>
      <c r="O351" s="17">
        <f>-(K351*0.025+L351*0.025)</f>
        <v/>
      </c>
      <c r="P351" s="17">
        <f>32</f>
        <v/>
      </c>
      <c r="Q351" s="17">
        <f>J351+L351+N351+O351-P351-M351</f>
        <v/>
      </c>
    </row>
    <row r="352">
      <c r="A352" s="16" t="inlineStr">
        <is>
          <t>5.1-5.7</t>
        </is>
      </c>
      <c r="B352" s="16" t="inlineStr">
        <is>
          <t>PO-128-08468273644152228</t>
        </is>
      </c>
      <c r="C352" s="16" t="inlineStr">
        <is>
          <t>Delivered</t>
        </is>
      </c>
      <c r="D352" s="16" t="inlineStr">
        <is>
          <t>128-08468231701112228</t>
        </is>
      </c>
      <c r="E352" s="16" t="inlineStr">
        <is>
          <t>Delivered</t>
        </is>
      </c>
      <c r="F352" s="16" t="inlineStr">
        <is>
          <t>KTS-2031</t>
        </is>
      </c>
      <c r="G352" s="16" t="inlineStr">
        <is>
          <t>Bocina inalámbrica de 3 pulgadas con linterna multifuncional y panel solar integrado.Altavoz Portátil con Linterna LED 4 Modos, Radio FM, Bluetooth, Carga Solar, Ideal para Apagones, Emergencias, Campo y Exteriores</t>
        </is>
      </c>
      <c r="H352" s="16" t="inlineStr">
        <is>
          <t>NEGRO</t>
        </is>
      </c>
      <c r="I352" s="16" t="n">
        <v>3</v>
      </c>
      <c r="J352" s="17" t="n">
        <v>225</v>
      </c>
      <c r="K352" s="17" t="n">
        <v>202.17</v>
      </c>
      <c r="L352" s="17" t="n">
        <v>0</v>
      </c>
      <c r="M352" s="17" t="n">
        <v>0</v>
      </c>
      <c r="N352" s="17">
        <f>K352*0.08+L352*0.08</f>
        <v/>
      </c>
      <c r="O352" s="17">
        <f>-(K352*0.025+L352*0.025)</f>
        <v/>
      </c>
      <c r="P352" s="17">
        <f>32</f>
        <v/>
      </c>
      <c r="Q352" s="17">
        <f>J352+L352+N352+O352-P352-M352</f>
        <v/>
      </c>
    </row>
    <row r="353">
      <c r="A353" s="16" t="inlineStr">
        <is>
          <t>5.1-5.7</t>
        </is>
      </c>
      <c r="B353" s="16" t="inlineStr">
        <is>
          <t>PO-128-08884282860150836</t>
        </is>
      </c>
      <c r="C353" s="16" t="inlineStr">
        <is>
          <t>Delivered</t>
        </is>
      </c>
      <c r="D353" s="16" t="inlineStr">
        <is>
          <t>128-08884324803190836</t>
        </is>
      </c>
      <c r="E353" s="16" t="inlineStr">
        <is>
          <t>Delivered</t>
        </is>
      </c>
      <c r="F353" s="16" t="inlineStr">
        <is>
          <t>LV64W25</t>
        </is>
      </c>
      <c r="G3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3" s="16" t="inlineStr">
        <is>
          <t>Blanco</t>
        </is>
      </c>
      <c r="I353" s="16" t="n">
        <v>2</v>
      </c>
      <c r="J353" s="17" t="n">
        <v>250</v>
      </c>
      <c r="K353" s="17" t="n">
        <v>257.9</v>
      </c>
      <c r="L353" s="17" t="n">
        <v>0</v>
      </c>
      <c r="M353" s="17" t="n">
        <v>0</v>
      </c>
      <c r="N353" s="17">
        <f>K353*0.08+L353*0.08</f>
        <v/>
      </c>
      <c r="O353" s="17">
        <f>-(K353*0.025+L353*0.025)</f>
        <v/>
      </c>
      <c r="P353" s="17">
        <f>32</f>
        <v/>
      </c>
      <c r="Q353" s="17">
        <f>J353+L353+N353+O353-P353-M353</f>
        <v/>
      </c>
    </row>
    <row r="354">
      <c r="A354" s="16" t="inlineStr">
        <is>
          <t>5.1-5.7</t>
        </is>
      </c>
      <c r="B354" s="16" t="inlineStr">
        <is>
          <t>PO-128-08286872074873439</t>
        </is>
      </c>
      <c r="C354" s="16" t="inlineStr">
        <is>
          <t>Delivered</t>
        </is>
      </c>
      <c r="D354" s="16" t="inlineStr">
        <is>
          <t>128-08286840617593439</t>
        </is>
      </c>
      <c r="E354" s="16" t="inlineStr">
        <is>
          <t>Delivered</t>
        </is>
      </c>
      <c r="F354" s="16" t="inlineStr">
        <is>
          <t>BSC07</t>
        </is>
      </c>
      <c r="G354" s="16" t="inlineStr">
        <is>
          <t>TIANLAI Báscula Digital BSC04/BSC07, Alta Precisión, Fácil Operación, Ligera y Portátil, Función Tara, Unidad Dual oz/g, Ideal para Cocina, Control de Porciones, Sellos y Objetos Pequeños, Uso en Hogar y Viaje</t>
        </is>
      </c>
      <c r="H354" s="16" t="inlineStr">
        <is>
          <t>1g/White</t>
        </is>
      </c>
      <c r="I354" s="16" t="n">
        <v>1</v>
      </c>
      <c r="J354" s="17" t="n">
        <v>35</v>
      </c>
      <c r="K354" s="17" t="n">
        <v>47.21</v>
      </c>
      <c r="L354" s="17" t="n">
        <v>25.86</v>
      </c>
      <c r="M354" s="17" t="n">
        <v>0</v>
      </c>
      <c r="N354" s="17">
        <f>K354*0.08+L354*0.08</f>
        <v/>
      </c>
      <c r="O354" s="17">
        <f>-(K354*0.025+L354*0.025)</f>
        <v/>
      </c>
      <c r="P354" s="17">
        <f>32</f>
        <v/>
      </c>
      <c r="Q354" s="17">
        <f>J354+L354+N354+O354-P354-M354</f>
        <v/>
      </c>
    </row>
    <row r="355">
      <c r="A355" s="16" t="inlineStr">
        <is>
          <t>5.1-5.7</t>
        </is>
      </c>
      <c r="B355" s="16" t="inlineStr">
        <is>
          <t>PO-128-08643125852791187</t>
        </is>
      </c>
      <c r="C355" s="16" t="inlineStr">
        <is>
          <t>Delivered</t>
        </is>
      </c>
      <c r="D355" s="16" t="inlineStr">
        <is>
          <t>128-08643277896311187</t>
        </is>
      </c>
      <c r="E355" s="16" t="inlineStr">
        <is>
          <t>Delivered</t>
        </is>
      </c>
      <c r="F355" s="16" t="inlineStr">
        <is>
          <t>LV64W25</t>
        </is>
      </c>
      <c r="G3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5" s="16" t="inlineStr">
        <is>
          <t>Blanco</t>
        </is>
      </c>
      <c r="I355" s="16" t="n">
        <v>1</v>
      </c>
      <c r="J355" s="17" t="n">
        <v>125</v>
      </c>
      <c r="K355" s="17" t="n">
        <v>104.31</v>
      </c>
      <c r="L355" s="17" t="n">
        <v>25.86</v>
      </c>
      <c r="M355" s="17" t="n">
        <v>0</v>
      </c>
      <c r="N355" s="17">
        <f>K355*0.08+L355*0.08</f>
        <v/>
      </c>
      <c r="O355" s="17">
        <f>-(K355*0.025+L355*0.025)</f>
        <v/>
      </c>
      <c r="P355" s="17">
        <f>32</f>
        <v/>
      </c>
      <c r="Q355" s="17">
        <f>J355+L355+N355+O355-P355-M355</f>
        <v/>
      </c>
    </row>
    <row r="356">
      <c r="A356" s="16" t="inlineStr">
        <is>
          <t>5.1-5.7</t>
        </is>
      </c>
      <c r="B356" s="16" t="inlineStr">
        <is>
          <t>PO-128-08541023683192882</t>
        </is>
      </c>
      <c r="C356" s="16" t="inlineStr">
        <is>
          <t>Delivered</t>
        </is>
      </c>
      <c r="D356" s="16" t="inlineStr">
        <is>
          <t>128-08541002711672882</t>
        </is>
      </c>
      <c r="E356" s="16" t="inlineStr">
        <is>
          <t>Delivered</t>
        </is>
      </c>
      <c r="F356" s="16" t="inlineStr">
        <is>
          <t>VB349T</t>
        </is>
      </c>
      <c r="G356" s="16" t="inlineStr">
        <is>
          <t>LINKBITS Altavoz Portátil de Doble Altavoz - 3 Pulgadas, Sonido HD, Emparejamiento Rápido de Bluetooth, Conectividad TWS, Reproducción Multimodo (Micro SD/USB/Radio FM) - Perfecto para Oficina, Viajes y Espacios Pequeños</t>
        </is>
      </c>
      <c r="H356" s="16" t="inlineStr">
        <is>
          <t>NEGRO</t>
        </is>
      </c>
      <c r="I356" s="16" t="n">
        <v>1</v>
      </c>
      <c r="J356" s="17" t="n">
        <v>81</v>
      </c>
      <c r="K356" s="17" t="n">
        <v>52.02</v>
      </c>
      <c r="L356" s="17" t="n">
        <v>25.86</v>
      </c>
      <c r="M356" s="17" t="n">
        <v>0</v>
      </c>
      <c r="N356" s="17">
        <f>K356*0.08+L356*0.08</f>
        <v/>
      </c>
      <c r="O356" s="17">
        <f>-(K356*0.025+L356*0.025)</f>
        <v/>
      </c>
      <c r="P356" s="17">
        <f>32</f>
        <v/>
      </c>
      <c r="Q356" s="17">
        <f>J356+L356+N356+O356-P356-M356</f>
        <v/>
      </c>
    </row>
    <row r="357">
      <c r="A357" s="16" t="inlineStr">
        <is>
          <t>5.1-5.7</t>
        </is>
      </c>
      <c r="B357" s="16" t="inlineStr">
        <is>
          <t>PO-128-08444276142712309</t>
        </is>
      </c>
      <c r="C357" s="16" t="inlineStr">
        <is>
          <t>Delivered</t>
        </is>
      </c>
      <c r="D357" s="16" t="inlineStr">
        <is>
          <t>128-08444302357112309</t>
        </is>
      </c>
      <c r="E357" s="16" t="inlineStr">
        <is>
          <t>Delivered</t>
        </is>
      </c>
      <c r="F357" s="16" t="inlineStr">
        <is>
          <t>LV54W25</t>
        </is>
      </c>
      <c r="G357" s="16" t="inlineStr">
        <is>
          <t>TIANLAI Lámpara Ventilador E27 2 en 1, Silenciosa, LED Alta Luminosidad 180°, Instalación Rápida, Ahorro Energético para Dormitorio y Interiores Pequeños</t>
        </is>
      </c>
      <c r="H357" s="16" t="inlineStr">
        <is>
          <t>1 Pieza</t>
        </is>
      </c>
      <c r="I357" s="16" t="n">
        <v>3</v>
      </c>
      <c r="J357" s="17" t="n">
        <v>237</v>
      </c>
      <c r="K357" s="17" t="n">
        <v>188.14</v>
      </c>
      <c r="L357" s="17" t="n">
        <v>0</v>
      </c>
      <c r="M357" s="17" t="n">
        <v>0</v>
      </c>
      <c r="N357" s="17">
        <f>K357*0.08+L357*0.08</f>
        <v/>
      </c>
      <c r="O357" s="17">
        <f>-(K357*0.025+L357*0.025)</f>
        <v/>
      </c>
      <c r="P357" s="17">
        <f>32</f>
        <v/>
      </c>
      <c r="Q357" s="17">
        <f>J357+L357+N357+O357-P357-M357</f>
        <v/>
      </c>
    </row>
    <row r="358">
      <c r="A358" s="16" t="inlineStr">
        <is>
          <t>5.1-5.7</t>
        </is>
      </c>
      <c r="B358" s="16" t="inlineStr">
        <is>
          <t>PO-128-08901834814070733</t>
        </is>
      </c>
      <c r="C358" s="16" t="inlineStr">
        <is>
          <t>Delivered</t>
        </is>
      </c>
      <c r="D358" s="16" t="inlineStr">
        <is>
          <t>128-08901971128950733</t>
        </is>
      </c>
      <c r="E358" s="16" t="inlineStr">
        <is>
          <t>Delivered</t>
        </is>
      </c>
      <c r="F358" s="16" t="inlineStr">
        <is>
          <t>LV64W25</t>
        </is>
      </c>
      <c r="G3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8" s="16" t="inlineStr">
        <is>
          <t>Blanco</t>
        </is>
      </c>
      <c r="I358" s="16" t="n">
        <v>6</v>
      </c>
      <c r="J358" s="17" t="n">
        <v>750</v>
      </c>
      <c r="K358" s="17" t="n">
        <v>625.85</v>
      </c>
      <c r="L358" s="17" t="n">
        <v>0</v>
      </c>
      <c r="M358" s="17" t="n">
        <v>0</v>
      </c>
      <c r="N358" s="17">
        <f>K358*0.08+L358*0.08</f>
        <v/>
      </c>
      <c r="O358" s="17">
        <f>-(K358*0.025+L358*0.025)</f>
        <v/>
      </c>
      <c r="P358" s="17">
        <f>32</f>
        <v/>
      </c>
      <c r="Q358" s="17">
        <f>J358+L358+N358+O358-P358-M358</f>
        <v/>
      </c>
    </row>
    <row r="359">
      <c r="A359" s="16" t="inlineStr">
        <is>
          <t>5.1-5.7</t>
        </is>
      </c>
      <c r="B359" s="16" t="inlineStr">
        <is>
          <t>PO-128-08567674296952789</t>
        </is>
      </c>
      <c r="C359" s="16" t="inlineStr">
        <is>
          <t>Delivered</t>
        </is>
      </c>
      <c r="D359" s="16" t="inlineStr">
        <is>
          <t>128-08567642839672789</t>
        </is>
      </c>
      <c r="E359" s="16" t="inlineStr">
        <is>
          <t>Delivered</t>
        </is>
      </c>
      <c r="F359" s="16" t="inlineStr">
        <is>
          <t>LV64W25</t>
        </is>
      </c>
      <c r="G3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9" s="16" t="inlineStr">
        <is>
          <t>Blanco</t>
        </is>
      </c>
      <c r="I359" s="16" t="n">
        <v>1</v>
      </c>
      <c r="J359" s="17" t="n">
        <v>125</v>
      </c>
      <c r="K359" s="17" t="n">
        <v>130.39</v>
      </c>
      <c r="L359" s="17" t="n">
        <v>25.86</v>
      </c>
      <c r="M359" s="17" t="n">
        <v>0</v>
      </c>
      <c r="N359" s="17">
        <f>K359*0.08+L359*0.08</f>
        <v/>
      </c>
      <c r="O359" s="17">
        <f>-(K359*0.025+L359*0.025)</f>
        <v/>
      </c>
      <c r="P359" s="17">
        <f>32</f>
        <v/>
      </c>
      <c r="Q359" s="17">
        <f>J359+L359+N359+O359-P359-M359</f>
        <v/>
      </c>
    </row>
    <row r="360">
      <c r="A360" s="16" t="inlineStr">
        <is>
          <t>5.1-5.7</t>
        </is>
      </c>
      <c r="B360" s="16" t="inlineStr">
        <is>
          <t>PO-128-08886681160310886</t>
        </is>
      </c>
      <c r="C360" s="16" t="inlineStr">
        <is>
          <t>Delivered</t>
        </is>
      </c>
      <c r="D360" s="16" t="inlineStr">
        <is>
          <t>128-08886702131830886</t>
        </is>
      </c>
      <c r="E360" s="16" t="inlineStr">
        <is>
          <t>Delivered</t>
        </is>
      </c>
      <c r="F360" s="16" t="inlineStr">
        <is>
          <t>LV64W25</t>
        </is>
      </c>
      <c r="G3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0" s="16" t="inlineStr">
        <is>
          <t>Blanco</t>
        </is>
      </c>
      <c r="I360" s="16" t="n">
        <v>1</v>
      </c>
      <c r="J360" s="17" t="n">
        <v>125</v>
      </c>
      <c r="K360" s="17" t="n">
        <v>143.28</v>
      </c>
      <c r="L360" s="17" t="n">
        <v>25.86</v>
      </c>
      <c r="M360" s="17" t="n">
        <v>0</v>
      </c>
      <c r="N360" s="17">
        <f>K360*0.08+L360*0.08</f>
        <v/>
      </c>
      <c r="O360" s="17">
        <f>-(K360*0.025+L360*0.025)</f>
        <v/>
      </c>
      <c r="P360" s="17">
        <f>32</f>
        <v/>
      </c>
      <c r="Q360" s="17">
        <f>J360+L360+N360+O360-P360-M360</f>
        <v/>
      </c>
    </row>
    <row r="361">
      <c r="A361" s="16" t="inlineStr">
        <is>
          <t>5.1-5.7</t>
        </is>
      </c>
      <c r="B361" s="16" t="inlineStr">
        <is>
          <t>PO-128-08427887493752468</t>
        </is>
      </c>
      <c r="C361" s="16" t="inlineStr">
        <is>
          <t>Delivered</t>
        </is>
      </c>
      <c r="D361" s="16" t="inlineStr">
        <is>
          <t>128-08428023808632468</t>
        </is>
      </c>
      <c r="E361" s="16" t="inlineStr">
        <is>
          <t>Delivered</t>
        </is>
      </c>
      <c r="F361" s="16" t="inlineStr">
        <is>
          <t>EM12W12</t>
        </is>
      </c>
      <c r="G361" s="16" t="inlineStr">
        <is>
          <t>TIANLAI Lámpara Solar de Emergencia, 1pc 960lm IP4 5 Modos con SOS, Recargable USB+Solar con Gancho, Linterna Portátil para Camping Hogar Senderismo Pesca</t>
        </is>
      </c>
      <c r="H361" s="16" t="inlineStr">
        <is>
          <t>BLANCO</t>
        </is>
      </c>
      <c r="I361" s="16" t="n">
        <v>3</v>
      </c>
      <c r="J361" s="17" t="n">
        <v>228</v>
      </c>
      <c r="K361" s="17" t="n">
        <v>301.77</v>
      </c>
      <c r="L361" s="17" t="n">
        <v>0</v>
      </c>
      <c r="M361" s="17" t="n">
        <v>0</v>
      </c>
      <c r="N361" s="17">
        <f>K361*0.08+L361*0.08</f>
        <v/>
      </c>
      <c r="O361" s="17">
        <f>-(K361*0.025+L361*0.025)</f>
        <v/>
      </c>
      <c r="P361" s="17">
        <f>32</f>
        <v/>
      </c>
      <c r="Q361" s="17">
        <f>J361+L361+N361+O361-P361-M361</f>
        <v/>
      </c>
    </row>
    <row r="362">
      <c r="A362" s="16" t="inlineStr">
        <is>
          <t>5.1-5.7</t>
        </is>
      </c>
      <c r="B362" s="16" t="inlineStr">
        <is>
          <t>PO-128-08368379515513913</t>
        </is>
      </c>
      <c r="C362" s="16" t="inlineStr">
        <is>
          <t>Delivered</t>
        </is>
      </c>
      <c r="D362" s="16" t="inlineStr">
        <is>
          <t>128-08368421458553913</t>
        </is>
      </c>
      <c r="E362" s="16" t="inlineStr">
        <is>
          <t>Delivered</t>
        </is>
      </c>
      <c r="F362" s="16" t="inlineStr">
        <is>
          <t>LV64W25</t>
        </is>
      </c>
      <c r="G3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2" s="16" t="inlineStr">
        <is>
          <t>Blanco</t>
        </is>
      </c>
      <c r="I362" s="16" t="n">
        <v>1</v>
      </c>
      <c r="J362" s="17" t="n">
        <v>125</v>
      </c>
      <c r="K362" s="17" t="n">
        <v>130.39</v>
      </c>
      <c r="L362" s="17" t="n">
        <v>25.86</v>
      </c>
      <c r="M362" s="17" t="n">
        <v>0</v>
      </c>
      <c r="N362" s="17">
        <f>K362*0.08+L362*0.08</f>
        <v/>
      </c>
      <c r="O362" s="17">
        <f>-(K362*0.025+L362*0.025)</f>
        <v/>
      </c>
      <c r="P362" s="17">
        <f>32</f>
        <v/>
      </c>
      <c r="Q362" s="17">
        <f>J362+L362+N362+O362-P362-M362</f>
        <v/>
      </c>
    </row>
    <row r="363">
      <c r="A363" s="16" t="inlineStr">
        <is>
          <t>5.1-5.7</t>
        </is>
      </c>
      <c r="B363" s="16" t="inlineStr">
        <is>
          <t>PO-128-08773170248310474</t>
        </is>
      </c>
      <c r="C363" s="16" t="inlineStr">
        <is>
          <t>Delivered</t>
        </is>
      </c>
      <c r="D363" s="16" t="inlineStr">
        <is>
          <t>128-08773275105910474</t>
        </is>
      </c>
      <c r="E363" s="16" t="inlineStr">
        <is>
          <t>Delivered</t>
        </is>
      </c>
      <c r="F363" s="16" t="inlineStr">
        <is>
          <t>LV54W25</t>
        </is>
      </c>
      <c r="G363" s="16" t="inlineStr">
        <is>
          <t>TIANLAI Lámpara Ventilador E27 2 en 1, Silenciosa, LED Alta Luminosidad 180°, Instalación Rápida, Ahorro Energético para Dormitorio y Interiores Pequeños</t>
        </is>
      </c>
      <c r="H363" s="16" t="inlineStr">
        <is>
          <t>1 Pieza</t>
        </is>
      </c>
      <c r="I363" s="16" t="n">
        <v>1</v>
      </c>
      <c r="J363" s="17" t="n">
        <v>79</v>
      </c>
      <c r="K363" s="17" t="n">
        <v>82.73</v>
      </c>
      <c r="L363" s="17" t="n">
        <v>25.86</v>
      </c>
      <c r="M363" s="17" t="n">
        <v>0</v>
      </c>
      <c r="N363" s="17">
        <f>K363*0.08+L363*0.08</f>
        <v/>
      </c>
      <c r="O363" s="17">
        <f>-(K363*0.025+L363*0.025)</f>
        <v/>
      </c>
      <c r="P363" s="17">
        <f>32</f>
        <v/>
      </c>
      <c r="Q363" s="17">
        <f>J363+L363+N363+O363-P363-M363</f>
        <v/>
      </c>
    </row>
    <row r="364">
      <c r="A364" s="16" t="inlineStr">
        <is>
          <t>5.1-5.7</t>
        </is>
      </c>
      <c r="B364" s="16" t="inlineStr">
        <is>
          <t>PO-128-08622420101751375</t>
        </is>
      </c>
      <c r="C364" s="16" t="inlineStr">
        <is>
          <t>Delivered</t>
        </is>
      </c>
      <c r="D364" s="16" t="inlineStr">
        <is>
          <t>128-08622482033271375</t>
        </is>
      </c>
      <c r="E364" s="16" t="inlineStr">
        <is>
          <t>Delivered</t>
        </is>
      </c>
      <c r="F364" s="16" t="inlineStr">
        <is>
          <t>LV64W25</t>
        </is>
      </c>
      <c r="G3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4" s="16" t="inlineStr">
        <is>
          <t>Blanco</t>
        </is>
      </c>
      <c r="I364" s="16" t="n">
        <v>1</v>
      </c>
      <c r="J364" s="17" t="n">
        <v>125</v>
      </c>
      <c r="K364" s="17" t="n">
        <v>130.39</v>
      </c>
      <c r="L364" s="17" t="n">
        <v>25.86</v>
      </c>
      <c r="M364" s="17" t="n">
        <v>0</v>
      </c>
      <c r="N364" s="17">
        <f>K364*0.08+L364*0.08</f>
        <v/>
      </c>
      <c r="O364" s="17">
        <f>-(K364*0.025+L364*0.025)</f>
        <v/>
      </c>
      <c r="P364" s="17">
        <f>32</f>
        <v/>
      </c>
      <c r="Q364" s="17">
        <f>J364+L364+N364+O364-P364-M364</f>
        <v/>
      </c>
    </row>
    <row r="365">
      <c r="A365" s="16" t="inlineStr">
        <is>
          <t>5.1-5.7</t>
        </is>
      </c>
      <c r="B365" s="16" t="inlineStr">
        <is>
          <t>PO-128-08699421194871810</t>
        </is>
      </c>
      <c r="C365" s="16" t="inlineStr">
        <is>
          <t>Delivered</t>
        </is>
      </c>
      <c r="D365" s="16" t="inlineStr">
        <is>
          <t>128-08699473623671810</t>
        </is>
      </c>
      <c r="E365" s="16" t="inlineStr">
        <is>
          <t>Delivered</t>
        </is>
      </c>
      <c r="F365" s="16" t="inlineStr">
        <is>
          <t>LV64W25</t>
        </is>
      </c>
      <c r="G3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5" s="16" t="inlineStr">
        <is>
          <t>Blanco</t>
        </is>
      </c>
      <c r="I365" s="16" t="n">
        <v>2</v>
      </c>
      <c r="J365" s="17" t="n">
        <v>250</v>
      </c>
      <c r="K365" s="17" t="n">
        <v>260.78</v>
      </c>
      <c r="L365" s="17" t="n">
        <v>0</v>
      </c>
      <c r="M365" s="17" t="n">
        <v>0</v>
      </c>
      <c r="N365" s="17">
        <f>K365*0.08+L365*0.08</f>
        <v/>
      </c>
      <c r="O365" s="17">
        <f>-(K365*0.025+L365*0.025)</f>
        <v/>
      </c>
      <c r="P365" s="17">
        <f>32</f>
        <v/>
      </c>
      <c r="Q365" s="17">
        <f>J365+L365+N365+O365-P365-M365</f>
        <v/>
      </c>
    </row>
    <row r="366">
      <c r="A366" s="16" t="inlineStr">
        <is>
          <t>5.1-5.7</t>
        </is>
      </c>
      <c r="B366" s="16" t="inlineStr">
        <is>
          <t>PO-128-08452807649912384</t>
        </is>
      </c>
      <c r="C366" s="16" t="inlineStr">
        <is>
          <t>Delivered</t>
        </is>
      </c>
      <c r="D366" s="16" t="inlineStr">
        <is>
          <t>128-08452828621432384</t>
        </is>
      </c>
      <c r="E366" s="16" t="inlineStr">
        <is>
          <t>Delivered</t>
        </is>
      </c>
      <c r="F366" s="16" t="inlineStr">
        <is>
          <t>LV54W25</t>
        </is>
      </c>
      <c r="G366" s="16" t="inlineStr">
        <is>
          <t>TIANLAI Lámpara Ventilador E27 2 en 1, Silenciosa, LED Alta Luminosidad 180°, Instalación Rápida, Ahorro Energético para Dormitorio y Interiores Pequeños</t>
        </is>
      </c>
      <c r="H366" s="16" t="inlineStr">
        <is>
          <t>1 Pieza</t>
        </is>
      </c>
      <c r="I366" s="16" t="n">
        <v>2</v>
      </c>
      <c r="J366" s="17" t="n">
        <v>158</v>
      </c>
      <c r="K366" s="17" t="n">
        <v>165.46</v>
      </c>
      <c r="L366" s="17" t="n">
        <v>25.86</v>
      </c>
      <c r="M366" s="17" t="n">
        <v>0</v>
      </c>
      <c r="N366" s="17">
        <f>K366*0.08+L366*0.08</f>
        <v/>
      </c>
      <c r="O366" s="17">
        <f>-(K366*0.025+L366*0.025)</f>
        <v/>
      </c>
      <c r="P366" s="17">
        <f>32</f>
        <v/>
      </c>
      <c r="Q366" s="17">
        <f>J366+L366+N366+O366-P366-M366</f>
        <v/>
      </c>
    </row>
    <row r="367">
      <c r="A367" s="16" t="inlineStr">
        <is>
          <t>5.1-5.7</t>
        </is>
      </c>
      <c r="B367" s="16" t="inlineStr">
        <is>
          <t>PO-128-08914374328950531</t>
        </is>
      </c>
      <c r="C367" s="16" t="inlineStr">
        <is>
          <t>Delivered</t>
        </is>
      </c>
      <c r="D367" s="16" t="inlineStr">
        <is>
          <t>128-08914332385910531</t>
        </is>
      </c>
      <c r="E367" s="16" t="inlineStr">
        <is>
          <t>Delivered</t>
        </is>
      </c>
      <c r="F367" s="16" t="inlineStr">
        <is>
          <t>BSC04</t>
        </is>
      </c>
      <c r="G367" s="16" t="inlineStr">
        <is>
          <t>TIANLAI Báscula Digital BSC04/BSC07, Alta Precisión, Fácil Operación, Ligera y Portátil, Función Tara, Unidad Dual oz/g, Ideal para Cocina, Control de Porciones, Sellos y Objetos Pequeños, Uso en Hogar y Viaje</t>
        </is>
      </c>
      <c r="H367" s="16" t="inlineStr">
        <is>
          <t>5g/White</t>
        </is>
      </c>
      <c r="I367" s="16" t="n">
        <v>1</v>
      </c>
      <c r="J367" s="17" t="n">
        <v>65</v>
      </c>
      <c r="K367" s="17" t="n">
        <v>29.59</v>
      </c>
      <c r="L367" s="17" t="n">
        <v>25.86</v>
      </c>
      <c r="M367" s="17" t="n">
        <v>0</v>
      </c>
      <c r="N367" s="17">
        <f>K367*0.08+L367*0.08</f>
        <v/>
      </c>
      <c r="O367" s="17">
        <f>-(K367*0.025+L367*0.025)</f>
        <v/>
      </c>
      <c r="P367" s="17">
        <f>32</f>
        <v/>
      </c>
      <c r="Q367" s="17">
        <f>J367+L367+N367+O367-P367-M367</f>
        <v/>
      </c>
    </row>
    <row r="368">
      <c r="A368" s="16" t="inlineStr">
        <is>
          <t>5.1-5.7</t>
        </is>
      </c>
      <c r="B368" s="16" t="inlineStr">
        <is>
          <t>PO-128-08820639201910193</t>
        </is>
      </c>
      <c r="C368" s="16" t="inlineStr">
        <is>
          <t>Delivered</t>
        </is>
      </c>
      <c r="D368" s="16" t="inlineStr">
        <is>
          <t>128-08820670659190193</t>
        </is>
      </c>
      <c r="E368" s="16" t="inlineStr">
        <is>
          <t>Delivered</t>
        </is>
      </c>
      <c r="F368" s="16" t="inlineStr">
        <is>
          <t>LV64W25</t>
        </is>
      </c>
      <c r="G3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8" s="16" t="inlineStr">
        <is>
          <t>Blanco</t>
        </is>
      </c>
      <c r="I368" s="16" t="n">
        <v>1</v>
      </c>
      <c r="J368" s="17" t="n">
        <v>125</v>
      </c>
      <c r="K368" s="17" t="n">
        <v>143.28</v>
      </c>
      <c r="L368" s="17" t="n">
        <v>25.86</v>
      </c>
      <c r="M368" s="17" t="n">
        <v>0</v>
      </c>
      <c r="N368" s="17">
        <f>K368*0.08+L368*0.08</f>
        <v/>
      </c>
      <c r="O368" s="17">
        <f>-(K368*0.025+L368*0.025)</f>
        <v/>
      </c>
      <c r="P368" s="17">
        <f>32</f>
        <v/>
      </c>
      <c r="Q368" s="17">
        <f>J368+L368+N368+O368-P368-M368</f>
        <v/>
      </c>
    </row>
    <row r="369">
      <c r="A369" s="16" t="inlineStr">
        <is>
          <t>5.1-5.7</t>
        </is>
      </c>
      <c r="B369" s="16" t="inlineStr">
        <is>
          <t>PO-128-08472336415352269</t>
        </is>
      </c>
      <c r="C369" s="16" t="inlineStr">
        <is>
          <t>Delivered</t>
        </is>
      </c>
      <c r="D369" s="16" t="inlineStr">
        <is>
          <t>128-08472362629752269</t>
        </is>
      </c>
      <c r="E369" s="16" t="inlineStr">
        <is>
          <t>Delivered</t>
        </is>
      </c>
      <c r="F369" s="16" t="inlineStr">
        <is>
          <t>LV64W25</t>
        </is>
      </c>
      <c r="G3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 s="16" t="inlineStr">
        <is>
          <t>Blanco</t>
        </is>
      </c>
      <c r="I369" s="16" t="n">
        <v>4</v>
      </c>
      <c r="J369" s="17" t="n">
        <v>500</v>
      </c>
      <c r="K369" s="17" t="n">
        <v>464.31</v>
      </c>
      <c r="L369" s="17" t="n">
        <v>0</v>
      </c>
      <c r="M369" s="17" t="n">
        <v>0</v>
      </c>
      <c r="N369" s="17">
        <f>K369*0.08+L369*0.08</f>
        <v/>
      </c>
      <c r="O369" s="17">
        <f>-(K369*0.025+L369*0.025)</f>
        <v/>
      </c>
      <c r="P369" s="17">
        <f>32</f>
        <v/>
      </c>
      <c r="Q369" s="17">
        <f>J369+L369+N369+O369-P369-M369</f>
        <v/>
      </c>
    </row>
    <row r="370">
      <c r="A370" s="16" t="inlineStr">
        <is>
          <t>5.1-5.7</t>
        </is>
      </c>
      <c r="B370" s="16" t="inlineStr">
        <is>
          <t>PO-128-08821742930550251</t>
        </is>
      </c>
      <c r="C370" s="16" t="inlineStr">
        <is>
          <t>Delivered</t>
        </is>
      </c>
      <c r="D370" s="16" t="inlineStr">
        <is>
          <t>128-08821790116470251</t>
        </is>
      </c>
      <c r="E370" s="16" t="inlineStr">
        <is>
          <t>Delivered</t>
        </is>
      </c>
      <c r="F370" s="16" t="inlineStr">
        <is>
          <t>LV64W25</t>
        </is>
      </c>
      <c r="G3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0" s="16" t="inlineStr">
        <is>
          <t>Blanco</t>
        </is>
      </c>
      <c r="I370" s="16" t="n">
        <v>2</v>
      </c>
      <c r="J370" s="17" t="n">
        <v>250</v>
      </c>
      <c r="K370" s="17" t="n">
        <v>252.62</v>
      </c>
      <c r="L370" s="17" t="n">
        <v>0</v>
      </c>
      <c r="M370" s="17" t="n">
        <v>0</v>
      </c>
      <c r="N370" s="17">
        <f>K370*0.08+L370*0.08</f>
        <v/>
      </c>
      <c r="O370" s="17">
        <f>-(K370*0.025+L370*0.025)</f>
        <v/>
      </c>
      <c r="P370" s="17">
        <f>32</f>
        <v/>
      </c>
      <c r="Q370" s="17">
        <f>J370+L370+N370+O370-P370-M370</f>
        <v/>
      </c>
    </row>
    <row r="371">
      <c r="A371" s="16" t="inlineStr">
        <is>
          <t>5.1-5.7</t>
        </is>
      </c>
      <c r="B371" s="16" t="inlineStr">
        <is>
          <t>PO-128-08687014963832012</t>
        </is>
      </c>
      <c r="C371" s="16" t="inlineStr">
        <is>
          <t>Delivered</t>
        </is>
      </c>
      <c r="D371" s="16" t="inlineStr">
        <is>
          <t>128-08687070014072012</t>
        </is>
      </c>
      <c r="E371" s="16" t="inlineStr">
        <is>
          <t>Delivered</t>
        </is>
      </c>
      <c r="F371" s="16" t="inlineStr">
        <is>
          <t>VB349T</t>
        </is>
      </c>
      <c r="G371" s="16" t="inlineStr">
        <is>
          <t>LINKBITS Altavoz Portátil de Doble Altavoz - 3 Pulgadas, Sonido HD, Emparejamiento Rápido de Bluetooth, Conectividad TWS, Reproducción Multimodo (Micro SD/USB/Radio FM) - Perfecto para Oficina, Viajes y Espacios Pequeños</t>
        </is>
      </c>
      <c r="H371" s="16" t="inlineStr">
        <is>
          <t>NEGRO</t>
        </is>
      </c>
      <c r="I371" s="16" t="n">
        <v>1</v>
      </c>
      <c r="J371" s="17" t="n">
        <v>81</v>
      </c>
      <c r="K371" s="17" t="n">
        <v>94.27</v>
      </c>
      <c r="L371" s="17" t="n">
        <v>25.86</v>
      </c>
      <c r="M371" s="17" t="n">
        <v>0</v>
      </c>
      <c r="N371" s="17">
        <f>K371*0.08+L371*0.08</f>
        <v/>
      </c>
      <c r="O371" s="17">
        <f>-(K371*0.025+L371*0.025)</f>
        <v/>
      </c>
      <c r="P371" s="17">
        <f>32</f>
        <v/>
      </c>
      <c r="Q371" s="17">
        <f>J371+L371+N371+O371-P371-M371</f>
        <v/>
      </c>
    </row>
    <row r="372">
      <c r="A372" s="16" t="inlineStr">
        <is>
          <t>5.1-5.7</t>
        </is>
      </c>
      <c r="B372" s="16" t="inlineStr">
        <is>
          <t>PO-128-08802164685430366</t>
        </is>
      </c>
      <c r="C372" s="16" t="inlineStr">
        <is>
          <t>Delivered</t>
        </is>
      </c>
      <c r="D372" s="16" t="inlineStr">
        <is>
          <t>128-08802122742390366</t>
        </is>
      </c>
      <c r="E372" s="16" t="inlineStr">
        <is>
          <t>Delivered</t>
        </is>
      </c>
      <c r="F372" s="16" t="inlineStr">
        <is>
          <t>LV64W25</t>
        </is>
      </c>
      <c r="G3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2" s="16" t="inlineStr">
        <is>
          <t>Blanco</t>
        </is>
      </c>
      <c r="I372" s="16" t="n">
        <v>2</v>
      </c>
      <c r="J372" s="17" t="n">
        <v>250</v>
      </c>
      <c r="K372" s="17" t="n">
        <v>260.78</v>
      </c>
      <c r="L372" s="17" t="n">
        <v>0</v>
      </c>
      <c r="M372" s="17" t="n">
        <v>0</v>
      </c>
      <c r="N372" s="17">
        <f>K372*0.08+L372*0.08</f>
        <v/>
      </c>
      <c r="O372" s="17">
        <f>-(K372*0.025+L372*0.025)</f>
        <v/>
      </c>
      <c r="P372" s="17">
        <f>32</f>
        <v/>
      </c>
      <c r="Q372" s="17">
        <f>J372+L372+N372+O372-P372-M372</f>
        <v/>
      </c>
    </row>
    <row r="373">
      <c r="A373" s="16" t="inlineStr">
        <is>
          <t>5.1-5.7</t>
        </is>
      </c>
      <c r="B373" s="16" t="inlineStr">
        <is>
          <t>PO-128-08336159201913977</t>
        </is>
      </c>
      <c r="C373" s="16" t="inlineStr">
        <is>
          <t>Delivered</t>
        </is>
      </c>
      <c r="D373" s="16" t="inlineStr">
        <is>
          <t>128-08336201144953977</t>
        </is>
      </c>
      <c r="E373" s="16" t="inlineStr">
        <is>
          <t>Delivered</t>
        </is>
      </c>
      <c r="F373" s="16" t="inlineStr">
        <is>
          <t>TL2663N18C</t>
        </is>
      </c>
      <c r="G373" s="16" t="inlineStr">
        <is>
          <t>Linkbits，Soporte de pared fijo para televisores de 26"-63", Ultra-Delgado Compatible con VESA 400x400mm, Capacidad de Peso Fuerte de 25KG, Instalación Fácil Sin Electricidad</t>
        </is>
      </c>
      <c r="H373" s="16" t="inlineStr">
        <is>
          <t>NEGRO</t>
        </is>
      </c>
      <c r="I373" s="16" t="n">
        <v>5</v>
      </c>
      <c r="J373" s="17" t="n">
        <v>277.5</v>
      </c>
      <c r="K373" s="17" t="n">
        <v>281.94</v>
      </c>
      <c r="L373" s="17" t="n">
        <v>0</v>
      </c>
      <c r="M373" s="17" t="n">
        <v>0</v>
      </c>
      <c r="N373" s="17">
        <f>K373*0.08+L373*0.08</f>
        <v/>
      </c>
      <c r="O373" s="17">
        <f>-(K373*0.025+L373*0.025)</f>
        <v/>
      </c>
      <c r="P373" s="17">
        <f>32</f>
        <v/>
      </c>
      <c r="Q373" s="17">
        <f>J373+L373+N373+O373-P373-M373</f>
        <v/>
      </c>
    </row>
    <row r="374">
      <c r="A374" s="16" t="inlineStr">
        <is>
          <t>5.1-5.7</t>
        </is>
      </c>
      <c r="B374" s="16" t="inlineStr">
        <is>
          <t>PO-128-08418308239992463</t>
        </is>
      </c>
      <c r="C374" s="16" t="inlineStr">
        <is>
          <t>Delivered</t>
        </is>
      </c>
      <c r="D374" s="16" t="inlineStr">
        <is>
          <t>128-08418468147832463</t>
        </is>
      </c>
      <c r="E374" s="16" t="inlineStr">
        <is>
          <t>Delivered</t>
        </is>
      </c>
      <c r="F374" s="16" t="inlineStr">
        <is>
          <t>LV64W25</t>
        </is>
      </c>
      <c r="G3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4" s="16" t="inlineStr">
        <is>
          <t>Blanco</t>
        </is>
      </c>
      <c r="I374" s="16" t="n">
        <v>5</v>
      </c>
      <c r="J374" s="17" t="n">
        <v>625</v>
      </c>
      <c r="K374" s="17" t="n">
        <v>651.95</v>
      </c>
      <c r="L374" s="17" t="n">
        <v>0</v>
      </c>
      <c r="M374" s="17" t="n">
        <v>0</v>
      </c>
      <c r="N374" s="17">
        <f>K374*0.08+L374*0.08</f>
        <v/>
      </c>
      <c r="O374" s="17">
        <f>-(K374*0.025+L374*0.025)</f>
        <v/>
      </c>
      <c r="P374" s="17">
        <f>32</f>
        <v/>
      </c>
      <c r="Q374" s="17">
        <f>J374+L374+N374+O374-P374-M374</f>
        <v/>
      </c>
    </row>
    <row r="375">
      <c r="A375" s="16" t="inlineStr">
        <is>
          <t>5.1-5.7</t>
        </is>
      </c>
      <c r="B375" s="16" t="inlineStr">
        <is>
          <t>PO-128-08931918418550616</t>
        </is>
      </c>
      <c r="C375" s="16" t="inlineStr">
        <is>
          <t>Delivered</t>
        </is>
      </c>
      <c r="D375" s="16" t="inlineStr">
        <is>
          <t>128-08931897447030616</t>
        </is>
      </c>
      <c r="E375" s="16" t="inlineStr">
        <is>
          <t>Delivered</t>
        </is>
      </c>
      <c r="F375" s="16" t="inlineStr">
        <is>
          <t>LV64W25</t>
        </is>
      </c>
      <c r="G3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5" s="16" t="inlineStr">
        <is>
          <t>Blanco</t>
        </is>
      </c>
      <c r="I375" s="16" t="n">
        <v>1</v>
      </c>
      <c r="J375" s="17" t="n">
        <v>125</v>
      </c>
      <c r="K375" s="17" t="n">
        <v>130.39</v>
      </c>
      <c r="L375" s="17" t="n">
        <v>25.86</v>
      </c>
      <c r="M375" s="17" t="n">
        <v>0</v>
      </c>
      <c r="N375" s="17">
        <f>K375*0.08+L375*0.08</f>
        <v/>
      </c>
      <c r="O375" s="17">
        <f>-(K375*0.025+L375*0.025)</f>
        <v/>
      </c>
      <c r="P375" s="17">
        <f>32</f>
        <v/>
      </c>
      <c r="Q375" s="17">
        <f>J375+L375+N375+O375-P375-M375</f>
        <v/>
      </c>
    </row>
    <row r="376">
      <c r="A376" s="16" t="inlineStr">
        <is>
          <t>5.1-5.7</t>
        </is>
      </c>
      <c r="B376" s="16" t="inlineStr">
        <is>
          <t>PO-128-08693213327992041</t>
        </is>
      </c>
      <c r="C376" s="16" t="inlineStr">
        <is>
          <t>Delivered</t>
        </is>
      </c>
      <c r="D376" s="16" t="inlineStr">
        <is>
          <t>128-08693265756792041</t>
        </is>
      </c>
      <c r="E376" s="16" t="inlineStr">
        <is>
          <t>Delivered</t>
        </is>
      </c>
      <c r="F376" s="16" t="inlineStr">
        <is>
          <t>LV64W25</t>
        </is>
      </c>
      <c r="G3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6" s="16" t="inlineStr">
        <is>
          <t>Blanco</t>
        </is>
      </c>
      <c r="I376" s="16" t="n">
        <v>2</v>
      </c>
      <c r="J376" s="17" t="n">
        <v>250</v>
      </c>
      <c r="K376" s="17" t="n">
        <v>260.78</v>
      </c>
      <c r="L376" s="17" t="n">
        <v>0</v>
      </c>
      <c r="M376" s="17" t="n">
        <v>0</v>
      </c>
      <c r="N376" s="17">
        <f>K376*0.08+L376*0.08</f>
        <v/>
      </c>
      <c r="O376" s="17">
        <f>-(K376*0.025+L376*0.025)</f>
        <v/>
      </c>
      <c r="P376" s="17">
        <f>32</f>
        <v/>
      </c>
      <c r="Q376" s="17">
        <f>J376+L376+N376+O376-P376-M376</f>
        <v/>
      </c>
    </row>
    <row r="377">
      <c r="A377" s="16" t="inlineStr">
        <is>
          <t>5.1-5.7</t>
        </is>
      </c>
      <c r="B377" s="16" t="inlineStr">
        <is>
          <t>PO-128-08626521354871348</t>
        </is>
      </c>
      <c r="C377" s="16" t="inlineStr">
        <is>
          <t>Delivered</t>
        </is>
      </c>
      <c r="D377" s="16" t="inlineStr">
        <is>
          <t>128-08626657669751348</t>
        </is>
      </c>
      <c r="E377" s="16" t="inlineStr">
        <is>
          <t>Delivered</t>
        </is>
      </c>
      <c r="F377" s="16" t="inlineStr">
        <is>
          <t>KTS-2031</t>
        </is>
      </c>
      <c r="G377" s="16" t="inlineStr">
        <is>
          <t>Bocina inalámbrica de 3 pulgadas con linterna multifuncional y panel solar integrado.Altavoz Portátil con Linterna LED 4 Modos, Radio FM, Bluetooth, Carga Solar, Ideal para Apagones, Emergencias, Campo y Exteriores</t>
        </is>
      </c>
      <c r="H377" s="16" t="inlineStr">
        <is>
          <t>NEGRO</t>
        </is>
      </c>
      <c r="I377" s="16" t="n">
        <v>4</v>
      </c>
      <c r="J377" s="17" t="n">
        <v>300</v>
      </c>
      <c r="K377" s="17" t="n">
        <v>336.92</v>
      </c>
      <c r="L377" s="17" t="n">
        <v>0</v>
      </c>
      <c r="M377" s="17" t="n">
        <v>0</v>
      </c>
      <c r="N377" s="17">
        <f>K377*0.08+L377*0.08</f>
        <v/>
      </c>
      <c r="O377" s="17">
        <f>-(K377*0.025+L377*0.025)</f>
        <v/>
      </c>
      <c r="P377" s="17">
        <f>32</f>
        <v/>
      </c>
      <c r="Q377" s="17">
        <f>J377+L377+N377+O377-P377-M377</f>
        <v/>
      </c>
    </row>
    <row r="378">
      <c r="A378" s="16" t="inlineStr">
        <is>
          <t>5.1-5.7</t>
        </is>
      </c>
      <c r="B378" s="16" t="inlineStr">
        <is>
          <t>PO-128-08903067843190724</t>
        </is>
      </c>
      <c r="C378" s="16" t="inlineStr">
        <is>
          <t>Delivered</t>
        </is>
      </c>
      <c r="D378" s="16" t="inlineStr">
        <is>
          <t>128-08903025900150724</t>
        </is>
      </c>
      <c r="E378" s="16" t="inlineStr">
        <is>
          <t>Delivered</t>
        </is>
      </c>
      <c r="F378" s="16" t="inlineStr">
        <is>
          <t>VB349T</t>
        </is>
      </c>
      <c r="G378" s="16" t="inlineStr">
        <is>
          <t>LINKBITS Altavoz Portátil de Doble Altavoz - 3 Pulgadas, Sonido HD, Emparejamiento Rápido de Bluetooth, Conectividad TWS, Reproducción Multimodo (Micro SD/USB/Radio FM) - Perfecto para Oficina, Viajes y Espacios Pequeños</t>
        </is>
      </c>
      <c r="H378" s="16" t="inlineStr">
        <is>
          <t>NEGRO</t>
        </is>
      </c>
      <c r="I378" s="16" t="n">
        <v>1</v>
      </c>
      <c r="J378" s="17" t="n">
        <v>81</v>
      </c>
      <c r="K378" s="17" t="n">
        <v>87.15000000000001</v>
      </c>
      <c r="L378" s="17" t="n">
        <v>25.86</v>
      </c>
      <c r="M378" s="17" t="n">
        <v>0</v>
      </c>
      <c r="N378" s="17">
        <f>K378*0.08+L378*0.08</f>
        <v/>
      </c>
      <c r="O378" s="17">
        <f>-(K378*0.025+L378*0.025)</f>
        <v/>
      </c>
      <c r="P378" s="17">
        <f>32</f>
        <v/>
      </c>
      <c r="Q378" s="17">
        <f>J378+L378+N378+O378-P378-M378</f>
        <v/>
      </c>
    </row>
    <row r="379">
      <c r="A379" s="16" t="inlineStr">
        <is>
          <t>5.1-5.7</t>
        </is>
      </c>
      <c r="B379" s="16" t="inlineStr">
        <is>
          <t>PO-128-08557424661112720</t>
        </is>
      </c>
      <c r="C379" s="16" t="inlineStr">
        <is>
          <t>Delivered</t>
        </is>
      </c>
      <c r="D379" s="16" t="inlineStr">
        <is>
          <t>128-08557414175352720</t>
        </is>
      </c>
      <c r="E379" s="16" t="inlineStr">
        <is>
          <t>Delivered</t>
        </is>
      </c>
      <c r="F379" s="16" t="inlineStr">
        <is>
          <t>LV64W25</t>
        </is>
      </c>
      <c r="G3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9" s="16" t="inlineStr">
        <is>
          <t>Blanco</t>
        </is>
      </c>
      <c r="I379" s="16" t="n">
        <v>2</v>
      </c>
      <c r="J379" s="17" t="n">
        <v>250</v>
      </c>
      <c r="K379" s="17" t="n">
        <v>245.76</v>
      </c>
      <c r="L379" s="17" t="n">
        <v>0</v>
      </c>
      <c r="M379" s="17" t="n">
        <v>0</v>
      </c>
      <c r="N379" s="17">
        <f>K379*0.08+L379*0.08</f>
        <v/>
      </c>
      <c r="O379" s="17">
        <f>-(K379*0.025+L379*0.025)</f>
        <v/>
      </c>
      <c r="P379" s="17">
        <f>32</f>
        <v/>
      </c>
      <c r="Q379" s="17">
        <f>J379+L379+N379+O379-P379-M379</f>
        <v/>
      </c>
    </row>
    <row r="380">
      <c r="A380" s="16" t="inlineStr">
        <is>
          <t>5.1-5.7</t>
        </is>
      </c>
      <c r="B380" s="16" t="inlineStr">
        <is>
          <t>PO-128-08348133939834032</t>
        </is>
      </c>
      <c r="C380" s="16" t="inlineStr">
        <is>
          <t>Delivered</t>
        </is>
      </c>
      <c r="D380" s="16" t="inlineStr">
        <is>
          <t>128-08348091996794032</t>
        </is>
      </c>
      <c r="E380" s="16" t="inlineStr">
        <is>
          <t>Delivered</t>
        </is>
      </c>
      <c r="F380" s="16" t="inlineStr">
        <is>
          <t>i12-B</t>
        </is>
      </c>
      <c r="G380" s="16" t="inlineStr">
        <is>
          <t>Auriculares Inalámbricos TWS - Ideales para Usuarios Android e iPhone, Entusiastas del Deporte &amp; Música, Controles Táctiles, Audífonos Para Correr y Jugar</t>
        </is>
      </c>
      <c r="H380" s="16" t="inlineStr">
        <is>
          <t>Blanco</t>
        </is>
      </c>
      <c r="I380" s="16" t="n">
        <v>1</v>
      </c>
      <c r="J380" s="17" t="n">
        <v>44.8</v>
      </c>
      <c r="K380" s="17" t="n">
        <v>60.98</v>
      </c>
      <c r="L380" s="17" t="n">
        <v>25.86</v>
      </c>
      <c r="M380" s="17" t="n">
        <v>0</v>
      </c>
      <c r="N380" s="17">
        <f>K380*0.08+L380*0.08</f>
        <v/>
      </c>
      <c r="O380" s="17">
        <f>-(K380*0.025+L380*0.025)</f>
        <v/>
      </c>
      <c r="P380" s="17">
        <f>32</f>
        <v/>
      </c>
      <c r="Q380" s="17">
        <f>J380+L380+N380+O380-P380-M380</f>
        <v/>
      </c>
    </row>
    <row r="381">
      <c r="A381" s="16" t="inlineStr">
        <is>
          <t>5.1-5.7</t>
        </is>
      </c>
      <c r="B381" s="16" t="inlineStr">
        <is>
          <t>PO-128-08338294241914026</t>
        </is>
      </c>
      <c r="C381" s="16" t="inlineStr">
        <is>
          <t>Delivered</t>
        </is>
      </c>
      <c r="D381" s="16" t="inlineStr">
        <is>
          <t>128-08338346670714026</t>
        </is>
      </c>
      <c r="E381" s="16" t="inlineStr">
        <is>
          <t>Delivered</t>
        </is>
      </c>
      <c r="F381" s="16" t="inlineStr">
        <is>
          <t>LV64W25</t>
        </is>
      </c>
      <c r="G3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1" s="16" t="inlineStr">
        <is>
          <t>Blanco</t>
        </is>
      </c>
      <c r="I381" s="16" t="n">
        <v>1</v>
      </c>
      <c r="J381" s="17" t="n">
        <v>125</v>
      </c>
      <c r="K381" s="17" t="n">
        <v>128.95</v>
      </c>
      <c r="L381" s="17" t="n">
        <v>25.86</v>
      </c>
      <c r="M381" s="17" t="n">
        <v>0</v>
      </c>
      <c r="N381" s="17">
        <f>K381*0.08+L381*0.08</f>
        <v/>
      </c>
      <c r="O381" s="17">
        <f>-(K381*0.025+L381*0.025)</f>
        <v/>
      </c>
      <c r="P381" s="17">
        <f>32</f>
        <v/>
      </c>
      <c r="Q381" s="17">
        <f>J381+L381+N381+O381-P381-M381</f>
        <v/>
      </c>
    </row>
    <row r="382">
      <c r="A382" s="16" t="inlineStr">
        <is>
          <t>5.1-5.7</t>
        </is>
      </c>
      <c r="B382" s="16" t="inlineStr">
        <is>
          <t>PO-128-08838129449590089</t>
        </is>
      </c>
      <c r="C382" s="16" t="inlineStr">
        <is>
          <t>Delivered</t>
        </is>
      </c>
      <c r="D382" s="16" t="inlineStr">
        <is>
          <t>128-08838171392630089</t>
        </is>
      </c>
      <c r="E382" s="16" t="inlineStr">
        <is>
          <t>Delivered</t>
        </is>
      </c>
      <c r="F382" s="16" t="inlineStr">
        <is>
          <t>KTS-2031</t>
        </is>
      </c>
      <c r="G382" s="16" t="inlineStr">
        <is>
          <t>Bocina inalámbrica de 3 pulgadas con linterna multifuncional y panel solar integrado.Altavoz Portátil con Linterna LED 4 Modos, Radio FM, Bluetooth, Carga Solar, Ideal para Apagones, Emergencias, Campo y Exteriores</t>
        </is>
      </c>
      <c r="H382" s="16" t="inlineStr">
        <is>
          <t>NEGRO</t>
        </is>
      </c>
      <c r="I382" s="16" t="n">
        <v>1</v>
      </c>
      <c r="J382" s="17" t="n">
        <v>75</v>
      </c>
      <c r="K382" s="17" t="n">
        <v>67.39</v>
      </c>
      <c r="L382" s="17" t="n">
        <v>25.86</v>
      </c>
      <c r="M382" s="17" t="n">
        <v>0</v>
      </c>
      <c r="N382" s="17">
        <f>K382*0.08+L382*0.08</f>
        <v/>
      </c>
      <c r="O382" s="17">
        <f>-(K382*0.025+L382*0.025)</f>
        <v/>
      </c>
      <c r="P382" s="17">
        <f>32</f>
        <v/>
      </c>
      <c r="Q382" s="17">
        <f>J382+L382+N382+O382-P382-M382</f>
        <v/>
      </c>
    </row>
    <row r="383">
      <c r="A383" s="16" t="inlineStr">
        <is>
          <t>5.1-5.7</t>
        </is>
      </c>
      <c r="B383" s="16" t="inlineStr">
        <is>
          <t>PO-128-08720702341751685</t>
        </is>
      </c>
      <c r="C383" s="16" t="inlineStr">
        <is>
          <t>Delivered</t>
        </is>
      </c>
      <c r="D383" s="16" t="inlineStr">
        <is>
          <t>128-08720681370231685</t>
        </is>
      </c>
      <c r="E383" s="16" t="inlineStr">
        <is>
          <t>Delivered</t>
        </is>
      </c>
      <c r="F383" s="16" t="inlineStr">
        <is>
          <t>KTS-2031</t>
        </is>
      </c>
      <c r="G383" s="16" t="inlineStr">
        <is>
          <t>Bocina inalámbrica de 3 pulgadas con linterna multifuncional y panel solar integrado.Altavoz Portátil con Linterna LED 4 Modos, Radio FM, Bluetooth, Carga Solar, Ideal para Apagones, Emergencias, Campo y Exteriores</t>
        </is>
      </c>
      <c r="H383" s="16" t="inlineStr">
        <is>
          <t>NEGRO</t>
        </is>
      </c>
      <c r="I383" s="16" t="n">
        <v>1</v>
      </c>
      <c r="J383" s="17" t="n">
        <v>75</v>
      </c>
      <c r="K383" s="17" t="n">
        <v>84.23</v>
      </c>
      <c r="L383" s="17" t="n">
        <v>25.86</v>
      </c>
      <c r="M383" s="17" t="n">
        <v>0</v>
      </c>
      <c r="N383" s="17">
        <f>K383*0.08+L383*0.08</f>
        <v/>
      </c>
      <c r="O383" s="17">
        <f>-(K383*0.025+L383*0.025)</f>
        <v/>
      </c>
      <c r="P383" s="17">
        <f>32</f>
        <v/>
      </c>
      <c r="Q383" s="17">
        <f>J383+L383+N383+O383-P383-M383</f>
        <v/>
      </c>
    </row>
    <row r="384">
      <c r="A384" s="16" t="inlineStr">
        <is>
          <t>5.1-5.7</t>
        </is>
      </c>
      <c r="B384" s="16" t="inlineStr">
        <is>
          <t>PO-128-08465717535352181</t>
        </is>
      </c>
      <c r="C384" s="16" t="inlineStr">
        <is>
          <t>Delivered</t>
        </is>
      </c>
      <c r="D384" s="16" t="inlineStr">
        <is>
          <t>128-08465769964152181</t>
        </is>
      </c>
      <c r="E384" s="16" t="inlineStr">
        <is>
          <t>Delivered</t>
        </is>
      </c>
      <c r="F384" s="16" t="inlineStr">
        <is>
          <t>LV64W25</t>
        </is>
      </c>
      <c r="G3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4" s="16" t="inlineStr">
        <is>
          <t>Blanco</t>
        </is>
      </c>
      <c r="I384" s="16" t="n">
        <v>1</v>
      </c>
      <c r="J384" s="17" t="n">
        <v>125</v>
      </c>
      <c r="K384" s="17" t="n">
        <v>91.56</v>
      </c>
      <c r="L384" s="17" t="n">
        <v>25.86</v>
      </c>
      <c r="M384" s="17" t="n">
        <v>0</v>
      </c>
      <c r="N384" s="17">
        <f>K384*0.08+L384*0.08</f>
        <v/>
      </c>
      <c r="O384" s="17">
        <f>-(K384*0.025+L384*0.025)</f>
        <v/>
      </c>
      <c r="P384" s="17">
        <f>32</f>
        <v/>
      </c>
      <c r="Q384" s="17">
        <f>J384+L384+N384+O384-P384-M384</f>
        <v/>
      </c>
    </row>
    <row r="385">
      <c r="A385" s="16" t="inlineStr">
        <is>
          <t>5.1-5.7</t>
        </is>
      </c>
      <c r="B385" s="16" t="inlineStr">
        <is>
          <t>PO-128-08909350380150753</t>
        </is>
      </c>
      <c r="C385" s="16" t="inlineStr">
        <is>
          <t>Delivered</t>
        </is>
      </c>
      <c r="D385" s="16" t="inlineStr">
        <is>
          <t>128-08909308437110753</t>
        </is>
      </c>
      <c r="E385" s="16" t="inlineStr">
        <is>
          <t>Delivered</t>
        </is>
      </c>
      <c r="F385" s="16" t="inlineStr">
        <is>
          <t>LV64W25</t>
        </is>
      </c>
      <c r="G3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5" s="16" t="inlineStr">
        <is>
          <t>Blanco</t>
        </is>
      </c>
      <c r="I385" s="16" t="n">
        <v>3</v>
      </c>
      <c r="J385" s="17" t="n">
        <v>375</v>
      </c>
      <c r="K385" s="17" t="n">
        <v>313.59</v>
      </c>
      <c r="L385" s="17" t="n">
        <v>0</v>
      </c>
      <c r="M385" s="17" t="n">
        <v>0</v>
      </c>
      <c r="N385" s="17">
        <f>K385*0.08+L385*0.08</f>
        <v/>
      </c>
      <c r="O385" s="17">
        <f>-(K385*0.025+L385*0.025)</f>
        <v/>
      </c>
      <c r="P385" s="17">
        <f>32</f>
        <v/>
      </c>
      <c r="Q385" s="17">
        <f>J385+L385+N385+O385-P385-M385</f>
        <v/>
      </c>
    </row>
    <row r="386">
      <c r="A386" s="16" t="inlineStr">
        <is>
          <t>5.1-5.7</t>
        </is>
      </c>
      <c r="B386" s="16" t="inlineStr">
        <is>
          <t>PO-128-08767801109110442</t>
        </is>
      </c>
      <c r="C386" s="16" t="inlineStr">
        <is>
          <t>Delivered</t>
        </is>
      </c>
      <c r="D386" s="16" t="inlineStr">
        <is>
          <t>128-08767780137590442</t>
        </is>
      </c>
      <c r="E386" s="16" t="inlineStr">
        <is>
          <t>Delivered</t>
        </is>
      </c>
      <c r="F386" s="16" t="inlineStr">
        <is>
          <t>LV64W25</t>
        </is>
      </c>
      <c r="G3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6" s="16" t="inlineStr">
        <is>
          <t>Blanco</t>
        </is>
      </c>
      <c r="I386" s="16" t="n">
        <v>2</v>
      </c>
      <c r="J386" s="17" t="n">
        <v>250</v>
      </c>
      <c r="K386" s="17" t="n">
        <v>260.78</v>
      </c>
      <c r="L386" s="17" t="n">
        <v>0</v>
      </c>
      <c r="M386" s="17" t="n">
        <v>0</v>
      </c>
      <c r="N386" s="17">
        <f>K386*0.08+L386*0.08</f>
        <v/>
      </c>
      <c r="O386" s="17">
        <f>-(K386*0.025+L386*0.025)</f>
        <v/>
      </c>
      <c r="P386" s="17">
        <f>32</f>
        <v/>
      </c>
      <c r="Q386" s="17">
        <f>J386+L386+N386+O386-P386-M386</f>
        <v/>
      </c>
    </row>
    <row r="387">
      <c r="A387" s="16" t="inlineStr">
        <is>
          <t>5.1-5.7</t>
        </is>
      </c>
      <c r="B387" s="16" t="inlineStr">
        <is>
          <t>PO-128-08329122120313187</t>
        </is>
      </c>
      <c r="C387" s="16" t="inlineStr">
        <is>
          <t>Delivered</t>
        </is>
      </c>
      <c r="D387" s="16" t="inlineStr">
        <is>
          <t>128-08329080177273187</t>
        </is>
      </c>
      <c r="E387" s="16" t="inlineStr">
        <is>
          <t>Delivered</t>
        </is>
      </c>
      <c r="F387" s="16" t="inlineStr">
        <is>
          <t>LV64W25</t>
        </is>
      </c>
      <c r="G3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7" s="16" t="inlineStr">
        <is>
          <t>Blanco</t>
        </is>
      </c>
      <c r="I387" s="16" t="n">
        <v>2</v>
      </c>
      <c r="J387" s="17" t="n">
        <v>250</v>
      </c>
      <c r="K387" s="17" t="n">
        <v>260.78</v>
      </c>
      <c r="L387" s="17" t="n">
        <v>0</v>
      </c>
      <c r="M387" s="17" t="n">
        <v>0</v>
      </c>
      <c r="N387" s="17">
        <f>K387*0.08+L387*0.08</f>
        <v/>
      </c>
      <c r="O387" s="17">
        <f>-(K387*0.025+L387*0.025)</f>
        <v/>
      </c>
      <c r="P387" s="17">
        <f>32</f>
        <v/>
      </c>
      <c r="Q387" s="17">
        <f>J387+L387+N387+O387-P387-M387</f>
        <v/>
      </c>
    </row>
    <row r="388">
      <c r="A388" s="16" t="inlineStr">
        <is>
          <t>5.1-5.7</t>
        </is>
      </c>
      <c r="B388" s="16" t="inlineStr">
        <is>
          <t>PO-128-08687184015992013</t>
        </is>
      </c>
      <c r="C388" s="16" t="inlineStr">
        <is>
          <t>Delivered</t>
        </is>
      </c>
      <c r="D388" s="16" t="inlineStr">
        <is>
          <t>128-08687239066232013</t>
        </is>
      </c>
      <c r="E388" s="16" t="inlineStr">
        <is>
          <t>Delivered</t>
        </is>
      </c>
      <c r="F388" s="16" t="inlineStr">
        <is>
          <t>LV64W25</t>
        </is>
      </c>
      <c r="G3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8" s="16" t="inlineStr">
        <is>
          <t>Blanco</t>
        </is>
      </c>
      <c r="I388" s="16" t="n">
        <v>1</v>
      </c>
      <c r="J388" s="17" t="n">
        <v>125</v>
      </c>
      <c r="K388" s="17" t="n">
        <v>143.28</v>
      </c>
      <c r="L388" s="17" t="n">
        <v>25.86</v>
      </c>
      <c r="M388" s="17" t="n">
        <v>0</v>
      </c>
      <c r="N388" s="17">
        <f>K388*0.08+L388*0.08</f>
        <v/>
      </c>
      <c r="O388" s="17">
        <f>-(K388*0.025+L388*0.025)</f>
        <v/>
      </c>
      <c r="P388" s="17">
        <f>32</f>
        <v/>
      </c>
      <c r="Q388" s="17">
        <f>J388+L388+N388+O388-P388-M388</f>
        <v/>
      </c>
    </row>
    <row r="389">
      <c r="A389" s="16" t="inlineStr">
        <is>
          <t>5.1-5.7</t>
        </is>
      </c>
      <c r="B389" s="16" t="inlineStr">
        <is>
          <t>PO-128-08525732229752847</t>
        </is>
      </c>
      <c r="C389" s="16" t="inlineStr">
        <is>
          <t>Delivered</t>
        </is>
      </c>
      <c r="D389" s="16" t="inlineStr">
        <is>
          <t>128-08525700772472847</t>
        </is>
      </c>
      <c r="E389" s="16" t="inlineStr">
        <is>
          <t>Delivered</t>
        </is>
      </c>
      <c r="F389" s="16" t="inlineStr">
        <is>
          <t>LV54W25</t>
        </is>
      </c>
      <c r="G389" s="16" t="inlineStr">
        <is>
          <t>TIANLAI Lámpara Ventilador E27 2 en 1, Silenciosa, LED Alta Luminosidad 180°, Instalación Rápida, Ahorro Energético para Dormitorio y Interiores Pequeños</t>
        </is>
      </c>
      <c r="H389" s="16" t="inlineStr">
        <is>
          <t>1 Pieza</t>
        </is>
      </c>
      <c r="I389" s="16" t="n">
        <v>3</v>
      </c>
      <c r="J389" s="17" t="n">
        <v>237</v>
      </c>
      <c r="K389" s="17" t="n">
        <v>248.19</v>
      </c>
      <c r="L389" s="17" t="n">
        <v>0</v>
      </c>
      <c r="M389" s="17" t="n">
        <v>0</v>
      </c>
      <c r="N389" s="17">
        <f>K389*0.08+L389*0.08</f>
        <v/>
      </c>
      <c r="O389" s="17">
        <f>-(K389*0.025+L389*0.025)</f>
        <v/>
      </c>
      <c r="P389" s="17">
        <f>32</f>
        <v/>
      </c>
      <c r="Q389" s="17">
        <f>J389+L389+N389+O389-P389-M389</f>
        <v/>
      </c>
    </row>
    <row r="390">
      <c r="A390" s="16" t="inlineStr">
        <is>
          <t>5.1-5.7</t>
        </is>
      </c>
      <c r="B390" s="16" t="inlineStr">
        <is>
          <t>PO-128-08363919114873874</t>
        </is>
      </c>
      <c r="C390" s="16" t="inlineStr">
        <is>
          <t>Delivered</t>
        </is>
      </c>
      <c r="D390" s="16" t="inlineStr">
        <is>
          <t>128-08363877171833874</t>
        </is>
      </c>
      <c r="E390" s="16" t="inlineStr">
        <is>
          <t>Delivered</t>
        </is>
      </c>
      <c r="F390" s="16" t="inlineStr">
        <is>
          <t>KTS-2031</t>
        </is>
      </c>
      <c r="G390" s="16" t="inlineStr">
        <is>
          <t>Bocina inalámbrica de 3 pulgadas con linterna multifuncional y panel solar integrado.Altavoz Portátil con Linterna LED 4 Modos, Radio FM, Bluetooth, Carga Solar, Ideal para Apagones, Emergencias, Campo y Exteriores</t>
        </is>
      </c>
      <c r="H390" s="16" t="inlineStr">
        <is>
          <t>NEGRO</t>
        </is>
      </c>
      <c r="I390" s="16" t="n">
        <v>1</v>
      </c>
      <c r="J390" s="17" t="n">
        <v>75</v>
      </c>
      <c r="K390" s="17" t="n">
        <v>75.81</v>
      </c>
      <c r="L390" s="17" t="n">
        <v>25.86</v>
      </c>
      <c r="M390" s="17" t="n">
        <v>0</v>
      </c>
      <c r="N390" s="17">
        <f>K390*0.08+L390*0.08</f>
        <v/>
      </c>
      <c r="O390" s="17">
        <f>-(K390*0.025+L390*0.025)</f>
        <v/>
      </c>
      <c r="P390" s="17">
        <f>32</f>
        <v/>
      </c>
      <c r="Q390" s="17">
        <f>J390+L390+N390+O390-P390-M390</f>
        <v/>
      </c>
    </row>
    <row r="391">
      <c r="A391" s="16" t="inlineStr">
        <is>
          <t>5.1-5.7</t>
        </is>
      </c>
      <c r="B391" s="16" t="inlineStr">
        <is>
          <t>PO-128-08503134444152148</t>
        </is>
      </c>
      <c r="C391" s="16" t="inlineStr">
        <is>
          <t>Delivered</t>
        </is>
      </c>
      <c r="D391" s="16" t="inlineStr">
        <is>
          <t>128-08503155415672148</t>
        </is>
      </c>
      <c r="E391" s="16" t="inlineStr">
        <is>
          <t>Delivered</t>
        </is>
      </c>
      <c r="F391" s="16" t="inlineStr">
        <is>
          <t>BSC07</t>
        </is>
      </c>
      <c r="G391" s="16" t="inlineStr">
        <is>
          <t>TIANLAI Báscula Digital BSC04/BSC07, Alta Precisión, Fácil Operación, Ligera y Portátil, Función Tara, Unidad Dual oz/g, Ideal para Cocina, Control de Porciones, Sellos y Objetos Pequeños, Uso en Hogar y Viaje</t>
        </is>
      </c>
      <c r="H391" s="16" t="inlineStr">
        <is>
          <t>1g/White</t>
        </is>
      </c>
      <c r="I391" s="16" t="n">
        <v>1</v>
      </c>
      <c r="J391" s="17" t="n">
        <v>35</v>
      </c>
      <c r="K391" s="17" t="n">
        <v>47.21</v>
      </c>
      <c r="L391" s="17" t="n">
        <v>25.86</v>
      </c>
      <c r="M391" s="17" t="n">
        <v>0</v>
      </c>
      <c r="N391" s="17">
        <f>K391*0.08+L391*0.08</f>
        <v/>
      </c>
      <c r="O391" s="17">
        <f>-(K391*0.025+L391*0.025)</f>
        <v/>
      </c>
      <c r="P391" s="17">
        <f>32</f>
        <v/>
      </c>
      <c r="Q391" s="17">
        <f>J391+L391+N391+O391-P391-M391</f>
        <v/>
      </c>
    </row>
    <row r="392">
      <c r="A392" s="16" t="inlineStr">
        <is>
          <t>5.1-5.7</t>
        </is>
      </c>
      <c r="B392" s="16" t="inlineStr">
        <is>
          <t>PO-128-08853129114230958</t>
        </is>
      </c>
      <c r="C392" s="16" t="inlineStr">
        <is>
          <t>Delivered</t>
        </is>
      </c>
      <c r="D392" s="16" t="inlineStr">
        <is>
          <t>128-08853087171190958</t>
        </is>
      </c>
      <c r="E392" s="16" t="inlineStr">
        <is>
          <t>Delivered</t>
        </is>
      </c>
      <c r="F392" s="16" t="inlineStr">
        <is>
          <t>LV64W25</t>
        </is>
      </c>
      <c r="G3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2" s="16" t="inlineStr">
        <is>
          <t>Blanco</t>
        </is>
      </c>
      <c r="I392" s="16" t="n">
        <v>2</v>
      </c>
      <c r="J392" s="17" t="n">
        <v>250</v>
      </c>
      <c r="K392" s="17" t="n">
        <v>260.78</v>
      </c>
      <c r="L392" s="17" t="n">
        <v>0</v>
      </c>
      <c r="M392" s="17" t="n">
        <v>0</v>
      </c>
      <c r="N392" s="17">
        <f>K392*0.08+L392*0.08</f>
        <v/>
      </c>
      <c r="O392" s="17">
        <f>-(K392*0.025+L392*0.025)</f>
        <v/>
      </c>
      <c r="P392" s="17">
        <f>32</f>
        <v/>
      </c>
      <c r="Q392" s="17">
        <f>J392+L392+N392+O392-P392-M392</f>
        <v/>
      </c>
    </row>
    <row r="393">
      <c r="A393" s="16" t="inlineStr">
        <is>
          <t>5.1-5.7</t>
        </is>
      </c>
      <c r="B393" s="16" t="inlineStr">
        <is>
          <t>PO-128-08540341432952886</t>
        </is>
      </c>
      <c r="C393" s="16" t="inlineStr">
        <is>
          <t>Delivered</t>
        </is>
      </c>
      <c r="D393" s="16" t="inlineStr">
        <is>
          <t>128-08540299489912886</t>
        </is>
      </c>
      <c r="E393" s="16" t="inlineStr">
        <is>
          <t>Delivered</t>
        </is>
      </c>
      <c r="F393" s="16" t="inlineStr">
        <is>
          <t>LV64W25</t>
        </is>
      </c>
      <c r="G3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3" s="16" t="inlineStr">
        <is>
          <t>Blanco</t>
        </is>
      </c>
      <c r="I393" s="16" t="n">
        <v>1</v>
      </c>
      <c r="J393" s="17" t="n">
        <v>125</v>
      </c>
      <c r="K393" s="17" t="n">
        <v>116.04</v>
      </c>
      <c r="L393" s="17" t="n">
        <v>25.86</v>
      </c>
      <c r="M393" s="17" t="n">
        <v>0</v>
      </c>
      <c r="N393" s="17">
        <f>K393*0.08+L393*0.08</f>
        <v/>
      </c>
      <c r="O393" s="17">
        <f>-(K393*0.025+L393*0.025)</f>
        <v/>
      </c>
      <c r="P393" s="17">
        <f>32</f>
        <v/>
      </c>
      <c r="Q393" s="17">
        <f>J393+L393+N393+O393-P393-M393</f>
        <v/>
      </c>
    </row>
    <row r="394">
      <c r="A394" s="16" t="inlineStr">
        <is>
          <t>5.1-5.7</t>
        </is>
      </c>
      <c r="B394" s="16" t="inlineStr">
        <is>
          <t>PO-128-08475079363192253</t>
        </is>
      </c>
      <c r="C394" s="16" t="inlineStr">
        <is>
          <t>Delivered</t>
        </is>
      </c>
      <c r="D394" s="16" t="inlineStr">
        <is>
          <t>128-08475058391672253</t>
        </is>
      </c>
      <c r="E394" s="16" t="inlineStr">
        <is>
          <t>Delivered</t>
        </is>
      </c>
      <c r="F394" s="16" t="inlineStr">
        <is>
          <t>TL2663N18C</t>
        </is>
      </c>
      <c r="G394" s="16" t="inlineStr">
        <is>
          <t>Linkbits，Soporte de pared fijo para televisores de 26"-63", Ultra-Delgado Compatible con VESA 400x400mm, Capacidad de Peso Fuerte de 25KG, Instalación Fácil Sin Electricidad</t>
        </is>
      </c>
      <c r="H394" s="16" t="inlineStr">
        <is>
          <t>NEGRO</t>
        </is>
      </c>
      <c r="I394" s="16" t="n">
        <v>1</v>
      </c>
      <c r="J394" s="17" t="n">
        <v>55.5</v>
      </c>
      <c r="K394" s="17" t="n">
        <v>70.48</v>
      </c>
      <c r="L394" s="17" t="n">
        <v>25.86</v>
      </c>
      <c r="M394" s="17" t="n">
        <v>0</v>
      </c>
      <c r="N394" s="17">
        <f>K394*0.08+L394*0.08</f>
        <v/>
      </c>
      <c r="O394" s="17">
        <f>-(K394*0.025+L394*0.025)</f>
        <v/>
      </c>
      <c r="P394" s="17">
        <f>32</f>
        <v/>
      </c>
      <c r="Q394" s="17">
        <f>J394+L394+N394+O394-P394-M394</f>
        <v/>
      </c>
    </row>
    <row r="395">
      <c r="A395" s="16" t="inlineStr">
        <is>
          <t>5.1-5.7</t>
        </is>
      </c>
      <c r="B395" s="16" t="inlineStr">
        <is>
          <t>PO-128-08823482573430238</t>
        </is>
      </c>
      <c r="C395" s="16" t="inlineStr">
        <is>
          <t>Delivered</t>
        </is>
      </c>
      <c r="D395" s="16" t="inlineStr">
        <is>
          <t>128-08823550730870238</t>
        </is>
      </c>
      <c r="E395" s="16" t="inlineStr">
        <is>
          <t>Delivered</t>
        </is>
      </c>
      <c r="F395" s="16" t="inlineStr">
        <is>
          <t>LV64W25</t>
        </is>
      </c>
      <c r="G3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5" s="16" t="inlineStr">
        <is>
          <t>Blanco</t>
        </is>
      </c>
      <c r="I395" s="16" t="n">
        <v>3</v>
      </c>
      <c r="J395" s="17" t="n">
        <v>375</v>
      </c>
      <c r="K395" s="17" t="n">
        <v>324.36</v>
      </c>
      <c r="L395" s="17" t="n">
        <v>0</v>
      </c>
      <c r="M395" s="17" t="n">
        <v>0</v>
      </c>
      <c r="N395" s="17">
        <f>K395*0.08+L395*0.08</f>
        <v/>
      </c>
      <c r="O395" s="17">
        <f>-(K395*0.025+L395*0.025)</f>
        <v/>
      </c>
      <c r="P395" s="17">
        <f>32</f>
        <v/>
      </c>
      <c r="Q395" s="17">
        <f>J395+L395+N395+O395-P395-M395</f>
        <v/>
      </c>
    </row>
    <row r="396">
      <c r="A396" s="16" t="inlineStr">
        <is>
          <t>5.1-5.7</t>
        </is>
      </c>
      <c r="B396" s="16" t="inlineStr">
        <is>
          <t>PO-128-08279634063993416</t>
        </is>
      </c>
      <c r="C396" s="16" t="inlineStr">
        <is>
          <t>Delivered</t>
        </is>
      </c>
      <c r="D396" s="16" t="inlineStr">
        <is>
          <t>128-08279623578233416</t>
        </is>
      </c>
      <c r="E396" s="16" t="inlineStr">
        <is>
          <t>Delivered</t>
        </is>
      </c>
      <c r="F396" s="16" t="inlineStr">
        <is>
          <t>VB349T</t>
        </is>
      </c>
      <c r="G396" s="16" t="inlineStr">
        <is>
          <t>LINKBITS Altavoz Portátil de Doble Altavoz - 3 Pulgadas, Sonido HD, Emparejamiento Rápido de Bluetooth, Conectividad TWS, Reproducción Multimodo (Micro SD/USB/Radio FM) - Perfecto para Oficina, Viajes y Espacios Pequeños</t>
        </is>
      </c>
      <c r="H396" s="16" t="inlineStr">
        <is>
          <t>NEGRO</t>
        </is>
      </c>
      <c r="I396" s="16" t="n">
        <v>1</v>
      </c>
      <c r="J396" s="17" t="n">
        <v>81</v>
      </c>
      <c r="K396" s="17" t="n">
        <v>75.42</v>
      </c>
      <c r="L396" s="17" t="n">
        <v>25.86</v>
      </c>
      <c r="M396" s="17" t="n">
        <v>0</v>
      </c>
      <c r="N396" s="17">
        <f>K396*0.08+L396*0.08</f>
        <v/>
      </c>
      <c r="O396" s="17">
        <f>-(K396*0.025+L396*0.025)</f>
        <v/>
      </c>
      <c r="P396" s="17">
        <f>32</f>
        <v/>
      </c>
      <c r="Q396" s="17">
        <f>J396+L396+N396+O396-P396-M396</f>
        <v/>
      </c>
    </row>
    <row r="397">
      <c r="A397" s="16" t="inlineStr">
        <is>
          <t>5.1-5.7</t>
        </is>
      </c>
      <c r="B397" s="16" t="inlineStr">
        <is>
          <t>PO-128-08898809549430687</t>
        </is>
      </c>
      <c r="C397" s="16" t="inlineStr">
        <is>
          <t>Delivered</t>
        </is>
      </c>
      <c r="D397" s="16" t="inlineStr">
        <is>
          <t>128-08898961592950687</t>
        </is>
      </c>
      <c r="E397" s="16" t="inlineStr">
        <is>
          <t>Delivered</t>
        </is>
      </c>
      <c r="F397" s="16" t="inlineStr">
        <is>
          <t>KTS-2031</t>
        </is>
      </c>
      <c r="G397" s="16" t="inlineStr">
        <is>
          <t>Bocina inalámbrica de 3 pulgadas con linterna multifuncional y panel solar integrado.Altavoz Portátil con Linterna LED 4 Modos, Radio FM, Bluetooth, Carga Solar, Ideal para Apagones, Emergencias, Campo y Exteriores</t>
        </is>
      </c>
      <c r="H397" s="16" t="inlineStr">
        <is>
          <t>NEGRO</t>
        </is>
      </c>
      <c r="I397" s="16" t="n">
        <v>1</v>
      </c>
      <c r="J397" s="17" t="n">
        <v>75</v>
      </c>
      <c r="K397" s="17" t="n">
        <v>84.23</v>
      </c>
      <c r="L397" s="17" t="n">
        <v>25.86</v>
      </c>
      <c r="M397" s="17" t="n">
        <v>0</v>
      </c>
      <c r="N397" s="17">
        <f>K397*0.08+L397*0.08</f>
        <v/>
      </c>
      <c r="O397" s="17">
        <f>-(K397*0.025+L397*0.025)</f>
        <v/>
      </c>
      <c r="P397" s="17">
        <f>32</f>
        <v/>
      </c>
      <c r="Q397" s="17">
        <f>J397+L397+N397+O397-P397-M397</f>
        <v/>
      </c>
    </row>
    <row r="398">
      <c r="A398" s="16" t="inlineStr">
        <is>
          <t>5.1-5.7</t>
        </is>
      </c>
      <c r="B398" s="16" t="inlineStr">
        <is>
          <t>PO-128-08662911130231068</t>
        </is>
      </c>
      <c r="C398" s="16" t="inlineStr">
        <is>
          <t>Delivered</t>
        </is>
      </c>
      <c r="D398" s="16" t="inlineStr">
        <is>
          <t>128-08662890158711068</t>
        </is>
      </c>
      <c r="E398" s="16" t="inlineStr">
        <is>
          <t>Delivered</t>
        </is>
      </c>
      <c r="F398" s="16" t="inlineStr">
        <is>
          <t>TLCD08-16P-Vv</t>
        </is>
      </c>
      <c r="G39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8" s="16" t="inlineStr">
        <is>
          <t>VERDE/pantalla de 16 pulgadas</t>
        </is>
      </c>
      <c r="I398" s="16" t="n">
        <v>1</v>
      </c>
      <c r="J398" s="17" t="n">
        <v>62.5</v>
      </c>
      <c r="K398" s="17" t="n">
        <v>81.64</v>
      </c>
      <c r="L398" s="17" t="n">
        <v>25.86</v>
      </c>
      <c r="M398" s="17" t="n">
        <v>0</v>
      </c>
      <c r="N398" s="17">
        <f>K398*0.08+L398*0.08</f>
        <v/>
      </c>
      <c r="O398" s="17">
        <f>-(K398*0.025+L398*0.025)</f>
        <v/>
      </c>
      <c r="P398" s="17">
        <f>32</f>
        <v/>
      </c>
      <c r="Q398" s="17">
        <f>J398+L398+N398+O398-P398-M398</f>
        <v/>
      </c>
    </row>
    <row r="399">
      <c r="A399" s="16" t="inlineStr">
        <is>
          <t>5.1-5.7</t>
        </is>
      </c>
      <c r="B399" s="16" t="inlineStr">
        <is>
          <t>PO-128-08596485110391465</t>
        </is>
      </c>
      <c r="C399" s="16" t="inlineStr">
        <is>
          <t>Delivered</t>
        </is>
      </c>
      <c r="D399" s="16" t="inlineStr">
        <is>
          <t>128-08596637153911465</t>
        </is>
      </c>
      <c r="E399" s="16" t="inlineStr">
        <is>
          <t>Delivered</t>
        </is>
      </c>
      <c r="F399" s="16" t="inlineStr">
        <is>
          <t>LV54W25</t>
        </is>
      </c>
      <c r="G399" s="16" t="inlineStr">
        <is>
          <t>TIANLAI Lámpara Ventilador E27 2 en 1, Silenciosa, LED Alta Luminosidad 180°, Instalación Rápida, Ahorro Energético para Dormitorio y Interiores Pequeños</t>
        </is>
      </c>
      <c r="H399" s="16" t="inlineStr">
        <is>
          <t>1 Pieza</t>
        </is>
      </c>
      <c r="I399" s="16" t="n">
        <v>1</v>
      </c>
      <c r="J399" s="17" t="n">
        <v>79</v>
      </c>
      <c r="K399" s="17" t="n">
        <v>96.2</v>
      </c>
      <c r="L399" s="17" t="n">
        <v>25.86</v>
      </c>
      <c r="M399" s="17" t="n">
        <v>0</v>
      </c>
      <c r="N399" s="17">
        <f>K399*0.08+L399*0.08</f>
        <v/>
      </c>
      <c r="O399" s="17">
        <f>-(K399*0.025+L399*0.025)</f>
        <v/>
      </c>
      <c r="P399" s="17">
        <f>32</f>
        <v/>
      </c>
      <c r="Q399" s="17">
        <f>J399+L399+N399+O399-P399-M399</f>
        <v/>
      </c>
    </row>
    <row r="400">
      <c r="A400" s="16" t="inlineStr">
        <is>
          <t>5.1-5.7</t>
        </is>
      </c>
      <c r="B400" s="16" t="inlineStr">
        <is>
          <t>PO-128-08270771528313343</t>
        </is>
      </c>
      <c r="C400" s="16" t="inlineStr">
        <is>
          <t>Delivered</t>
        </is>
      </c>
      <c r="D400" s="16" t="inlineStr">
        <is>
          <t>128-08270792499833343</t>
        </is>
      </c>
      <c r="E400" s="16" t="inlineStr">
        <is>
          <t>Delivered</t>
        </is>
      </c>
      <c r="F400" s="16" t="inlineStr">
        <is>
          <t>LV64W25</t>
        </is>
      </c>
      <c r="G4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0" s="16" t="inlineStr">
        <is>
          <t>Blanco</t>
        </is>
      </c>
      <c r="I400" s="16" t="n">
        <v>2</v>
      </c>
      <c r="J400" s="17" t="n">
        <v>250</v>
      </c>
      <c r="K400" s="17" t="n">
        <v>286.56</v>
      </c>
      <c r="L400" s="17" t="n">
        <v>0</v>
      </c>
      <c r="M400" s="17" t="n">
        <v>286.56</v>
      </c>
      <c r="N400" s="17">
        <f>K400*0.08+L400*0.08</f>
        <v/>
      </c>
      <c r="O400" s="17">
        <f>-(K400*0.025+L400*0.025)</f>
        <v/>
      </c>
      <c r="P400" s="17">
        <f>32</f>
        <v/>
      </c>
      <c r="Q400" s="17">
        <f>J400+L400+N400+O400-P400-M400</f>
        <v/>
      </c>
    </row>
    <row r="401">
      <c r="A401" s="16" t="inlineStr">
        <is>
          <t>5.1-5.7</t>
        </is>
      </c>
      <c r="B401" s="16" t="inlineStr">
        <is>
          <t>PO-128-08675500206711120</t>
        </is>
      </c>
      <c r="C401" s="16" t="inlineStr">
        <is>
          <t>Delivered</t>
        </is>
      </c>
      <c r="D401" s="16" t="inlineStr">
        <is>
          <t>128-08675517246071120</t>
        </is>
      </c>
      <c r="E401" s="16" t="inlineStr">
        <is>
          <t>Delivered</t>
        </is>
      </c>
      <c r="F401" s="16" t="inlineStr">
        <is>
          <t>LV54W25</t>
        </is>
      </c>
      <c r="G401" s="16" t="inlineStr">
        <is>
          <t>TIANLAI Lámpara Ventilador E27 2 en 1, Silenciosa, LED Alta Luminosidad 180°, Instalación Rápida, Ahorro Energético para Dormitorio y Interiores Pequeños</t>
        </is>
      </c>
      <c r="H401" s="16" t="inlineStr">
        <is>
          <t>1 Pieza</t>
        </is>
      </c>
      <c r="I401" s="16" t="n">
        <v>1</v>
      </c>
      <c r="J401" s="17" t="n">
        <v>79</v>
      </c>
      <c r="K401" s="17" t="n">
        <v>78.7</v>
      </c>
      <c r="L401" s="17" t="n">
        <v>25.86</v>
      </c>
      <c r="M401" s="17" t="n">
        <v>0</v>
      </c>
      <c r="N401" s="17">
        <f>K401*0.08+L401*0.08</f>
        <v/>
      </c>
      <c r="O401" s="17">
        <f>-(K401*0.025+L401*0.025)</f>
        <v/>
      </c>
      <c r="P401" s="17">
        <f>32</f>
        <v/>
      </c>
      <c r="Q401" s="17">
        <f>J401+L401+N401+O401-P401-M401</f>
        <v/>
      </c>
    </row>
    <row r="402">
      <c r="A402" s="16" t="inlineStr">
        <is>
          <t>5.1-5.7</t>
        </is>
      </c>
      <c r="B402" s="16" t="inlineStr">
        <is>
          <t>PO-128-08525047020153043</t>
        </is>
      </c>
      <c r="C402" s="16" t="inlineStr">
        <is>
          <t>Delivered</t>
        </is>
      </c>
      <c r="D402" s="16" t="inlineStr">
        <is>
          <t>128-08525036534393043</t>
        </is>
      </c>
      <c r="E402" s="16" t="inlineStr">
        <is>
          <t>Delivered</t>
        </is>
      </c>
      <c r="F402" s="16" t="inlineStr">
        <is>
          <t>LV54W25</t>
        </is>
      </c>
      <c r="G402" s="16" t="inlineStr">
        <is>
          <t>TIANLAI Lámpara Ventilador E27 2 en 1, Silenciosa, LED Alta Luminosidad 180°, Instalación Rápida, Ahorro Energético para Dormitorio y Interiores Pequeños</t>
        </is>
      </c>
      <c r="H402" s="16" t="inlineStr">
        <is>
          <t>1 Pieza</t>
        </is>
      </c>
      <c r="I402" s="16" t="n">
        <v>1</v>
      </c>
      <c r="J402" s="17" t="n">
        <v>79</v>
      </c>
      <c r="K402" s="17" t="n">
        <v>96.2</v>
      </c>
      <c r="L402" s="17" t="n">
        <v>25.86</v>
      </c>
      <c r="M402" s="17" t="n">
        <v>0</v>
      </c>
      <c r="N402" s="17">
        <f>K402*0.08+L402*0.08</f>
        <v/>
      </c>
      <c r="O402" s="17">
        <f>-(K402*0.025+L402*0.025)</f>
        <v/>
      </c>
      <c r="P402" s="17">
        <f>32</f>
        <v/>
      </c>
      <c r="Q402" s="17">
        <f>J402+L402+N402+O402-P402-M402</f>
        <v/>
      </c>
    </row>
    <row r="403">
      <c r="A403" s="16" t="inlineStr">
        <is>
          <t>5.1-5.7</t>
        </is>
      </c>
      <c r="B403" s="16" t="inlineStr">
        <is>
          <t>PO-128-08634838508151173</t>
        </is>
      </c>
      <c r="C403" s="16" t="inlineStr">
        <is>
          <t>Delivered</t>
        </is>
      </c>
      <c r="D403" s="16" t="inlineStr">
        <is>
          <t>128-08634859479671173</t>
        </is>
      </c>
      <c r="E403" s="16" t="inlineStr">
        <is>
          <t>Delivered</t>
        </is>
      </c>
      <c r="F403" s="16" t="inlineStr">
        <is>
          <t>LV64W25</t>
        </is>
      </c>
      <c r="G4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3" s="16" t="inlineStr">
        <is>
          <t>Blanco</t>
        </is>
      </c>
      <c r="I403" s="16" t="n">
        <v>3</v>
      </c>
      <c r="J403" s="17" t="n">
        <v>375</v>
      </c>
      <c r="K403" s="17" t="n">
        <v>391.17</v>
      </c>
      <c r="L403" s="17" t="n">
        <v>0</v>
      </c>
      <c r="M403" s="17" t="n">
        <v>0</v>
      </c>
      <c r="N403" s="17">
        <f>K403*0.08+L403*0.08</f>
        <v/>
      </c>
      <c r="O403" s="17">
        <f>-(K403*0.025+L403*0.025)</f>
        <v/>
      </c>
      <c r="P403" s="17">
        <f>32</f>
        <v/>
      </c>
      <c r="Q403" s="17">
        <f>J403+L403+N403+O403-P403-M403</f>
        <v/>
      </c>
    </row>
    <row r="404">
      <c r="A404" s="16" t="inlineStr">
        <is>
          <t>5.1-5.7</t>
        </is>
      </c>
      <c r="B404" s="16" t="inlineStr">
        <is>
          <t>PO-128-08752152504951624</t>
        </is>
      </c>
      <c r="C404" s="16" t="inlineStr">
        <is>
          <t>Delivered</t>
        </is>
      </c>
      <c r="D404" s="16" t="inlineStr">
        <is>
          <t>128-08752131533431624</t>
        </is>
      </c>
      <c r="E404" s="16" t="inlineStr">
        <is>
          <t>Delivered</t>
        </is>
      </c>
      <c r="F404" s="16" t="inlineStr">
        <is>
          <t>VA371T</t>
        </is>
      </c>
      <c r="G404" s="16" t="inlineStr">
        <is>
          <t>Linkbits Bocina Bluetooth Portátil 3" de Alta Gama，Hi-Res Audio y Graves Potentes，Luces LED + Soporte USB/TF/FM/TWS，Ideal para Hogar y Aire Libre</t>
        </is>
      </c>
      <c r="H404" s="16" t="inlineStr">
        <is>
          <t>VA371T</t>
        </is>
      </c>
      <c r="I404" s="16" t="n">
        <v>1</v>
      </c>
      <c r="J404" s="17" t="n">
        <v>45.8</v>
      </c>
      <c r="K404" s="17" t="n">
        <v>46.04</v>
      </c>
      <c r="L404" s="17" t="n">
        <v>25.86</v>
      </c>
      <c r="M404" s="17" t="n">
        <v>0</v>
      </c>
      <c r="N404" s="17">
        <f>K404*0.08+L404*0.08</f>
        <v/>
      </c>
      <c r="O404" s="17">
        <f>-(K404*0.025+L404*0.025)</f>
        <v/>
      </c>
      <c r="P404" s="17">
        <f>32</f>
        <v/>
      </c>
      <c r="Q404" s="17">
        <f>J404+L404+N404+O404-P404-M404</f>
        <v/>
      </c>
    </row>
    <row r="405">
      <c r="A405" s="16" t="inlineStr">
        <is>
          <t>5.1-5.7</t>
        </is>
      </c>
      <c r="B405" s="16" t="inlineStr">
        <is>
          <t>PO-128-08475641754232248</t>
        </is>
      </c>
      <c r="C405" s="16" t="inlineStr">
        <is>
          <t>Delivered</t>
        </is>
      </c>
      <c r="D405" s="16" t="inlineStr">
        <is>
          <t>128-08475599811192248</t>
        </is>
      </c>
      <c r="E405" s="16" t="inlineStr">
        <is>
          <t>Delivered</t>
        </is>
      </c>
      <c r="F405" s="16" t="inlineStr">
        <is>
          <t>LV64W25</t>
        </is>
      </c>
      <c r="G4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5" s="16" t="inlineStr">
        <is>
          <t>Blanco</t>
        </is>
      </c>
      <c r="I405" s="16" t="n">
        <v>1</v>
      </c>
      <c r="J405" s="17" t="n">
        <v>125</v>
      </c>
      <c r="K405" s="17" t="n">
        <v>130.39</v>
      </c>
      <c r="L405" s="17" t="n">
        <v>25.86</v>
      </c>
      <c r="M405" s="17" t="n">
        <v>0</v>
      </c>
      <c r="N405" s="17">
        <f>K405*0.08+L405*0.08</f>
        <v/>
      </c>
      <c r="O405" s="17">
        <f>-(K405*0.025+L405*0.025)</f>
        <v/>
      </c>
      <c r="P405" s="17">
        <f>32</f>
        <v/>
      </c>
      <c r="Q405" s="17">
        <f>J405+L405+N405+O405-P405-M405</f>
        <v/>
      </c>
    </row>
    <row r="406">
      <c r="A406" s="16" t="inlineStr">
        <is>
          <t>5.1-5.7</t>
        </is>
      </c>
      <c r="B406" s="16" t="inlineStr">
        <is>
          <t>PO-128-08566030572152799</t>
        </is>
      </c>
      <c r="C406" s="16" t="inlineStr">
        <is>
          <t>Delivered</t>
        </is>
      </c>
      <c r="D406" s="16" t="inlineStr">
        <is>
          <t>128-08566043679352799</t>
        </is>
      </c>
      <c r="E406" s="16" t="inlineStr">
        <is>
          <t>Delivered</t>
        </is>
      </c>
      <c r="F406" s="16" t="inlineStr">
        <is>
          <t>LV64W25</t>
        </is>
      </c>
      <c r="G4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6" s="16" t="inlineStr">
        <is>
          <t>Blanco</t>
        </is>
      </c>
      <c r="I406" s="16" t="n">
        <v>1</v>
      </c>
      <c r="J406" s="17" t="n">
        <v>125</v>
      </c>
      <c r="K406" s="17" t="n">
        <v>130.39</v>
      </c>
      <c r="L406" s="17" t="n">
        <v>25.86</v>
      </c>
      <c r="M406" s="17" t="n">
        <v>0</v>
      </c>
      <c r="N406" s="17">
        <f>K406*0.08+L406*0.08</f>
        <v/>
      </c>
      <c r="O406" s="17">
        <f>-(K406*0.025+L406*0.025)</f>
        <v/>
      </c>
      <c r="P406" s="17">
        <f>32</f>
        <v/>
      </c>
      <c r="Q406" s="17">
        <f>J406+L406+N406+O406-P406-M406</f>
        <v/>
      </c>
    </row>
    <row r="407">
      <c r="A407" s="16" t="inlineStr">
        <is>
          <t>5.1-5.7</t>
        </is>
      </c>
      <c r="B407" s="16" t="inlineStr">
        <is>
          <t>PO-128-08688924652152000</t>
        </is>
      </c>
      <c r="C407" s="16" t="inlineStr">
        <is>
          <t>Delivered</t>
        </is>
      </c>
      <c r="D407" s="16" t="inlineStr">
        <is>
          <t>128-08689000673912000</t>
        </is>
      </c>
      <c r="E407" s="16" t="inlineStr">
        <is>
          <t>Delivered</t>
        </is>
      </c>
      <c r="F407" s="16" t="inlineStr">
        <is>
          <t>LV54W25</t>
        </is>
      </c>
      <c r="G407" s="16" t="inlineStr">
        <is>
          <t>TIANLAI Lámpara Ventilador E27 2 en 1, Silenciosa, LED Alta Luminosidad 180°, Instalación Rápida, Ahorro Energético para Dormitorio y Interiores Pequeños</t>
        </is>
      </c>
      <c r="H407" s="16" t="inlineStr">
        <is>
          <t>1 Pieza</t>
        </is>
      </c>
      <c r="I407" s="16" t="n">
        <v>3</v>
      </c>
      <c r="J407" s="17" t="n">
        <v>237</v>
      </c>
      <c r="K407" s="17" t="n">
        <v>248.19</v>
      </c>
      <c r="L407" s="17" t="n">
        <v>0</v>
      </c>
      <c r="M407" s="17" t="n">
        <v>0</v>
      </c>
      <c r="N407" s="17">
        <f>K407*0.08+L407*0.08</f>
        <v/>
      </c>
      <c r="O407" s="17">
        <f>-(K407*0.025+L407*0.025)</f>
        <v/>
      </c>
      <c r="P407" s="17">
        <f>32</f>
        <v/>
      </c>
      <c r="Q407" s="17">
        <f>J407+L407+N407+O407-P407-M407</f>
        <v/>
      </c>
    </row>
    <row r="408">
      <c r="A408" s="16" t="inlineStr">
        <is>
          <t>5.1-5.7</t>
        </is>
      </c>
      <c r="B408" s="16" t="inlineStr">
        <is>
          <t>PO-128-08863704597110961</t>
        </is>
      </c>
      <c r="C408" s="16" t="inlineStr">
        <is>
          <t>Delivered</t>
        </is>
      </c>
      <c r="D408" s="16" t="inlineStr">
        <is>
          <t>128-08863662654070961</t>
        </is>
      </c>
      <c r="E408" s="16" t="inlineStr">
        <is>
          <t>Delivered</t>
        </is>
      </c>
      <c r="F408" s="16" t="inlineStr">
        <is>
          <t>KTS-2031</t>
        </is>
      </c>
      <c r="G408" s="16" t="inlineStr">
        <is>
          <t>Bocina inalámbrica de 3 pulgadas con linterna multifuncional y panel solar integrado.Altavoz Portátil con Linterna LED 4 Modos, Radio FM, Bluetooth, Carga Solar, Ideal para Apagones, Emergencias, Campo y Exteriores</t>
        </is>
      </c>
      <c r="H408" s="16" t="inlineStr">
        <is>
          <t>NEGRO</t>
        </is>
      </c>
      <c r="I408" s="16" t="n">
        <v>1</v>
      </c>
      <c r="J408" s="17" t="n">
        <v>75</v>
      </c>
      <c r="K408" s="17" t="n">
        <v>84.23</v>
      </c>
      <c r="L408" s="17" t="n">
        <v>25.86</v>
      </c>
      <c r="M408" s="17" t="n">
        <v>0</v>
      </c>
      <c r="N408" s="17">
        <f>K408*0.08+L408*0.08</f>
        <v/>
      </c>
      <c r="O408" s="17">
        <f>-(K408*0.025+L408*0.025)</f>
        <v/>
      </c>
      <c r="P408" s="17">
        <f>32</f>
        <v/>
      </c>
      <c r="Q408" s="17">
        <f>J408+L408+N408+O408-P408-M408</f>
        <v/>
      </c>
    </row>
    <row r="409">
      <c r="A409" s="16" t="inlineStr">
        <is>
          <t>5.1-5.7</t>
        </is>
      </c>
      <c r="B409" s="16" t="inlineStr">
        <is>
          <t>PO-128-08382929203833760</t>
        </is>
      </c>
      <c r="C409" s="16" t="inlineStr">
        <is>
          <t>Delivered</t>
        </is>
      </c>
      <c r="D409" s="16" t="inlineStr">
        <is>
          <t>128-08383034061433760</t>
        </is>
      </c>
      <c r="E409" s="16" t="inlineStr">
        <is>
          <t>Delivered</t>
        </is>
      </c>
      <c r="F409" s="16" t="inlineStr">
        <is>
          <t>LV54W25</t>
        </is>
      </c>
      <c r="G409" s="16" t="inlineStr">
        <is>
          <t>TIANLAI Lámpara Ventilador E27 2 en 1, Silenciosa, LED Alta Luminosidad 180°, Instalación Rápida, Ahorro Energético para Dormitorio y Interiores Pequeños</t>
        </is>
      </c>
      <c r="H409" s="16" t="inlineStr">
        <is>
          <t>1 Pieza</t>
        </is>
      </c>
      <c r="I409" s="16" t="n">
        <v>2</v>
      </c>
      <c r="J409" s="17" t="n">
        <v>158</v>
      </c>
      <c r="K409" s="17" t="n">
        <v>165.46</v>
      </c>
      <c r="L409" s="17" t="n">
        <v>25.86</v>
      </c>
      <c r="M409" s="17" t="n">
        <v>0</v>
      </c>
      <c r="N409" s="17">
        <f>K409*0.08+L409*0.08</f>
        <v/>
      </c>
      <c r="O409" s="17">
        <f>-(K409*0.025+L409*0.025)</f>
        <v/>
      </c>
      <c r="P409" s="17">
        <f>32</f>
        <v/>
      </c>
      <c r="Q409" s="17">
        <f>J409+L409+N409+O409-P409-M409</f>
        <v/>
      </c>
    </row>
    <row r="410">
      <c r="A410" s="16" t="inlineStr">
        <is>
          <t>5.1-5.7</t>
        </is>
      </c>
      <c r="B410" s="16" t="inlineStr">
        <is>
          <t>PO-128-08424452219512491</t>
        </is>
      </c>
      <c r="C410" s="16" t="inlineStr">
        <is>
          <t>Delivered</t>
        </is>
      </c>
      <c r="D410" s="16" t="inlineStr">
        <is>
          <t>128-08424473191032491</t>
        </is>
      </c>
      <c r="E410" s="16" t="inlineStr">
        <is>
          <t>Delivered</t>
        </is>
      </c>
      <c r="F410" s="16" t="inlineStr">
        <is>
          <t>LV64W25</t>
        </is>
      </c>
      <c r="G4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0" s="16" t="inlineStr">
        <is>
          <t>Blanco</t>
        </is>
      </c>
      <c r="I410" s="16" t="n">
        <v>1</v>
      </c>
      <c r="J410" s="17" t="n">
        <v>125</v>
      </c>
      <c r="K410" s="17" t="n">
        <v>87.29000000000001</v>
      </c>
      <c r="L410" s="17" t="n">
        <v>25.86</v>
      </c>
      <c r="M410" s="17" t="n">
        <v>0</v>
      </c>
      <c r="N410" s="17">
        <f>K410*0.08+L410*0.08</f>
        <v/>
      </c>
      <c r="O410" s="17">
        <f>-(K410*0.025+L410*0.025)</f>
        <v/>
      </c>
      <c r="P410" s="17">
        <f>32</f>
        <v/>
      </c>
      <c r="Q410" s="17">
        <f>J410+L410+N410+O410-P410-M410</f>
        <v/>
      </c>
    </row>
    <row r="411">
      <c r="A411" s="16" t="inlineStr">
        <is>
          <t>5.1-5.7</t>
        </is>
      </c>
      <c r="B411" s="16" t="inlineStr">
        <is>
          <t>PO-128-08768238346870440</t>
        </is>
      </c>
      <c r="C411" s="16" t="inlineStr">
        <is>
          <t>Delivered</t>
        </is>
      </c>
      <c r="D411" s="16" t="inlineStr">
        <is>
          <t>128-08768196403830440</t>
        </is>
      </c>
      <c r="E411" s="16" t="inlineStr">
        <is>
          <t>Delivered</t>
        </is>
      </c>
      <c r="F411" s="16" t="inlineStr">
        <is>
          <t>LV54W25</t>
        </is>
      </c>
      <c r="G411" s="16" t="inlineStr">
        <is>
          <t>TIANLAI Lámpara Ventilador E27 2 en 1, Silenciosa, LED Alta Luminosidad 180°, Instalación Rápida, Ahorro Energético para Dormitorio y Interiores Pequeños</t>
        </is>
      </c>
      <c r="H411" s="16" t="inlineStr">
        <is>
          <t>1 Pieza</t>
        </is>
      </c>
      <c r="I411" s="16" t="n">
        <v>1</v>
      </c>
      <c r="J411" s="17" t="n">
        <v>79</v>
      </c>
      <c r="K411" s="17" t="n">
        <v>82.73</v>
      </c>
      <c r="L411" s="17" t="n">
        <v>25.86</v>
      </c>
      <c r="M411" s="17" t="n">
        <v>0</v>
      </c>
      <c r="N411" s="17">
        <f>K411*0.08+L411*0.08</f>
        <v/>
      </c>
      <c r="O411" s="17">
        <f>-(K411*0.025+L411*0.025)</f>
        <v/>
      </c>
      <c r="P411" s="17">
        <f>32</f>
        <v/>
      </c>
      <c r="Q411" s="17">
        <f>J411+L411+N411+O411-P411-M411</f>
        <v/>
      </c>
    </row>
    <row r="412">
      <c r="A412" s="16" t="inlineStr">
        <is>
          <t>5.1-5.7</t>
        </is>
      </c>
      <c r="B412" s="16" t="inlineStr">
        <is>
          <t>PO-128-08346976154234041</t>
        </is>
      </c>
      <c r="C412" s="16" t="inlineStr">
        <is>
          <t>Delivered</t>
        </is>
      </c>
      <c r="D412" s="16" t="inlineStr">
        <is>
          <t>128-08346934211194041</t>
        </is>
      </c>
      <c r="E412" s="16" t="inlineStr">
        <is>
          <t>Delivered</t>
        </is>
      </c>
      <c r="F412" s="16" t="inlineStr">
        <is>
          <t>KTS-2031</t>
        </is>
      </c>
      <c r="G412" s="16" t="inlineStr">
        <is>
          <t>Bocina inalámbrica de 3 pulgadas con linterna multifuncional y panel solar integrado.Altavoz Portátil con Linterna LED 4 Modos, Radio FM, Bluetooth, Carga Solar, Ideal para Apagones, Emergencias, Campo y Exteriores</t>
        </is>
      </c>
      <c r="H412" s="16" t="inlineStr">
        <is>
          <t>NEGRO</t>
        </is>
      </c>
      <c r="I412" s="16" t="n">
        <v>2</v>
      </c>
      <c r="J412" s="17" t="n">
        <v>150</v>
      </c>
      <c r="K412" s="17" t="n">
        <v>168.46</v>
      </c>
      <c r="L412" s="17" t="n">
        <v>25.86</v>
      </c>
      <c r="M412" s="17" t="n">
        <v>0</v>
      </c>
      <c r="N412" s="17">
        <f>K412*0.08+L412*0.08</f>
        <v/>
      </c>
      <c r="O412" s="17">
        <f>-(K412*0.025+L412*0.025)</f>
        <v/>
      </c>
      <c r="P412" s="17">
        <f>32</f>
        <v/>
      </c>
      <c r="Q412" s="17">
        <f>J412+L412+N412+O412-P412-M412</f>
        <v/>
      </c>
    </row>
    <row r="413">
      <c r="A413" s="16" t="inlineStr">
        <is>
          <t>5.1-5.7</t>
        </is>
      </c>
      <c r="B413" s="16" t="inlineStr">
        <is>
          <t>PO-128-08388917166713791</t>
        </is>
      </c>
      <c r="C413" s="16" t="inlineStr">
        <is>
          <t>Delivered</t>
        </is>
      </c>
      <c r="D413" s="16" t="inlineStr">
        <is>
          <t>128-08388875223673791</t>
        </is>
      </c>
      <c r="E413" s="16" t="inlineStr">
        <is>
          <t>Delivered</t>
        </is>
      </c>
      <c r="F413" s="16" t="inlineStr">
        <is>
          <t>LV54W25</t>
        </is>
      </c>
      <c r="G413" s="16" t="inlineStr">
        <is>
          <t>TIANLAI Lámpara Ventilador E27 2 en 1, Silenciosa, LED Alta Luminosidad 180°, Instalación Rápida, Ahorro Energético para Dormitorio y Interiores Pequeños</t>
        </is>
      </c>
      <c r="H413" s="16" t="inlineStr">
        <is>
          <t>1 Pieza</t>
        </is>
      </c>
      <c r="I413" s="16" t="n">
        <v>2</v>
      </c>
      <c r="J413" s="17" t="n">
        <v>158</v>
      </c>
      <c r="K413" s="17" t="n">
        <v>165.46</v>
      </c>
      <c r="L413" s="17" t="n">
        <v>25.86</v>
      </c>
      <c r="M413" s="17" t="n">
        <v>0</v>
      </c>
      <c r="N413" s="17">
        <f>K413*0.08+L413*0.08</f>
        <v/>
      </c>
      <c r="O413" s="17">
        <f>-(K413*0.025+L413*0.025)</f>
        <v/>
      </c>
      <c r="P413" s="17">
        <f>32</f>
        <v/>
      </c>
      <c r="Q413" s="17">
        <f>J413+L413+N413+O413-P413-M413</f>
        <v/>
      </c>
    </row>
    <row r="414">
      <c r="A414" s="16" t="inlineStr">
        <is>
          <t>5.1-5.7</t>
        </is>
      </c>
      <c r="B414" s="16" t="inlineStr">
        <is>
          <t>PO-128-08757849201271654</t>
        </is>
      </c>
      <c r="C414" s="16" t="inlineStr">
        <is>
          <t>Delivered</t>
        </is>
      </c>
      <c r="D414" s="16" t="inlineStr">
        <is>
          <t>128-08757807258231654</t>
        </is>
      </c>
      <c r="E414" s="16" t="inlineStr">
        <is>
          <t>Delivered</t>
        </is>
      </c>
      <c r="F414" s="16" t="inlineStr">
        <is>
          <t>LV64W25</t>
        </is>
      </c>
      <c r="G4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 s="16" t="inlineStr">
        <is>
          <t>Blanco</t>
        </is>
      </c>
      <c r="I414" s="16" t="n">
        <v>2</v>
      </c>
      <c r="J414" s="17" t="n">
        <v>250</v>
      </c>
      <c r="K414" s="17" t="n">
        <v>257.9</v>
      </c>
      <c r="L414" s="17" t="n">
        <v>0</v>
      </c>
      <c r="M414" s="17" t="n">
        <v>0</v>
      </c>
      <c r="N414" s="17">
        <f>K414*0.08+L414*0.08</f>
        <v/>
      </c>
      <c r="O414" s="17">
        <f>-(K414*0.025+L414*0.025)</f>
        <v/>
      </c>
      <c r="P414" s="17">
        <f>32</f>
        <v/>
      </c>
      <c r="Q414" s="17">
        <f>J414+L414+N414+O414-P414-M414</f>
        <v/>
      </c>
    </row>
    <row r="415">
      <c r="A415" s="16" t="inlineStr">
        <is>
          <t>5.1-5.7</t>
        </is>
      </c>
      <c r="B415" s="16" t="inlineStr">
        <is>
          <t>PO-128-08246470820473486</t>
        </is>
      </c>
      <c r="C415" s="16" t="inlineStr">
        <is>
          <t>Delivered</t>
        </is>
      </c>
      <c r="D415" s="16" t="inlineStr">
        <is>
          <t>128-08246428877433486</t>
        </is>
      </c>
      <c r="E415" s="16" t="inlineStr">
        <is>
          <t>Delivered</t>
        </is>
      </c>
      <c r="F415" s="16" t="inlineStr">
        <is>
          <t>LV54W25</t>
        </is>
      </c>
      <c r="G415" s="16" t="inlineStr">
        <is>
          <t>TIANLAI Lámpara Ventilador E27 2 en 1, Silenciosa, LED Alta Luminosidad 180°, Instalación Rápida, Ahorro Energético para Dormitorio y Interiores Pequeños</t>
        </is>
      </c>
      <c r="H415" s="16" t="inlineStr">
        <is>
          <t>1 Pieza</t>
        </is>
      </c>
      <c r="I415" s="16" t="n">
        <v>3</v>
      </c>
      <c r="J415" s="17" t="n">
        <v>237</v>
      </c>
      <c r="K415" s="17" t="n">
        <v>248.19</v>
      </c>
      <c r="L415" s="17" t="n">
        <v>0</v>
      </c>
      <c r="M415" s="17" t="n">
        <v>0</v>
      </c>
      <c r="N415" s="17">
        <f>K415*0.08+L415*0.08</f>
        <v/>
      </c>
      <c r="O415" s="17">
        <f>-(K415*0.025+L415*0.025)</f>
        <v/>
      </c>
      <c r="P415" s="17">
        <f>32</f>
        <v/>
      </c>
      <c r="Q415" s="17">
        <f>J415+L415+N415+O415-P415-M415</f>
        <v/>
      </c>
    </row>
    <row r="416">
      <c r="A416" s="16" t="inlineStr">
        <is>
          <t>5.1-5.7</t>
        </is>
      </c>
      <c r="B416" s="16" t="inlineStr">
        <is>
          <t>PO-128-08775904625270458</t>
        </is>
      </c>
      <c r="C416" s="16" t="inlineStr">
        <is>
          <t>Delivered</t>
        </is>
      </c>
      <c r="D416" s="16" t="inlineStr">
        <is>
          <t>128-08775883653750458</t>
        </is>
      </c>
      <c r="E416" s="16" t="inlineStr">
        <is>
          <t>Delivered</t>
        </is>
      </c>
      <c r="F416" s="16" t="inlineStr">
        <is>
          <t>BG-115-P</t>
        </is>
      </c>
      <c r="G416" s="16" t="inlineStr">
        <is>
          <t>LINK BITS Audífonos Inalámbricos con Luces Multicolor, Recargables y en Adorable Forma de Orejas de Gato - Conecta a Celulares y PCs, Tiene Radio FM, Tarjeta TF y AUX - 7 Horas de Reproducción, Plegables y Perfectos para Trabajo, Juegos y Estudio</t>
        </is>
      </c>
      <c r="H416" s="16" t="inlineStr">
        <is>
          <t>rosa</t>
        </is>
      </c>
      <c r="I416" s="16" t="n">
        <v>1</v>
      </c>
      <c r="J416" s="17" t="n">
        <v>76</v>
      </c>
      <c r="K416" s="17" t="n">
        <v>86.73999999999999</v>
      </c>
      <c r="L416" s="17" t="n">
        <v>25.86</v>
      </c>
      <c r="M416" s="17" t="n">
        <v>0</v>
      </c>
      <c r="N416" s="17">
        <f>K416*0.08+L416*0.08</f>
        <v/>
      </c>
      <c r="O416" s="17">
        <f>-(K416*0.025+L416*0.025)</f>
        <v/>
      </c>
      <c r="P416" s="17">
        <f>32</f>
        <v/>
      </c>
      <c r="Q416" s="17">
        <f>J416+L416+N416+O416-P416-M416</f>
        <v/>
      </c>
    </row>
    <row r="417">
      <c r="A417" s="16" t="inlineStr">
        <is>
          <t>5.1-5.7</t>
        </is>
      </c>
      <c r="B417" s="16" t="inlineStr">
        <is>
          <t>PO-128-08813798974070168</t>
        </is>
      </c>
      <c r="C417" s="16" t="inlineStr">
        <is>
          <t>Delivered</t>
        </is>
      </c>
      <c r="D417" s="16" t="inlineStr">
        <is>
          <t>128-08813788488310168</t>
        </is>
      </c>
      <c r="E417" s="16" t="inlineStr">
        <is>
          <t>Delivered</t>
        </is>
      </c>
      <c r="F417" s="16" t="inlineStr">
        <is>
          <t>LV64W25</t>
        </is>
      </c>
      <c r="G4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7" s="16" t="inlineStr">
        <is>
          <t>Blanco</t>
        </is>
      </c>
      <c r="I417" s="16" t="n">
        <v>3</v>
      </c>
      <c r="J417" s="17" t="n">
        <v>375</v>
      </c>
      <c r="K417" s="17" t="n">
        <v>391.17</v>
      </c>
      <c r="L417" s="17" t="n">
        <v>0</v>
      </c>
      <c r="M417" s="17" t="n">
        <v>0</v>
      </c>
      <c r="N417" s="17">
        <f>K417*0.08+L417*0.08</f>
        <v/>
      </c>
      <c r="O417" s="17">
        <f>-(K417*0.025+L417*0.025)</f>
        <v/>
      </c>
      <c r="P417" s="17">
        <f>32</f>
        <v/>
      </c>
      <c r="Q417" s="17">
        <f>J417+L417+N417+O417-P417-M417</f>
        <v/>
      </c>
    </row>
    <row r="418">
      <c r="A418" s="16" t="inlineStr">
        <is>
          <t>5.1-5.7</t>
        </is>
      </c>
      <c r="B418" s="16" t="inlineStr">
        <is>
          <t>PO-128-14219518976631676</t>
        </is>
      </c>
      <c r="C418" s="16" t="inlineStr">
        <is>
          <t>Delivered</t>
        </is>
      </c>
      <c r="D418" s="16" t="inlineStr">
        <is>
          <t>128-14219477033591676</t>
        </is>
      </c>
      <c r="E418" s="16" t="inlineStr">
        <is>
          <t>Delivered</t>
        </is>
      </c>
      <c r="F418" s="16" t="inlineStr">
        <is>
          <t>LV54W25</t>
        </is>
      </c>
      <c r="G418" s="16" t="inlineStr">
        <is>
          <t>TIANLAI Lámpara Ventilador E27 2 en 1, Silenciosa, LED Alta Luminosidad 180°, Instalación Rápida, Ahorro Energético para Dormitorio y Interiores Pequeños</t>
        </is>
      </c>
      <c r="H418" s="16" t="inlineStr">
        <is>
          <t>1 Pieza</t>
        </is>
      </c>
      <c r="I418" s="16" t="n">
        <v>1</v>
      </c>
      <c r="J418" s="17" t="n">
        <v>79</v>
      </c>
      <c r="K418" s="17" t="n">
        <v>82.73</v>
      </c>
      <c r="L418" s="17" t="n">
        <v>10.03</v>
      </c>
      <c r="M418" s="17" t="n">
        <v>0</v>
      </c>
      <c r="N418" s="17">
        <f>K418*0.08+L418*0.08</f>
        <v/>
      </c>
      <c r="O418" s="17">
        <f>-(K418*0.025+L418*0.025)</f>
        <v/>
      </c>
      <c r="P418" s="17">
        <f>32</f>
        <v/>
      </c>
      <c r="Q418" s="17">
        <f>J418+L418+N418+O418-P418-M418</f>
        <v/>
      </c>
    </row>
    <row r="419">
      <c r="A419" s="16" t="inlineStr">
        <is>
          <t>5.1-5.7</t>
        </is>
      </c>
      <c r="B419" s="16" t="inlineStr">
        <is>
          <t>PO-128-14219518976631676</t>
        </is>
      </c>
      <c r="C419" s="16" t="inlineStr">
        <is>
          <t>Delivered</t>
        </is>
      </c>
      <c r="D419" s="16" t="inlineStr">
        <is>
          <t>128-14219435090551676</t>
        </is>
      </c>
      <c r="E419" s="16" t="inlineStr">
        <is>
          <t>Delivered</t>
        </is>
      </c>
      <c r="F419" s="16" t="inlineStr">
        <is>
          <t>LV64W25</t>
        </is>
      </c>
      <c r="G4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9" s="16" t="inlineStr">
        <is>
          <t>Blanco</t>
        </is>
      </c>
      <c r="I419" s="16" t="n">
        <v>1</v>
      </c>
      <c r="J419" s="17" t="n">
        <v>125</v>
      </c>
      <c r="K419" s="17" t="n">
        <v>130.39</v>
      </c>
      <c r="L419" s="17" t="n">
        <v>15.83</v>
      </c>
      <c r="M419" s="17" t="n">
        <v>0</v>
      </c>
      <c r="N419" s="17">
        <f>K419*0.08+L419*0.08</f>
        <v/>
      </c>
      <c r="O419" s="17">
        <f>-(K419*0.025+L419*0.025)</f>
        <v/>
      </c>
      <c r="P419" s="17">
        <f>32</f>
        <v/>
      </c>
      <c r="Q419" s="17">
        <f>J419+L419+N419+O419-P419-M419</f>
        <v/>
      </c>
    </row>
    <row r="420">
      <c r="A420" s="16" t="inlineStr">
        <is>
          <t>5.1-5.7</t>
        </is>
      </c>
      <c r="B420" s="16" t="inlineStr">
        <is>
          <t>PO-128-14085512858232666</t>
        </is>
      </c>
      <c r="C420" s="16" t="inlineStr">
        <is>
          <t>Delivered</t>
        </is>
      </c>
      <c r="D420" s="16" t="inlineStr">
        <is>
          <t>128-14085491886712666</t>
        </is>
      </c>
      <c r="E420" s="16" t="inlineStr">
        <is>
          <t>Delivered</t>
        </is>
      </c>
      <c r="F420" s="16" t="inlineStr">
        <is>
          <t>LV54W25</t>
        </is>
      </c>
      <c r="G420" s="16" t="inlineStr">
        <is>
          <t>TIANLAI Lámpara Ventilador E27 2 en 1, Silenciosa, LED Alta Luminosidad 180°, Instalación Rápida, Ahorro Energético para Dormitorio y Interiores Pequeños</t>
        </is>
      </c>
      <c r="H420" s="16" t="inlineStr">
        <is>
          <t>1 Pieza</t>
        </is>
      </c>
      <c r="I420" s="16" t="n">
        <v>1</v>
      </c>
      <c r="J420" s="17" t="n">
        <v>79</v>
      </c>
      <c r="K420" s="17" t="n">
        <v>82.73</v>
      </c>
      <c r="L420" s="17" t="n">
        <v>25.86</v>
      </c>
      <c r="M420" s="17" t="n">
        <v>0</v>
      </c>
      <c r="N420" s="17">
        <f>K420*0.08+L420*0.08</f>
        <v/>
      </c>
      <c r="O420" s="17">
        <f>-(K420*0.025+L420*0.025)</f>
        <v/>
      </c>
      <c r="P420" s="17">
        <f>32</f>
        <v/>
      </c>
      <c r="Q420" s="17">
        <f>J420+L420+N420+O420-P420-M420</f>
        <v/>
      </c>
    </row>
    <row r="421">
      <c r="A421" s="16" t="inlineStr">
        <is>
          <t>5.1-5.7</t>
        </is>
      </c>
      <c r="B421" s="16" t="inlineStr">
        <is>
          <t>PO-128-14187737119351995</t>
        </is>
      </c>
      <c r="C421" s="16" t="inlineStr">
        <is>
          <t>Delivered</t>
        </is>
      </c>
      <c r="D421" s="16" t="inlineStr">
        <is>
          <t>128-14187820022391995</t>
        </is>
      </c>
      <c r="E421" s="16" t="inlineStr">
        <is>
          <t>Delivered</t>
        </is>
      </c>
      <c r="F421" s="16" t="inlineStr">
        <is>
          <t>VB349T</t>
        </is>
      </c>
      <c r="G421" s="16" t="inlineStr">
        <is>
          <t>LINKBITS Altavoz Portátil de Doble Altavoz - 3 Pulgadas, Sonido HD, Emparejamiento Rápido de Bluetooth, Conectividad TWS, Reproducción Multimodo (Micro SD/USB/Radio FM) - Perfecto para Oficina, Viajes y Espacios Pequeños</t>
        </is>
      </c>
      <c r="H421" s="16" t="inlineStr">
        <is>
          <t>NEGRO</t>
        </is>
      </c>
      <c r="I421" s="16" t="n">
        <v>1</v>
      </c>
      <c r="J421" s="17" t="n">
        <v>81</v>
      </c>
      <c r="K421" s="17" t="n">
        <v>51.17</v>
      </c>
      <c r="L421" s="17" t="n">
        <v>25.86</v>
      </c>
      <c r="M421" s="17" t="n">
        <v>0</v>
      </c>
      <c r="N421" s="17">
        <f>K421*0.08+L421*0.08</f>
        <v/>
      </c>
      <c r="O421" s="17">
        <f>-(K421*0.025+L421*0.025)</f>
        <v/>
      </c>
      <c r="P421" s="17">
        <f>32</f>
        <v/>
      </c>
      <c r="Q421" s="17">
        <f>J421+L421+N421+O421-P421-M421</f>
        <v/>
      </c>
    </row>
    <row r="422">
      <c r="A422" s="16" t="inlineStr">
        <is>
          <t>5.1-5.7</t>
        </is>
      </c>
      <c r="B422" s="16" t="inlineStr">
        <is>
          <t>PO-128-14088899134071430</t>
        </is>
      </c>
      <c r="C422" s="16" t="inlineStr">
        <is>
          <t>Delivered</t>
        </is>
      </c>
      <c r="D422" s="16" t="inlineStr">
        <is>
          <t>128-14088941077111430</t>
        </is>
      </c>
      <c r="E422" s="16" t="inlineStr">
        <is>
          <t>Delivered</t>
        </is>
      </c>
      <c r="F422" s="16" t="inlineStr">
        <is>
          <t>LV64W25</t>
        </is>
      </c>
      <c r="G4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2" s="16" t="inlineStr">
        <is>
          <t>Blanco</t>
        </is>
      </c>
      <c r="I422" s="16" t="n">
        <v>1</v>
      </c>
      <c r="J422" s="17" t="n">
        <v>125</v>
      </c>
      <c r="K422" s="17" t="n">
        <v>130.39</v>
      </c>
      <c r="L422" s="17" t="n">
        <v>25.86</v>
      </c>
      <c r="M422" s="17" t="n">
        <v>0</v>
      </c>
      <c r="N422" s="17">
        <f>K422*0.08+L422*0.08</f>
        <v/>
      </c>
      <c r="O422" s="17">
        <f>-(K422*0.025+L422*0.025)</f>
        <v/>
      </c>
      <c r="P422" s="17">
        <f>32</f>
        <v/>
      </c>
      <c r="Q422" s="17">
        <f>J422+L422+N422+O422-P422-M422</f>
        <v/>
      </c>
    </row>
    <row r="423">
      <c r="A423" s="16" t="inlineStr">
        <is>
          <t>5.1-5.7</t>
        </is>
      </c>
      <c r="B423" s="16" t="inlineStr">
        <is>
          <t>PO-128-13843333120634046</t>
        </is>
      </c>
      <c r="C423" s="16" t="inlineStr">
        <is>
          <t>Delivered</t>
        </is>
      </c>
      <c r="D423" s="16" t="inlineStr">
        <is>
          <t>128-13843354092154046</t>
        </is>
      </c>
      <c r="E423" s="16" t="inlineStr">
        <is>
          <t>Delivered</t>
        </is>
      </c>
      <c r="F423" s="16" t="inlineStr">
        <is>
          <t>VB349T</t>
        </is>
      </c>
      <c r="G423" s="16" t="inlineStr">
        <is>
          <t>LINKBITS Altavoz Portátil de Doble Altavoz - 3 Pulgadas, Sonido HD, Emparejamiento Rápido de Bluetooth, Conectividad TWS, Reproducción Multimodo (Micro SD/USB/Radio FM) - Perfecto para Oficina, Viajes y Espacios Pequeños</t>
        </is>
      </c>
      <c r="H423" s="16" t="inlineStr">
        <is>
          <t>NEGRO</t>
        </is>
      </c>
      <c r="I423" s="16" t="n">
        <v>1</v>
      </c>
      <c r="J423" s="17" t="n">
        <v>81</v>
      </c>
      <c r="K423" s="17" t="n">
        <v>94.27</v>
      </c>
      <c r="L423" s="17" t="n">
        <v>25.86</v>
      </c>
      <c r="M423" s="17" t="n">
        <v>0</v>
      </c>
      <c r="N423" s="17">
        <f>K423*0.08+L423*0.08</f>
        <v/>
      </c>
      <c r="O423" s="17">
        <f>-(K423*0.025+L423*0.025)</f>
        <v/>
      </c>
      <c r="P423" s="17">
        <f>32</f>
        <v/>
      </c>
      <c r="Q423" s="17">
        <f>J423+L423+N423+O423-P423-M423</f>
        <v/>
      </c>
    </row>
    <row r="424">
      <c r="A424" s="16" t="inlineStr">
        <is>
          <t>5.1-5.7</t>
        </is>
      </c>
      <c r="B424" s="16" t="inlineStr">
        <is>
          <t>PO-128-14415227013750575</t>
        </is>
      </c>
      <c r="C424" s="16" t="inlineStr">
        <is>
          <t>Delivered</t>
        </is>
      </c>
      <c r="D424" s="16" t="inlineStr">
        <is>
          <t>128-14415174584950575</t>
        </is>
      </c>
      <c r="E424" s="16" t="inlineStr">
        <is>
          <t>Delivered</t>
        </is>
      </c>
      <c r="F424" s="16" t="inlineStr">
        <is>
          <t>KTS-2031</t>
        </is>
      </c>
      <c r="G424" s="16" t="inlineStr">
        <is>
          <t>Bocina inalámbrica de 3 pulgadas con linterna multifuncional y panel solar integrado.Altavoz Portátil con Linterna LED 4 Modos, Radio FM, Bluetooth, Carga Solar, Ideal para Apagones, Emergencias, Campo y Exteriores</t>
        </is>
      </c>
      <c r="H424" s="16" t="inlineStr">
        <is>
          <t>NEGRO</t>
        </is>
      </c>
      <c r="I424" s="16" t="n">
        <v>1</v>
      </c>
      <c r="J424" s="17" t="n">
        <v>75</v>
      </c>
      <c r="K424" s="17" t="n">
        <v>71.59999999999999</v>
      </c>
      <c r="L424" s="17" t="n">
        <v>25.86</v>
      </c>
      <c r="M424" s="17" t="n">
        <v>0</v>
      </c>
      <c r="N424" s="17">
        <f>K424*0.08+L424*0.08</f>
        <v/>
      </c>
      <c r="O424" s="17">
        <f>-(K424*0.025+L424*0.025)</f>
        <v/>
      </c>
      <c r="P424" s="17">
        <f>32</f>
        <v/>
      </c>
      <c r="Q424" s="17">
        <f>J424+L424+N424+O424-P424-M424</f>
        <v/>
      </c>
    </row>
    <row r="425">
      <c r="A425" s="16" t="inlineStr">
        <is>
          <t>5.1-5.7</t>
        </is>
      </c>
      <c r="B425" s="16" t="inlineStr">
        <is>
          <t>PO-128-14006675978872944</t>
        </is>
      </c>
      <c r="C425" s="16" t="inlineStr">
        <is>
          <t>Delivered</t>
        </is>
      </c>
      <c r="D425" s="16" t="inlineStr">
        <is>
          <t>128-14006702193272944</t>
        </is>
      </c>
      <c r="E425" s="16" t="inlineStr">
        <is>
          <t>Delivered</t>
        </is>
      </c>
      <c r="F425" s="16" t="inlineStr">
        <is>
          <t>LV64W25</t>
        </is>
      </c>
      <c r="G4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5" s="16" t="inlineStr">
        <is>
          <t>Blanco</t>
        </is>
      </c>
      <c r="I425" s="16" t="n">
        <v>1</v>
      </c>
      <c r="J425" s="17" t="n">
        <v>125</v>
      </c>
      <c r="K425" s="17" t="n">
        <v>143.28</v>
      </c>
      <c r="L425" s="17" t="n">
        <v>25.86</v>
      </c>
      <c r="M425" s="17" t="n">
        <v>0</v>
      </c>
      <c r="N425" s="17">
        <f>K425*0.08+L425*0.08</f>
        <v/>
      </c>
      <c r="O425" s="17">
        <f>-(K425*0.025+L425*0.025)</f>
        <v/>
      </c>
      <c r="P425" s="17">
        <f>32</f>
        <v/>
      </c>
      <c r="Q425" s="17">
        <f>J425+L425+N425+O425-P425-M425</f>
        <v/>
      </c>
    </row>
    <row r="426">
      <c r="A426" s="16" t="inlineStr">
        <is>
          <t>5.1-5.7</t>
        </is>
      </c>
      <c r="B426" s="16" t="inlineStr">
        <is>
          <t>PO-128-14135013816951157</t>
        </is>
      </c>
      <c r="C426" s="16" t="inlineStr">
        <is>
          <t>Delivered</t>
        </is>
      </c>
      <c r="D426" s="16" t="inlineStr">
        <is>
          <t>128-14134992845431157</t>
        </is>
      </c>
      <c r="E426" s="16" t="inlineStr">
        <is>
          <t>Delivered</t>
        </is>
      </c>
      <c r="F426" s="16" t="inlineStr">
        <is>
          <t>LV64W25</t>
        </is>
      </c>
      <c r="G4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6" s="16" t="inlineStr">
        <is>
          <t>Blanco</t>
        </is>
      </c>
      <c r="I426" s="16" t="n">
        <v>1</v>
      </c>
      <c r="J426" s="17" t="n">
        <v>125</v>
      </c>
      <c r="K426" s="17" t="n">
        <v>110.83</v>
      </c>
      <c r="L426" s="17" t="n">
        <v>25.86</v>
      </c>
      <c r="M426" s="17" t="n">
        <v>0</v>
      </c>
      <c r="N426" s="17">
        <f>K426*0.08+L426*0.08</f>
        <v/>
      </c>
      <c r="O426" s="17">
        <f>-(K426*0.025+L426*0.025)</f>
        <v/>
      </c>
      <c r="P426" s="17">
        <f>32</f>
        <v/>
      </c>
      <c r="Q426" s="17">
        <f>J426+L426+N426+O426-P426-M426</f>
        <v/>
      </c>
    </row>
    <row r="427">
      <c r="A427" s="16" t="inlineStr">
        <is>
          <t>5.1-5.7</t>
        </is>
      </c>
      <c r="B427" s="16" t="inlineStr">
        <is>
          <t>PO-128-14008306913912998</t>
        </is>
      </c>
      <c r="C427" s="16" t="inlineStr">
        <is>
          <t>Delivered</t>
        </is>
      </c>
      <c r="D427" s="16" t="inlineStr">
        <is>
          <t>128-14008466821752998</t>
        </is>
      </c>
      <c r="E427" s="16" t="inlineStr">
        <is>
          <t>Delivered</t>
        </is>
      </c>
      <c r="F427" s="16" t="inlineStr">
        <is>
          <t>LV54W25</t>
        </is>
      </c>
      <c r="G427" s="16" t="inlineStr">
        <is>
          <t>TIANLAI Lámpara Ventilador E27 2 en 1, Silenciosa, LED Alta Luminosidad 180°, Instalación Rápida, Ahorro Energético para Dormitorio y Interiores Pequeños</t>
        </is>
      </c>
      <c r="H427" s="16" t="inlineStr">
        <is>
          <t>1 Pieza</t>
        </is>
      </c>
      <c r="I427" s="16" t="n">
        <v>1</v>
      </c>
      <c r="J427" s="17" t="n">
        <v>79</v>
      </c>
      <c r="K427" s="17" t="n">
        <v>31.01</v>
      </c>
      <c r="L427" s="17" t="n">
        <v>25.86</v>
      </c>
      <c r="M427" s="17" t="n">
        <v>0</v>
      </c>
      <c r="N427" s="17">
        <f>K427*0.08+L427*0.08</f>
        <v/>
      </c>
      <c r="O427" s="17">
        <f>-(K427*0.025+L427*0.025)</f>
        <v/>
      </c>
      <c r="P427" s="17">
        <f>32</f>
        <v/>
      </c>
      <c r="Q427" s="17">
        <f>J427+L427+N427+O427-P427-M427</f>
        <v/>
      </c>
    </row>
    <row r="428">
      <c r="A428" s="16" t="inlineStr">
        <is>
          <t>5.1-5.7</t>
        </is>
      </c>
      <c r="B428" s="16" t="inlineStr">
        <is>
          <t>PO-128-14257554616951643</t>
        </is>
      </c>
      <c r="C428" s="16" t="inlineStr">
        <is>
          <t>Delivered</t>
        </is>
      </c>
      <c r="D428" s="16" t="inlineStr">
        <is>
          <t>128-14257613025911643</t>
        </is>
      </c>
      <c r="E428" s="16" t="inlineStr">
        <is>
          <t>Delivered</t>
        </is>
      </c>
      <c r="F428" s="16" t="inlineStr">
        <is>
          <t>LV64W25</t>
        </is>
      </c>
      <c r="G4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 s="16" t="inlineStr">
        <is>
          <t>Blanco</t>
        </is>
      </c>
      <c r="I428" s="16" t="n">
        <v>2</v>
      </c>
      <c r="J428" s="17" t="n">
        <v>250</v>
      </c>
      <c r="K428" s="17" t="n">
        <v>266.28</v>
      </c>
      <c r="L428" s="17" t="n">
        <v>0</v>
      </c>
      <c r="M428" s="17" t="n">
        <v>0</v>
      </c>
      <c r="N428" s="17">
        <f>K428*0.08+L428*0.08</f>
        <v/>
      </c>
      <c r="O428" s="17">
        <f>-(K428*0.025+L428*0.025)</f>
        <v/>
      </c>
      <c r="P428" s="17">
        <f>32</f>
        <v/>
      </c>
      <c r="Q428" s="17">
        <f>J428+L428+N428+O428-P428-M428</f>
        <v/>
      </c>
    </row>
    <row r="429">
      <c r="A429" s="16" t="inlineStr">
        <is>
          <t>5.1-5.7</t>
        </is>
      </c>
      <c r="B429" s="16" t="inlineStr">
        <is>
          <t>PO-128-14257554616951643</t>
        </is>
      </c>
      <c r="C429" s="16" t="inlineStr">
        <is>
          <t>Delivered</t>
        </is>
      </c>
      <c r="D429" s="16" t="inlineStr">
        <is>
          <t>128-14257575588471643</t>
        </is>
      </c>
      <c r="E429" s="16" t="inlineStr">
        <is>
          <t>Delivered</t>
        </is>
      </c>
      <c r="F429" s="16" t="inlineStr">
        <is>
          <t>LV64W25</t>
        </is>
      </c>
      <c r="G4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9" s="16" t="inlineStr">
        <is>
          <t>Blanco</t>
        </is>
      </c>
      <c r="I429" s="16" t="n">
        <v>2</v>
      </c>
      <c r="J429" s="17" t="n">
        <v>250</v>
      </c>
      <c r="K429" s="17" t="n">
        <v>229.24</v>
      </c>
      <c r="L429" s="17" t="n">
        <v>0</v>
      </c>
      <c r="M429" s="17" t="n">
        <v>0</v>
      </c>
      <c r="N429" s="17">
        <f>K429*0.08+L429*0.08</f>
        <v/>
      </c>
      <c r="O429" s="17">
        <f>-(K429*0.025+L429*0.025)</f>
        <v/>
      </c>
      <c r="P429" s="17">
        <f>32</f>
        <v/>
      </c>
      <c r="Q429" s="17">
        <f>J429+L429+N429+O429-P429-M429</f>
        <v/>
      </c>
    </row>
    <row r="430">
      <c r="A430" s="16" t="inlineStr">
        <is>
          <t>5.1-5.7</t>
        </is>
      </c>
      <c r="B430" s="16" t="inlineStr">
        <is>
          <t>PO-128-13839685909114004</t>
        </is>
      </c>
      <c r="C430" s="16" t="inlineStr">
        <is>
          <t>Delivered</t>
        </is>
      </c>
      <c r="D430" s="16" t="inlineStr">
        <is>
          <t>128-13839643966074004</t>
        </is>
      </c>
      <c r="E430" s="16" t="inlineStr">
        <is>
          <t>Delivered</t>
        </is>
      </c>
      <c r="F430" s="16" t="inlineStr">
        <is>
          <t>LV54W25</t>
        </is>
      </c>
      <c r="G430" s="16" t="inlineStr">
        <is>
          <t>TIANLAI Lámpara Ventilador E27 2 en 1, Silenciosa, LED Alta Luminosidad 180°, Instalación Rápida, Ahorro Energético para Dormitorio y Interiores Pequeños</t>
        </is>
      </c>
      <c r="H430" s="16" t="inlineStr">
        <is>
          <t>1 Pieza</t>
        </is>
      </c>
      <c r="I430" s="16" t="n">
        <v>1</v>
      </c>
      <c r="J430" s="17" t="n">
        <v>79</v>
      </c>
      <c r="K430" s="17" t="n">
        <v>82.73</v>
      </c>
      <c r="L430" s="17" t="n">
        <v>25.86</v>
      </c>
      <c r="M430" s="17" t="n">
        <v>0</v>
      </c>
      <c r="N430" s="17">
        <f>K430*0.08+L430*0.08</f>
        <v/>
      </c>
      <c r="O430" s="17">
        <f>-(K430*0.025+L430*0.025)</f>
        <v/>
      </c>
      <c r="P430" s="17">
        <f>32</f>
        <v/>
      </c>
      <c r="Q430" s="17">
        <f>J430+L430+N430+O430-P430-M430</f>
        <v/>
      </c>
    </row>
    <row r="431">
      <c r="A431" s="16" t="inlineStr">
        <is>
          <t>5.1-5.7</t>
        </is>
      </c>
      <c r="B431" s="16" t="inlineStr">
        <is>
          <t>PO-128-13878639944313773</t>
        </is>
      </c>
      <c r="C431" s="16" t="inlineStr">
        <is>
          <t>Delivered</t>
        </is>
      </c>
      <c r="D431" s="16" t="inlineStr">
        <is>
          <t>128-13878744801913773</t>
        </is>
      </c>
      <c r="E431" s="16" t="inlineStr">
        <is>
          <t>Delivered</t>
        </is>
      </c>
      <c r="F431" s="16" t="inlineStr">
        <is>
          <t>KTS-2031</t>
        </is>
      </c>
      <c r="G431" s="16" t="inlineStr">
        <is>
          <t>Bocina inalámbrica de 3 pulgadas con linterna multifuncional y panel solar integrado.Altavoz Portátil con Linterna LED 4 Modos, Radio FM, Bluetooth, Carga Solar, Ideal para Apagones, Emergencias, Campo y Exteriores</t>
        </is>
      </c>
      <c r="H431" s="16" t="inlineStr">
        <is>
          <t>NEGRO</t>
        </is>
      </c>
      <c r="I431" s="16" t="n">
        <v>1</v>
      </c>
      <c r="J431" s="17" t="n">
        <v>75</v>
      </c>
      <c r="K431" s="17" t="n">
        <v>32.51</v>
      </c>
      <c r="L431" s="17" t="n">
        <v>25.86</v>
      </c>
      <c r="M431" s="17" t="n">
        <v>0</v>
      </c>
      <c r="N431" s="17">
        <f>K431*0.08+L431*0.08</f>
        <v/>
      </c>
      <c r="O431" s="17">
        <f>-(K431*0.025+L431*0.025)</f>
        <v/>
      </c>
      <c r="P431" s="17">
        <f>32</f>
        <v/>
      </c>
      <c r="Q431" s="17">
        <f>J431+L431+N431+O431-P431-M431</f>
        <v/>
      </c>
    </row>
    <row r="432">
      <c r="A432" s="16" t="inlineStr">
        <is>
          <t>5.1-5.7</t>
        </is>
      </c>
      <c r="B432" s="16" t="inlineStr">
        <is>
          <t>PO-128-13823878994553138</t>
        </is>
      </c>
      <c r="C432" s="16" t="inlineStr">
        <is>
          <t>Delivered</t>
        </is>
      </c>
      <c r="D432" s="16" t="inlineStr">
        <is>
          <t>128-13823899966073138</t>
        </is>
      </c>
      <c r="E432" s="16" t="inlineStr">
        <is>
          <t>Delivered</t>
        </is>
      </c>
      <c r="F432" s="16" t="inlineStr">
        <is>
          <t>LV54W25</t>
        </is>
      </c>
      <c r="G432" s="16" t="inlineStr">
        <is>
          <t>TIANLAI Lámpara Ventilador E27 2 en 1, Silenciosa, LED Alta Luminosidad 180°, Instalación Rápida, Ahorro Energético para Dormitorio y Interiores Pequeños</t>
        </is>
      </c>
      <c r="H432" s="16" t="inlineStr">
        <is>
          <t>1 Pieza</t>
        </is>
      </c>
      <c r="I432" s="16" t="n">
        <v>1</v>
      </c>
      <c r="J432" s="17" t="n">
        <v>79</v>
      </c>
      <c r="K432" s="17" t="n">
        <v>81.78</v>
      </c>
      <c r="L432" s="17" t="n">
        <v>25.86</v>
      </c>
      <c r="M432" s="17" t="n">
        <v>0</v>
      </c>
      <c r="N432" s="17">
        <f>K432*0.08+L432*0.08</f>
        <v/>
      </c>
      <c r="O432" s="17">
        <f>-(K432*0.025+L432*0.025)</f>
        <v/>
      </c>
      <c r="P432" s="17">
        <f>32</f>
        <v/>
      </c>
      <c r="Q432" s="17">
        <f>J432+L432+N432+O432-P432-M432</f>
        <v/>
      </c>
    </row>
    <row r="433">
      <c r="A433" s="16" t="inlineStr">
        <is>
          <t>5.1-5.7</t>
        </is>
      </c>
      <c r="B433" s="16" t="inlineStr">
        <is>
          <t>PO-128-14021925212793047</t>
        </is>
      </c>
      <c r="C433" s="16" t="inlineStr">
        <is>
          <t>Delivered</t>
        </is>
      </c>
      <c r="D433" s="16" t="inlineStr">
        <is>
          <t>128-14021912105593047</t>
        </is>
      </c>
      <c r="E433" s="16" t="inlineStr">
        <is>
          <t>Delivered</t>
        </is>
      </c>
      <c r="F433" s="16" t="inlineStr">
        <is>
          <t>VB349T</t>
        </is>
      </c>
      <c r="G433" s="16" t="inlineStr">
        <is>
          <t>LINKBITS Altavoz Portátil de Doble Altavoz - 3 Pulgadas, Sonido HD, Emparejamiento Rápido de Bluetooth, Conectividad TWS, Reproducción Multimodo (Micro SD/USB/Radio FM) - Perfecto para Oficina, Viajes y Espacios Pequeños</t>
        </is>
      </c>
      <c r="H433" s="16" t="inlineStr">
        <is>
          <t>NEGRO</t>
        </is>
      </c>
      <c r="I433" s="16" t="n">
        <v>3</v>
      </c>
      <c r="J433" s="17" t="n">
        <v>243</v>
      </c>
      <c r="K433" s="17" t="n">
        <v>282.81</v>
      </c>
      <c r="L433" s="17" t="n">
        <v>0</v>
      </c>
      <c r="M433" s="17" t="n">
        <v>0</v>
      </c>
      <c r="N433" s="17">
        <f>K433*0.08+L433*0.08</f>
        <v/>
      </c>
      <c r="O433" s="17">
        <f>-(K433*0.025+L433*0.025)</f>
        <v/>
      </c>
      <c r="P433" s="17">
        <f>32</f>
        <v/>
      </c>
      <c r="Q433" s="17">
        <f>J433+L433+N433+O433-P433-M433</f>
        <v/>
      </c>
    </row>
    <row r="434">
      <c r="A434" s="16" t="inlineStr">
        <is>
          <t>5.1-5.7</t>
        </is>
      </c>
      <c r="B434" s="16" t="inlineStr">
        <is>
          <t>PO-128-14406919762550753</t>
        </is>
      </c>
      <c r="C434" s="16" t="inlineStr">
        <is>
          <t>Delivered</t>
        </is>
      </c>
      <c r="D434" s="16" t="inlineStr">
        <is>
          <t>128-14406898791030753</t>
        </is>
      </c>
      <c r="E434" s="16" t="inlineStr">
        <is>
          <t>Delivered</t>
        </is>
      </c>
      <c r="F434" s="16" t="inlineStr">
        <is>
          <t>LV54W25</t>
        </is>
      </c>
      <c r="G434" s="16" t="inlineStr">
        <is>
          <t>TIANLAI Lámpara Ventilador E27 2 en 1, Silenciosa, LED Alta Luminosidad 180°, Instalación Rápida, Ahorro Energético para Dormitorio y Interiores Pequeños</t>
        </is>
      </c>
      <c r="H434" s="16" t="inlineStr">
        <is>
          <t>1 Pieza</t>
        </is>
      </c>
      <c r="I434" s="16" t="n">
        <v>4</v>
      </c>
      <c r="J434" s="17" t="n">
        <v>316</v>
      </c>
      <c r="K434" s="17" t="n">
        <v>330.92</v>
      </c>
      <c r="L434" s="17" t="n">
        <v>0</v>
      </c>
      <c r="M434" s="17" t="n">
        <v>0</v>
      </c>
      <c r="N434" s="17">
        <f>K434*0.08+L434*0.08</f>
        <v/>
      </c>
      <c r="O434" s="17">
        <f>-(K434*0.025+L434*0.025)</f>
        <v/>
      </c>
      <c r="P434" s="17">
        <f>32</f>
        <v/>
      </c>
      <c r="Q434" s="17">
        <f>J434+L434+N434+O434-P434-M434</f>
        <v/>
      </c>
    </row>
    <row r="435">
      <c r="A435" s="16" t="inlineStr">
        <is>
          <t>5.1-5.7</t>
        </is>
      </c>
      <c r="B435" s="16" t="inlineStr">
        <is>
          <t>PO-128-14180849265271970</t>
        </is>
      </c>
      <c r="C435" s="16" t="inlineStr">
        <is>
          <t>Delivered</t>
        </is>
      </c>
      <c r="D435" s="16" t="inlineStr">
        <is>
          <t>128-14180828293751970</t>
        </is>
      </c>
      <c r="E435" s="16" t="inlineStr">
        <is>
          <t>Delivered</t>
        </is>
      </c>
      <c r="F435" s="16" t="inlineStr">
        <is>
          <t>KTS-2031</t>
        </is>
      </c>
      <c r="G435" s="16" t="inlineStr">
        <is>
          <t>Bocina inalámbrica de 3 pulgadas con linterna multifuncional y panel solar integrado.Altavoz Portátil con Linterna LED 4 Modos, Radio FM, Bluetooth, Carga Solar, Ideal para Apagones, Emergencias, Campo y Exteriores</t>
        </is>
      </c>
      <c r="H435" s="16" t="inlineStr">
        <is>
          <t>NEGRO</t>
        </is>
      </c>
      <c r="I435" s="16" t="n">
        <v>1</v>
      </c>
      <c r="J435" s="17" t="n">
        <v>75</v>
      </c>
      <c r="K435" s="17" t="n">
        <v>84.23</v>
      </c>
      <c r="L435" s="17" t="n">
        <v>25.86</v>
      </c>
      <c r="M435" s="17" t="n">
        <v>0</v>
      </c>
      <c r="N435" s="17">
        <f>K435*0.08+L435*0.08</f>
        <v/>
      </c>
      <c r="O435" s="17">
        <f>-(K435*0.025+L435*0.025)</f>
        <v/>
      </c>
      <c r="P435" s="17">
        <f>32</f>
        <v/>
      </c>
      <c r="Q435" s="17">
        <f>J435+L435+N435+O435-P435-M435</f>
        <v/>
      </c>
    </row>
    <row r="436">
      <c r="A436" s="16" t="inlineStr">
        <is>
          <t>5.1-5.7</t>
        </is>
      </c>
      <c r="B436" s="16" t="inlineStr">
        <is>
          <t>PO-128-13815608085113125</t>
        </is>
      </c>
      <c r="C436" s="16" t="inlineStr">
        <is>
          <t>Delivered</t>
        </is>
      </c>
      <c r="D436" s="16" t="inlineStr">
        <is>
          <t>128-13815650028153125</t>
        </is>
      </c>
      <c r="E436" s="16" t="inlineStr">
        <is>
          <t>Delivered</t>
        </is>
      </c>
      <c r="F436" s="16" t="inlineStr">
        <is>
          <t>LV64W25</t>
        </is>
      </c>
      <c r="G4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36" s="16" t="inlineStr">
        <is>
          <t>Blanco</t>
        </is>
      </c>
      <c r="I436" s="16" t="n">
        <v>1</v>
      </c>
      <c r="J436" s="17" t="n">
        <v>125</v>
      </c>
      <c r="K436" s="17" t="n">
        <v>130.39</v>
      </c>
      <c r="L436" s="17" t="n">
        <v>25.86</v>
      </c>
      <c r="M436" s="17" t="n">
        <v>0</v>
      </c>
      <c r="N436" s="17">
        <f>K436*0.08+L436*0.08</f>
        <v/>
      </c>
      <c r="O436" s="17">
        <f>-(K436*0.025+L436*0.025)</f>
        <v/>
      </c>
      <c r="P436" s="17">
        <f>32</f>
        <v/>
      </c>
      <c r="Q436" s="17">
        <f>J436+L436+N436+O436-P436-M436</f>
        <v/>
      </c>
    </row>
    <row r="437">
      <c r="A437" s="16" t="inlineStr">
        <is>
          <t>5.1-5.7</t>
        </is>
      </c>
      <c r="B437" s="16" t="inlineStr">
        <is>
          <t>PO-128-14311133102710171</t>
        </is>
      </c>
      <c r="C437" s="16" t="inlineStr">
        <is>
          <t>Delivered</t>
        </is>
      </c>
      <c r="D437" s="16" t="inlineStr">
        <is>
          <t>128-14311300629110171</t>
        </is>
      </c>
      <c r="E437" s="16" t="inlineStr">
        <is>
          <t>Delivered</t>
        </is>
      </c>
      <c r="F437" s="16" t="inlineStr">
        <is>
          <t>LV54W25</t>
        </is>
      </c>
      <c r="G437" s="16" t="inlineStr">
        <is>
          <t>TIANLAI Lámpara Ventilador E27 2 en 1, Silenciosa, LED Alta Luminosidad 180°, Instalación Rápida, Ahorro Energético para Dormitorio y Interiores Pequeños</t>
        </is>
      </c>
      <c r="H437" s="16" t="inlineStr">
        <is>
          <t>1 Pieza</t>
        </is>
      </c>
      <c r="I437" s="16" t="n">
        <v>3</v>
      </c>
      <c r="J437" s="17" t="n">
        <v>237</v>
      </c>
      <c r="K437" s="17" t="n">
        <v>248.19</v>
      </c>
      <c r="L437" s="17" t="n">
        <v>0</v>
      </c>
      <c r="M437" s="17" t="n">
        <v>0</v>
      </c>
      <c r="N437" s="17">
        <f>K437*0.08+L437*0.08</f>
        <v/>
      </c>
      <c r="O437" s="17">
        <f>-(K437*0.025+L437*0.025)</f>
        <v/>
      </c>
      <c r="P437" s="17">
        <f>32</f>
        <v/>
      </c>
      <c r="Q437" s="17">
        <f>J437+L437+N437+O437-P437-M437</f>
        <v/>
      </c>
    </row>
    <row r="438">
      <c r="A438" s="16" t="inlineStr">
        <is>
          <t>5.1-5.7</t>
        </is>
      </c>
      <c r="B438" s="16" t="inlineStr">
        <is>
          <t>PO-128-13758344766073528</t>
        </is>
      </c>
      <c r="C438" s="16" t="inlineStr">
        <is>
          <t>Delivered</t>
        </is>
      </c>
      <c r="D438" s="16" t="inlineStr">
        <is>
          <t>128-13758449623673528</t>
        </is>
      </c>
      <c r="E438" s="16" t="inlineStr">
        <is>
          <t>Delivered</t>
        </is>
      </c>
      <c r="F438" s="16" t="inlineStr">
        <is>
          <t>LV64W25</t>
        </is>
      </c>
      <c r="G4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38" s="16" t="inlineStr">
        <is>
          <t>Blanco</t>
        </is>
      </c>
      <c r="I438" s="16" t="n">
        <v>2</v>
      </c>
      <c r="J438" s="17" t="n">
        <v>250</v>
      </c>
      <c r="K438" s="17" t="n">
        <v>217.68</v>
      </c>
      <c r="L438" s="17" t="n">
        <v>0</v>
      </c>
      <c r="M438" s="17" t="n">
        <v>0</v>
      </c>
      <c r="N438" s="17">
        <f>K438*0.08+L438*0.08</f>
        <v/>
      </c>
      <c r="O438" s="17">
        <f>-(K438*0.025+L438*0.025)</f>
        <v/>
      </c>
      <c r="P438" s="17">
        <f>32</f>
        <v/>
      </c>
      <c r="Q438" s="17">
        <f>J438+L438+N438+O438-P438-M438</f>
        <v/>
      </c>
    </row>
    <row r="439">
      <c r="A439" s="16" t="inlineStr">
        <is>
          <t>5.1-5.7</t>
        </is>
      </c>
      <c r="B439" s="16" t="inlineStr">
        <is>
          <t>PO-128-14235831777911770</t>
        </is>
      </c>
      <c r="C439" s="16" t="inlineStr">
        <is>
          <t>Delivered</t>
        </is>
      </c>
      <c r="D439" s="16" t="inlineStr">
        <is>
          <t>128-14235837020791770</t>
        </is>
      </c>
      <c r="E439" s="16" t="inlineStr">
        <is>
          <t>Delivered</t>
        </is>
      </c>
      <c r="F439" s="16" t="inlineStr">
        <is>
          <t>LV64W25</t>
        </is>
      </c>
      <c r="G4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39" s="16" t="inlineStr">
        <is>
          <t>Blanco</t>
        </is>
      </c>
      <c r="I439" s="16" t="n">
        <v>2</v>
      </c>
      <c r="J439" s="17" t="n">
        <v>250</v>
      </c>
      <c r="K439" s="17" t="n">
        <v>286.56</v>
      </c>
      <c r="L439" s="17" t="n">
        <v>0</v>
      </c>
      <c r="M439" s="17" t="n">
        <v>0</v>
      </c>
      <c r="N439" s="17">
        <f>K439*0.08+L439*0.08</f>
        <v/>
      </c>
      <c r="O439" s="17">
        <f>-(K439*0.025+L439*0.025)</f>
        <v/>
      </c>
      <c r="P439" s="17">
        <f>32</f>
        <v/>
      </c>
      <c r="Q439" s="17">
        <f>J439+L439+N439+O439-P439-M439</f>
        <v/>
      </c>
    </row>
    <row r="440">
      <c r="A440" s="16" t="inlineStr">
        <is>
          <t>5.1-5.7</t>
        </is>
      </c>
      <c r="B440" s="16" t="inlineStr">
        <is>
          <t>PO-128-13760080159353582</t>
        </is>
      </c>
      <c r="C440" s="16" t="inlineStr">
        <is>
          <t>Delivered</t>
        </is>
      </c>
      <c r="D440" s="16" t="inlineStr">
        <is>
          <t>128-13760122102393582</t>
        </is>
      </c>
      <c r="E440" s="16" t="inlineStr">
        <is>
          <t>Delivered</t>
        </is>
      </c>
      <c r="F440" s="16" t="inlineStr">
        <is>
          <t>KTS-2031</t>
        </is>
      </c>
      <c r="G440" s="16" t="inlineStr">
        <is>
          <t>Bocina inalámbrica de 3 pulgadas con linterna multifuncional y panel solar integrado.Altavoz Portátil con Linterna LED 4 Modos, Radio FM, Bluetooth, Carga Solar, Ideal para Apagones, Emergencias, Campo y Exteriores</t>
        </is>
      </c>
      <c r="H440" s="16" t="inlineStr">
        <is>
          <t>NEGRO</t>
        </is>
      </c>
      <c r="I440" s="16" t="n">
        <v>1</v>
      </c>
      <c r="J440" s="17" t="n">
        <v>75</v>
      </c>
      <c r="K440" s="17" t="n">
        <v>41.13</v>
      </c>
      <c r="L440" s="17" t="n">
        <v>25.86</v>
      </c>
      <c r="M440" s="17" t="n">
        <v>0</v>
      </c>
      <c r="N440" s="17">
        <f>K440*0.08+L440*0.08</f>
        <v/>
      </c>
      <c r="O440" s="17">
        <f>-(K440*0.025+L440*0.025)</f>
        <v/>
      </c>
      <c r="P440" s="17">
        <f>32</f>
        <v/>
      </c>
      <c r="Q440" s="17">
        <f>J440+L440+N440+O440-P440-M440</f>
        <v/>
      </c>
    </row>
    <row r="441">
      <c r="A441" s="16" t="inlineStr">
        <is>
          <t>5.1-5.7</t>
        </is>
      </c>
      <c r="B441" s="16" t="inlineStr">
        <is>
          <t>PO-128-13763923671673561</t>
        </is>
      </c>
      <c r="C441" s="16" t="inlineStr">
        <is>
          <t>Delivered</t>
        </is>
      </c>
      <c r="D441" s="16" t="inlineStr">
        <is>
          <t>128-13763965614713561</t>
        </is>
      </c>
      <c r="E441" s="16" t="inlineStr">
        <is>
          <t>Delivered</t>
        </is>
      </c>
      <c r="F441" s="16" t="inlineStr">
        <is>
          <t>LV64W25</t>
        </is>
      </c>
      <c r="G4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41" s="16" t="inlineStr">
        <is>
          <t>Blanco</t>
        </is>
      </c>
      <c r="I441" s="16" t="n">
        <v>3</v>
      </c>
      <c r="J441" s="17" t="n">
        <v>375</v>
      </c>
      <c r="K441" s="17" t="n">
        <v>391.17</v>
      </c>
      <c r="L441" s="17" t="n">
        <v>0</v>
      </c>
      <c r="M441" s="17" t="n">
        <v>0</v>
      </c>
      <c r="N441" s="17">
        <f>K441*0.08+L441*0.08</f>
        <v/>
      </c>
      <c r="O441" s="17">
        <f>-(K441*0.025+L441*0.025)</f>
        <v/>
      </c>
      <c r="P441" s="17">
        <f>32</f>
        <v/>
      </c>
      <c r="Q441" s="17">
        <f>J441+L441+N441+O441-P441-M441</f>
        <v/>
      </c>
    </row>
    <row r="442">
      <c r="A442" s="16" t="inlineStr">
        <is>
          <t>5.1-5.7</t>
        </is>
      </c>
      <c r="B442" s="16" t="inlineStr">
        <is>
          <t>PO-128-13935051274872541</t>
        </is>
      </c>
      <c r="C442" s="16" t="inlineStr">
        <is>
          <t>Delivered</t>
        </is>
      </c>
      <c r="D442" s="16" t="inlineStr">
        <is>
          <t>128-13935009331832541</t>
        </is>
      </c>
      <c r="E442" s="16" t="inlineStr">
        <is>
          <t>Delivered</t>
        </is>
      </c>
      <c r="F442" s="16" t="inlineStr">
        <is>
          <t>LV64W25</t>
        </is>
      </c>
      <c r="G4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42" s="16" t="inlineStr">
        <is>
          <t>Blanco</t>
        </is>
      </c>
      <c r="I442" s="16" t="n">
        <v>1</v>
      </c>
      <c r="J442" s="17" t="n">
        <v>125</v>
      </c>
      <c r="K442" s="17" t="n">
        <v>130.39</v>
      </c>
      <c r="L442" s="17" t="n">
        <v>25.86</v>
      </c>
      <c r="M442" s="17" t="n">
        <v>0</v>
      </c>
      <c r="N442" s="17">
        <f>K442*0.08+L442*0.08</f>
        <v/>
      </c>
      <c r="O442" s="17">
        <f>-(K442*0.025+L442*0.025)</f>
        <v/>
      </c>
      <c r="P442" s="17">
        <f>32</f>
        <v/>
      </c>
      <c r="Q442" s="17">
        <f>J442+L442+N442+O442-P442-M442</f>
        <v/>
      </c>
    </row>
    <row r="443">
      <c r="A443" s="16" t="inlineStr">
        <is>
          <t>5.1-5.7</t>
        </is>
      </c>
      <c r="B443" s="16" t="inlineStr">
        <is>
          <t>PO-128-13792989553273258</t>
        </is>
      </c>
      <c r="C443" s="16" t="inlineStr">
        <is>
          <t>Delivered</t>
        </is>
      </c>
      <c r="D443" s="16" t="inlineStr">
        <is>
          <t>128-13793041982073258</t>
        </is>
      </c>
      <c r="E443" s="16" t="inlineStr">
        <is>
          <t>Delivered</t>
        </is>
      </c>
      <c r="F443" s="16" t="inlineStr">
        <is>
          <t>LV54W25</t>
        </is>
      </c>
      <c r="G443" s="16" t="inlineStr">
        <is>
          <t>TIANLAI Lámpara Ventilador E27 2 en 1, Silenciosa, LED Alta Luminosidad 180°, Instalación Rápida, Ahorro Energético para Dormitorio y Interiores Pequeños</t>
        </is>
      </c>
      <c r="H443" s="16" t="inlineStr">
        <is>
          <t>1 Pieza</t>
        </is>
      </c>
      <c r="I443" s="16" t="n">
        <v>1</v>
      </c>
      <c r="J443" s="17" t="n">
        <v>79</v>
      </c>
      <c r="K443" s="17" t="n">
        <v>82.73</v>
      </c>
      <c r="L443" s="17" t="n">
        <v>25.86</v>
      </c>
      <c r="M443" s="17" t="n">
        <v>0</v>
      </c>
      <c r="N443" s="17">
        <f>K443*0.08+L443*0.08</f>
        <v/>
      </c>
      <c r="O443" s="17">
        <f>-(K443*0.025+L443*0.025)</f>
        <v/>
      </c>
      <c r="P443" s="17">
        <f>32</f>
        <v/>
      </c>
      <c r="Q443" s="17">
        <f>J443+L443+N443+O443-P443-M443</f>
        <v/>
      </c>
    </row>
    <row r="444">
      <c r="A444" s="16" t="inlineStr">
        <is>
          <t>5.1-5.7</t>
        </is>
      </c>
      <c r="B444" s="16" t="inlineStr">
        <is>
          <t>PO-128-13898979840633586</t>
        </is>
      </c>
      <c r="C444" s="16" t="inlineStr">
        <is>
          <t>Delivered</t>
        </is>
      </c>
      <c r="D444" s="16" t="inlineStr">
        <is>
          <t>128-13898953380473586</t>
        </is>
      </c>
      <c r="E444" s="16" t="inlineStr">
        <is>
          <t>Delivered</t>
        </is>
      </c>
      <c r="F444" s="16" t="inlineStr">
        <is>
          <t>LV64W25</t>
        </is>
      </c>
      <c r="G4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44" s="16" t="inlineStr">
        <is>
          <t>Blanco</t>
        </is>
      </c>
      <c r="I444" s="16" t="n">
        <v>1</v>
      </c>
      <c r="J444" s="17" t="n">
        <v>125</v>
      </c>
      <c r="K444" s="17" t="n">
        <v>130.39</v>
      </c>
      <c r="L444" s="17" t="n">
        <v>25.86</v>
      </c>
      <c r="M444" s="17" t="n">
        <v>0</v>
      </c>
      <c r="N444" s="17">
        <f>K444*0.08+L444*0.08</f>
        <v/>
      </c>
      <c r="O444" s="17">
        <f>-(K444*0.025+L444*0.025)</f>
        <v/>
      </c>
      <c r="P444" s="17">
        <f>32</f>
        <v/>
      </c>
      <c r="Q444" s="17">
        <f>J444+L444+N444+O444-P444-M444</f>
        <v/>
      </c>
    </row>
    <row r="445">
      <c r="A445" s="16" t="inlineStr">
        <is>
          <t>5.1-5.7</t>
        </is>
      </c>
      <c r="B445" s="16" t="inlineStr">
        <is>
          <t>PO-128-14340665784950123</t>
        </is>
      </c>
      <c r="C445" s="16" t="inlineStr">
        <is>
          <t>Delivered</t>
        </is>
      </c>
      <c r="D445" s="16" t="inlineStr">
        <is>
          <t>128-14340825692790123</t>
        </is>
      </c>
      <c r="E445" s="16" t="inlineStr">
        <is>
          <t>Delivered</t>
        </is>
      </c>
      <c r="F445" s="16" t="inlineStr">
        <is>
          <t>TLCD06-12P-V</t>
        </is>
      </c>
      <c r="G44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45" s="16" t="inlineStr">
        <is>
          <t>VERDE/pantalla de 12 pulgadas</t>
        </is>
      </c>
      <c r="I445" s="16" t="n">
        <v>1</v>
      </c>
      <c r="J445" s="17" t="n">
        <v>35</v>
      </c>
      <c r="K445" s="17" t="n">
        <v>47.03</v>
      </c>
      <c r="L445" s="17" t="n">
        <v>25.86</v>
      </c>
      <c r="M445" s="17" t="n">
        <v>0</v>
      </c>
      <c r="N445" s="17">
        <f>K445*0.08+L445*0.08</f>
        <v/>
      </c>
      <c r="O445" s="17">
        <f>-(K445*0.025+L445*0.025)</f>
        <v/>
      </c>
      <c r="P445" s="17">
        <f>32</f>
        <v/>
      </c>
      <c r="Q445" s="17">
        <f>J445+L445+N445+O445-P445-M445</f>
        <v/>
      </c>
    </row>
    <row r="446">
      <c r="A446" s="16" t="inlineStr">
        <is>
          <t>5.1-5.7</t>
        </is>
      </c>
      <c r="B446" s="16" t="inlineStr">
        <is>
          <t>PO-128-13926253281912464</t>
        </is>
      </c>
      <c r="C446" s="16" t="inlineStr">
        <is>
          <t>Delivered</t>
        </is>
      </c>
      <c r="D446" s="16" t="inlineStr">
        <is>
          <t>128-13926211338872464</t>
        </is>
      </c>
      <c r="E446" s="16" t="inlineStr">
        <is>
          <t>Delivered</t>
        </is>
      </c>
      <c r="F446" s="16" t="inlineStr">
        <is>
          <t>LV64W25</t>
        </is>
      </c>
      <c r="G4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46" s="16" t="inlineStr">
        <is>
          <t>Blanco</t>
        </is>
      </c>
      <c r="I446" s="16" t="n">
        <v>1</v>
      </c>
      <c r="J446" s="17" t="n">
        <v>125</v>
      </c>
      <c r="K446" s="17" t="n">
        <v>130.39</v>
      </c>
      <c r="L446" s="17" t="n">
        <v>0</v>
      </c>
      <c r="M446" s="17" t="n">
        <v>0</v>
      </c>
      <c r="N446" s="17">
        <f>K446*0.08+L446*0.08</f>
        <v/>
      </c>
      <c r="O446" s="17">
        <f>-(K446*0.025+L446*0.025)</f>
        <v/>
      </c>
      <c r="P446" s="17">
        <f>32</f>
        <v/>
      </c>
      <c r="Q446" s="17">
        <f>J446+L446+N446+O446-P446-M446</f>
        <v/>
      </c>
    </row>
    <row r="447">
      <c r="A447" s="16" t="inlineStr">
        <is>
          <t>5.1-5.7</t>
        </is>
      </c>
      <c r="B447" s="16" t="inlineStr">
        <is>
          <t>PO-128-13926253281912464</t>
        </is>
      </c>
      <c r="C447" s="16" t="inlineStr">
        <is>
          <t>Delivered</t>
        </is>
      </c>
      <c r="D447" s="16" t="inlineStr">
        <is>
          <t>128-13926169395832464</t>
        </is>
      </c>
      <c r="E447" s="16" t="inlineStr">
        <is>
          <t>Delivered</t>
        </is>
      </c>
      <c r="F447" s="16" t="inlineStr">
        <is>
          <t>EM12W12</t>
        </is>
      </c>
      <c r="G447" s="16" t="inlineStr">
        <is>
          <t>TIANLAI Lámpara Solar de Emergencia, 1pc 960lm IP4 5 Modos con SOS, Recargable USB+Solar con Gancho, Linterna Portátil para Camping Hogar Senderismo Pesca</t>
        </is>
      </c>
      <c r="H447" s="16" t="inlineStr">
        <is>
          <t>BLANCO</t>
        </is>
      </c>
      <c r="I447" s="16" t="n">
        <v>2</v>
      </c>
      <c r="J447" s="17" t="n">
        <v>152</v>
      </c>
      <c r="K447" s="17" t="n">
        <v>201.18</v>
      </c>
      <c r="L447" s="17" t="n">
        <v>0</v>
      </c>
      <c r="M447" s="17" t="n">
        <v>0</v>
      </c>
      <c r="N447" s="17">
        <f>K447*0.08+L447*0.08</f>
        <v/>
      </c>
      <c r="O447" s="17">
        <f>-(K447*0.025+L447*0.025)</f>
        <v/>
      </c>
      <c r="P447" s="17">
        <f>32</f>
        <v/>
      </c>
      <c r="Q447" s="17">
        <f>J447+L447+N447+O447-P447-M447</f>
        <v/>
      </c>
    </row>
    <row r="448">
      <c r="A448" s="16" t="inlineStr">
        <is>
          <t>5.1-5.7</t>
        </is>
      </c>
      <c r="B448" s="16" t="inlineStr">
        <is>
          <t>PO-128-14093392179831469</t>
        </is>
      </c>
      <c r="C448" s="16" t="inlineStr">
        <is>
          <t>Delivered</t>
        </is>
      </c>
      <c r="D448" s="16" t="inlineStr">
        <is>
          <t>128-14093413151351469</t>
        </is>
      </c>
      <c r="E448" s="16" t="inlineStr">
        <is>
          <t>Delivered</t>
        </is>
      </c>
      <c r="F448" s="16" t="inlineStr">
        <is>
          <t>BG-115-B</t>
        </is>
      </c>
      <c r="G448" s="16" t="inlineStr">
        <is>
          <t>LINK BITS Audífonos Inalámbricos con Luces Multicolor, Recargables y en Adorable Forma de Orejas de Gato - Conecta a Celulares y PCs, Tiene Radio FM, Tarjeta TF y AUX - 7 Horas de Reproducción, Plegables y Perfectos para Trabajo, Juegos y Estudio</t>
        </is>
      </c>
      <c r="H448" s="16" t="inlineStr">
        <is>
          <t>blanco</t>
        </is>
      </c>
      <c r="I448" s="16" t="n">
        <v>1</v>
      </c>
      <c r="J448" s="17" t="n">
        <v>76</v>
      </c>
      <c r="K448" s="17" t="n">
        <v>85.75</v>
      </c>
      <c r="L448" s="17" t="n">
        <v>25.86</v>
      </c>
      <c r="M448" s="17" t="n">
        <v>0</v>
      </c>
      <c r="N448" s="17">
        <f>K448*0.08+L448*0.08</f>
        <v/>
      </c>
      <c r="O448" s="17">
        <f>-(K448*0.025+L448*0.025)</f>
        <v/>
      </c>
      <c r="P448" s="17">
        <f>32</f>
        <v/>
      </c>
      <c r="Q448" s="17">
        <f>J448+L448+N448+O448-P448-M448</f>
        <v/>
      </c>
    </row>
    <row r="449">
      <c r="A449" s="16" t="inlineStr">
        <is>
          <t>5.1-5.7</t>
        </is>
      </c>
      <c r="B449" s="16" t="inlineStr">
        <is>
          <t>PO-128-13818450391673106</t>
        </is>
      </c>
      <c r="C449" s="16" t="inlineStr">
        <is>
          <t>Delivered</t>
        </is>
      </c>
      <c r="D449" s="16" t="inlineStr">
        <is>
          <t>128-13818408448633106</t>
        </is>
      </c>
      <c r="E449" s="16" t="inlineStr">
        <is>
          <t>Delivered</t>
        </is>
      </c>
      <c r="F449" s="16" t="inlineStr">
        <is>
          <t>B03W10-10PZS</t>
        </is>
      </c>
      <c r="G44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49" s="16" t="inlineStr">
        <is>
          <t>B03W10</t>
        </is>
      </c>
      <c r="I449" s="16" t="n">
        <v>1</v>
      </c>
      <c r="J449" s="17" t="n">
        <v>71.5</v>
      </c>
      <c r="K449" s="17" t="n">
        <v>78.84999999999999</v>
      </c>
      <c r="L449" s="17" t="n">
        <v>25.86</v>
      </c>
      <c r="M449" s="17" t="n">
        <v>0</v>
      </c>
      <c r="N449" s="17">
        <f>K449*0.08+L449*0.08</f>
        <v/>
      </c>
      <c r="O449" s="17">
        <f>-(K449*0.025+L449*0.025)</f>
        <v/>
      </c>
      <c r="P449" s="17">
        <f>32</f>
        <v/>
      </c>
      <c r="Q449" s="17">
        <f>J449+L449+N449+O449-P449-M449</f>
        <v/>
      </c>
    </row>
    <row r="450">
      <c r="A450" s="16" t="inlineStr">
        <is>
          <t>5.1-5.7</t>
        </is>
      </c>
      <c r="B450" s="16" t="inlineStr">
        <is>
          <t>PO-128-13822151199353148</t>
        </is>
      </c>
      <c r="C450" s="16" t="inlineStr">
        <is>
          <t>Delivered</t>
        </is>
      </c>
      <c r="D450" s="16" t="inlineStr">
        <is>
          <t>128-13822193142393148</t>
        </is>
      </c>
      <c r="E450" s="16" t="inlineStr">
        <is>
          <t>Delivered</t>
        </is>
      </c>
      <c r="F450" s="16" t="inlineStr">
        <is>
          <t>LV54W25</t>
        </is>
      </c>
      <c r="G450" s="16" t="inlineStr">
        <is>
          <t>TIANLAI Lámpara Ventilador E27 2 en 1, Silenciosa, LED Alta Luminosidad 180°, Instalación Rápida, Ahorro Energético para Dormitorio y Interiores Pequeños</t>
        </is>
      </c>
      <c r="H450" s="16" t="inlineStr">
        <is>
          <t>1 Pieza</t>
        </is>
      </c>
      <c r="I450" s="16" t="n">
        <v>4</v>
      </c>
      <c r="J450" s="17" t="n">
        <v>316</v>
      </c>
      <c r="K450" s="17" t="n">
        <v>330.92</v>
      </c>
      <c r="L450" s="17" t="n">
        <v>0</v>
      </c>
      <c r="M450" s="17" t="n">
        <v>0</v>
      </c>
      <c r="N450" s="17">
        <f>K450*0.08+L450*0.08</f>
        <v/>
      </c>
      <c r="O450" s="17">
        <f>-(K450*0.025+L450*0.025)</f>
        <v/>
      </c>
      <c r="P450" s="17">
        <f>32</f>
        <v/>
      </c>
      <c r="Q450" s="17">
        <f>J450+L450+N450+O450-P450-M450</f>
        <v/>
      </c>
    </row>
    <row r="451">
      <c r="A451" s="16" t="inlineStr">
        <is>
          <t>5.1-5.7</t>
        </is>
      </c>
      <c r="B451" s="16" t="inlineStr">
        <is>
          <t>PO-128-14371428342390770</t>
        </is>
      </c>
      <c r="C451" s="16" t="inlineStr">
        <is>
          <t>Delivered</t>
        </is>
      </c>
      <c r="D451" s="16" t="inlineStr">
        <is>
          <t>128-14371470285430770</t>
        </is>
      </c>
      <c r="E451" s="16" t="inlineStr">
        <is>
          <t>Delivered</t>
        </is>
      </c>
      <c r="F451" s="16" t="inlineStr">
        <is>
          <t>LV64W25</t>
        </is>
      </c>
      <c r="G4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51" s="16" t="inlineStr">
        <is>
          <t>Blanco</t>
        </is>
      </c>
      <c r="I451" s="16" t="n">
        <v>1</v>
      </c>
      <c r="J451" s="17" t="n">
        <v>125</v>
      </c>
      <c r="K451" s="17" t="n">
        <v>143.28</v>
      </c>
      <c r="L451" s="17" t="n">
        <v>25.86</v>
      </c>
      <c r="M451" s="17" t="n">
        <v>0</v>
      </c>
      <c r="N451" s="17">
        <f>K451*0.08+L451*0.08</f>
        <v/>
      </c>
      <c r="O451" s="17">
        <f>-(K451*0.025+L451*0.025)</f>
        <v/>
      </c>
      <c r="P451" s="17">
        <f>32</f>
        <v/>
      </c>
      <c r="Q451" s="17">
        <f>J451+L451+N451+O451-P451-M451</f>
        <v/>
      </c>
    </row>
    <row r="452">
      <c r="A452" s="16" t="inlineStr">
        <is>
          <t>5.1-5.7</t>
        </is>
      </c>
      <c r="B452" s="16" t="inlineStr">
        <is>
          <t>PO-128-14083408487032681</t>
        </is>
      </c>
      <c r="C452" s="16" t="inlineStr">
        <is>
          <t>Delivered</t>
        </is>
      </c>
      <c r="D452" s="16" t="inlineStr">
        <is>
          <t>128-14083429458552681</t>
        </is>
      </c>
      <c r="E452" s="16" t="inlineStr">
        <is>
          <t>Delivered</t>
        </is>
      </c>
      <c r="F452" s="16" t="inlineStr">
        <is>
          <t>LV54W25</t>
        </is>
      </c>
      <c r="G452" s="16" t="inlineStr">
        <is>
          <t>TIANLAI Lámpara Ventilador E27 2 en 1, Silenciosa, LED Alta Luminosidad 180°, Instalación Rápida, Ahorro Energético para Dormitorio y Interiores Pequeños</t>
        </is>
      </c>
      <c r="H452" s="16" t="inlineStr">
        <is>
          <t>1 Pieza</t>
        </is>
      </c>
      <c r="I452" s="16" t="n">
        <v>2</v>
      </c>
      <c r="J452" s="17" t="n">
        <v>158</v>
      </c>
      <c r="K452" s="17" t="n">
        <v>165.46</v>
      </c>
      <c r="L452" s="17" t="n">
        <v>25.86</v>
      </c>
      <c r="M452" s="17" t="n">
        <v>0</v>
      </c>
      <c r="N452" s="17">
        <f>K452*0.08+L452*0.08</f>
        <v/>
      </c>
      <c r="O452" s="17">
        <f>-(K452*0.025+L452*0.025)</f>
        <v/>
      </c>
      <c r="P452" s="17">
        <f>32</f>
        <v/>
      </c>
      <c r="Q452" s="17">
        <f>J452+L452+N452+O452-P452-M452</f>
        <v/>
      </c>
    </row>
    <row r="453">
      <c r="A453" s="16" t="inlineStr">
        <is>
          <t>5.1-5.7</t>
        </is>
      </c>
      <c r="B453" s="16" t="inlineStr">
        <is>
          <t>PO-128-14275076675190448</t>
        </is>
      </c>
      <c r="C453" s="16" t="inlineStr">
        <is>
          <t>Delivered</t>
        </is>
      </c>
      <c r="D453" s="16" t="inlineStr">
        <is>
          <t>128-14275212990070448</t>
        </is>
      </c>
      <c r="E453" s="16" t="inlineStr">
        <is>
          <t>Delivered</t>
        </is>
      </c>
      <c r="F453" s="16" t="inlineStr">
        <is>
          <t>LV54W25</t>
        </is>
      </c>
      <c r="G453" s="16" t="inlineStr">
        <is>
          <t>TIANLAI Lámpara Ventilador E27 2 en 1, Silenciosa, LED Alta Luminosidad 180°, Instalación Rápida, Ahorro Energético para Dormitorio y Interiores Pequeños</t>
        </is>
      </c>
      <c r="H453" s="16" t="inlineStr">
        <is>
          <t>1 Pieza</t>
        </is>
      </c>
      <c r="I453" s="16" t="n">
        <v>1</v>
      </c>
      <c r="J453" s="17" t="n">
        <v>79</v>
      </c>
      <c r="K453" s="17" t="n">
        <v>82.73</v>
      </c>
      <c r="L453" s="17" t="n">
        <v>25.86</v>
      </c>
      <c r="M453" s="17" t="n">
        <v>0</v>
      </c>
      <c r="N453" s="17">
        <f>K453*0.08+L453*0.08</f>
        <v/>
      </c>
      <c r="O453" s="17">
        <f>-(K453*0.025+L453*0.025)</f>
        <v/>
      </c>
      <c r="P453" s="17">
        <f>32</f>
        <v/>
      </c>
      <c r="Q453" s="17">
        <f>J453+L453+N453+O453-P453-M453</f>
        <v/>
      </c>
    </row>
    <row r="454">
      <c r="A454" s="16" t="inlineStr">
        <is>
          <t>5.1-5.7</t>
        </is>
      </c>
      <c r="B454" s="16" t="inlineStr">
        <is>
          <t>PO-128-14249293333111626</t>
        </is>
      </c>
      <c r="C454" s="16" t="inlineStr">
        <is>
          <t>Delivered</t>
        </is>
      </c>
      <c r="D454" s="16" t="inlineStr">
        <is>
          <t>128-14249272361591626</t>
        </is>
      </c>
      <c r="E454" s="16" t="inlineStr">
        <is>
          <t>Delivered</t>
        </is>
      </c>
      <c r="F454" s="16" t="inlineStr">
        <is>
          <t>VB349T</t>
        </is>
      </c>
      <c r="G454" s="16" t="inlineStr">
        <is>
          <t>LINKBITS Altavoz Portátil de Doble Altavoz - 3 Pulgadas, Sonido HD, Emparejamiento Rápido de Bluetooth, Conectividad TWS, Reproducción Multimodo (Micro SD/USB/Radio FM) - Perfecto para Oficina, Viajes y Espacios Pequeños</t>
        </is>
      </c>
      <c r="H454" s="16" t="inlineStr">
        <is>
          <t>NEGRO</t>
        </is>
      </c>
      <c r="I454" s="16" t="n">
        <v>5</v>
      </c>
      <c r="J454" s="17" t="n">
        <v>405</v>
      </c>
      <c r="K454" s="17" t="n">
        <v>471.35</v>
      </c>
      <c r="L454" s="17" t="n">
        <v>0</v>
      </c>
      <c r="M454" s="17" t="n">
        <v>0</v>
      </c>
      <c r="N454" s="17">
        <f>K454*0.08+L454*0.08</f>
        <v/>
      </c>
      <c r="O454" s="17">
        <f>-(K454*0.025+L454*0.025)</f>
        <v/>
      </c>
      <c r="P454" s="17">
        <f>32</f>
        <v/>
      </c>
      <c r="Q454" s="17">
        <f>J454+L454+N454+O454-P454-M454</f>
        <v/>
      </c>
    </row>
    <row r="455">
      <c r="A455" s="16" t="inlineStr">
        <is>
          <t>5.1-5.7</t>
        </is>
      </c>
      <c r="B455" s="16" t="inlineStr">
        <is>
          <t>PO-128-14351384423030954</t>
        </is>
      </c>
      <c r="C455" s="16" t="inlineStr">
        <is>
          <t>Delivered</t>
        </is>
      </c>
      <c r="D455" s="16" t="inlineStr">
        <is>
          <t>128-14351363451510954</t>
        </is>
      </c>
      <c r="E455" s="16" t="inlineStr">
        <is>
          <t>Delivered</t>
        </is>
      </c>
      <c r="F455" s="16" t="inlineStr">
        <is>
          <t>LV54W25</t>
        </is>
      </c>
      <c r="G455" s="16" t="inlineStr">
        <is>
          <t>TIANLAI Lámpara Ventilador E27 2 en 1, Silenciosa, LED Alta Luminosidad 180°, Instalación Rápida, Ahorro Energético para Dormitorio y Interiores Pequeños</t>
        </is>
      </c>
      <c r="H455" s="16" t="inlineStr">
        <is>
          <t>1 Pieza</t>
        </is>
      </c>
      <c r="I455" s="16" t="n">
        <v>3</v>
      </c>
      <c r="J455" s="17" t="n">
        <v>237</v>
      </c>
      <c r="K455" s="17" t="n">
        <v>259.75</v>
      </c>
      <c r="L455" s="17" t="n">
        <v>0</v>
      </c>
      <c r="M455" s="17" t="n">
        <v>0</v>
      </c>
      <c r="N455" s="17">
        <f>K455*0.08+L455*0.08</f>
        <v/>
      </c>
      <c r="O455" s="17">
        <f>-(K455*0.025+L455*0.025)</f>
        <v/>
      </c>
      <c r="P455" s="17">
        <f>32</f>
        <v/>
      </c>
      <c r="Q455" s="17">
        <f>J455+L455+N455+O455-P455-M455</f>
        <v/>
      </c>
    </row>
    <row r="456">
      <c r="A456" s="16" t="inlineStr">
        <is>
          <t>5.1-5.7</t>
        </is>
      </c>
      <c r="B456" s="16" t="inlineStr">
        <is>
          <t>PO-128-14249359329911626</t>
        </is>
      </c>
      <c r="C456" s="16" t="inlineStr">
        <is>
          <t>Delivered</t>
        </is>
      </c>
      <c r="D456" s="16" t="inlineStr">
        <is>
          <t>128-14249317386871626</t>
        </is>
      </c>
      <c r="E456" s="16" t="inlineStr">
        <is>
          <t>Delivered</t>
        </is>
      </c>
      <c r="F456" s="16" t="inlineStr">
        <is>
          <t>SB428T</t>
        </is>
      </c>
      <c r="G456" s="16" t="inlineStr">
        <is>
          <t>LINK BITS La bocina es tu compañero ideal para reuniones en México! Equipada con 2 altavoces de 4 pulgadas y potencia 5W×2, USB y TF, funciona sin internet—perfecta para picnics, fiestas en el jardín o relajación en la terraza.</t>
        </is>
      </c>
      <c r="H456" s="16" t="inlineStr">
        <is>
          <t>SB428T</t>
        </is>
      </c>
      <c r="I456" s="16" t="n">
        <v>5</v>
      </c>
      <c r="J456" s="17" t="n">
        <v>485</v>
      </c>
      <c r="K456" s="17" t="n">
        <v>577.5</v>
      </c>
      <c r="L456" s="17" t="n">
        <v>0</v>
      </c>
      <c r="M456" s="17" t="n">
        <v>0</v>
      </c>
      <c r="N456" s="17">
        <f>K456*0.08+L456*0.08</f>
        <v/>
      </c>
      <c r="O456" s="17">
        <f>-(K456*0.025+L456*0.025)</f>
        <v/>
      </c>
      <c r="P456" s="17">
        <f>32</f>
        <v/>
      </c>
      <c r="Q456" s="17">
        <f>J456+L456+N456+O456-P456-M456</f>
        <v/>
      </c>
    </row>
    <row r="457">
      <c r="A457" s="16" t="inlineStr">
        <is>
          <t>5.1-5.7</t>
        </is>
      </c>
      <c r="B457" s="16" t="inlineStr">
        <is>
          <t>PO-128-14114438093431342</t>
        </is>
      </c>
      <c r="C457" s="16" t="inlineStr">
        <is>
          <t>Delivered</t>
        </is>
      </c>
      <c r="D457" s="16" t="inlineStr">
        <is>
          <t>128-14114490522231342</t>
        </is>
      </c>
      <c r="E457" s="16" t="inlineStr">
        <is>
          <t>Delivered</t>
        </is>
      </c>
      <c r="F457" s="16" t="inlineStr">
        <is>
          <t>BG-115-B</t>
        </is>
      </c>
      <c r="G457" s="16" t="inlineStr">
        <is>
          <t>LINK BITS Audífonos Inalámbricos con Luces Multicolor, Recargables y en Adorable Forma de Orejas de Gato - Conecta a Celulares y PCs, Tiene Radio FM, Tarjeta TF y AUX - 7 Horas de Reproducción, Plegables y Perfectos para Trabajo, Juegos y Estudio</t>
        </is>
      </c>
      <c r="H457" s="16" t="inlineStr">
        <is>
          <t>blanco</t>
        </is>
      </c>
      <c r="I457" s="16" t="n">
        <v>1</v>
      </c>
      <c r="J457" s="17" t="n">
        <v>76</v>
      </c>
      <c r="K457" s="17" t="n">
        <v>85.75</v>
      </c>
      <c r="L457" s="17" t="n">
        <v>25.86</v>
      </c>
      <c r="M457" s="17" t="n">
        <v>0</v>
      </c>
      <c r="N457" s="17">
        <f>K457*0.08+L457*0.08</f>
        <v/>
      </c>
      <c r="O457" s="17">
        <f>-(K457*0.025+L457*0.025)</f>
        <v/>
      </c>
      <c r="P457" s="17">
        <f>32</f>
        <v/>
      </c>
      <c r="Q457" s="17">
        <f>J457+L457+N457+O457-P457-M457</f>
        <v/>
      </c>
    </row>
    <row r="458">
      <c r="A458" s="16" t="inlineStr">
        <is>
          <t>5.1-5.7</t>
        </is>
      </c>
      <c r="B458" s="16" t="inlineStr">
        <is>
          <t>PO-128-13835082962553969</t>
        </is>
      </c>
      <c r="C458" s="16" t="inlineStr">
        <is>
          <t>Delivered</t>
        </is>
      </c>
      <c r="D458" s="16" t="inlineStr">
        <is>
          <t>128-13835054126713969</t>
        </is>
      </c>
      <c r="E458" s="16" t="inlineStr">
        <is>
          <t>Delivered</t>
        </is>
      </c>
      <c r="F458" s="16" t="inlineStr">
        <is>
          <t>LV54W25</t>
        </is>
      </c>
      <c r="G458" s="16" t="inlineStr">
        <is>
          <t>TIANLAI Lámpara Ventilador E27 2 en 1, Silenciosa, LED Alta Luminosidad 180°, Instalación Rápida, Ahorro Energético para Dormitorio y Interiores Pequeños</t>
        </is>
      </c>
      <c r="H458" s="16" t="inlineStr">
        <is>
          <t>1 Pieza</t>
        </is>
      </c>
      <c r="I458" s="16" t="n">
        <v>1</v>
      </c>
      <c r="J458" s="17" t="n">
        <v>79</v>
      </c>
      <c r="K458" s="17" t="n">
        <v>68.23999999999999</v>
      </c>
      <c r="L458" s="17" t="n">
        <v>25.86</v>
      </c>
      <c r="M458" s="17" t="n">
        <v>0</v>
      </c>
      <c r="N458" s="17">
        <f>K458*0.08+L458*0.08</f>
        <v/>
      </c>
      <c r="O458" s="17">
        <f>-(K458*0.025+L458*0.025)</f>
        <v/>
      </c>
      <c r="P458" s="17">
        <f>32</f>
        <v/>
      </c>
      <c r="Q458" s="17">
        <f>J458+L458+N458+O458-P458-M458</f>
        <v/>
      </c>
    </row>
    <row r="459">
      <c r="A459" s="16" t="inlineStr">
        <is>
          <t>5.1-5.7</t>
        </is>
      </c>
      <c r="B459" s="16" t="inlineStr">
        <is>
          <t>PO-128-14108034417271508</t>
        </is>
      </c>
      <c r="C459" s="16" t="inlineStr">
        <is>
          <t>Delivered</t>
        </is>
      </c>
      <c r="D459" s="16" t="inlineStr">
        <is>
          <t>128-14108076360311508</t>
        </is>
      </c>
      <c r="E459" s="16" t="inlineStr">
        <is>
          <t>Delivered</t>
        </is>
      </c>
      <c r="F459" s="16" t="inlineStr">
        <is>
          <t>LV64W25</t>
        </is>
      </c>
      <c r="G4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59" s="16" t="inlineStr">
        <is>
          <t>Blanco</t>
        </is>
      </c>
      <c r="I459" s="16" t="n">
        <v>4</v>
      </c>
      <c r="J459" s="17" t="n">
        <v>500</v>
      </c>
      <c r="K459" s="17" t="n">
        <v>521.5599999999999</v>
      </c>
      <c r="L459" s="17" t="n">
        <v>0</v>
      </c>
      <c r="M459" s="17" t="n">
        <v>0</v>
      </c>
      <c r="N459" s="17">
        <f>K459*0.08+L459*0.08</f>
        <v/>
      </c>
      <c r="O459" s="17">
        <f>-(K459*0.025+L459*0.025)</f>
        <v/>
      </c>
      <c r="P459" s="17">
        <f>32</f>
        <v/>
      </c>
      <c r="Q459" s="17">
        <f>J459+L459+N459+O459-P459-M459</f>
        <v/>
      </c>
    </row>
    <row r="460">
      <c r="A460" s="16" t="inlineStr">
        <is>
          <t>5.1-5.7</t>
        </is>
      </c>
      <c r="B460" s="16" t="inlineStr">
        <is>
          <t>PO-128-14393107011190643</t>
        </is>
      </c>
      <c r="C460" s="16" t="inlineStr">
        <is>
          <t>Delivered</t>
        </is>
      </c>
      <c r="D460" s="16" t="inlineStr">
        <is>
          <t>128-14393159439990643</t>
        </is>
      </c>
      <c r="E460" s="16" t="inlineStr">
        <is>
          <t>Delivered</t>
        </is>
      </c>
      <c r="F460" s="16" t="inlineStr">
        <is>
          <t>LV64W25</t>
        </is>
      </c>
      <c r="G4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0" s="16" t="inlineStr">
        <is>
          <t>Blanco</t>
        </is>
      </c>
      <c r="I460" s="16" t="n">
        <v>2</v>
      </c>
      <c r="J460" s="17" t="n">
        <v>250</v>
      </c>
      <c r="K460" s="17" t="n">
        <v>286.56</v>
      </c>
      <c r="L460" s="17" t="n">
        <v>0</v>
      </c>
      <c r="M460" s="17" t="n">
        <v>0</v>
      </c>
      <c r="N460" s="17">
        <f>K460*0.08+L460*0.08</f>
        <v/>
      </c>
      <c r="O460" s="17">
        <f>-(K460*0.025+L460*0.025)</f>
        <v/>
      </c>
      <c r="P460" s="17">
        <f>32</f>
        <v/>
      </c>
      <c r="Q460" s="17">
        <f>J460+L460+N460+O460-P460-M460</f>
        <v/>
      </c>
    </row>
    <row r="461">
      <c r="A461" s="16" t="inlineStr">
        <is>
          <t>5.1-5.7</t>
        </is>
      </c>
      <c r="B461" s="16" t="inlineStr">
        <is>
          <t>PO-128-13997072650872171</t>
        </is>
      </c>
      <c r="C461" s="16" t="inlineStr">
        <is>
          <t>Delivered</t>
        </is>
      </c>
      <c r="D461" s="16" t="inlineStr">
        <is>
          <t>128-13997119836792171</t>
        </is>
      </c>
      <c r="E461" s="16" t="inlineStr">
        <is>
          <t>Delivered</t>
        </is>
      </c>
      <c r="F461" s="16" t="inlineStr">
        <is>
          <t>LV64W25</t>
        </is>
      </c>
      <c r="G4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1" s="16" t="inlineStr">
        <is>
          <t>Blanco</t>
        </is>
      </c>
      <c r="I461" s="16" t="n">
        <v>1</v>
      </c>
      <c r="J461" s="17" t="n">
        <v>125</v>
      </c>
      <c r="K461" s="17" t="n">
        <v>107.35</v>
      </c>
      <c r="L461" s="17" t="n">
        <v>25.86</v>
      </c>
      <c r="M461" s="17" t="n">
        <v>0</v>
      </c>
      <c r="N461" s="17">
        <f>K461*0.08+L461*0.08</f>
        <v/>
      </c>
      <c r="O461" s="17">
        <f>-(K461*0.025+L461*0.025)</f>
        <v/>
      </c>
      <c r="P461" s="17">
        <f>32</f>
        <v/>
      </c>
      <c r="Q461" s="17">
        <f>J461+L461+N461+O461-P461-M461</f>
        <v/>
      </c>
    </row>
    <row r="462">
      <c r="A462" s="16" t="inlineStr">
        <is>
          <t>5.1-5.7</t>
        </is>
      </c>
      <c r="B462" s="16" t="inlineStr">
        <is>
          <t>PO-128-13905680179833674</t>
        </is>
      </c>
      <c r="C462" s="16" t="inlineStr">
        <is>
          <t>Delivered</t>
        </is>
      </c>
      <c r="D462" s="16" t="inlineStr">
        <is>
          <t>128-13905690665593674</t>
        </is>
      </c>
      <c r="E462" s="16" t="inlineStr">
        <is>
          <t>Delivered</t>
        </is>
      </c>
      <c r="F462" s="16" t="inlineStr">
        <is>
          <t>LV64W25</t>
        </is>
      </c>
      <c r="G4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2" s="16" t="inlineStr">
        <is>
          <t>Blanco</t>
        </is>
      </c>
      <c r="I462" s="16" t="n">
        <v>2</v>
      </c>
      <c r="J462" s="17" t="n">
        <v>250</v>
      </c>
      <c r="K462" s="17" t="n">
        <v>260.78</v>
      </c>
      <c r="L462" s="17" t="n">
        <v>0</v>
      </c>
      <c r="M462" s="17" t="n">
        <v>0</v>
      </c>
      <c r="N462" s="17">
        <f>K462*0.08+L462*0.08</f>
        <v/>
      </c>
      <c r="O462" s="17">
        <f>-(K462*0.025+L462*0.025)</f>
        <v/>
      </c>
      <c r="P462" s="17">
        <f>32</f>
        <v/>
      </c>
      <c r="Q462" s="17">
        <f>J462+L462+N462+O462-P462-M462</f>
        <v/>
      </c>
    </row>
    <row r="463">
      <c r="A463" s="16" t="inlineStr">
        <is>
          <t>5.1-5.7</t>
        </is>
      </c>
      <c r="B463" s="16" t="inlineStr">
        <is>
          <t>PO-128-14040587848312934</t>
        </is>
      </c>
      <c r="C463" s="16" t="inlineStr">
        <is>
          <t>Delivered</t>
        </is>
      </c>
      <c r="D463" s="16" t="inlineStr">
        <is>
          <t>128-14040629791352934</t>
        </is>
      </c>
      <c r="E463" s="16" t="inlineStr">
        <is>
          <t>Delivered</t>
        </is>
      </c>
      <c r="F463" s="16" t="inlineStr">
        <is>
          <t>LV64W25</t>
        </is>
      </c>
      <c r="G4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3" s="16" t="inlineStr">
        <is>
          <t>Blanco</t>
        </is>
      </c>
      <c r="I463" s="16" t="n">
        <v>2</v>
      </c>
      <c r="J463" s="17" t="n">
        <v>250</v>
      </c>
      <c r="K463" s="17" t="n">
        <v>257.9</v>
      </c>
      <c r="L463" s="17" t="n">
        <v>0</v>
      </c>
      <c r="M463" s="17" t="n">
        <v>0</v>
      </c>
      <c r="N463" s="17">
        <f>K463*0.08+L463*0.08</f>
        <v/>
      </c>
      <c r="O463" s="17">
        <f>-(K463*0.025+L463*0.025)</f>
        <v/>
      </c>
      <c r="P463" s="17">
        <f>32</f>
        <v/>
      </c>
      <c r="Q463" s="17">
        <f>J463+L463+N463+O463-P463-M463</f>
        <v/>
      </c>
    </row>
    <row r="464">
      <c r="A464" s="16" t="inlineStr">
        <is>
          <t>5.1-5.7</t>
        </is>
      </c>
      <c r="B464" s="16" t="inlineStr">
        <is>
          <t>PO-128-13856234158713843</t>
        </is>
      </c>
      <c r="C464" s="16" t="inlineStr">
        <is>
          <t>Delivered</t>
        </is>
      </c>
      <c r="D464" s="16" t="inlineStr">
        <is>
          <t>128-13856286587513843</t>
        </is>
      </c>
      <c r="E464" s="16" t="inlineStr">
        <is>
          <t>Delivered</t>
        </is>
      </c>
      <c r="F464" s="16" t="inlineStr">
        <is>
          <t>LV54W25</t>
        </is>
      </c>
      <c r="G464" s="16" t="inlineStr">
        <is>
          <t>TIANLAI Lámpara Ventilador E27 2 en 1, Silenciosa, LED Alta Luminosidad 180°, Instalación Rápida, Ahorro Energético para Dormitorio y Interiores Pequeños</t>
        </is>
      </c>
      <c r="H464" s="16" t="inlineStr">
        <is>
          <t>1 Pieza</t>
        </is>
      </c>
      <c r="I464" s="16" t="n">
        <v>1</v>
      </c>
      <c r="J464" s="17" t="n">
        <v>79</v>
      </c>
      <c r="K464" s="17" t="n">
        <v>82.73</v>
      </c>
      <c r="L464" s="17" t="n">
        <v>25.86</v>
      </c>
      <c r="M464" s="17" t="n">
        <v>0</v>
      </c>
      <c r="N464" s="17">
        <f>K464*0.08+L464*0.08</f>
        <v/>
      </c>
      <c r="O464" s="17">
        <f>-(K464*0.025+L464*0.025)</f>
        <v/>
      </c>
      <c r="P464" s="17">
        <f>32</f>
        <v/>
      </c>
      <c r="Q464" s="17">
        <f>J464+L464+N464+O464-P464-M464</f>
        <v/>
      </c>
    </row>
    <row r="465">
      <c r="A465" s="16" t="inlineStr">
        <is>
          <t>5.1-5.7</t>
        </is>
      </c>
      <c r="B465" s="16" t="inlineStr">
        <is>
          <t>PO-128-14089590707831426</t>
        </is>
      </c>
      <c r="C465" s="16" t="inlineStr">
        <is>
          <t>Delivered</t>
        </is>
      </c>
      <c r="D465" s="16" t="inlineStr">
        <is>
          <t>128-14089672627831426</t>
        </is>
      </c>
      <c r="E465" s="16" t="inlineStr">
        <is>
          <t>Delivered</t>
        </is>
      </c>
      <c r="F465" s="16" t="inlineStr">
        <is>
          <t>LV64W25</t>
        </is>
      </c>
      <c r="G4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5" s="16" t="inlineStr">
        <is>
          <t>Blanco</t>
        </is>
      </c>
      <c r="I465" s="16" t="n">
        <v>1</v>
      </c>
      <c r="J465" s="17" t="n">
        <v>125</v>
      </c>
      <c r="K465" s="17" t="n">
        <v>110.84</v>
      </c>
      <c r="L465" s="17" t="n">
        <v>25.86</v>
      </c>
      <c r="M465" s="17" t="n">
        <v>0</v>
      </c>
      <c r="N465" s="17">
        <f>K465*0.08+L465*0.08</f>
        <v/>
      </c>
      <c r="O465" s="17">
        <f>-(K465*0.025+L465*0.025)</f>
        <v/>
      </c>
      <c r="P465" s="17">
        <f>32</f>
        <v/>
      </c>
      <c r="Q465" s="17">
        <f>J465+L465+N465+O465-P465-M465</f>
        <v/>
      </c>
    </row>
    <row r="466">
      <c r="A466" s="16" t="inlineStr">
        <is>
          <t>5.1-5.7</t>
        </is>
      </c>
      <c r="B466" s="16" t="inlineStr">
        <is>
          <t>PO-128-13917385692792452</t>
        </is>
      </c>
      <c r="C466" s="16" t="inlineStr">
        <is>
          <t>Delivered</t>
        </is>
      </c>
      <c r="D466" s="16" t="inlineStr">
        <is>
          <t>128-13917522007672452</t>
        </is>
      </c>
      <c r="E466" s="16" t="inlineStr">
        <is>
          <t>Delivered</t>
        </is>
      </c>
      <c r="F466" s="16" t="inlineStr">
        <is>
          <t>LV64W25</t>
        </is>
      </c>
      <c r="G4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6" s="16" t="inlineStr">
        <is>
          <t>Blanco</t>
        </is>
      </c>
      <c r="I466" s="16" t="n">
        <v>2</v>
      </c>
      <c r="J466" s="17" t="n">
        <v>250</v>
      </c>
      <c r="K466" s="17" t="n">
        <v>260.78</v>
      </c>
      <c r="L466" s="17" t="n">
        <v>0</v>
      </c>
      <c r="M466" s="17" t="n">
        <v>0</v>
      </c>
      <c r="N466" s="17">
        <f>K466*0.08+L466*0.08</f>
        <v/>
      </c>
      <c r="O466" s="17">
        <f>-(K466*0.025+L466*0.025)</f>
        <v/>
      </c>
      <c r="P466" s="17">
        <f>32</f>
        <v/>
      </c>
      <c r="Q466" s="17">
        <f>J466+L466+N466+O466-P466-M466</f>
        <v/>
      </c>
    </row>
    <row r="467">
      <c r="A467" s="16" t="inlineStr">
        <is>
          <t>5.1-5.7</t>
        </is>
      </c>
      <c r="B467" s="16" t="inlineStr">
        <is>
          <t>PO-128-13807206718073303</t>
        </is>
      </c>
      <c r="C467" s="16" t="inlineStr">
        <is>
          <t>Delivered</t>
        </is>
      </c>
      <c r="D467" s="16" t="inlineStr">
        <is>
          <t>128-13807217203833303</t>
        </is>
      </c>
      <c r="E467" s="16" t="inlineStr">
        <is>
          <t>Delivered</t>
        </is>
      </c>
      <c r="F467" s="16" t="inlineStr">
        <is>
          <t>LV54W25</t>
        </is>
      </c>
      <c r="G467" s="16" t="inlineStr">
        <is>
          <t>TIANLAI Lámpara Ventilador E27 2 en 1, Silenciosa, LED Alta Luminosidad 180°, Instalación Rápida, Ahorro Energético para Dormitorio y Interiores Pequeños</t>
        </is>
      </c>
      <c r="H467" s="16" t="inlineStr">
        <is>
          <t>1 Pieza</t>
        </is>
      </c>
      <c r="I467" s="16" t="n">
        <v>1</v>
      </c>
      <c r="J467" s="17" t="n">
        <v>79</v>
      </c>
      <c r="K467" s="17" t="n">
        <v>96.2</v>
      </c>
      <c r="L467" s="17" t="n">
        <v>25.86</v>
      </c>
      <c r="M467" s="17" t="n">
        <v>0</v>
      </c>
      <c r="N467" s="17">
        <f>K467*0.08+L467*0.08</f>
        <v/>
      </c>
      <c r="O467" s="17">
        <f>-(K467*0.025+L467*0.025)</f>
        <v/>
      </c>
      <c r="P467" s="17">
        <f>32</f>
        <v/>
      </c>
      <c r="Q467" s="17">
        <f>J467+L467+N467+O467-P467-M467</f>
        <v/>
      </c>
    </row>
    <row r="468">
      <c r="A468" s="16" t="inlineStr">
        <is>
          <t>5.1-5.7</t>
        </is>
      </c>
      <c r="B468" s="16" t="inlineStr">
        <is>
          <t>PO-128-13914695813753684</t>
        </is>
      </c>
      <c r="C468" s="16" t="inlineStr">
        <is>
          <t>Delivered</t>
        </is>
      </c>
      <c r="D468" s="16" t="inlineStr">
        <is>
          <t>128-13914742999673684</t>
        </is>
      </c>
      <c r="E468" s="16" t="inlineStr">
        <is>
          <t>Delivered</t>
        </is>
      </c>
      <c r="F468" s="16" t="inlineStr">
        <is>
          <t>LV54W25</t>
        </is>
      </c>
      <c r="G468" s="16" t="inlineStr">
        <is>
          <t>TIANLAI Lámpara Ventilador E27 2 en 1, Silenciosa, LED Alta Luminosidad 180°, Instalación Rápida, Ahorro Energético para Dormitorio y Interiores Pequeños</t>
        </is>
      </c>
      <c r="H468" s="16" t="inlineStr">
        <is>
          <t>1 Pieza</t>
        </is>
      </c>
      <c r="I468" s="16" t="n">
        <v>1</v>
      </c>
      <c r="J468" s="17" t="n">
        <v>79</v>
      </c>
      <c r="K468" s="17" t="n">
        <v>82.73</v>
      </c>
      <c r="L468" s="17" t="n">
        <v>25.86</v>
      </c>
      <c r="M468" s="17" t="n">
        <v>0</v>
      </c>
      <c r="N468" s="17">
        <f>K468*0.08+L468*0.08</f>
        <v/>
      </c>
      <c r="O468" s="17">
        <f>-(K468*0.025+L468*0.025)</f>
        <v/>
      </c>
      <c r="P468" s="17">
        <f>32</f>
        <v/>
      </c>
      <c r="Q468" s="17">
        <f>J468+L468+N468+O468-P468-M468</f>
        <v/>
      </c>
    </row>
    <row r="469">
      <c r="A469" s="16" t="inlineStr">
        <is>
          <t>5.1-5.7</t>
        </is>
      </c>
      <c r="B469" s="16" t="inlineStr">
        <is>
          <t>PO-128-14228899697271748</t>
        </is>
      </c>
      <c r="C469" s="16" t="inlineStr">
        <is>
          <t>Delivered</t>
        </is>
      </c>
      <c r="D469" s="16" t="inlineStr">
        <is>
          <t>128-14228857754231748</t>
        </is>
      </c>
      <c r="E469" s="16" t="inlineStr">
        <is>
          <t>Delivered</t>
        </is>
      </c>
      <c r="F469" s="16" t="inlineStr">
        <is>
          <t>BG-115-B</t>
        </is>
      </c>
      <c r="G469" s="16" t="inlineStr">
        <is>
          <t>LINK BITS Audífonos Inalámbricos con Luces Multicolor, Recargables y en Adorable Forma de Orejas de Gato - Conecta a Celulares y PCs, Tiene Radio FM, Tarjeta TF y AUX - 7 Horas de Reproducción, Plegables y Perfectos para Trabajo, Juegos y Estudio</t>
        </is>
      </c>
      <c r="H469" s="16" t="inlineStr">
        <is>
          <t>blanco</t>
        </is>
      </c>
      <c r="I469" s="16" t="n">
        <v>1</v>
      </c>
      <c r="J469" s="17" t="n">
        <v>76</v>
      </c>
      <c r="K469" s="17" t="n">
        <v>68.59999999999999</v>
      </c>
      <c r="L469" s="17" t="n">
        <v>25.86</v>
      </c>
      <c r="M469" s="17" t="n">
        <v>0</v>
      </c>
      <c r="N469" s="17">
        <f>K469*0.08+L469*0.08</f>
        <v/>
      </c>
      <c r="O469" s="17">
        <f>-(K469*0.025+L469*0.025)</f>
        <v/>
      </c>
      <c r="P469" s="17">
        <f>32</f>
        <v/>
      </c>
      <c r="Q469" s="17">
        <f>J469+L469+N469+O469-P469-M469</f>
        <v/>
      </c>
    </row>
    <row r="470">
      <c r="A470" s="16" t="inlineStr">
        <is>
          <t>5.1-5.7</t>
        </is>
      </c>
      <c r="B470" s="16" t="inlineStr">
        <is>
          <t>PO-128-14380593900150845</t>
        </is>
      </c>
      <c r="C470" s="16" t="inlineStr">
        <is>
          <t>Delivered</t>
        </is>
      </c>
      <c r="D470" s="16" t="inlineStr">
        <is>
          <t>128-14380627978870845</t>
        </is>
      </c>
      <c r="E470" s="16" t="inlineStr">
        <is>
          <t>Delivered</t>
        </is>
      </c>
      <c r="F470" s="16" t="inlineStr">
        <is>
          <t>LV64W25</t>
        </is>
      </c>
      <c r="G4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0" s="16" t="inlineStr">
        <is>
          <t>Blanco</t>
        </is>
      </c>
      <c r="I470" s="16" t="n">
        <v>1</v>
      </c>
      <c r="J470" s="17" t="n">
        <v>125</v>
      </c>
      <c r="K470" s="17" t="n">
        <v>143.28</v>
      </c>
      <c r="L470" s="17" t="n">
        <v>25.86</v>
      </c>
      <c r="M470" s="17" t="n">
        <v>0</v>
      </c>
      <c r="N470" s="17">
        <f>K470*0.08+L470*0.08</f>
        <v/>
      </c>
      <c r="O470" s="17">
        <f>-(K470*0.025+L470*0.025)</f>
        <v/>
      </c>
      <c r="P470" s="17">
        <f>32</f>
        <v/>
      </c>
      <c r="Q470" s="17">
        <f>J470+L470+N470+O470-P470-M470</f>
        <v/>
      </c>
    </row>
    <row r="471">
      <c r="A471" s="16" t="inlineStr">
        <is>
          <t>5.1-5.7</t>
        </is>
      </c>
      <c r="B471" s="16" t="inlineStr">
        <is>
          <t>PO-128-14092390124151411</t>
        </is>
      </c>
      <c r="C471" s="16" t="inlineStr">
        <is>
          <t>Delivered</t>
        </is>
      </c>
      <c r="D471" s="16" t="inlineStr">
        <is>
          <t>128-14092494981751411</t>
        </is>
      </c>
      <c r="E471" s="16" t="inlineStr">
        <is>
          <t>Delivered</t>
        </is>
      </c>
      <c r="F471" s="16" t="inlineStr">
        <is>
          <t>LV64W25</t>
        </is>
      </c>
      <c r="G4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1" s="16" t="inlineStr">
        <is>
          <t>Blanco</t>
        </is>
      </c>
      <c r="I471" s="16" t="n">
        <v>1</v>
      </c>
      <c r="J471" s="17" t="n">
        <v>125</v>
      </c>
      <c r="K471" s="17" t="n">
        <v>130.39</v>
      </c>
      <c r="L471" s="17" t="n">
        <v>25.86</v>
      </c>
      <c r="M471" s="17" t="n">
        <v>0</v>
      </c>
      <c r="N471" s="17">
        <f>K471*0.08+L471*0.08</f>
        <v/>
      </c>
      <c r="O471" s="17">
        <f>-(K471*0.025+L471*0.025)</f>
        <v/>
      </c>
      <c r="P471" s="17">
        <f>32</f>
        <v/>
      </c>
      <c r="Q471" s="17">
        <f>J471+L471+N471+O471-P471-M471</f>
        <v/>
      </c>
    </row>
    <row r="472">
      <c r="A472" s="16" t="inlineStr">
        <is>
          <t>5.1-5.7</t>
        </is>
      </c>
      <c r="B472" s="16" t="inlineStr">
        <is>
          <t>PO-128-13801545595513273</t>
        </is>
      </c>
      <c r="C472" s="16" t="inlineStr">
        <is>
          <t>Delivered</t>
        </is>
      </c>
      <c r="D472" s="16" t="inlineStr">
        <is>
          <t>128-13801472195193273</t>
        </is>
      </c>
      <c r="E472" s="16" t="inlineStr">
        <is>
          <t>Delivered</t>
        </is>
      </c>
      <c r="F472" s="16" t="inlineStr">
        <is>
          <t>LV54W25</t>
        </is>
      </c>
      <c r="G472" s="16" t="inlineStr">
        <is>
          <t>TIANLAI Lámpara Ventilador E27 2 en 1, Silenciosa, LED Alta Luminosidad 180°, Instalación Rápida, Ahorro Energético para Dormitorio y Interiores Pequeños</t>
        </is>
      </c>
      <c r="H472" s="16" t="inlineStr">
        <is>
          <t>1 Pieza</t>
        </is>
      </c>
      <c r="I472" s="16" t="n">
        <v>4</v>
      </c>
      <c r="J472" s="17" t="n">
        <v>316</v>
      </c>
      <c r="K472" s="17" t="n">
        <v>330.92</v>
      </c>
      <c r="L472" s="17" t="n">
        <v>0</v>
      </c>
      <c r="M472" s="17" t="n">
        <v>0</v>
      </c>
      <c r="N472" s="17">
        <f>K472*0.08+L472*0.08</f>
        <v/>
      </c>
      <c r="O472" s="17">
        <f>-(K472*0.025+L472*0.025)</f>
        <v/>
      </c>
      <c r="P472" s="17">
        <f>32</f>
        <v/>
      </c>
      <c r="Q472" s="17">
        <f>J472+L472+N472+O472-P472-M472</f>
        <v/>
      </c>
    </row>
    <row r="473">
      <c r="A473" s="16" t="inlineStr">
        <is>
          <t>5.1-5.7</t>
        </is>
      </c>
      <c r="B473" s="16" t="inlineStr">
        <is>
          <t>PO-128-14228124447351752</t>
        </is>
      </c>
      <c r="C473" s="16" t="inlineStr">
        <is>
          <t>Delivered</t>
        </is>
      </c>
      <c r="D473" s="16" t="inlineStr">
        <is>
          <t>128-14228229304951752</t>
        </is>
      </c>
      <c r="E473" s="16" t="inlineStr">
        <is>
          <t>Delivered</t>
        </is>
      </c>
      <c r="F473" s="16" t="inlineStr">
        <is>
          <t>LV64W25</t>
        </is>
      </c>
      <c r="G4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3" s="16" t="inlineStr">
        <is>
          <t>Blanco</t>
        </is>
      </c>
      <c r="I473" s="16" t="n">
        <v>2</v>
      </c>
      <c r="J473" s="17" t="n">
        <v>250</v>
      </c>
      <c r="K473" s="17" t="n">
        <v>257.9</v>
      </c>
      <c r="L473" s="17" t="n">
        <v>0</v>
      </c>
      <c r="M473" s="17" t="n">
        <v>0</v>
      </c>
      <c r="N473" s="17">
        <f>K473*0.08+L473*0.08</f>
        <v/>
      </c>
      <c r="O473" s="17">
        <f>-(K473*0.025+L473*0.025)</f>
        <v/>
      </c>
      <c r="P473" s="17">
        <f>32</f>
        <v/>
      </c>
      <c r="Q473" s="17">
        <f>J473+L473+N473+O473-P473-M473</f>
        <v/>
      </c>
    </row>
    <row r="474">
      <c r="A474" s="16" t="inlineStr">
        <is>
          <t>5.1-5.7</t>
        </is>
      </c>
      <c r="B474" s="16" t="inlineStr">
        <is>
          <t>PO-128-14291157688950291</t>
        </is>
      </c>
      <c r="C474" s="16" t="inlineStr">
        <is>
          <t>Delivered</t>
        </is>
      </c>
      <c r="D474" s="16" t="inlineStr">
        <is>
          <t>128-14291115745910291</t>
        </is>
      </c>
      <c r="E474" s="16" t="inlineStr">
        <is>
          <t>Delivered</t>
        </is>
      </c>
      <c r="F474" s="16" t="inlineStr">
        <is>
          <t>LV54W25</t>
        </is>
      </c>
      <c r="G474" s="16" t="inlineStr">
        <is>
          <t>TIANLAI Lámpara Ventilador E27 2 en 1, Silenciosa, LED Alta Luminosidad 180°, Instalación Rápida, Ahorro Energético para Dormitorio y Interiores Pequeños</t>
        </is>
      </c>
      <c r="H474" s="16" t="inlineStr">
        <is>
          <t>1 Pieza</t>
        </is>
      </c>
      <c r="I474" s="16" t="n">
        <v>1</v>
      </c>
      <c r="J474" s="17" t="n">
        <v>79</v>
      </c>
      <c r="K474" s="17" t="n">
        <v>39.63</v>
      </c>
      <c r="L474" s="17" t="n">
        <v>25.86</v>
      </c>
      <c r="M474" s="17" t="n">
        <v>0</v>
      </c>
      <c r="N474" s="17">
        <f>K474*0.08+L474*0.08</f>
        <v/>
      </c>
      <c r="O474" s="17">
        <f>-(K474*0.025+L474*0.025)</f>
        <v/>
      </c>
      <c r="P474" s="17">
        <f>32</f>
        <v/>
      </c>
      <c r="Q474" s="17">
        <f>J474+L474+N474+O474-P474-M474</f>
        <v/>
      </c>
    </row>
    <row r="475">
      <c r="A475" s="16" t="inlineStr">
        <is>
          <t>5.1-5.7</t>
        </is>
      </c>
      <c r="B475" s="16" t="inlineStr">
        <is>
          <t>PO-128-13747022807673468</t>
        </is>
      </c>
      <c r="C475" s="16" t="inlineStr">
        <is>
          <t>Delivered</t>
        </is>
      </c>
      <c r="D475" s="16" t="inlineStr">
        <is>
          <t>128-13747043779193468</t>
        </is>
      </c>
      <c r="E475" s="16" t="inlineStr">
        <is>
          <t>Delivered</t>
        </is>
      </c>
      <c r="F475" s="16" t="inlineStr">
        <is>
          <t>LV64W25</t>
        </is>
      </c>
      <c r="G4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5" s="16" t="inlineStr">
        <is>
          <t>Blanco</t>
        </is>
      </c>
      <c r="I475" s="16" t="n">
        <v>2</v>
      </c>
      <c r="J475" s="17" t="n">
        <v>250</v>
      </c>
      <c r="K475" s="17" t="n">
        <v>260.78</v>
      </c>
      <c r="L475" s="17" t="n">
        <v>0</v>
      </c>
      <c r="M475" s="17" t="n">
        <v>0</v>
      </c>
      <c r="N475" s="17">
        <f>K475*0.08+L475*0.08</f>
        <v/>
      </c>
      <c r="O475" s="17">
        <f>-(K475*0.025+L475*0.025)</f>
        <v/>
      </c>
      <c r="P475" s="17">
        <f>32</f>
        <v/>
      </c>
      <c r="Q475" s="17">
        <f>J475+L475+N475+O475-P475-M475</f>
        <v/>
      </c>
    </row>
    <row r="476">
      <c r="A476" s="16" t="inlineStr">
        <is>
          <t>5.1-5.7</t>
        </is>
      </c>
      <c r="B476" s="16" t="inlineStr">
        <is>
          <t>PO-128-14132873063031168</t>
        </is>
      </c>
      <c r="C476" s="16" t="inlineStr">
        <is>
          <t>Delivered</t>
        </is>
      </c>
      <c r="D476" s="16" t="inlineStr">
        <is>
          <t>128-14132915006071168</t>
        </is>
      </c>
      <c r="E476" s="16" t="inlineStr">
        <is>
          <t>Delivered</t>
        </is>
      </c>
      <c r="F476" s="16" t="inlineStr">
        <is>
          <t>LV64W25</t>
        </is>
      </c>
      <c r="G4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6" s="16" t="inlineStr">
        <is>
          <t>Blanco</t>
        </is>
      </c>
      <c r="I476" s="16" t="n">
        <v>3</v>
      </c>
      <c r="J476" s="17" t="n">
        <v>375</v>
      </c>
      <c r="K476" s="17" t="n">
        <v>332.5</v>
      </c>
      <c r="L476" s="17" t="n">
        <v>0</v>
      </c>
      <c r="M476" s="17" t="n">
        <v>0</v>
      </c>
      <c r="N476" s="17">
        <f>K476*0.08+L476*0.08</f>
        <v/>
      </c>
      <c r="O476" s="17">
        <f>-(K476*0.025+L476*0.025)</f>
        <v/>
      </c>
      <c r="P476" s="17">
        <f>32</f>
        <v/>
      </c>
      <c r="Q476" s="17">
        <f>J476+L476+N476+O476-P476-M476</f>
        <v/>
      </c>
    </row>
    <row r="477">
      <c r="A477" s="16" t="inlineStr">
        <is>
          <t>5.1-5.7</t>
        </is>
      </c>
      <c r="B477" s="16" t="inlineStr">
        <is>
          <t>PO-128-14362346762871016</t>
        </is>
      </c>
      <c r="C477" s="16" t="inlineStr">
        <is>
          <t>Delivered</t>
        </is>
      </c>
      <c r="D477" s="16" t="inlineStr">
        <is>
          <t>128-14362388705911016</t>
        </is>
      </c>
      <c r="E477" s="16" t="inlineStr">
        <is>
          <t>Delivered</t>
        </is>
      </c>
      <c r="F477" s="16" t="inlineStr">
        <is>
          <t>VB349T</t>
        </is>
      </c>
      <c r="G477" s="16" t="inlineStr">
        <is>
          <t>LINKBITS Altavoz Portátil de Doble Altavoz - 3 Pulgadas, Sonido HD, Emparejamiento Rápido de Bluetooth, Conectividad TWS, Reproducción Multimodo (Micro SD/USB/Radio FM) - Perfecto para Oficina, Viajes y Espacios Pequeños</t>
        </is>
      </c>
      <c r="H477" s="16" t="inlineStr">
        <is>
          <t>NEGRO</t>
        </is>
      </c>
      <c r="I477" s="16" t="n">
        <v>1</v>
      </c>
      <c r="J477" s="17" t="n">
        <v>81</v>
      </c>
      <c r="K477" s="17" t="n">
        <v>84.84999999999999</v>
      </c>
      <c r="L477" s="17" t="n">
        <v>25.86</v>
      </c>
      <c r="M477" s="17" t="n">
        <v>0</v>
      </c>
      <c r="N477" s="17">
        <f>K477*0.08+L477*0.08</f>
        <v/>
      </c>
      <c r="O477" s="17">
        <f>-(K477*0.025+L477*0.025)</f>
        <v/>
      </c>
      <c r="P477" s="17">
        <f>32</f>
        <v/>
      </c>
      <c r="Q477" s="17">
        <f>J477+L477+N477+O477-P477-M477</f>
        <v/>
      </c>
    </row>
    <row r="478">
      <c r="A478" s="16" t="inlineStr">
        <is>
          <t>5.1-5.7</t>
        </is>
      </c>
      <c r="B478" s="16" t="inlineStr">
        <is>
          <t>PO-128-13864216760953923</t>
        </is>
      </c>
      <c r="C478" s="16" t="inlineStr">
        <is>
          <t>Delivered</t>
        </is>
      </c>
      <c r="D478" s="16" t="inlineStr">
        <is>
          <t>128-13864201032313923</t>
        </is>
      </c>
      <c r="E478" s="16" t="inlineStr">
        <is>
          <t>Delivered</t>
        </is>
      </c>
      <c r="F478" s="16" t="inlineStr">
        <is>
          <t>LV64W25</t>
        </is>
      </c>
      <c r="G4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8" s="16" t="inlineStr">
        <is>
          <t>Blanco</t>
        </is>
      </c>
      <c r="I478" s="16" t="n">
        <v>1</v>
      </c>
      <c r="J478" s="17" t="n">
        <v>125</v>
      </c>
      <c r="K478" s="17" t="n">
        <v>143.28</v>
      </c>
      <c r="L478" s="17" t="n">
        <v>25.86</v>
      </c>
      <c r="M478" s="17" t="n">
        <v>0</v>
      </c>
      <c r="N478" s="17">
        <f>K478*0.08+L478*0.08</f>
        <v/>
      </c>
      <c r="O478" s="17">
        <f>-(K478*0.025+L478*0.025)</f>
        <v/>
      </c>
      <c r="P478" s="17">
        <f>32</f>
        <v/>
      </c>
      <c r="Q478" s="17">
        <f>J478+L478+N478+O478-P478-M478</f>
        <v/>
      </c>
    </row>
    <row r="479">
      <c r="A479" s="16" t="inlineStr">
        <is>
          <t>5.1-5.7</t>
        </is>
      </c>
      <c r="B479" s="16" t="inlineStr">
        <is>
          <t>PO-128-13877863998073712</t>
        </is>
      </c>
      <c r="C479" s="16" t="inlineStr">
        <is>
          <t>Delivered</t>
        </is>
      </c>
      <c r="D479" s="16" t="inlineStr">
        <is>
          <t>128-13877943951993712</t>
        </is>
      </c>
      <c r="E479" s="16" t="inlineStr">
        <is>
          <t>Delivered</t>
        </is>
      </c>
      <c r="F479" s="16" t="inlineStr">
        <is>
          <t>LV64W25</t>
        </is>
      </c>
      <c r="G4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79" s="16" t="inlineStr">
        <is>
          <t>Blanco</t>
        </is>
      </c>
      <c r="I479" s="16" t="n">
        <v>2</v>
      </c>
      <c r="J479" s="17" t="n">
        <v>250</v>
      </c>
      <c r="K479" s="17" t="n">
        <v>260.78</v>
      </c>
      <c r="L479" s="17" t="n">
        <v>0</v>
      </c>
      <c r="M479" s="17" t="n">
        <v>0</v>
      </c>
      <c r="N479" s="17">
        <f>K479*0.08+L479*0.08</f>
        <v/>
      </c>
      <c r="O479" s="17">
        <f>-(K479*0.025+L479*0.025)</f>
        <v/>
      </c>
      <c r="P479" s="17">
        <f>32</f>
        <v/>
      </c>
      <c r="Q479" s="17">
        <f>J479+L479+N479+O479-P479-M479</f>
        <v/>
      </c>
    </row>
    <row r="480">
      <c r="A480" s="16" t="inlineStr">
        <is>
          <t>5.1-5.7</t>
        </is>
      </c>
      <c r="B480" s="16" t="inlineStr">
        <is>
          <t>PO-128-14400906732150722</t>
        </is>
      </c>
      <c r="C480" s="16" t="inlineStr">
        <is>
          <t>Delivered</t>
        </is>
      </c>
      <c r="D480" s="16" t="inlineStr">
        <is>
          <t>128-14401043047030722</t>
        </is>
      </c>
      <c r="E480" s="16" t="inlineStr">
        <is>
          <t>Delivered</t>
        </is>
      </c>
      <c r="F480" s="16" t="inlineStr">
        <is>
          <t>LV64W25</t>
        </is>
      </c>
      <c r="G4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0" s="16" t="inlineStr">
        <is>
          <t>Blanco</t>
        </is>
      </c>
      <c r="I480" s="16" t="n">
        <v>1</v>
      </c>
      <c r="J480" s="17" t="n">
        <v>125</v>
      </c>
      <c r="K480" s="17" t="n">
        <v>143.28</v>
      </c>
      <c r="L480" s="17" t="n">
        <v>25.86</v>
      </c>
      <c r="M480" s="17" t="n">
        <v>0</v>
      </c>
      <c r="N480" s="17">
        <f>K480*0.08+L480*0.08</f>
        <v/>
      </c>
      <c r="O480" s="17">
        <f>-(K480*0.025+L480*0.025)</f>
        <v/>
      </c>
      <c r="P480" s="17">
        <f>32</f>
        <v/>
      </c>
      <c r="Q480" s="17">
        <f>J480+L480+N480+O480-P480-M480</f>
        <v/>
      </c>
    </row>
    <row r="481">
      <c r="A481" s="16" t="inlineStr">
        <is>
          <t>5.1-5.7</t>
        </is>
      </c>
      <c r="B481" s="16" t="inlineStr">
        <is>
          <t>PO-128-13845285325434034</t>
        </is>
      </c>
      <c r="C481" s="16" t="inlineStr">
        <is>
          <t>Delivered</t>
        </is>
      </c>
      <c r="D481" s="16" t="inlineStr">
        <is>
          <t>128-13845295811194034</t>
        </is>
      </c>
      <c r="E481" s="16" t="inlineStr">
        <is>
          <t>Delivered</t>
        </is>
      </c>
      <c r="F481" s="16" t="inlineStr">
        <is>
          <t>LV64W25</t>
        </is>
      </c>
      <c r="G4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1" s="16" t="inlineStr">
        <is>
          <t>Blanco</t>
        </is>
      </c>
      <c r="I481" s="16" t="n">
        <v>1</v>
      </c>
      <c r="J481" s="17" t="n">
        <v>125</v>
      </c>
      <c r="K481" s="17" t="n">
        <v>143.28</v>
      </c>
      <c r="L481" s="17" t="n">
        <v>25.86</v>
      </c>
      <c r="M481" s="17" t="n">
        <v>0</v>
      </c>
      <c r="N481" s="17">
        <f>K481*0.08+L481*0.08</f>
        <v/>
      </c>
      <c r="O481" s="17">
        <f>-(K481*0.025+L481*0.025)</f>
        <v/>
      </c>
      <c r="P481" s="17">
        <f>32</f>
        <v/>
      </c>
      <c r="Q481" s="17">
        <f>J481+L481+N481+O481-P481-M481</f>
        <v/>
      </c>
    </row>
    <row r="482">
      <c r="A482" s="16" t="inlineStr">
        <is>
          <t>5.1-5.7</t>
        </is>
      </c>
      <c r="B482" s="16" t="inlineStr">
        <is>
          <t>PO-128-14191779400312035</t>
        </is>
      </c>
      <c r="C482" s="16" t="inlineStr">
        <is>
          <t>Delivered</t>
        </is>
      </c>
      <c r="D482" s="16" t="inlineStr">
        <is>
          <t>128-14191831829112035</t>
        </is>
      </c>
      <c r="E482" s="16" t="inlineStr">
        <is>
          <t>Delivered</t>
        </is>
      </c>
      <c r="F482" s="16" t="inlineStr">
        <is>
          <t>LV64W25</t>
        </is>
      </c>
      <c r="G4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2" s="16" t="inlineStr">
        <is>
          <t>Blanco</t>
        </is>
      </c>
      <c r="I482" s="16" t="n">
        <v>1</v>
      </c>
      <c r="J482" s="17" t="n">
        <v>125</v>
      </c>
      <c r="K482" s="17" t="n">
        <v>143.28</v>
      </c>
      <c r="L482" s="17" t="n">
        <v>25.86</v>
      </c>
      <c r="M482" s="17" t="n">
        <v>0</v>
      </c>
      <c r="N482" s="17">
        <f>K482*0.08+L482*0.08</f>
        <v/>
      </c>
      <c r="O482" s="17">
        <f>-(K482*0.025+L482*0.025)</f>
        <v/>
      </c>
      <c r="P482" s="17">
        <f>32</f>
        <v/>
      </c>
      <c r="Q482" s="17">
        <f>J482+L482+N482+O482-P482-M482</f>
        <v/>
      </c>
    </row>
    <row r="483">
      <c r="A483" s="16" t="inlineStr">
        <is>
          <t>5.1-5.7</t>
        </is>
      </c>
      <c r="B483" s="16" t="inlineStr">
        <is>
          <t>PO-128-14319692913270246</t>
        </is>
      </c>
      <c r="C483" s="16" t="inlineStr">
        <is>
          <t>Delivered</t>
        </is>
      </c>
      <c r="D483" s="16" t="inlineStr">
        <is>
          <t>128-14319852821110246</t>
        </is>
      </c>
      <c r="E483" s="16" t="inlineStr">
        <is>
          <t>Delivered</t>
        </is>
      </c>
      <c r="F483" s="16" t="inlineStr">
        <is>
          <t>LV64W25</t>
        </is>
      </c>
      <c r="G4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3" s="16" t="inlineStr">
        <is>
          <t>Blanco</t>
        </is>
      </c>
      <c r="I483" s="16" t="n">
        <v>1</v>
      </c>
      <c r="J483" s="17" t="n">
        <v>125</v>
      </c>
      <c r="K483" s="17" t="n">
        <v>130.39</v>
      </c>
      <c r="L483" s="17" t="n">
        <v>25.86</v>
      </c>
      <c r="M483" s="17" t="n">
        <v>0</v>
      </c>
      <c r="N483" s="17">
        <f>K483*0.08+L483*0.08</f>
        <v/>
      </c>
      <c r="O483" s="17">
        <f>-(K483*0.025+L483*0.025)</f>
        <v/>
      </c>
      <c r="P483" s="17">
        <f>32</f>
        <v/>
      </c>
      <c r="Q483" s="17">
        <f>J483+L483+N483+O483-P483-M483</f>
        <v/>
      </c>
    </row>
    <row r="484">
      <c r="A484" s="16" t="inlineStr">
        <is>
          <t>5.1-5.7</t>
        </is>
      </c>
      <c r="B484" s="16" t="inlineStr">
        <is>
          <t>PO-128-14072360638072619</t>
        </is>
      </c>
      <c r="C484" s="16" t="inlineStr">
        <is>
          <t>Delivered</t>
        </is>
      </c>
      <c r="D484" s="16" t="inlineStr">
        <is>
          <t>128-14072386852472619</t>
        </is>
      </c>
      <c r="E484" s="16" t="inlineStr">
        <is>
          <t>Delivered</t>
        </is>
      </c>
      <c r="F484" s="16" t="inlineStr">
        <is>
          <t>LV64W25</t>
        </is>
      </c>
      <c r="G4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4" s="16" t="inlineStr">
        <is>
          <t>Blanco</t>
        </is>
      </c>
      <c r="I484" s="16" t="n">
        <v>1</v>
      </c>
      <c r="J484" s="17" t="n">
        <v>125</v>
      </c>
      <c r="K484" s="17" t="n">
        <v>143.28</v>
      </c>
      <c r="L484" s="17" t="n">
        <v>25.86</v>
      </c>
      <c r="M484" s="17" t="n">
        <v>0</v>
      </c>
      <c r="N484" s="17">
        <f>K484*0.08+L484*0.08</f>
        <v/>
      </c>
      <c r="O484" s="17">
        <f>-(K484*0.025+L484*0.025)</f>
        <v/>
      </c>
      <c r="P484" s="17">
        <f>32</f>
        <v/>
      </c>
      <c r="Q484" s="17">
        <f>J484+L484+N484+O484-P484-M484</f>
        <v/>
      </c>
    </row>
    <row r="485">
      <c r="A485" s="16" t="inlineStr">
        <is>
          <t>5.1-5.7</t>
        </is>
      </c>
      <c r="B485" s="16" t="inlineStr">
        <is>
          <t>PO-128-14187317248631997</t>
        </is>
      </c>
      <c r="C485" s="16" t="inlineStr">
        <is>
          <t>Delivered</t>
        </is>
      </c>
      <c r="D485" s="16" t="inlineStr">
        <is>
          <t>128-14187484775031997</t>
        </is>
      </c>
      <c r="E485" s="16" t="inlineStr">
        <is>
          <t>Delivered</t>
        </is>
      </c>
      <c r="F485" s="16" t="inlineStr">
        <is>
          <t>LV64W25</t>
        </is>
      </c>
      <c r="G4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5" s="16" t="inlineStr">
        <is>
          <t>Blanco</t>
        </is>
      </c>
      <c r="I485" s="16" t="n">
        <v>3</v>
      </c>
      <c r="J485" s="17" t="n">
        <v>375</v>
      </c>
      <c r="K485" s="17" t="n">
        <v>429.84</v>
      </c>
      <c r="L485" s="17" t="n">
        <v>0</v>
      </c>
      <c r="M485" s="17" t="n">
        <v>0</v>
      </c>
      <c r="N485" s="17">
        <f>K485*0.08+L485*0.08</f>
        <v/>
      </c>
      <c r="O485" s="17">
        <f>-(K485*0.025+L485*0.025)</f>
        <v/>
      </c>
      <c r="P485" s="17">
        <f>32</f>
        <v/>
      </c>
      <c r="Q485" s="17">
        <f>J485+L485+N485+O485-P485-M485</f>
        <v/>
      </c>
    </row>
    <row r="486">
      <c r="A486" s="16" t="inlineStr">
        <is>
          <t>5.1-5.7</t>
        </is>
      </c>
      <c r="B486" s="16" t="inlineStr">
        <is>
          <t>PO-128-13984762092152053</t>
        </is>
      </c>
      <c r="C486" s="16" t="inlineStr">
        <is>
          <t>Delivered</t>
        </is>
      </c>
      <c r="D486" s="16" t="inlineStr">
        <is>
          <t>128-13984672963192053</t>
        </is>
      </c>
      <c r="E486" s="16" t="inlineStr">
        <is>
          <t>Delivered</t>
        </is>
      </c>
      <c r="F486" s="16" t="inlineStr">
        <is>
          <t>LV54W25</t>
        </is>
      </c>
      <c r="G486" s="16" t="inlineStr">
        <is>
          <t>TIANLAI Lámpara Ventilador E27 2 en 1, Silenciosa, LED Alta Luminosidad 180°, Instalación Rápida, Ahorro Energético para Dormitorio y Interiores Pequeños</t>
        </is>
      </c>
      <c r="H486" s="16" t="inlineStr">
        <is>
          <t>1 Pieza</t>
        </is>
      </c>
      <c r="I486" s="16" t="n">
        <v>3</v>
      </c>
      <c r="J486" s="17" t="n">
        <v>237</v>
      </c>
      <c r="K486" s="17" t="n">
        <v>248.19</v>
      </c>
      <c r="L486" s="17" t="n">
        <v>0</v>
      </c>
      <c r="M486" s="17" t="n">
        <v>0</v>
      </c>
      <c r="N486" s="17">
        <f>K486*0.08+L486*0.08</f>
        <v/>
      </c>
      <c r="O486" s="17">
        <f>-(K486*0.025+L486*0.025)</f>
        <v/>
      </c>
      <c r="P486" s="17">
        <f>32</f>
        <v/>
      </c>
      <c r="Q486" s="17">
        <f>J486+L486+N486+O486-P486-M486</f>
        <v/>
      </c>
    </row>
    <row r="487">
      <c r="A487" s="16" t="inlineStr">
        <is>
          <t>5.1-5.7</t>
        </is>
      </c>
      <c r="B487" s="16" t="inlineStr">
        <is>
          <t>PO-128-14041078487672933</t>
        </is>
      </c>
      <c r="C487" s="16" t="inlineStr">
        <is>
          <t>Delivered</t>
        </is>
      </c>
      <c r="D487" s="16" t="inlineStr">
        <is>
          <t>128-14041120430712933</t>
        </is>
      </c>
      <c r="E487" s="16" t="inlineStr">
        <is>
          <t>Delivered</t>
        </is>
      </c>
      <c r="F487" s="16" t="inlineStr">
        <is>
          <t>LV64W25</t>
        </is>
      </c>
      <c r="G4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7" s="16" t="inlineStr">
        <is>
          <t>Blanco</t>
        </is>
      </c>
      <c r="I487" s="16" t="n">
        <v>5</v>
      </c>
      <c r="J487" s="17" t="n">
        <v>625</v>
      </c>
      <c r="K487" s="17" t="n">
        <v>716.4</v>
      </c>
      <c r="L487" s="17" t="n">
        <v>0</v>
      </c>
      <c r="M487" s="17" t="n">
        <v>0</v>
      </c>
      <c r="N487" s="17">
        <f>K487*0.08+L487*0.08</f>
        <v/>
      </c>
      <c r="O487" s="17">
        <f>-(K487*0.025+L487*0.025)</f>
        <v/>
      </c>
      <c r="P487" s="17">
        <f>32</f>
        <v/>
      </c>
      <c r="Q487" s="17">
        <f>J487+L487+N487+O487-P487-M487</f>
        <v/>
      </c>
    </row>
    <row r="488">
      <c r="A488" s="16" t="inlineStr">
        <is>
          <t>5.1-5.7</t>
        </is>
      </c>
      <c r="B488" s="16" t="inlineStr">
        <is>
          <t>PO-128-14270726666870474</t>
        </is>
      </c>
      <c r="C488" s="16" t="inlineStr">
        <is>
          <t>Delivered</t>
        </is>
      </c>
      <c r="D488" s="16" t="inlineStr">
        <is>
          <t>128-14270710938230474</t>
        </is>
      </c>
      <c r="E488" s="16" t="inlineStr">
        <is>
          <t>Delivered</t>
        </is>
      </c>
      <c r="F488" s="16" t="inlineStr">
        <is>
          <t>LV64W25</t>
        </is>
      </c>
      <c r="G4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8" s="16" t="inlineStr">
        <is>
          <t>Blanco</t>
        </is>
      </c>
      <c r="I488" s="16" t="n">
        <v>1</v>
      </c>
      <c r="J488" s="17" t="n">
        <v>125</v>
      </c>
      <c r="K488" s="17" t="n">
        <v>143.28</v>
      </c>
      <c r="L488" s="17" t="n">
        <v>25.86</v>
      </c>
      <c r="M488" s="17" t="n">
        <v>0</v>
      </c>
      <c r="N488" s="17">
        <f>K488*0.08+L488*0.08</f>
        <v/>
      </c>
      <c r="O488" s="17">
        <f>-(K488*0.025+L488*0.025)</f>
        <v/>
      </c>
      <c r="P488" s="17">
        <f>32</f>
        <v/>
      </c>
      <c r="Q488" s="17">
        <f>J488+L488+N488+O488-P488-M488</f>
        <v/>
      </c>
    </row>
    <row r="489">
      <c r="A489" s="16" t="inlineStr">
        <is>
          <t>5.1-5.7</t>
        </is>
      </c>
      <c r="B489" s="16" t="inlineStr">
        <is>
          <t>PO-128-13882983670393747</t>
        </is>
      </c>
      <c r="C489" s="16" t="inlineStr">
        <is>
          <t>Delivered</t>
        </is>
      </c>
      <c r="D489" s="16" t="inlineStr">
        <is>
          <t>128-13883143578233747</t>
        </is>
      </c>
      <c r="E489" s="16" t="inlineStr">
        <is>
          <t>Delivered</t>
        </is>
      </c>
      <c r="F489" s="16" t="inlineStr">
        <is>
          <t>LV64W25</t>
        </is>
      </c>
      <c r="G4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89" s="16" t="inlineStr">
        <is>
          <t>Blanco</t>
        </is>
      </c>
      <c r="I489" s="16" t="n">
        <v>1</v>
      </c>
      <c r="J489" s="17" t="n">
        <v>125</v>
      </c>
      <c r="K489" s="17" t="n">
        <v>143.28</v>
      </c>
      <c r="L489" s="17" t="n">
        <v>25.86</v>
      </c>
      <c r="M489" s="17" t="n">
        <v>0</v>
      </c>
      <c r="N489" s="17">
        <f>K489*0.08+L489*0.08</f>
        <v/>
      </c>
      <c r="O489" s="17">
        <f>-(K489*0.025+L489*0.025)</f>
        <v/>
      </c>
      <c r="P489" s="17">
        <f>32</f>
        <v/>
      </c>
      <c r="Q489" s="17">
        <f>J489+L489+N489+O489-P489-M489</f>
        <v/>
      </c>
    </row>
    <row r="490">
      <c r="A490" s="16" t="inlineStr">
        <is>
          <t>5.1-5.7</t>
        </is>
      </c>
      <c r="B490" s="16" t="inlineStr">
        <is>
          <t>PO-128-13792462387833263</t>
        </is>
      </c>
      <c r="C490" s="16" t="inlineStr">
        <is>
          <t>Delivered</t>
        </is>
      </c>
      <c r="D490" s="16" t="inlineStr">
        <is>
          <t>128-13792441416313263</t>
        </is>
      </c>
      <c r="E490" s="16" t="inlineStr">
        <is>
          <t>Delivered</t>
        </is>
      </c>
      <c r="F490" s="16" t="inlineStr">
        <is>
          <t>LV64W25</t>
        </is>
      </c>
      <c r="G4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0" s="16" t="inlineStr">
        <is>
          <t>Blanco</t>
        </is>
      </c>
      <c r="I490" s="16" t="n">
        <v>2</v>
      </c>
      <c r="J490" s="17" t="n">
        <v>250</v>
      </c>
      <c r="K490" s="17" t="n">
        <v>195.6</v>
      </c>
      <c r="L490" s="17" t="n">
        <v>0</v>
      </c>
      <c r="M490" s="17" t="n">
        <v>0</v>
      </c>
      <c r="N490" s="17">
        <f>K490*0.08+L490*0.08</f>
        <v/>
      </c>
      <c r="O490" s="17">
        <f>-(K490*0.025+L490*0.025)</f>
        <v/>
      </c>
      <c r="P490" s="17">
        <f>32</f>
        <v/>
      </c>
      <c r="Q490" s="17">
        <f>J490+L490+N490+O490-P490-M490</f>
        <v/>
      </c>
    </row>
    <row r="491">
      <c r="A491" s="16" t="inlineStr">
        <is>
          <t>5.1-5.7</t>
        </is>
      </c>
      <c r="B491" s="16" t="inlineStr">
        <is>
          <t>PO-128-13871672156793943</t>
        </is>
      </c>
      <c r="C491" s="16" t="inlineStr">
        <is>
          <t>Delivered</t>
        </is>
      </c>
      <c r="D491" s="16" t="inlineStr">
        <is>
          <t>128-13871593513593943</t>
        </is>
      </c>
      <c r="E491" s="16" t="inlineStr">
        <is>
          <t>Delivered</t>
        </is>
      </c>
      <c r="F491" s="16" t="inlineStr">
        <is>
          <t>LV54W25</t>
        </is>
      </c>
      <c r="G491" s="16" t="inlineStr">
        <is>
          <t>TIANLAI Lámpara Ventilador E27 2 en 1, Silenciosa, LED Alta Luminosidad 180°, Instalación Rápida, Ahorro Energético para Dormitorio y Interiores Pequeños</t>
        </is>
      </c>
      <c r="H491" s="16" t="inlineStr">
        <is>
          <t>1 Pieza</t>
        </is>
      </c>
      <c r="I491" s="16" t="n">
        <v>2</v>
      </c>
      <c r="J491" s="17" t="n">
        <v>158</v>
      </c>
      <c r="K491" s="17" t="n">
        <v>158.62</v>
      </c>
      <c r="L491" s="17" t="n">
        <v>25.86</v>
      </c>
      <c r="M491" s="17" t="n">
        <v>0</v>
      </c>
      <c r="N491" s="17">
        <f>K491*0.08+L491*0.08</f>
        <v/>
      </c>
      <c r="O491" s="17">
        <f>-(K491*0.025+L491*0.025)</f>
        <v/>
      </c>
      <c r="P491" s="17">
        <f>32</f>
        <v/>
      </c>
      <c r="Q491" s="17">
        <f>J491+L491+N491+O491-P491-M491</f>
        <v/>
      </c>
    </row>
    <row r="492">
      <c r="A492" s="16" t="inlineStr">
        <is>
          <t>5.1-5.7</t>
        </is>
      </c>
      <c r="B492" s="16" t="inlineStr">
        <is>
          <t>PO-128-14394080502390701</t>
        </is>
      </c>
      <c r="C492" s="16" t="inlineStr">
        <is>
          <t>Delivered</t>
        </is>
      </c>
      <c r="D492" s="16" t="inlineStr">
        <is>
          <t>128-14394072638070701</t>
        </is>
      </c>
      <c r="E492" s="16" t="inlineStr">
        <is>
          <t>Delivered</t>
        </is>
      </c>
      <c r="F492" s="16" t="inlineStr">
        <is>
          <t>LV64W25</t>
        </is>
      </c>
      <c r="G4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2" s="16" t="inlineStr">
        <is>
          <t>Blanco</t>
        </is>
      </c>
      <c r="I492" s="16" t="n">
        <v>2</v>
      </c>
      <c r="J492" s="17" t="n">
        <v>250</v>
      </c>
      <c r="K492" s="17" t="n">
        <v>260.78</v>
      </c>
      <c r="L492" s="17" t="n">
        <v>0</v>
      </c>
      <c r="M492" s="17" t="n">
        <v>0</v>
      </c>
      <c r="N492" s="17">
        <f>K492*0.08+L492*0.08</f>
        <v/>
      </c>
      <c r="O492" s="17">
        <f>-(K492*0.025+L492*0.025)</f>
        <v/>
      </c>
      <c r="P492" s="17">
        <f>32</f>
        <v/>
      </c>
      <c r="Q492" s="17">
        <f>J492+L492+N492+O492-P492-M492</f>
        <v/>
      </c>
    </row>
    <row r="493">
      <c r="A493" s="16" t="inlineStr">
        <is>
          <t>5.1-5.7</t>
        </is>
      </c>
      <c r="B493" s="16" t="inlineStr">
        <is>
          <t>PO-128-14020230175353057</t>
        </is>
      </c>
      <c r="C493" s="16" t="inlineStr">
        <is>
          <t>Delivered</t>
        </is>
      </c>
      <c r="D493" s="16" t="inlineStr">
        <is>
          <t>128-14020366490233057</t>
        </is>
      </c>
      <c r="E493" s="16" t="inlineStr">
        <is>
          <t>Delivered</t>
        </is>
      </c>
      <c r="F493" s="16" t="inlineStr">
        <is>
          <t>LV64W25</t>
        </is>
      </c>
      <c r="G4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3" s="16" t="inlineStr">
        <is>
          <t>Blanco</t>
        </is>
      </c>
      <c r="I493" s="16" t="n">
        <v>1</v>
      </c>
      <c r="J493" s="17" t="n">
        <v>125</v>
      </c>
      <c r="K493" s="17" t="n">
        <v>130.39</v>
      </c>
      <c r="L493" s="17" t="n">
        <v>25.86</v>
      </c>
      <c r="M493" s="17" t="n">
        <v>0</v>
      </c>
      <c r="N493" s="17">
        <f>K493*0.08+L493*0.08</f>
        <v/>
      </c>
      <c r="O493" s="17">
        <f>-(K493*0.025+L493*0.025)</f>
        <v/>
      </c>
      <c r="P493" s="17">
        <f>32</f>
        <v/>
      </c>
      <c r="Q493" s="17">
        <f>J493+L493+N493+O493-P493-M493</f>
        <v/>
      </c>
    </row>
    <row r="494">
      <c r="A494" s="16" t="inlineStr">
        <is>
          <t>5.1-5.7</t>
        </is>
      </c>
      <c r="B494" s="16" t="inlineStr">
        <is>
          <t>PO-128-14189432248951985</t>
        </is>
      </c>
      <c r="C494" s="16" t="inlineStr">
        <is>
          <t>Delivered</t>
        </is>
      </c>
      <c r="D494" s="16" t="inlineStr">
        <is>
          <t>128-14189484677751985</t>
        </is>
      </c>
      <c r="E494" s="16" t="inlineStr">
        <is>
          <t>Delivered</t>
        </is>
      </c>
      <c r="F494" s="16" t="inlineStr">
        <is>
          <t>LV64W25</t>
        </is>
      </c>
      <c r="G4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4" s="16" t="inlineStr">
        <is>
          <t>Blanco</t>
        </is>
      </c>
      <c r="I494" s="16" t="n">
        <v>1</v>
      </c>
      <c r="J494" s="17" t="n">
        <v>125</v>
      </c>
      <c r="K494" s="17" t="n">
        <v>130.39</v>
      </c>
      <c r="L494" s="17" t="n">
        <v>25.86</v>
      </c>
      <c r="M494" s="17" t="n">
        <v>0</v>
      </c>
      <c r="N494" s="17">
        <f>K494*0.08+L494*0.08</f>
        <v/>
      </c>
      <c r="O494" s="17">
        <f>-(K494*0.025+L494*0.025)</f>
        <v/>
      </c>
      <c r="P494" s="17">
        <f>32</f>
        <v/>
      </c>
      <c r="Q494" s="17">
        <f>J494+L494+N494+O494-P494-M494</f>
        <v/>
      </c>
    </row>
    <row r="495">
      <c r="A495" s="16" t="inlineStr">
        <is>
          <t>5.1-5.7</t>
        </is>
      </c>
      <c r="B495" s="16" t="inlineStr">
        <is>
          <t>PO-128-14084385096312675</t>
        </is>
      </c>
      <c r="C495" s="16" t="inlineStr">
        <is>
          <t>Delivered</t>
        </is>
      </c>
      <c r="D495" s="16" t="inlineStr">
        <is>
          <t>128-14084364124792675</t>
        </is>
      </c>
      <c r="E495" s="16" t="inlineStr">
        <is>
          <t>Delivered</t>
        </is>
      </c>
      <c r="F495" s="16" t="inlineStr">
        <is>
          <t>LV54W25</t>
        </is>
      </c>
      <c r="G495" s="16" t="inlineStr">
        <is>
          <t>TIANLAI Lámpara Ventilador E27 2 en 1, Silenciosa, LED Alta Luminosidad 180°, Instalación Rápida, Ahorro Energético para Dormitorio y Interiores Pequeños</t>
        </is>
      </c>
      <c r="H495" s="16" t="inlineStr">
        <is>
          <t>1 Pieza</t>
        </is>
      </c>
      <c r="I495" s="16" t="n">
        <v>1</v>
      </c>
      <c r="J495" s="17" t="n">
        <v>79</v>
      </c>
      <c r="K495" s="17" t="n">
        <v>96.2</v>
      </c>
      <c r="L495" s="17" t="n">
        <v>25.86</v>
      </c>
      <c r="M495" s="17" t="n">
        <v>0</v>
      </c>
      <c r="N495" s="17">
        <f>K495*0.08+L495*0.08</f>
        <v/>
      </c>
      <c r="O495" s="17">
        <f>-(K495*0.025+L495*0.025)</f>
        <v/>
      </c>
      <c r="P495" s="17">
        <f>32</f>
        <v/>
      </c>
      <c r="Q495" s="17">
        <f>J495+L495+N495+O495-P495-M495</f>
        <v/>
      </c>
    </row>
    <row r="496">
      <c r="A496" s="16" t="inlineStr">
        <is>
          <t>5.1-5.7</t>
        </is>
      </c>
      <c r="B496" s="16" t="inlineStr">
        <is>
          <t>PO-128-14046129111672711</t>
        </is>
      </c>
      <c r="C496" s="16" t="inlineStr">
        <is>
          <t>Delivered</t>
        </is>
      </c>
      <c r="D496" s="16" t="inlineStr">
        <is>
          <t>128-14046171054712711</t>
        </is>
      </c>
      <c r="E496" s="16" t="inlineStr">
        <is>
          <t>Delivered</t>
        </is>
      </c>
      <c r="F496" s="16" t="inlineStr">
        <is>
          <t>LV64W25</t>
        </is>
      </c>
      <c r="G4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6" s="16" t="inlineStr">
        <is>
          <t>Blanco</t>
        </is>
      </c>
      <c r="I496" s="16" t="n">
        <v>3</v>
      </c>
      <c r="J496" s="17" t="n">
        <v>375</v>
      </c>
      <c r="K496" s="17" t="n">
        <v>391.17</v>
      </c>
      <c r="L496" s="17" t="n">
        <v>0</v>
      </c>
      <c r="M496" s="17" t="n">
        <v>0</v>
      </c>
      <c r="N496" s="17">
        <f>K496*0.08+L496*0.08</f>
        <v/>
      </c>
      <c r="O496" s="17">
        <f>-(K496*0.025+L496*0.025)</f>
        <v/>
      </c>
      <c r="P496" s="17">
        <f>32</f>
        <v/>
      </c>
      <c r="Q496" s="17">
        <f>J496+L496+N496+O496-P496-M496</f>
        <v/>
      </c>
    </row>
    <row r="497">
      <c r="A497" s="16" t="inlineStr">
        <is>
          <t>5.1-5.7</t>
        </is>
      </c>
      <c r="B497" s="16" t="inlineStr">
        <is>
          <t>PO-128-14373901404790821</t>
        </is>
      </c>
      <c r="C497" s="16" t="inlineStr">
        <is>
          <t>Delivered</t>
        </is>
      </c>
      <c r="D497" s="16" t="inlineStr">
        <is>
          <t>128-14373921393270821</t>
        </is>
      </c>
      <c r="E497" s="16" t="inlineStr">
        <is>
          <t>Delivered</t>
        </is>
      </c>
      <c r="F497" s="16" t="inlineStr">
        <is>
          <t>LV64W25</t>
        </is>
      </c>
      <c r="G4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7" s="16" t="inlineStr">
        <is>
          <t>Blanco</t>
        </is>
      </c>
      <c r="I497" s="16" t="n">
        <v>1</v>
      </c>
      <c r="J497" s="17" t="n">
        <v>125</v>
      </c>
      <c r="K497" s="17" t="n">
        <v>130.39</v>
      </c>
      <c r="L497" s="17" t="n">
        <v>25.86</v>
      </c>
      <c r="M497" s="17" t="n">
        <v>0</v>
      </c>
      <c r="N497" s="17">
        <f>K497*0.08+L497*0.08</f>
        <v/>
      </c>
      <c r="O497" s="17">
        <f>-(K497*0.025+L497*0.025)</f>
        <v/>
      </c>
      <c r="P497" s="17">
        <f>32</f>
        <v/>
      </c>
      <c r="Q497" s="17">
        <f>J497+L497+N497+O497-P497-M497</f>
        <v/>
      </c>
    </row>
    <row r="498">
      <c r="A498" s="16" t="inlineStr">
        <is>
          <t>5.1-5.7</t>
        </is>
      </c>
      <c r="B498" s="16" t="inlineStr">
        <is>
          <t>PO-128-14333366620790039</t>
        </is>
      </c>
      <c r="C498" s="16" t="inlineStr">
        <is>
          <t>Delivered</t>
        </is>
      </c>
      <c r="D498" s="16" t="inlineStr">
        <is>
          <t>128-14333442642550039</t>
        </is>
      </c>
      <c r="E498" s="16" t="inlineStr">
        <is>
          <t>Delivered</t>
        </is>
      </c>
      <c r="F498" s="16" t="inlineStr">
        <is>
          <t>LV64W25</t>
        </is>
      </c>
      <c r="G4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98" s="16" t="inlineStr">
        <is>
          <t>Blanco</t>
        </is>
      </c>
      <c r="I498" s="16" t="n">
        <v>3</v>
      </c>
      <c r="J498" s="17" t="n">
        <v>375</v>
      </c>
      <c r="K498" s="17" t="n">
        <v>385.77</v>
      </c>
      <c r="L498" s="17" t="n">
        <v>0</v>
      </c>
      <c r="M498" s="17" t="n">
        <v>0</v>
      </c>
      <c r="N498" s="17">
        <f>K498*0.08+L498*0.08</f>
        <v/>
      </c>
      <c r="O498" s="17">
        <f>-(K498*0.025+L498*0.025)</f>
        <v/>
      </c>
      <c r="P498" s="17">
        <f>32</f>
        <v/>
      </c>
      <c r="Q498" s="17">
        <f>J498+L498+N498+O498-P498-M498</f>
        <v/>
      </c>
    </row>
    <row r="499">
      <c r="A499" s="16" t="inlineStr">
        <is>
          <t>5.1-5.7</t>
        </is>
      </c>
      <c r="B499" s="16" t="inlineStr">
        <is>
          <t>PO-128-13862796001913930</t>
        </is>
      </c>
      <c r="C499" s="16" t="inlineStr">
        <is>
          <t>Delivered</t>
        </is>
      </c>
      <c r="D499" s="16" t="inlineStr">
        <is>
          <t>128-13862816973433930</t>
        </is>
      </c>
      <c r="E499" s="16" t="inlineStr">
        <is>
          <t>Delivered</t>
        </is>
      </c>
      <c r="F499" s="16" t="inlineStr">
        <is>
          <t>LV54W25</t>
        </is>
      </c>
      <c r="G499" s="16" t="inlineStr">
        <is>
          <t>TIANLAI Lámpara Ventilador E27 2 en 1, Silenciosa, LED Alta Luminosidad 180°, Instalación Rápida, Ahorro Energético para Dormitorio y Interiores Pequeños</t>
        </is>
      </c>
      <c r="H499" s="16" t="inlineStr">
        <is>
          <t>1 Pieza</t>
        </is>
      </c>
      <c r="I499" s="16" t="n">
        <v>3</v>
      </c>
      <c r="J499" s="17" t="n">
        <v>237</v>
      </c>
      <c r="K499" s="17" t="n">
        <v>198.56</v>
      </c>
      <c r="L499" s="17" t="n">
        <v>0</v>
      </c>
      <c r="M499" s="17" t="n">
        <v>0</v>
      </c>
      <c r="N499" s="17">
        <f>K499*0.08+L499*0.08</f>
        <v/>
      </c>
      <c r="O499" s="17">
        <f>-(K499*0.025+L499*0.025)</f>
        <v/>
      </c>
      <c r="P499" s="17">
        <f>32</f>
        <v/>
      </c>
      <c r="Q499" s="17">
        <f>J499+L499+N499+O499-P499-M499</f>
        <v/>
      </c>
    </row>
    <row r="500">
      <c r="A500" s="16" t="inlineStr">
        <is>
          <t>5.1-5.7</t>
        </is>
      </c>
      <c r="B500" s="16" t="inlineStr">
        <is>
          <t>PO-128-14192702812792029</t>
        </is>
      </c>
      <c r="C500" s="16" t="inlineStr">
        <is>
          <t>Delivered</t>
        </is>
      </c>
      <c r="D500" s="16" t="inlineStr">
        <is>
          <t>128-14192713298552029</t>
        </is>
      </c>
      <c r="E500" s="16" t="inlineStr">
        <is>
          <t>Delivered</t>
        </is>
      </c>
      <c r="F500" s="16" t="inlineStr">
        <is>
          <t>LV64W25</t>
        </is>
      </c>
      <c r="G5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00" s="16" t="inlineStr">
        <is>
          <t>Blanco</t>
        </is>
      </c>
      <c r="I500" s="16" t="n">
        <v>2</v>
      </c>
      <c r="J500" s="17" t="n">
        <v>250</v>
      </c>
      <c r="K500" s="17" t="n">
        <v>263.71</v>
      </c>
      <c r="L500" s="17" t="n">
        <v>0</v>
      </c>
      <c r="M500" s="17" t="n">
        <v>0</v>
      </c>
      <c r="N500" s="17">
        <f>K500*0.08+L500*0.08</f>
        <v/>
      </c>
      <c r="O500" s="17">
        <f>-(K500*0.025+L500*0.025)</f>
        <v/>
      </c>
      <c r="P500" s="17">
        <f>32</f>
        <v/>
      </c>
      <c r="Q500" s="17">
        <f>J500+L500+N500+O500-P500-M500</f>
        <v/>
      </c>
    </row>
    <row r="501">
      <c r="A501" s="16" t="inlineStr">
        <is>
          <t>5.1-5.7</t>
        </is>
      </c>
      <c r="B501" s="16" t="inlineStr">
        <is>
          <t>PO-128-14406859766390753</t>
        </is>
      </c>
      <c r="C501" s="16" t="inlineStr">
        <is>
          <t>Delivered</t>
        </is>
      </c>
      <c r="D501" s="16" t="inlineStr">
        <is>
          <t>128-14406912195190753</t>
        </is>
      </c>
      <c r="E501" s="16" t="inlineStr">
        <is>
          <t>Delivered</t>
        </is>
      </c>
      <c r="F501" s="16" t="inlineStr">
        <is>
          <t>LV54W25</t>
        </is>
      </c>
      <c r="G501" s="16" t="inlineStr">
        <is>
          <t>TIANLAI Lámpara Ventilador E27 2 en 1, Silenciosa, LED Alta Luminosidad 180°, Instalación Rápida, Ahorro Energético para Dormitorio y Interiores Pequeños</t>
        </is>
      </c>
      <c r="H501" s="16" t="inlineStr">
        <is>
          <t>1 Pieza</t>
        </is>
      </c>
      <c r="I501" s="16" t="n">
        <v>2</v>
      </c>
      <c r="J501" s="17" t="n">
        <v>158</v>
      </c>
      <c r="K501" s="17" t="n">
        <v>132.38</v>
      </c>
      <c r="L501" s="17" t="n">
        <v>25.86</v>
      </c>
      <c r="M501" s="17" t="n">
        <v>0</v>
      </c>
      <c r="N501" s="17">
        <f>K501*0.08+L501*0.08</f>
        <v/>
      </c>
      <c r="O501" s="17">
        <f>-(K501*0.025+L501*0.025)</f>
        <v/>
      </c>
      <c r="P501" s="17">
        <f>32</f>
        <v/>
      </c>
      <c r="Q501" s="17">
        <f>J501+L501+N501+O501-P501-M501</f>
        <v/>
      </c>
    </row>
    <row r="502">
      <c r="A502" s="16" t="inlineStr">
        <is>
          <t>5.1-5.7</t>
        </is>
      </c>
      <c r="B502" s="16" t="inlineStr">
        <is>
          <t>PO-128-14307617526390190</t>
        </is>
      </c>
      <c r="C502" s="16" t="inlineStr">
        <is>
          <t>Delivered</t>
        </is>
      </c>
      <c r="D502" s="16" t="inlineStr">
        <is>
          <t>128-14307643740790190</t>
        </is>
      </c>
      <c r="E502" s="16" t="inlineStr">
        <is>
          <t>Delivered</t>
        </is>
      </c>
      <c r="F502" s="16" t="inlineStr">
        <is>
          <t>BG-115-B</t>
        </is>
      </c>
      <c r="G502" s="16" t="inlineStr">
        <is>
          <t>LINK BITS Audífonos Inalámbricos con Luces Multicolor, Recargables y en Adorable Forma de Orejas de Gato - Conecta a Celulares y PCs, Tiene Radio FM, Tarjeta TF y AUX - 7 Horas de Reproducción, Plegables y Perfectos para Trabajo, Juegos y Estudio</t>
        </is>
      </c>
      <c r="H502" s="16" t="inlineStr">
        <is>
          <t>blanco</t>
        </is>
      </c>
      <c r="I502" s="16" t="n">
        <v>1</v>
      </c>
      <c r="J502" s="17" t="n">
        <v>76</v>
      </c>
      <c r="K502" s="17" t="n">
        <v>85.75</v>
      </c>
      <c r="L502" s="17" t="n">
        <v>25.86</v>
      </c>
      <c r="M502" s="17" t="n">
        <v>0</v>
      </c>
      <c r="N502" s="17">
        <f>K502*0.08+L502*0.08</f>
        <v/>
      </c>
      <c r="O502" s="17">
        <f>-(K502*0.025+L502*0.025)</f>
        <v/>
      </c>
      <c r="P502" s="17">
        <f>32</f>
        <v/>
      </c>
      <c r="Q502" s="17">
        <f>J502+L502+N502+O502-P502-M502</f>
        <v/>
      </c>
    </row>
    <row r="503">
      <c r="A503" s="16" t="inlineStr">
        <is>
          <t>5.1-5.7</t>
        </is>
      </c>
      <c r="B503" s="16" t="inlineStr">
        <is>
          <t>PO-128-13797655921273294</t>
        </is>
      </c>
      <c r="C503" s="16" t="inlineStr">
        <is>
          <t>Delivered</t>
        </is>
      </c>
      <c r="D503" s="16" t="inlineStr">
        <is>
          <t>128-13797697864313294</t>
        </is>
      </c>
      <c r="E503" s="16" t="inlineStr">
        <is>
          <t>Delivered</t>
        </is>
      </c>
      <c r="F503" s="16" t="inlineStr">
        <is>
          <t>LV64W25</t>
        </is>
      </c>
      <c r="G5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03" s="16" t="inlineStr">
        <is>
          <t>Blanco</t>
        </is>
      </c>
      <c r="I503" s="16" t="n">
        <v>1</v>
      </c>
      <c r="J503" s="17" t="n">
        <v>125</v>
      </c>
      <c r="K503" s="17" t="n">
        <v>130.39</v>
      </c>
      <c r="L503" s="17" t="n">
        <v>25.86</v>
      </c>
      <c r="M503" s="17" t="n">
        <v>0</v>
      </c>
      <c r="N503" s="17">
        <f>K503*0.08+L503*0.08</f>
        <v/>
      </c>
      <c r="O503" s="17">
        <f>-(K503*0.025+L503*0.025)</f>
        <v/>
      </c>
      <c r="P503" s="17">
        <f>32</f>
        <v/>
      </c>
      <c r="Q503" s="17">
        <f>J503+L503+N503+O503-P503-M503</f>
        <v/>
      </c>
    </row>
    <row r="504">
      <c r="A504" s="16" t="inlineStr">
        <is>
          <t>5.1-5.7</t>
        </is>
      </c>
      <c r="B504" s="16" t="inlineStr">
        <is>
          <t>PO-128-14275787336310508</t>
        </is>
      </c>
      <c r="C504" s="16" t="inlineStr">
        <is>
          <t>Delivered</t>
        </is>
      </c>
      <c r="D504" s="16" t="inlineStr">
        <is>
          <t>128-14275797822070508</t>
        </is>
      </c>
      <c r="E504" s="16" t="inlineStr">
        <is>
          <t>Delivered</t>
        </is>
      </c>
      <c r="F504" s="16" t="inlineStr">
        <is>
          <t>LV64W25</t>
        </is>
      </c>
      <c r="G5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04" s="16" t="inlineStr">
        <is>
          <t>Blanco</t>
        </is>
      </c>
      <c r="I504" s="16" t="n">
        <v>1</v>
      </c>
      <c r="J504" s="17" t="n">
        <v>125</v>
      </c>
      <c r="K504" s="17" t="n">
        <v>143.28</v>
      </c>
      <c r="L504" s="17" t="n">
        <v>25.86</v>
      </c>
      <c r="M504" s="17" t="n">
        <v>0</v>
      </c>
      <c r="N504" s="17">
        <f>K504*0.08+L504*0.08</f>
        <v/>
      </c>
      <c r="O504" s="17">
        <f>-(K504*0.025+L504*0.025)</f>
        <v/>
      </c>
      <c r="P504" s="17">
        <f>32</f>
        <v/>
      </c>
      <c r="Q504" s="17">
        <f>J504+L504+N504+O504-P504-M504</f>
        <v/>
      </c>
    </row>
    <row r="505">
      <c r="A505" s="16" t="inlineStr">
        <is>
          <t>5.1-5.7</t>
        </is>
      </c>
      <c r="B505" s="16" t="inlineStr">
        <is>
          <t>PO-128-14044697047672718</t>
        </is>
      </c>
      <c r="C505" s="16" t="inlineStr">
        <is>
          <t>Delivered</t>
        </is>
      </c>
      <c r="D505" s="16" t="inlineStr">
        <is>
          <t>128-14044655104632718</t>
        </is>
      </c>
      <c r="E505" s="16" t="inlineStr">
        <is>
          <t>Delivered</t>
        </is>
      </c>
      <c r="F505" s="16" t="inlineStr">
        <is>
          <t>LV64W25</t>
        </is>
      </c>
      <c r="G5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05" s="16" t="inlineStr">
        <is>
          <t>Blanco</t>
        </is>
      </c>
      <c r="I505" s="16" t="n">
        <v>2</v>
      </c>
      <c r="J505" s="17" t="n">
        <v>250</v>
      </c>
      <c r="K505" s="17" t="n">
        <v>260.78</v>
      </c>
      <c r="L505" s="17" t="n">
        <v>0</v>
      </c>
      <c r="M505" s="17" t="n">
        <v>0</v>
      </c>
      <c r="N505" s="17">
        <f>K505*0.08+L505*0.08</f>
        <v/>
      </c>
      <c r="O505" s="17">
        <f>-(K505*0.025+L505*0.025)</f>
        <v/>
      </c>
      <c r="P505" s="17">
        <f>32</f>
        <v/>
      </c>
      <c r="Q505" s="17">
        <f>J505+L505+N505+O505-P505-M505</f>
        <v/>
      </c>
    </row>
    <row r="506">
      <c r="A506" s="16" t="inlineStr">
        <is>
          <t>5.1-5.7</t>
        </is>
      </c>
      <c r="B506" s="16" t="inlineStr">
        <is>
          <t>PO-128-14170951393911135</t>
        </is>
      </c>
      <c r="C506" s="16" t="inlineStr">
        <is>
          <t>Delivered</t>
        </is>
      </c>
      <c r="D506" s="16" t="inlineStr">
        <is>
          <t>128-14170972365431135</t>
        </is>
      </c>
      <c r="E506" s="16" t="inlineStr">
        <is>
          <t>Delivered</t>
        </is>
      </c>
      <c r="F506" s="16" t="inlineStr">
        <is>
          <t>KTS-2031</t>
        </is>
      </c>
      <c r="G506" s="16" t="inlineStr">
        <is>
          <t>Bocina inalámbrica de 3 pulgadas con linterna multifuncional y panel solar integrado.Altavoz Portátil con Linterna LED 4 Modos, Radio FM, Bluetooth, Carga Solar, Ideal para Apagones, Emergencias, Campo y Exteriores</t>
        </is>
      </c>
      <c r="H506" s="16" t="inlineStr">
        <is>
          <t>NEGRO</t>
        </is>
      </c>
      <c r="I506" s="16" t="n">
        <v>1</v>
      </c>
      <c r="J506" s="17" t="n">
        <v>75</v>
      </c>
      <c r="K506" s="17" t="n">
        <v>84.23</v>
      </c>
      <c r="L506" s="17" t="n">
        <v>25.86</v>
      </c>
      <c r="M506" s="17" t="n">
        <v>0</v>
      </c>
      <c r="N506" s="17">
        <f>K506*0.08+L506*0.08</f>
        <v/>
      </c>
      <c r="O506" s="17">
        <f>-(K506*0.025+L506*0.025)</f>
        <v/>
      </c>
      <c r="P506" s="17">
        <f>32</f>
        <v/>
      </c>
      <c r="Q506" s="17">
        <f>J506+L506+N506+O506-P506-M506</f>
        <v/>
      </c>
    </row>
    <row r="507">
      <c r="A507" s="16" t="inlineStr">
        <is>
          <t>5.1-5.7</t>
        </is>
      </c>
      <c r="B507" s="16" t="inlineStr">
        <is>
          <t>PO-128-14078817710712642</t>
        </is>
      </c>
      <c r="C507" s="16" t="inlineStr">
        <is>
          <t>Delivered</t>
        </is>
      </c>
      <c r="D507" s="16" t="inlineStr">
        <is>
          <t>128-14078859653752642</t>
        </is>
      </c>
      <c r="E507" s="16" t="inlineStr">
        <is>
          <t>Delivered</t>
        </is>
      </c>
      <c r="F507" s="16" t="inlineStr">
        <is>
          <t>LV64W25</t>
        </is>
      </c>
      <c r="G5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07" s="16" t="inlineStr">
        <is>
          <t>Blanco</t>
        </is>
      </c>
      <c r="I507" s="16" t="n">
        <v>2</v>
      </c>
      <c r="J507" s="17" t="n">
        <v>250</v>
      </c>
      <c r="K507" s="17" t="n">
        <v>200.44</v>
      </c>
      <c r="L507" s="17" t="n">
        <v>0</v>
      </c>
      <c r="M507" s="17" t="n">
        <v>0</v>
      </c>
      <c r="N507" s="17">
        <f>K507*0.08+L507*0.08</f>
        <v/>
      </c>
      <c r="O507" s="17">
        <f>-(K507*0.025+L507*0.025)</f>
        <v/>
      </c>
      <c r="P507" s="17">
        <f>32</f>
        <v/>
      </c>
      <c r="Q507" s="17">
        <f>J507+L507+N507+O507-P507-M507</f>
        <v/>
      </c>
    </row>
    <row r="508">
      <c r="A508" s="16" t="inlineStr">
        <is>
          <t>5.1-5.7</t>
        </is>
      </c>
      <c r="B508" s="16" t="inlineStr">
        <is>
          <t>PO-128-13974657413752241</t>
        </is>
      </c>
      <c r="C508" s="16" t="inlineStr">
        <is>
          <t>Delivered</t>
        </is>
      </c>
      <c r="D508" s="16" t="inlineStr">
        <is>
          <t>128-13974699356792241</t>
        </is>
      </c>
      <c r="E508" s="16" t="inlineStr">
        <is>
          <t>Delivered</t>
        </is>
      </c>
      <c r="F508" s="16" t="inlineStr">
        <is>
          <t>B03W10-10PZS</t>
        </is>
      </c>
      <c r="G50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508" s="16" t="inlineStr">
        <is>
          <t>B03W10</t>
        </is>
      </c>
      <c r="I508" s="16" t="n">
        <v>1</v>
      </c>
      <c r="J508" s="17" t="n">
        <v>71.5</v>
      </c>
      <c r="K508" s="17" t="n">
        <v>91.68000000000001</v>
      </c>
      <c r="L508" s="17" t="n">
        <v>0</v>
      </c>
      <c r="M508" s="17" t="n">
        <v>91.68000000000001</v>
      </c>
      <c r="N508" s="17">
        <f>K508*0.08+L508*0.08</f>
        <v/>
      </c>
      <c r="O508" s="17">
        <f>-(K508*0.025+L508*0.025)</f>
        <v/>
      </c>
      <c r="P508" s="17">
        <f>32</f>
        <v/>
      </c>
      <c r="Q508" s="17">
        <f>J508+L508+N508+O508-P508-M508</f>
        <v/>
      </c>
    </row>
    <row r="509">
      <c r="A509" s="16" t="inlineStr">
        <is>
          <t>5.1-5.7</t>
        </is>
      </c>
      <c r="B509" s="16" t="inlineStr">
        <is>
          <t>PO-128-14004712141432956</t>
        </is>
      </c>
      <c r="C509" s="16" t="inlineStr">
        <is>
          <t>Delivered</t>
        </is>
      </c>
      <c r="D509" s="16" t="inlineStr">
        <is>
          <t>128-14004764570232956</t>
        </is>
      </c>
      <c r="E509" s="16" t="inlineStr">
        <is>
          <t>Delivered</t>
        </is>
      </c>
      <c r="F509" s="16" t="inlineStr">
        <is>
          <t>LV54W25</t>
        </is>
      </c>
      <c r="G509" s="16" t="inlineStr">
        <is>
          <t>TIANLAI Lámpara Ventilador E27 2 en 1, Silenciosa, LED Alta Luminosidad 180°, Instalación Rápida, Ahorro Energético para Dormitorio y Interiores Pequeños</t>
        </is>
      </c>
      <c r="H509" s="16" t="inlineStr">
        <is>
          <t>1 Pieza</t>
        </is>
      </c>
      <c r="I509" s="16" t="n">
        <v>1</v>
      </c>
      <c r="J509" s="17" t="n">
        <v>79</v>
      </c>
      <c r="K509" s="17" t="n">
        <v>0</v>
      </c>
      <c r="L509" s="17" t="n">
        <v>0</v>
      </c>
      <c r="M509" s="17" t="n">
        <v>0</v>
      </c>
      <c r="N509" s="17">
        <f>K509*0.08+L509*0.08</f>
        <v/>
      </c>
      <c r="O509" s="17">
        <f>-(K509*0.025+L509*0.025)</f>
        <v/>
      </c>
      <c r="P509" s="17">
        <f>32</f>
        <v/>
      </c>
      <c r="Q509" s="17">
        <f>J509+L509+N509+O509-P509-M509</f>
        <v/>
      </c>
    </row>
    <row r="510">
      <c r="A510" s="16" t="inlineStr">
        <is>
          <t>5.1-5.7</t>
        </is>
      </c>
      <c r="B510" s="16" t="inlineStr">
        <is>
          <t>PO-128-14238187689591564</t>
        </is>
      </c>
      <c r="C510" s="16" t="inlineStr">
        <is>
          <t>Delivered</t>
        </is>
      </c>
      <c r="D510" s="16" t="inlineStr">
        <is>
          <t>128-14238292547191564</t>
        </is>
      </c>
      <c r="E510" s="16" t="inlineStr">
        <is>
          <t>Delivered</t>
        </is>
      </c>
      <c r="F510" s="16" t="inlineStr">
        <is>
          <t>LV64W25</t>
        </is>
      </c>
      <c r="G5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10" s="16" t="inlineStr">
        <is>
          <t>Blanco</t>
        </is>
      </c>
      <c r="I510" s="16" t="n">
        <v>1</v>
      </c>
      <c r="J510" s="17" t="n">
        <v>125</v>
      </c>
      <c r="K510" s="17" t="n">
        <v>87.29000000000001</v>
      </c>
      <c r="L510" s="17" t="n">
        <v>25.86</v>
      </c>
      <c r="M510" s="17" t="n">
        <v>0</v>
      </c>
      <c r="N510" s="17">
        <f>K510*0.08+L510*0.08</f>
        <v/>
      </c>
      <c r="O510" s="17">
        <f>-(K510*0.025+L510*0.025)</f>
        <v/>
      </c>
      <c r="P510" s="17">
        <f>32</f>
        <v/>
      </c>
      <c r="Q510" s="17">
        <f>J510+L510+N510+O510-P510-M510</f>
        <v/>
      </c>
    </row>
    <row r="511">
      <c r="A511" s="16" t="inlineStr">
        <is>
          <t>5.1-5.7</t>
        </is>
      </c>
      <c r="B511" s="16" t="inlineStr">
        <is>
          <t>PO-128-14313228739190223</t>
        </is>
      </c>
      <c r="C511" s="16" t="inlineStr">
        <is>
          <t>Delivered</t>
        </is>
      </c>
      <c r="D511" s="16" t="inlineStr">
        <is>
          <t>128-14313270682230223</t>
        </is>
      </c>
      <c r="E511" s="16" t="inlineStr">
        <is>
          <t>Delivered</t>
        </is>
      </c>
      <c r="F511" s="16" t="inlineStr">
        <is>
          <t>LV54W25</t>
        </is>
      </c>
      <c r="G511" s="16" t="inlineStr">
        <is>
          <t>TIANLAI Lámpara Ventilador E27 2 en 1, Silenciosa, LED Alta Luminosidad 180°, Instalación Rápida, Ahorro Energético para Dormitorio y Interiores Pequeños</t>
        </is>
      </c>
      <c r="H511" s="16" t="inlineStr">
        <is>
          <t>1 Pieza</t>
        </is>
      </c>
      <c r="I511" s="16" t="n">
        <v>3</v>
      </c>
      <c r="J511" s="17" t="n">
        <v>237</v>
      </c>
      <c r="K511" s="17" t="n">
        <v>248.19</v>
      </c>
      <c r="L511" s="17" t="n">
        <v>0</v>
      </c>
      <c r="M511" s="17" t="n">
        <v>0</v>
      </c>
      <c r="N511" s="17">
        <f>K511*0.08+L511*0.08</f>
        <v/>
      </c>
      <c r="O511" s="17">
        <f>-(K511*0.025+L511*0.025)</f>
        <v/>
      </c>
      <c r="P511" s="17">
        <f>32</f>
        <v/>
      </c>
      <c r="Q511" s="17">
        <f>J511+L511+N511+O511-P511-M511</f>
        <v/>
      </c>
    </row>
    <row r="512">
      <c r="A512" s="16" t="inlineStr">
        <is>
          <t>5.1-5.7</t>
        </is>
      </c>
      <c r="B512" s="16" t="inlineStr">
        <is>
          <t>PO-128-14294775757430333</t>
        </is>
      </c>
      <c r="C512" s="16" t="inlineStr">
        <is>
          <t>Delivered</t>
        </is>
      </c>
      <c r="D512" s="16" t="inlineStr">
        <is>
          <t>128-14294816717430333</t>
        </is>
      </c>
      <c r="E512" s="16" t="inlineStr">
        <is>
          <t>Delivered</t>
        </is>
      </c>
      <c r="F512" s="16" t="inlineStr">
        <is>
          <t>LV64W25</t>
        </is>
      </c>
      <c r="G5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12" s="16" t="inlineStr">
        <is>
          <t>Blanco</t>
        </is>
      </c>
      <c r="I512" s="16" t="n">
        <v>3</v>
      </c>
      <c r="J512" s="17" t="n">
        <v>375</v>
      </c>
      <c r="K512" s="17" t="n">
        <v>354</v>
      </c>
      <c r="L512" s="17" t="n">
        <v>0</v>
      </c>
      <c r="M512" s="17" t="n">
        <v>0</v>
      </c>
      <c r="N512" s="17">
        <f>K512*0.08+L512*0.08</f>
        <v/>
      </c>
      <c r="O512" s="17">
        <f>-(K512*0.025+L512*0.025)</f>
        <v/>
      </c>
      <c r="P512" s="17">
        <f>32</f>
        <v/>
      </c>
      <c r="Q512" s="17">
        <f>J512+L512+N512+O512-P512-M512</f>
        <v/>
      </c>
    </row>
    <row r="513">
      <c r="A513" s="16" t="inlineStr">
        <is>
          <t>5.1-5.7</t>
        </is>
      </c>
      <c r="B513" s="16" t="inlineStr">
        <is>
          <t>PO-128-14281666345590283</t>
        </is>
      </c>
      <c r="C513" s="16" t="inlineStr">
        <is>
          <t>Delivered</t>
        </is>
      </c>
      <c r="D513" s="16" t="inlineStr">
        <is>
          <t>128-14281634888310283</t>
        </is>
      </c>
      <c r="E513" s="16" t="inlineStr">
        <is>
          <t>Delivered</t>
        </is>
      </c>
      <c r="F513" s="16" t="inlineStr">
        <is>
          <t>LV64W25</t>
        </is>
      </c>
      <c r="G5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13" s="16" t="inlineStr">
        <is>
          <t>Blanco</t>
        </is>
      </c>
      <c r="I513" s="16" t="n">
        <v>2</v>
      </c>
      <c r="J513" s="17" t="n">
        <v>250</v>
      </c>
      <c r="K513" s="17" t="n">
        <v>260.78</v>
      </c>
      <c r="L513" s="17" t="n">
        <v>0</v>
      </c>
      <c r="M513" s="17" t="n">
        <v>0</v>
      </c>
      <c r="N513" s="17">
        <f>K513*0.08+L513*0.08</f>
        <v/>
      </c>
      <c r="O513" s="17">
        <f>-(K513*0.025+L513*0.025)</f>
        <v/>
      </c>
      <c r="P513" s="17">
        <f>32</f>
        <v/>
      </c>
      <c r="Q513" s="17">
        <f>J513+L513+N513+O513-P513-M513</f>
        <v/>
      </c>
    </row>
    <row r="514">
      <c r="A514" s="16" t="inlineStr">
        <is>
          <t>5.1-5.7</t>
        </is>
      </c>
      <c r="B514" s="16" t="inlineStr">
        <is>
          <t>PO-128-14310878659190173</t>
        </is>
      </c>
      <c r="C514" s="16" t="inlineStr">
        <is>
          <t>Delivered</t>
        </is>
      </c>
      <c r="D514" s="16" t="inlineStr">
        <is>
          <t>128-14310920602230173</t>
        </is>
      </c>
      <c r="E514" s="16" t="inlineStr">
        <is>
          <t>Delivered</t>
        </is>
      </c>
      <c r="F514" s="16" t="inlineStr">
        <is>
          <t>MB-174-G</t>
        </is>
      </c>
      <c r="G514" s="16" t="inlineStr">
        <is>
          <t>LINK BITS MB-174 Mini Bocina Bluetooth Soporte para Celular Integrado TWS Luz Ambiental 5W 80dB Sonido Claro Carga TYPE-C Material ABS Portátil Ideal como Regalo para Hogar Oficina Exterior Picnic</t>
        </is>
      </c>
      <c r="H514" s="16" t="inlineStr">
        <is>
          <t>GRIS</t>
        </is>
      </c>
      <c r="I514" s="16" t="n">
        <v>1</v>
      </c>
      <c r="J514" s="17" t="n">
        <v>93.8</v>
      </c>
      <c r="K514" s="17" t="n">
        <v>111.86</v>
      </c>
      <c r="L514" s="17" t="n">
        <v>13.91</v>
      </c>
      <c r="M514" s="17" t="n">
        <v>0</v>
      </c>
      <c r="N514" s="17">
        <f>K514*0.08+L514*0.08</f>
        <v/>
      </c>
      <c r="O514" s="17">
        <f>-(K514*0.025+L514*0.025)</f>
        <v/>
      </c>
      <c r="P514" s="17">
        <f>32</f>
        <v/>
      </c>
      <c r="Q514" s="17">
        <f>J514+L514+N514+O514-P514-M514</f>
        <v/>
      </c>
    </row>
    <row r="515">
      <c r="A515" s="16" t="inlineStr">
        <is>
          <t>5.1-5.7</t>
        </is>
      </c>
      <c r="B515" s="16" t="inlineStr">
        <is>
          <t>PO-128-14310878659190173</t>
        </is>
      </c>
      <c r="C515" s="16" t="inlineStr">
        <is>
          <t>Delivered</t>
        </is>
      </c>
      <c r="D515" s="16" t="inlineStr">
        <is>
          <t>128-14310941573750173</t>
        </is>
      </c>
      <c r="E515" s="16" t="inlineStr">
        <is>
          <t>Delivered</t>
        </is>
      </c>
      <c r="F515" s="16" t="inlineStr">
        <is>
          <t>LV54W25</t>
        </is>
      </c>
      <c r="G515" s="16" t="inlineStr">
        <is>
          <t>TIANLAI Lámpara Ventilador E27 2 en 1, Silenciosa, LED Alta Luminosidad 180°, Instalación Rápida, Ahorro Energético para Dormitorio y Interiores Pequeños</t>
        </is>
      </c>
      <c r="H515" s="16" t="inlineStr">
        <is>
          <t>1 Pieza</t>
        </is>
      </c>
      <c r="I515" s="16" t="n">
        <v>1</v>
      </c>
      <c r="J515" s="17" t="n">
        <v>79</v>
      </c>
      <c r="K515" s="17" t="n">
        <v>96.2</v>
      </c>
      <c r="L515" s="17" t="n">
        <v>11.96</v>
      </c>
      <c r="M515" s="17" t="n">
        <v>0</v>
      </c>
      <c r="N515" s="17">
        <f>K515*0.08+L515*0.08</f>
        <v/>
      </c>
      <c r="O515" s="17">
        <f>-(K515*0.025+L515*0.025)</f>
        <v/>
      </c>
      <c r="P515" s="17">
        <f>32</f>
        <v/>
      </c>
      <c r="Q515" s="17">
        <f>J515+L515+N515+O515-P515-M515</f>
        <v/>
      </c>
    </row>
    <row r="516">
      <c r="A516" s="16" t="inlineStr">
        <is>
          <t>5.1-5.7</t>
        </is>
      </c>
      <c r="B516" s="16" t="inlineStr">
        <is>
          <t>PO-128-14075676529272599</t>
        </is>
      </c>
      <c r="C516" s="16" t="inlineStr">
        <is>
          <t>Delivered</t>
        </is>
      </c>
      <c r="D516" s="16" t="inlineStr">
        <is>
          <t>128-14075728958072599</t>
        </is>
      </c>
      <c r="E516" s="16" t="inlineStr">
        <is>
          <t>Delivered</t>
        </is>
      </c>
      <c r="F516" s="16" t="inlineStr">
        <is>
          <t>KTS-2031</t>
        </is>
      </c>
      <c r="G516" s="16" t="inlineStr">
        <is>
          <t>Bocina inalámbrica de 3 pulgadas con linterna multifuncional y panel solar integrado.Altavoz Portátil con Linterna LED 4 Modos, Radio FM, Bluetooth, Carga Solar, Ideal para Apagones, Emergencias, Campo y Exteriores</t>
        </is>
      </c>
      <c r="H516" s="16" t="inlineStr">
        <is>
          <t>NEGRO</t>
        </is>
      </c>
      <c r="I516" s="16" t="n">
        <v>1</v>
      </c>
      <c r="J516" s="17" t="n">
        <v>75</v>
      </c>
      <c r="K516" s="17" t="n">
        <v>1.47</v>
      </c>
      <c r="L516" s="17" t="n">
        <v>25.86</v>
      </c>
      <c r="M516" s="17" t="n">
        <v>0.01</v>
      </c>
      <c r="N516" s="17">
        <f>K516*0.08+L516*0.08</f>
        <v/>
      </c>
      <c r="O516" s="17">
        <f>-(K516*0.025+L516*0.025)</f>
        <v/>
      </c>
      <c r="P516" s="17">
        <f>32</f>
        <v/>
      </c>
      <c r="Q516" s="17">
        <f>J516+L516+N516+O516-P516-M516</f>
        <v/>
      </c>
    </row>
    <row r="517">
      <c r="A517" s="16" t="inlineStr">
        <is>
          <t>5.1-5.7</t>
        </is>
      </c>
      <c r="B517" s="16" t="inlineStr">
        <is>
          <t>PO-128-14345971579510922</t>
        </is>
      </c>
      <c r="C517" s="16" t="inlineStr">
        <is>
          <t>Delivered</t>
        </is>
      </c>
      <c r="D517" s="16" t="inlineStr">
        <is>
          <t>128-14345984686710922</t>
        </is>
      </c>
      <c r="E517" s="16" t="inlineStr">
        <is>
          <t>Delivered</t>
        </is>
      </c>
      <c r="F517" s="16" t="inlineStr">
        <is>
          <t>KTS-2031</t>
        </is>
      </c>
      <c r="G517" s="16" t="inlineStr">
        <is>
          <t>Bocina inalámbrica de 3 pulgadas con linterna multifuncional y panel solar integrado.Altavoz Portátil con Linterna LED 4 Modos, Radio FM, Bluetooth, Carga Solar, Ideal para Apagones, Emergencias, Campo y Exteriores</t>
        </is>
      </c>
      <c r="H517" s="16" t="inlineStr">
        <is>
          <t>NEGRO</t>
        </is>
      </c>
      <c r="I517" s="16" t="n">
        <v>2</v>
      </c>
      <c r="J517" s="17" t="n">
        <v>150</v>
      </c>
      <c r="K517" s="17" t="n">
        <v>168.46</v>
      </c>
      <c r="L517" s="17" t="n">
        <v>25.86</v>
      </c>
      <c r="M517" s="17" t="n">
        <v>0</v>
      </c>
      <c r="N517" s="17">
        <f>K517*0.08+L517*0.08</f>
        <v/>
      </c>
      <c r="O517" s="17">
        <f>-(K517*0.025+L517*0.025)</f>
        <v/>
      </c>
      <c r="P517" s="17">
        <f>32</f>
        <v/>
      </c>
      <c r="Q517" s="17">
        <f>J517+L517+N517+O517-P517-M517</f>
        <v/>
      </c>
    </row>
    <row r="518">
      <c r="A518" s="16" t="inlineStr">
        <is>
          <t>5.1-5.7</t>
        </is>
      </c>
      <c r="B518" s="16" t="inlineStr">
        <is>
          <t>PO-128-14100523100791491</t>
        </is>
      </c>
      <c r="C518" s="16" t="inlineStr">
        <is>
          <t>Delivered</t>
        </is>
      </c>
      <c r="D518" s="16" t="inlineStr">
        <is>
          <t>128-14100460186231491</t>
        </is>
      </c>
      <c r="E518" s="16" t="inlineStr">
        <is>
          <t>Delivered</t>
        </is>
      </c>
      <c r="F518" s="16" t="inlineStr">
        <is>
          <t>VB349T</t>
        </is>
      </c>
      <c r="G518" s="16" t="inlineStr">
        <is>
          <t>LINKBITS Altavoz Portátil de Doble Altavoz - 3 Pulgadas, Sonido HD, Emparejamiento Rápido de Bluetooth, Conectividad TWS, Reproducción Multimodo (Micro SD/USB/Radio FM) - Perfecto para Oficina, Viajes y Espacios Pequeños</t>
        </is>
      </c>
      <c r="H518" s="16" t="inlineStr">
        <is>
          <t>NEGRO</t>
        </is>
      </c>
      <c r="I518" s="16" t="n">
        <v>1</v>
      </c>
      <c r="J518" s="17" t="n">
        <v>81</v>
      </c>
      <c r="K518" s="17" t="n">
        <v>94.27</v>
      </c>
      <c r="L518" s="17" t="n">
        <v>0</v>
      </c>
      <c r="M518" s="17" t="n">
        <v>0</v>
      </c>
      <c r="N518" s="17">
        <f>K518*0.08+L518*0.08</f>
        <v/>
      </c>
      <c r="O518" s="17">
        <f>-(K518*0.025+L518*0.025)</f>
        <v/>
      </c>
      <c r="P518" s="17">
        <f>32</f>
        <v/>
      </c>
      <c r="Q518" s="17">
        <f>J518+L518+N518+O518-P518-M518</f>
        <v/>
      </c>
    </row>
    <row r="519">
      <c r="A519" s="16" t="inlineStr">
        <is>
          <t>5.1-5.7</t>
        </is>
      </c>
      <c r="B519" s="16" t="inlineStr">
        <is>
          <t>PO-128-14100523100791491</t>
        </is>
      </c>
      <c r="C519" s="16" t="inlineStr">
        <is>
          <t>Delivered</t>
        </is>
      </c>
      <c r="D519" s="16" t="inlineStr">
        <is>
          <t>128-14100502129271491</t>
        </is>
      </c>
      <c r="E519" s="16" t="inlineStr">
        <is>
          <t>Delivered</t>
        </is>
      </c>
      <c r="F519" s="16" t="inlineStr">
        <is>
          <t>SA428T</t>
        </is>
      </c>
      <c r="G519"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519" s="16" t="inlineStr">
        <is>
          <t>SA428T</t>
        </is>
      </c>
      <c r="I519" s="16" t="n">
        <v>2</v>
      </c>
      <c r="J519" s="17" t="n">
        <v>172.44</v>
      </c>
      <c r="K519" s="17" t="n">
        <v>203.38</v>
      </c>
      <c r="L519" s="17" t="n">
        <v>0</v>
      </c>
      <c r="M519" s="17" t="n">
        <v>0</v>
      </c>
      <c r="N519" s="17">
        <f>K519*0.08+L519*0.08</f>
        <v/>
      </c>
      <c r="O519" s="17">
        <f>-(K519*0.025+L519*0.025)</f>
        <v/>
      </c>
      <c r="P519" s="17">
        <f>32</f>
        <v/>
      </c>
      <c r="Q519" s="17">
        <f>J519+L519+N519+O519-P519-M519</f>
        <v/>
      </c>
    </row>
    <row r="520">
      <c r="A520" s="16" t="inlineStr">
        <is>
          <t>5.1-5.7</t>
        </is>
      </c>
      <c r="B520" s="16" t="inlineStr">
        <is>
          <t>PO-128-14100523100791491</t>
        </is>
      </c>
      <c r="C520" s="16" t="inlineStr">
        <is>
          <t>Delivered</t>
        </is>
      </c>
      <c r="D520" s="16" t="inlineStr">
        <is>
          <t>128-14100544072311491</t>
        </is>
      </c>
      <c r="E520" s="16" t="inlineStr">
        <is>
          <t>Delivered</t>
        </is>
      </c>
      <c r="F520" s="16" t="inlineStr">
        <is>
          <t>LV54W25</t>
        </is>
      </c>
      <c r="G520" s="16" t="inlineStr">
        <is>
          <t>TIANLAI Lámpara Ventilador E27 2 en 1, Silenciosa, LED Alta Luminosidad 180°, Instalación Rápida, Ahorro Energético para Dormitorio y Interiores Pequeños</t>
        </is>
      </c>
      <c r="H520" s="16" t="inlineStr">
        <is>
          <t>1 Pieza</t>
        </is>
      </c>
      <c r="I520" s="16" t="n">
        <v>1</v>
      </c>
      <c r="J520" s="17" t="n">
        <v>79</v>
      </c>
      <c r="K520" s="17" t="n">
        <v>82.73</v>
      </c>
      <c r="L520" s="17" t="n">
        <v>0</v>
      </c>
      <c r="M520" s="17" t="n">
        <v>0</v>
      </c>
      <c r="N520" s="17">
        <f>K520*0.08+L520*0.08</f>
        <v/>
      </c>
      <c r="O520" s="17">
        <f>-(K520*0.025+L520*0.025)</f>
        <v/>
      </c>
      <c r="P520" s="17">
        <f>32</f>
        <v/>
      </c>
      <c r="Q520" s="17">
        <f>J520+L520+N520+O520-P520-M520</f>
        <v/>
      </c>
    </row>
    <row r="521">
      <c r="A521" s="16" t="inlineStr">
        <is>
          <t>5.1-5.7</t>
        </is>
      </c>
      <c r="B521" s="16" t="inlineStr">
        <is>
          <t>PO-128-14351662684790952</t>
        </is>
      </c>
      <c r="C521" s="16" t="inlineStr">
        <is>
          <t>Delivered</t>
        </is>
      </c>
      <c r="D521" s="16" t="inlineStr">
        <is>
          <t>128-14351715113590952</t>
        </is>
      </c>
      <c r="E521" s="16" t="inlineStr">
        <is>
          <t>Delivered</t>
        </is>
      </c>
      <c r="F521" s="16" t="inlineStr">
        <is>
          <t>LV54W25</t>
        </is>
      </c>
      <c r="G521" s="16" t="inlineStr">
        <is>
          <t>TIANLAI Lámpara Ventilador E27 2 en 1, Silenciosa, LED Alta Luminosidad 180°, Instalación Rápida, Ahorro Energético para Dormitorio y Interiores Pequeños</t>
        </is>
      </c>
      <c r="H521" s="16" t="inlineStr">
        <is>
          <t>1 Pieza</t>
        </is>
      </c>
      <c r="I521" s="16" t="n">
        <v>1</v>
      </c>
      <c r="J521" s="17" t="n">
        <v>79</v>
      </c>
      <c r="K521" s="17" t="n">
        <v>39.63</v>
      </c>
      <c r="L521" s="17" t="n">
        <v>25.86</v>
      </c>
      <c r="M521" s="17" t="n">
        <v>0</v>
      </c>
      <c r="N521" s="17">
        <f>K521*0.08+L521*0.08</f>
        <v/>
      </c>
      <c r="O521" s="17">
        <f>-(K521*0.025+L521*0.025)</f>
        <v/>
      </c>
      <c r="P521" s="17">
        <f>32</f>
        <v/>
      </c>
      <c r="Q521" s="17">
        <f>J521+L521+N521+O521-P521-M521</f>
        <v/>
      </c>
    </row>
    <row r="522">
      <c r="A522" s="16" t="inlineStr">
        <is>
          <t>5.1-5.7</t>
        </is>
      </c>
      <c r="B522" s="16" t="inlineStr">
        <is>
          <t>PO-128-13957447977592406</t>
        </is>
      </c>
      <c r="C522" s="16" t="inlineStr">
        <is>
          <t>Delivered</t>
        </is>
      </c>
      <c r="D522" s="16" t="inlineStr">
        <is>
          <t>128-13957406034552406</t>
        </is>
      </c>
      <c r="E522" s="16" t="inlineStr">
        <is>
          <t>Delivered</t>
        </is>
      </c>
      <c r="F522" s="16" t="inlineStr">
        <is>
          <t>LV64W25</t>
        </is>
      </c>
      <c r="G5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22" s="16" t="inlineStr">
        <is>
          <t>Blanco</t>
        </is>
      </c>
      <c r="I522" s="16" t="n">
        <v>3</v>
      </c>
      <c r="J522" s="17" t="n">
        <v>375</v>
      </c>
      <c r="K522" s="17" t="n">
        <v>391.17</v>
      </c>
      <c r="L522" s="17" t="n">
        <v>0</v>
      </c>
      <c r="M522" s="17" t="n">
        <v>0</v>
      </c>
      <c r="N522" s="17">
        <f>K522*0.08+L522*0.08</f>
        <v/>
      </c>
      <c r="O522" s="17">
        <f>-(K522*0.025+L522*0.025)</f>
        <v/>
      </c>
      <c r="P522" s="17">
        <f>32</f>
        <v/>
      </c>
      <c r="Q522" s="17">
        <f>J522+L522+N522+O522-P522-M522</f>
        <v/>
      </c>
    </row>
    <row r="523">
      <c r="A523" s="16" t="inlineStr">
        <is>
          <t>5.1-5.7</t>
        </is>
      </c>
      <c r="B523" s="16" t="inlineStr">
        <is>
          <t>PO-128-14228451072631750</t>
        </is>
      </c>
      <c r="C523" s="16" t="inlineStr">
        <is>
          <t>Delivered</t>
        </is>
      </c>
      <c r="D523" s="16" t="inlineStr">
        <is>
          <t>128-14228555930231750</t>
        </is>
      </c>
      <c r="E523" s="16" t="inlineStr">
        <is>
          <t>Delivered</t>
        </is>
      </c>
      <c r="F523" s="16" t="inlineStr">
        <is>
          <t>LV64W25</t>
        </is>
      </c>
      <c r="G5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23" s="16" t="inlineStr">
        <is>
          <t>Blanco</t>
        </is>
      </c>
      <c r="I523" s="16" t="n">
        <v>2</v>
      </c>
      <c r="J523" s="17" t="n">
        <v>250</v>
      </c>
      <c r="K523" s="17" t="n">
        <v>260.78</v>
      </c>
      <c r="L523" s="17" t="n">
        <v>0</v>
      </c>
      <c r="M523" s="17" t="n">
        <v>0</v>
      </c>
      <c r="N523" s="17">
        <f>K523*0.08+L523*0.08</f>
        <v/>
      </c>
      <c r="O523" s="17">
        <f>-(K523*0.025+L523*0.025)</f>
        <v/>
      </c>
      <c r="P523" s="17">
        <f>32</f>
        <v/>
      </c>
      <c r="Q523" s="17">
        <f>J523+L523+N523+O523-P523-M523</f>
        <v/>
      </c>
    </row>
    <row r="524">
      <c r="A524" s="16" t="inlineStr">
        <is>
          <t>5.1-5.7</t>
        </is>
      </c>
      <c r="B524" s="16" t="inlineStr">
        <is>
          <t>PO-128-14409172111990739</t>
        </is>
      </c>
      <c r="C524" s="16" t="inlineStr">
        <is>
          <t>Delivered</t>
        </is>
      </c>
      <c r="D524" s="16" t="inlineStr">
        <is>
          <t>128-14409145897590739</t>
        </is>
      </c>
      <c r="E524" s="16" t="inlineStr">
        <is>
          <t>Delivered</t>
        </is>
      </c>
      <c r="F524" s="16" t="inlineStr">
        <is>
          <t>TL1455N20B</t>
        </is>
      </c>
      <c r="G524" s="16" t="inlineStr">
        <is>
          <t>LINK BITS Soporte para TV 14 A 55 Pulgadas, Base para TV Pantalla Articulado Inclinable y Giratorio, MAX VESA 400×400 mm, Soporta hasta 18kg (Acero Reforzado)</t>
        </is>
      </c>
      <c r="H524" s="16" t="inlineStr">
        <is>
          <t>TL1455N20B</t>
        </is>
      </c>
      <c r="I524" s="16" t="n">
        <v>1</v>
      </c>
      <c r="J524" s="17" t="n">
        <v>72</v>
      </c>
      <c r="K524" s="17" t="n">
        <v>78.29000000000001</v>
      </c>
      <c r="L524" s="17" t="n">
        <v>25.86</v>
      </c>
      <c r="M524" s="17" t="n">
        <v>0</v>
      </c>
      <c r="N524" s="17">
        <f>K524*0.08+L524*0.08</f>
        <v/>
      </c>
      <c r="O524" s="17">
        <f>-(K524*0.025+L524*0.025)</f>
        <v/>
      </c>
      <c r="P524" s="17">
        <f>32</f>
        <v/>
      </c>
      <c r="Q524" s="17">
        <f>J524+L524+N524+O524-P524-M524</f>
        <v/>
      </c>
    </row>
    <row r="525">
      <c r="A525" s="16" t="inlineStr">
        <is>
          <t>5.1-5.7</t>
        </is>
      </c>
      <c r="B525" s="16" t="inlineStr">
        <is>
          <t>PO-128-14289995971190297</t>
        </is>
      </c>
      <c r="C525" s="16" t="inlineStr">
        <is>
          <t>Delivered</t>
        </is>
      </c>
      <c r="D525" s="16" t="inlineStr">
        <is>
          <t>128-14290159811190297</t>
        </is>
      </c>
      <c r="E525" s="16" t="inlineStr">
        <is>
          <t>Delivered</t>
        </is>
      </c>
      <c r="F525" s="16" t="inlineStr">
        <is>
          <t>i12-B</t>
        </is>
      </c>
      <c r="G525" s="16" t="inlineStr">
        <is>
          <t>Auriculares Inalámbricos TWS - Ideales para Usuarios Android e iPhone, Entusiastas del Deporte &amp; Música, Controles Táctiles, Audífonos Para Correr y Jugar</t>
        </is>
      </c>
      <c r="H525" s="16" t="inlineStr">
        <is>
          <t>Blanco</t>
        </is>
      </c>
      <c r="I525" s="16" t="n">
        <v>1</v>
      </c>
      <c r="J525" s="17" t="n">
        <v>44.8</v>
      </c>
      <c r="K525" s="17" t="n">
        <v>60.98</v>
      </c>
      <c r="L525" s="17" t="n">
        <v>25.86</v>
      </c>
      <c r="M525" s="17" t="n">
        <v>0</v>
      </c>
      <c r="N525" s="17">
        <f>K525*0.08+L525*0.08</f>
        <v/>
      </c>
      <c r="O525" s="17">
        <f>-(K525*0.025+L525*0.025)</f>
        <v/>
      </c>
      <c r="P525" s="17">
        <f>32</f>
        <v/>
      </c>
      <c r="Q525" s="17">
        <f>J525+L525+N525+O525-P525-M525</f>
        <v/>
      </c>
    </row>
    <row r="526">
      <c r="A526" s="16" t="inlineStr">
        <is>
          <t>5.1-5.7</t>
        </is>
      </c>
      <c r="B526" s="16" t="inlineStr">
        <is>
          <t>PO-128-14351577805430952</t>
        </is>
      </c>
      <c r="C526" s="16" t="inlineStr">
        <is>
          <t>Delivered</t>
        </is>
      </c>
      <c r="D526" s="16" t="inlineStr">
        <is>
          <t>128-14351630234230952</t>
        </is>
      </c>
      <c r="E526" s="16" t="inlineStr">
        <is>
          <t>Delivered</t>
        </is>
      </c>
      <c r="F526" s="16" t="inlineStr">
        <is>
          <t>LV54W25</t>
        </is>
      </c>
      <c r="G526" s="16" t="inlineStr">
        <is>
          <t>TIANLAI Lámpara Ventilador E27 2 en 1, Silenciosa, LED Alta Luminosidad 180°, Instalación Rápida, Ahorro Energético para Dormitorio y Interiores Pequeños</t>
        </is>
      </c>
      <c r="H526" s="16" t="inlineStr">
        <is>
          <t>1 Pieza</t>
        </is>
      </c>
      <c r="I526" s="16" t="n">
        <v>5</v>
      </c>
      <c r="J526" s="17" t="n">
        <v>395</v>
      </c>
      <c r="K526" s="17" t="n">
        <v>394.01</v>
      </c>
      <c r="L526" s="17" t="n">
        <v>0</v>
      </c>
      <c r="M526" s="17" t="n">
        <v>0</v>
      </c>
      <c r="N526" s="17">
        <f>K526*0.08+L526*0.08</f>
        <v/>
      </c>
      <c r="O526" s="17">
        <f>-(K526*0.025+L526*0.025)</f>
        <v/>
      </c>
      <c r="P526" s="17">
        <f>32</f>
        <v/>
      </c>
      <c r="Q526" s="17">
        <f>J526+L526+N526+O526-P526-M526</f>
        <v/>
      </c>
    </row>
    <row r="527">
      <c r="A527" s="16" t="inlineStr">
        <is>
          <t>5.1-5.7</t>
        </is>
      </c>
      <c r="B527" s="16" t="inlineStr">
        <is>
          <t>PO-128-14050686024312746</t>
        </is>
      </c>
      <c r="C527" s="16" t="inlineStr">
        <is>
          <t>Delivered</t>
        </is>
      </c>
      <c r="D527" s="16" t="inlineStr">
        <is>
          <t>128-14050738453112746</t>
        </is>
      </c>
      <c r="E527" s="16" t="inlineStr">
        <is>
          <t>Delivered</t>
        </is>
      </c>
      <c r="F527" s="16" t="inlineStr">
        <is>
          <t>LV64W25</t>
        </is>
      </c>
      <c r="G5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27" s="16" t="inlineStr">
        <is>
          <t>Blanco</t>
        </is>
      </c>
      <c r="I527" s="16" t="n">
        <v>1</v>
      </c>
      <c r="J527" s="17" t="n">
        <v>125</v>
      </c>
      <c r="K527" s="17" t="n">
        <v>130.39</v>
      </c>
      <c r="L527" s="17" t="n">
        <v>25.86</v>
      </c>
      <c r="M527" s="17" t="n">
        <v>0</v>
      </c>
      <c r="N527" s="17">
        <f>K527*0.08+L527*0.08</f>
        <v/>
      </c>
      <c r="O527" s="17">
        <f>-(K527*0.025+L527*0.025)</f>
        <v/>
      </c>
      <c r="P527" s="17">
        <f>32</f>
        <v/>
      </c>
      <c r="Q527" s="17">
        <f>J527+L527+N527+O527-P527-M527</f>
        <v/>
      </c>
    </row>
    <row r="528">
      <c r="A528" s="16" t="inlineStr">
        <is>
          <t>5.1-5.7</t>
        </is>
      </c>
      <c r="B528" s="16" t="inlineStr">
        <is>
          <t>PO-128-14128584776311386</t>
        </is>
      </c>
      <c r="C528" s="16" t="inlineStr">
        <is>
          <t>Delivered</t>
        </is>
      </c>
      <c r="D528" s="16" t="inlineStr">
        <is>
          <t>128-14128571669111386</t>
        </is>
      </c>
      <c r="E528" s="16" t="inlineStr">
        <is>
          <t>Delivered</t>
        </is>
      </c>
      <c r="F528" s="16" t="inlineStr">
        <is>
          <t>KTS-2031</t>
        </is>
      </c>
      <c r="G528" s="16" t="inlineStr">
        <is>
          <t>Bocina inalámbrica de 3 pulgadas con linterna multifuncional y panel solar integrado.Altavoz Portátil con Linterna LED 4 Modos, Radio FM, Bluetooth, Carga Solar, Ideal para Apagones, Emergencias, Campo y Exteriores</t>
        </is>
      </c>
      <c r="H528" s="16" t="inlineStr">
        <is>
          <t>NEGRO</t>
        </is>
      </c>
      <c r="I528" s="16" t="n">
        <v>4</v>
      </c>
      <c r="J528" s="17" t="n">
        <v>252.6</v>
      </c>
      <c r="K528" s="17" t="n">
        <v>203.07</v>
      </c>
      <c r="L528" s="17" t="n">
        <v>0</v>
      </c>
      <c r="M528" s="17" t="n">
        <v>0</v>
      </c>
      <c r="N528" s="17">
        <f>K528*0.08+L528*0.08</f>
        <v/>
      </c>
      <c r="O528" s="17">
        <f>-(K528*0.025+L528*0.025)</f>
        <v/>
      </c>
      <c r="P528" s="17">
        <f>32</f>
        <v/>
      </c>
      <c r="Q528" s="17">
        <f>J528+L528+N528+O528-P528-M528</f>
        <v/>
      </c>
    </row>
    <row r="529">
      <c r="A529" s="16" t="inlineStr">
        <is>
          <t>5.1-5.7</t>
        </is>
      </c>
      <c r="B529" s="16" t="inlineStr">
        <is>
          <t>PO-128-14417191117430563</t>
        </is>
      </c>
      <c r="C529" s="16" t="inlineStr">
        <is>
          <t>Delivered</t>
        </is>
      </c>
      <c r="D529" s="16" t="inlineStr">
        <is>
          <t>128-14417170145910563</t>
        </is>
      </c>
      <c r="E529" s="16" t="inlineStr">
        <is>
          <t>Delivered</t>
        </is>
      </c>
      <c r="F529" s="16" t="inlineStr">
        <is>
          <t>LV54W25</t>
        </is>
      </c>
      <c r="G529" s="16" t="inlineStr">
        <is>
          <t>TIANLAI Lámpara Ventilador E27 2 en 1, Silenciosa, LED Alta Luminosidad 180°, Instalación Rápida, Ahorro Energético para Dormitorio y Interiores Pequeños</t>
        </is>
      </c>
      <c r="H529" s="16" t="inlineStr">
        <is>
          <t>1 Pieza</t>
        </is>
      </c>
      <c r="I529" s="16" t="n">
        <v>3</v>
      </c>
      <c r="J529" s="17" t="n">
        <v>235.5</v>
      </c>
      <c r="K529" s="17" t="n">
        <v>186.24</v>
      </c>
      <c r="L529" s="17" t="n">
        <v>0</v>
      </c>
      <c r="M529" s="17" t="n">
        <v>0</v>
      </c>
      <c r="N529" s="17">
        <f>K529*0.08+L529*0.08</f>
        <v/>
      </c>
      <c r="O529" s="17">
        <f>-(K529*0.025+L529*0.025)</f>
        <v/>
      </c>
      <c r="P529" s="17">
        <f>32</f>
        <v/>
      </c>
      <c r="Q529" s="17">
        <f>J529+L529+N529+O529-P529-M529</f>
        <v/>
      </c>
    </row>
    <row r="530">
      <c r="A530" s="16" t="inlineStr">
        <is>
          <t>5.1-5.7</t>
        </is>
      </c>
      <c r="B530" s="16" t="inlineStr">
        <is>
          <t>PO-128-13751446344313507</t>
        </is>
      </c>
      <c r="C530" s="16" t="inlineStr">
        <is>
          <t>Delivered</t>
        </is>
      </c>
      <c r="D530" s="16" t="inlineStr">
        <is>
          <t>128-13751507292793507</t>
        </is>
      </c>
      <c r="E530" s="16" t="inlineStr">
        <is>
          <t>Delivered</t>
        </is>
      </c>
      <c r="F530" s="16" t="inlineStr">
        <is>
          <t>LV64W25</t>
        </is>
      </c>
      <c r="G5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30" s="16" t="inlineStr">
        <is>
          <t>Blanco</t>
        </is>
      </c>
      <c r="I530" s="16" t="n">
        <v>2</v>
      </c>
      <c r="J530" s="17" t="n">
        <v>240</v>
      </c>
      <c r="K530" s="17" t="n">
        <v>251.68</v>
      </c>
      <c r="L530" s="17" t="n">
        <v>0</v>
      </c>
      <c r="M530" s="17" t="n">
        <v>0</v>
      </c>
      <c r="N530" s="17">
        <f>K530*0.08+L530*0.08</f>
        <v/>
      </c>
      <c r="O530" s="17">
        <f>-(K530*0.025+L530*0.025)</f>
        <v/>
      </c>
      <c r="P530" s="17">
        <f>32</f>
        <v/>
      </c>
      <c r="Q530" s="17">
        <f>J530+L530+N530+O530-P530-M530</f>
        <v/>
      </c>
    </row>
    <row r="531">
      <c r="A531" s="16" t="inlineStr">
        <is>
          <t>5.1-5.7</t>
        </is>
      </c>
      <c r="B531" s="16" t="inlineStr">
        <is>
          <t>PO-128-14019604623993061</t>
        </is>
      </c>
      <c r="C531" s="16" t="inlineStr">
        <is>
          <t>Delivered</t>
        </is>
      </c>
      <c r="D531" s="16" t="inlineStr">
        <is>
          <t>128-14019646567033061</t>
        </is>
      </c>
      <c r="E531" s="16" t="inlineStr">
        <is>
          <t>Delivered</t>
        </is>
      </c>
      <c r="F531" s="16" t="inlineStr">
        <is>
          <t>LV54W25</t>
        </is>
      </c>
      <c r="G531" s="16" t="inlineStr">
        <is>
          <t>TIANLAI Lámpara Ventilador E27 2 en 1, Silenciosa, LED Alta Luminosidad 180°, Instalación Rápida, Ahorro Energético para Dormitorio y Interiores Pequeños</t>
        </is>
      </c>
      <c r="H531" s="16" t="inlineStr">
        <is>
          <t>1 Pieza</t>
        </is>
      </c>
      <c r="I531" s="16" t="n">
        <v>1</v>
      </c>
      <c r="J531" s="17" t="n">
        <v>78.5</v>
      </c>
      <c r="K531" s="17" t="n">
        <v>39.2</v>
      </c>
      <c r="L531" s="17" t="n">
        <v>25.86</v>
      </c>
      <c r="M531" s="17" t="n">
        <v>0</v>
      </c>
      <c r="N531" s="17">
        <f>K531*0.08+L531*0.08</f>
        <v/>
      </c>
      <c r="O531" s="17">
        <f>-(K531*0.025+L531*0.025)</f>
        <v/>
      </c>
      <c r="P531" s="17">
        <f>32</f>
        <v/>
      </c>
      <c r="Q531" s="17">
        <f>J531+L531+N531+O531-P531-M531</f>
        <v/>
      </c>
    </row>
    <row r="532">
      <c r="A532" s="16" t="inlineStr">
        <is>
          <t>5.1-5.7</t>
        </is>
      </c>
      <c r="B532" s="16" t="inlineStr">
        <is>
          <t>PO-128-13827825951353178</t>
        </is>
      </c>
      <c r="C532" s="16" t="inlineStr">
        <is>
          <t>Delivered</t>
        </is>
      </c>
      <c r="D532" s="16" t="inlineStr">
        <is>
          <t>128-13827947848313178</t>
        </is>
      </c>
      <c r="E532" s="16" t="inlineStr">
        <is>
          <t>Delivered</t>
        </is>
      </c>
      <c r="F532" s="16" t="inlineStr">
        <is>
          <t>VA371T</t>
        </is>
      </c>
      <c r="G532" s="16" t="inlineStr">
        <is>
          <t>Linkbits Bocina Bluetooth Portátil 3" de Alta Gama，Hi-Res Audio y Graves Potentes，Luces LED + Soporte USB/TF/FM/TWS，Ideal para Hogar y Aire Libre</t>
        </is>
      </c>
      <c r="H532" s="16" t="inlineStr">
        <is>
          <t>VA371T</t>
        </is>
      </c>
      <c r="I532" s="16" t="n">
        <v>1</v>
      </c>
      <c r="J532" s="17" t="n">
        <v>42</v>
      </c>
      <c r="K532" s="17" t="n">
        <v>50.38</v>
      </c>
      <c r="L532" s="17" t="n">
        <v>0</v>
      </c>
      <c r="M532" s="17" t="n">
        <v>0</v>
      </c>
      <c r="N532" s="17">
        <f>K532*0.08+L532*0.08</f>
        <v/>
      </c>
      <c r="O532" s="17">
        <f>-(K532*0.025+L532*0.025)</f>
        <v/>
      </c>
      <c r="P532" s="17">
        <f>32</f>
        <v/>
      </c>
      <c r="Q532" s="17">
        <f>J532+L532+N532+O532-P532-M532</f>
        <v/>
      </c>
    </row>
    <row r="533">
      <c r="A533" s="16" t="inlineStr">
        <is>
          <t>5.1-5.7</t>
        </is>
      </c>
      <c r="B533" s="16" t="inlineStr">
        <is>
          <t>PO-128-13827825951353178</t>
        </is>
      </c>
      <c r="C533" s="16" t="inlineStr">
        <is>
          <t>Delivered</t>
        </is>
      </c>
      <c r="D533" s="16" t="inlineStr">
        <is>
          <t>128-13827867894393178</t>
        </is>
      </c>
      <c r="E533" s="16" t="inlineStr">
        <is>
          <t>Delivered</t>
        </is>
      </c>
      <c r="F533" s="16" t="inlineStr">
        <is>
          <t>SB428T</t>
        </is>
      </c>
      <c r="G533" s="16" t="inlineStr">
        <is>
          <t>LINK BITS La bocina es tu compañero ideal para reuniones en México! Equipada con 2 altavoces de 4 pulgadas y potencia 5W×2, USB y TF, funciona sin internet—perfecta para picnics, fiestas en el jardín o relajación en la terraza.</t>
        </is>
      </c>
      <c r="H533" s="16" t="inlineStr">
        <is>
          <t>SB428T</t>
        </is>
      </c>
      <c r="I533" s="16" t="n">
        <v>2</v>
      </c>
      <c r="J533" s="17" t="n">
        <v>190</v>
      </c>
      <c r="K533" s="17" t="n">
        <v>227</v>
      </c>
      <c r="L533" s="17" t="n">
        <v>0</v>
      </c>
      <c r="M533" s="17" t="n">
        <v>0</v>
      </c>
      <c r="N533" s="17">
        <f>K533*0.08+L533*0.08</f>
        <v/>
      </c>
      <c r="O533" s="17">
        <f>-(K533*0.025+L533*0.025)</f>
        <v/>
      </c>
      <c r="P533" s="17">
        <f>32</f>
        <v/>
      </c>
      <c r="Q533" s="17">
        <f>J533+L533+N533+O533-P533-M533</f>
        <v/>
      </c>
    </row>
    <row r="534">
      <c r="A534" s="16" t="inlineStr">
        <is>
          <t>5.1-5.7</t>
        </is>
      </c>
      <c r="B534" s="16" t="inlineStr">
        <is>
          <t>PO-128-13779609129593402</t>
        </is>
      </c>
      <c r="C534" s="16" t="inlineStr">
        <is>
          <t>Delivered</t>
        </is>
      </c>
      <c r="D534" s="16" t="inlineStr">
        <is>
          <t>128-13779567186553402</t>
        </is>
      </c>
      <c r="E534" s="16" t="inlineStr">
        <is>
          <t>Delivered</t>
        </is>
      </c>
      <c r="F534" s="16" t="inlineStr">
        <is>
          <t>LV54W25</t>
        </is>
      </c>
      <c r="G534" s="16" t="inlineStr">
        <is>
          <t>TIANLAI Lámpara Ventilador E27 2 en 1, Silenciosa, LED Alta Luminosidad 180°, Instalación Rápida, Ahorro Energético para Dormitorio y Interiores Pequeños</t>
        </is>
      </c>
      <c r="H534" s="16" t="inlineStr">
        <is>
          <t>1 Pieza</t>
        </is>
      </c>
      <c r="I534" s="16" t="n">
        <v>1</v>
      </c>
      <c r="J534" s="17" t="n">
        <v>78.5</v>
      </c>
      <c r="K534" s="17" t="n">
        <v>82.3</v>
      </c>
      <c r="L534" s="17" t="n">
        <v>25.86</v>
      </c>
      <c r="M534" s="17" t="n">
        <v>0</v>
      </c>
      <c r="N534" s="17">
        <f>K534*0.08+L534*0.08</f>
        <v/>
      </c>
      <c r="O534" s="17">
        <f>-(K534*0.025+L534*0.025)</f>
        <v/>
      </c>
      <c r="P534" s="17">
        <f>32</f>
        <v/>
      </c>
      <c r="Q534" s="17">
        <f>J534+L534+N534+O534-P534-M534</f>
        <v/>
      </c>
    </row>
    <row r="535">
      <c r="A535" s="16" t="inlineStr">
        <is>
          <t>5.1-5.7</t>
        </is>
      </c>
      <c r="B535" s="16" t="inlineStr">
        <is>
          <t>PO-128-14275773686390508</t>
        </is>
      </c>
      <c r="C535" s="16" t="inlineStr">
        <is>
          <t>Delivered</t>
        </is>
      </c>
      <c r="D535" s="16" t="inlineStr">
        <is>
          <t>128-14275878543990508</t>
        </is>
      </c>
      <c r="E535" s="16" t="inlineStr">
        <is>
          <t>Delivered</t>
        </is>
      </c>
      <c r="F535" s="16" t="inlineStr">
        <is>
          <t>TL2663N18C</t>
        </is>
      </c>
      <c r="G535" s="16" t="inlineStr">
        <is>
          <t>Linkbits，Soporte de pared fijo para televisores de 26"-63", Ultra-Delgado Compatible con VESA 400x400mm, Capacidad de Peso Fuerte de 25KG, Instalación Fácil Sin Electricidad</t>
        </is>
      </c>
      <c r="H535" s="16" t="inlineStr">
        <is>
          <t>NEGRO</t>
        </is>
      </c>
      <c r="I535" s="16" t="n">
        <v>1</v>
      </c>
      <c r="J535" s="17" t="n">
        <v>48.5</v>
      </c>
      <c r="K535" s="17" t="n">
        <v>63.48</v>
      </c>
      <c r="L535" s="17" t="n">
        <v>25.86</v>
      </c>
      <c r="M535" s="17" t="n">
        <v>0</v>
      </c>
      <c r="N535" s="17">
        <f>K535*0.08+L535*0.08</f>
        <v/>
      </c>
      <c r="O535" s="17">
        <f>-(K535*0.025+L535*0.025)</f>
        <v/>
      </c>
      <c r="P535" s="17">
        <f>32</f>
        <v/>
      </c>
      <c r="Q535" s="17">
        <f>J535+L535+N535+O535-P535-M535</f>
        <v/>
      </c>
    </row>
    <row r="536">
      <c r="A536" s="16" t="inlineStr">
        <is>
          <t>5.1-5.7</t>
        </is>
      </c>
      <c r="B536" s="16" t="inlineStr">
        <is>
          <t>PO-128-14207694510711874</t>
        </is>
      </c>
      <c r="C536" s="16" t="inlineStr">
        <is>
          <t>Delivered</t>
        </is>
      </c>
      <c r="D536" s="16" t="inlineStr">
        <is>
          <t>128-14207642081911874</t>
        </is>
      </c>
      <c r="E536" s="16" t="inlineStr">
        <is>
          <t>Delivered</t>
        </is>
      </c>
      <c r="F536" s="16" t="inlineStr">
        <is>
          <t>LV54W25</t>
        </is>
      </c>
      <c r="G536" s="16" t="inlineStr">
        <is>
          <t>TIANLAI Lámpara Ventilador E27 2 en 1, Silenciosa, LED Alta Luminosidad 180°, Instalación Rápida, Ahorro Energético para Dormitorio y Interiores Pequeños</t>
        </is>
      </c>
      <c r="H536" s="16" t="inlineStr">
        <is>
          <t>1 Pieza</t>
        </is>
      </c>
      <c r="I536" s="16" t="n">
        <v>1</v>
      </c>
      <c r="J536" s="17" t="n">
        <v>78.5</v>
      </c>
      <c r="K536" s="17" t="n">
        <v>81.34999999999999</v>
      </c>
      <c r="L536" s="17" t="n">
        <v>25.86</v>
      </c>
      <c r="M536" s="17" t="n">
        <v>0</v>
      </c>
      <c r="N536" s="17">
        <f>K536*0.08+L536*0.08</f>
        <v/>
      </c>
      <c r="O536" s="17">
        <f>-(K536*0.025+L536*0.025)</f>
        <v/>
      </c>
      <c r="P536" s="17">
        <f>32</f>
        <v/>
      </c>
      <c r="Q536" s="17">
        <f>J536+L536+N536+O536-P536-M536</f>
        <v/>
      </c>
    </row>
    <row r="537">
      <c r="A537" s="16" t="inlineStr">
        <is>
          <t>5.1-5.7</t>
        </is>
      </c>
      <c r="B537" s="16" t="inlineStr">
        <is>
          <t>PO-128-13824332923513137</t>
        </is>
      </c>
      <c r="C537" s="16" t="inlineStr">
        <is>
          <t>Delivered</t>
        </is>
      </c>
      <c r="D537" s="16" t="inlineStr">
        <is>
          <t>128-13824290980473137</t>
        </is>
      </c>
      <c r="E537" s="16" t="inlineStr">
        <is>
          <t>Delivered</t>
        </is>
      </c>
      <c r="F537" s="16" t="inlineStr">
        <is>
          <t>KTS-1936</t>
        </is>
      </c>
      <c r="G537" s="16" t="inlineStr">
        <is>
          <t>Espejo con Luz para Makeup，Espejo con Luz LED y Bocina Bluetooth，Espejo para Maquillaje con Aumentos y Luces LED de Intensidad Ajustable，Lente de Aumento 10X+Reproductor TF+ TWS，espejo de portátil y para estudiantes, oficina, dormitorio, mejor regalo</t>
        </is>
      </c>
      <c r="H537" s="16" t="inlineStr">
        <is>
          <t>BLANCO</t>
        </is>
      </c>
      <c r="I537" s="16" t="n">
        <v>1</v>
      </c>
      <c r="J537" s="17" t="n">
        <v>217.75</v>
      </c>
      <c r="K537" s="17" t="n">
        <v>245.6</v>
      </c>
      <c r="L537" s="17" t="n">
        <v>25.86</v>
      </c>
      <c r="M537" s="17" t="n">
        <v>16.77</v>
      </c>
      <c r="N537" s="17">
        <f>K537*0.08+L537*0.08</f>
        <v/>
      </c>
      <c r="O537" s="17">
        <f>-(K537*0.025+L537*0.025)</f>
        <v/>
      </c>
      <c r="P537" s="17">
        <f>32</f>
        <v/>
      </c>
      <c r="Q537" s="17">
        <f>J537+L537+N537+O537-P537-M537</f>
        <v/>
      </c>
    </row>
    <row r="538">
      <c r="A538" s="16" t="inlineStr">
        <is>
          <t>5.1-5.7</t>
        </is>
      </c>
      <c r="B538" s="16" t="inlineStr">
        <is>
          <t>PO-128-14185809715832004</t>
        </is>
      </c>
      <c r="C538" s="16" t="inlineStr">
        <is>
          <t>Delivered</t>
        </is>
      </c>
      <c r="D538" s="16" t="inlineStr">
        <is>
          <t>128-14185973555832004</t>
        </is>
      </c>
      <c r="E538" s="16" t="inlineStr">
        <is>
          <t>Delivered</t>
        </is>
      </c>
      <c r="F538" s="16" t="inlineStr">
        <is>
          <t>EM12W12</t>
        </is>
      </c>
      <c r="G538" s="16" t="inlineStr">
        <is>
          <t>TIANLAI Lámpara Solar de Emergencia, 1pc 960lm IP4 5 Modos con SOS, Recargable USB+Solar con Gancho, Linterna Portátil para Camping Hogar Senderismo Pesca</t>
        </is>
      </c>
      <c r="H538" s="16" t="inlineStr">
        <is>
          <t>BLANCO</t>
        </is>
      </c>
      <c r="I538" s="16" t="n">
        <v>1</v>
      </c>
      <c r="J538" s="17" t="n">
        <v>75</v>
      </c>
      <c r="K538" s="17" t="n">
        <v>13.38</v>
      </c>
      <c r="L538" s="17" t="n">
        <v>25.86</v>
      </c>
      <c r="M538" s="17" t="n">
        <v>0</v>
      </c>
      <c r="N538" s="17">
        <f>K538*0.08+L538*0.08</f>
        <v/>
      </c>
      <c r="O538" s="17">
        <f>-(K538*0.025+L538*0.025)</f>
        <v/>
      </c>
      <c r="P538" s="17">
        <f>32</f>
        <v/>
      </c>
      <c r="Q538" s="17">
        <f>J538+L538+N538+O538-P538-M538</f>
        <v/>
      </c>
    </row>
    <row r="539">
      <c r="A539" s="16" t="inlineStr">
        <is>
          <t>5.1-5.7</t>
        </is>
      </c>
      <c r="B539" s="16" t="inlineStr">
        <is>
          <t>PO-128-13824677560953199</t>
        </is>
      </c>
      <c r="C539" s="16" t="inlineStr">
        <is>
          <t>Delivered</t>
        </is>
      </c>
      <c r="D539" s="16" t="inlineStr">
        <is>
          <t>128-13824719503993199</t>
        </is>
      </c>
      <c r="E539" s="16" t="inlineStr">
        <is>
          <t>Delivered</t>
        </is>
      </c>
      <c r="F539" s="16" t="inlineStr">
        <is>
          <t>LV64W25</t>
        </is>
      </c>
      <c r="G5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39" s="16" t="inlineStr">
        <is>
          <t>Blanco</t>
        </is>
      </c>
      <c r="I539" s="16" t="n">
        <v>1</v>
      </c>
      <c r="J539" s="17" t="n">
        <v>120</v>
      </c>
      <c r="K539" s="17" t="n">
        <v>138.28</v>
      </c>
      <c r="L539" s="17" t="n">
        <v>25.86</v>
      </c>
      <c r="M539" s="17" t="n">
        <v>0</v>
      </c>
      <c r="N539" s="17">
        <f>K539*0.08+L539*0.08</f>
        <v/>
      </c>
      <c r="O539" s="17">
        <f>-(K539*0.025+L539*0.025)</f>
        <v/>
      </c>
      <c r="P539" s="17">
        <f>32</f>
        <v/>
      </c>
      <c r="Q539" s="17">
        <f>J539+L539+N539+O539-P539-M539</f>
        <v/>
      </c>
    </row>
    <row r="540">
      <c r="A540" s="16" t="inlineStr">
        <is>
          <t>5.1-5.7</t>
        </is>
      </c>
      <c r="B540" s="16" t="inlineStr">
        <is>
          <t>PO-128-14347491021430915</t>
        </is>
      </c>
      <c r="C540" s="16" t="inlineStr">
        <is>
          <t>Delivered</t>
        </is>
      </c>
      <c r="D540" s="16" t="inlineStr">
        <is>
          <t>128-14347511992950915</t>
        </is>
      </c>
      <c r="E540" s="16" t="inlineStr">
        <is>
          <t>Delivered</t>
        </is>
      </c>
      <c r="F540" s="16" t="inlineStr">
        <is>
          <t>LV64W25</t>
        </is>
      </c>
      <c r="G5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40" s="16" t="inlineStr">
        <is>
          <t>Blanco</t>
        </is>
      </c>
      <c r="I540" s="16" t="n">
        <v>1</v>
      </c>
      <c r="J540" s="17" t="n">
        <v>120</v>
      </c>
      <c r="K540" s="17" t="n">
        <v>82.73999999999999</v>
      </c>
      <c r="L540" s="17" t="n">
        <v>25.86</v>
      </c>
      <c r="M540" s="17" t="n">
        <v>0</v>
      </c>
      <c r="N540" s="17">
        <f>K540*0.08+L540*0.08</f>
        <v/>
      </c>
      <c r="O540" s="17">
        <f>-(K540*0.025+L540*0.025)</f>
        <v/>
      </c>
      <c r="P540" s="17">
        <f>32</f>
        <v/>
      </c>
      <c r="Q540" s="17">
        <f>J540+L540+N540+O540-P540-M540</f>
        <v/>
      </c>
    </row>
    <row r="541">
      <c r="A541" s="16" t="inlineStr">
        <is>
          <t>5.1-5.7</t>
        </is>
      </c>
      <c r="B541" s="16" t="inlineStr">
        <is>
          <t>PO-128-13906110597753672</t>
        </is>
      </c>
      <c r="C541" s="16" t="inlineStr">
        <is>
          <t>Delivered</t>
        </is>
      </c>
      <c r="D541" s="16" t="inlineStr">
        <is>
          <t>128-13906068654713672</t>
        </is>
      </c>
      <c r="E541" s="16" t="inlineStr">
        <is>
          <t>Delivered</t>
        </is>
      </c>
      <c r="F541" s="16" t="inlineStr">
        <is>
          <t>LV64W25</t>
        </is>
      </c>
      <c r="G5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41" s="16" t="inlineStr">
        <is>
          <t>Blanco</t>
        </is>
      </c>
      <c r="I541" s="16" t="n">
        <v>1</v>
      </c>
      <c r="J541" s="17" t="n">
        <v>120</v>
      </c>
      <c r="K541" s="17" t="n">
        <v>125.84</v>
      </c>
      <c r="L541" s="17" t="n">
        <v>25.86</v>
      </c>
      <c r="M541" s="17" t="n">
        <v>0</v>
      </c>
      <c r="N541" s="17">
        <f>K541*0.08+L541*0.08</f>
        <v/>
      </c>
      <c r="O541" s="17">
        <f>-(K541*0.025+L541*0.025)</f>
        <v/>
      </c>
      <c r="P541" s="17">
        <f>32</f>
        <v/>
      </c>
      <c r="Q541" s="17">
        <f>J541+L541+N541+O541-P541-M541</f>
        <v/>
      </c>
    </row>
    <row r="542">
      <c r="A542" s="16" t="inlineStr">
        <is>
          <t>5.1-5.7</t>
        </is>
      </c>
      <c r="B542" s="16" t="inlineStr">
        <is>
          <t>PO-128-13880925921913758</t>
        </is>
      </c>
      <c r="C542" s="16" t="inlineStr">
        <is>
          <t>Delivered</t>
        </is>
      </c>
      <c r="D542" s="16" t="inlineStr">
        <is>
          <t>128-13880965120633758</t>
        </is>
      </c>
      <c r="E542" s="16" t="inlineStr">
        <is>
          <t>Delivered</t>
        </is>
      </c>
      <c r="F542" s="16" t="inlineStr">
        <is>
          <t>LV64W25</t>
        </is>
      </c>
      <c r="G5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42" s="16" t="inlineStr">
        <is>
          <t>Blanco</t>
        </is>
      </c>
      <c r="I542" s="16" t="n">
        <v>2</v>
      </c>
      <c r="J542" s="17" t="n">
        <v>240</v>
      </c>
      <c r="K542" s="17" t="n">
        <v>176.23</v>
      </c>
      <c r="L542" s="17" t="n">
        <v>0</v>
      </c>
      <c r="M542" s="17" t="n">
        <v>0</v>
      </c>
      <c r="N542" s="17">
        <f>K542*0.08+L542*0.08</f>
        <v/>
      </c>
      <c r="O542" s="17">
        <f>-(K542*0.025+L542*0.025)</f>
        <v/>
      </c>
      <c r="P542" s="17">
        <f>32</f>
        <v/>
      </c>
      <c r="Q542" s="17">
        <f>J542+L542+N542+O542-P542-M542</f>
        <v/>
      </c>
    </row>
    <row r="543">
      <c r="A543" s="16" t="inlineStr">
        <is>
          <t>5.1-5.7</t>
        </is>
      </c>
      <c r="B543" s="16" t="inlineStr">
        <is>
          <t>PO-128-13881484872313754</t>
        </is>
      </c>
      <c r="C543" s="16" t="inlineStr">
        <is>
          <t>Delivered</t>
        </is>
      </c>
      <c r="D543" s="16" t="inlineStr">
        <is>
          <t>128-13881474386553754</t>
        </is>
      </c>
      <c r="E543" s="16" t="inlineStr">
        <is>
          <t>Delivered</t>
        </is>
      </c>
      <c r="F543" s="16" t="inlineStr">
        <is>
          <t>i12-B</t>
        </is>
      </c>
      <c r="G543" s="16" t="inlineStr">
        <is>
          <t>Auriculares Inalámbricos TWS - Ideales para Usuarios Android e iPhone, Entusiastas del Deporte &amp; Música, Controles Táctiles, Audífonos Para Correr y Jugar</t>
        </is>
      </c>
      <c r="H543" s="16" t="inlineStr">
        <is>
          <t>Blanco</t>
        </is>
      </c>
      <c r="I543" s="16" t="n">
        <v>1</v>
      </c>
      <c r="J543" s="17" t="n">
        <v>42</v>
      </c>
      <c r="K543" s="17" t="n">
        <v>56.39</v>
      </c>
      <c r="L543" s="17" t="n">
        <v>25.86</v>
      </c>
      <c r="M543" s="17" t="n">
        <v>0</v>
      </c>
      <c r="N543" s="17">
        <f>K543*0.08+L543*0.08</f>
        <v/>
      </c>
      <c r="O543" s="17">
        <f>-(K543*0.025+L543*0.025)</f>
        <v/>
      </c>
      <c r="P543" s="17">
        <f>32</f>
        <v/>
      </c>
      <c r="Q543" s="17">
        <f>J543+L543+N543+O543-P543-M543</f>
        <v/>
      </c>
    </row>
    <row r="544">
      <c r="A544" s="16" t="inlineStr">
        <is>
          <t>5.1-5.7</t>
        </is>
      </c>
      <c r="B544" s="16" t="inlineStr">
        <is>
          <t>PO-128-14148996833911264</t>
        </is>
      </c>
      <c r="C544" s="16" t="inlineStr">
        <is>
          <t>Delivered</t>
        </is>
      </c>
      <c r="D544" s="16" t="inlineStr">
        <is>
          <t>128-14149049262711264</t>
        </is>
      </c>
      <c r="E544" s="16" t="inlineStr">
        <is>
          <t>Delivered</t>
        </is>
      </c>
      <c r="F544" s="16" t="inlineStr">
        <is>
          <t>LV54W25</t>
        </is>
      </c>
      <c r="G544" s="16" t="inlineStr">
        <is>
          <t>TIANLAI Lámpara Ventilador E27 2 en 1, Silenciosa, LED Alta Luminosidad 180°, Instalación Rápida, Ahorro Energético para Dormitorio y Interiores Pequeños</t>
        </is>
      </c>
      <c r="H544" s="16" t="inlineStr">
        <is>
          <t>1 Pieza</t>
        </is>
      </c>
      <c r="I544" s="16" t="n">
        <v>3</v>
      </c>
      <c r="J544" s="17" t="n">
        <v>235.5</v>
      </c>
      <c r="K544" s="17" t="n">
        <v>246.9</v>
      </c>
      <c r="L544" s="17" t="n">
        <v>0</v>
      </c>
      <c r="M544" s="17" t="n">
        <v>0</v>
      </c>
      <c r="N544" s="17">
        <f>K544*0.08+L544*0.08</f>
        <v/>
      </c>
      <c r="O544" s="17">
        <f>-(K544*0.025+L544*0.025)</f>
        <v/>
      </c>
      <c r="P544" s="17">
        <f>32</f>
        <v/>
      </c>
      <c r="Q544" s="17">
        <f>J544+L544+N544+O544-P544-M544</f>
        <v/>
      </c>
    </row>
    <row r="545">
      <c r="A545" s="16" t="inlineStr">
        <is>
          <t>5.1-5.7</t>
        </is>
      </c>
      <c r="B545" s="16" t="inlineStr">
        <is>
          <t>PO-128-13776287806073423</t>
        </is>
      </c>
      <c r="C545" s="16" t="inlineStr">
        <is>
          <t>Delivered</t>
        </is>
      </c>
      <c r="D545" s="16" t="inlineStr">
        <is>
          <t>128-13776424120953423</t>
        </is>
      </c>
      <c r="E545" s="16" t="inlineStr">
        <is>
          <t>Delivered</t>
        </is>
      </c>
      <c r="F545" s="16" t="inlineStr">
        <is>
          <t>LV54W25</t>
        </is>
      </c>
      <c r="G545" s="16" t="inlineStr">
        <is>
          <t>TIANLAI Lámpara Ventilador E27 2 en 1, Silenciosa, LED Alta Luminosidad 180°, Instalación Rápida, Ahorro Energético para Dormitorio y Interiores Pequeños</t>
        </is>
      </c>
      <c r="H545" s="16" t="inlineStr">
        <is>
          <t>1 Pieza</t>
        </is>
      </c>
      <c r="I545" s="16" t="n">
        <v>2</v>
      </c>
      <c r="J545" s="17" t="n">
        <v>157</v>
      </c>
      <c r="K545" s="17" t="n">
        <v>164.6</v>
      </c>
      <c r="L545" s="17" t="n">
        <v>25.86</v>
      </c>
      <c r="M545" s="17" t="n">
        <v>0</v>
      </c>
      <c r="N545" s="17">
        <f>K545*0.08+L545*0.08</f>
        <v/>
      </c>
      <c r="O545" s="17">
        <f>-(K545*0.025+L545*0.025)</f>
        <v/>
      </c>
      <c r="P545" s="17">
        <f>32</f>
        <v/>
      </c>
      <c r="Q545" s="17">
        <f>J545+L545+N545+O545-P545-M545</f>
        <v/>
      </c>
    </row>
    <row r="546">
      <c r="A546" s="16" t="inlineStr">
        <is>
          <t>5.1-5.7</t>
        </is>
      </c>
      <c r="B546" s="16" t="inlineStr">
        <is>
          <t>PO-128-14196256819831814</t>
        </is>
      </c>
      <c r="C546" s="16" t="inlineStr">
        <is>
          <t>Delivered</t>
        </is>
      </c>
      <c r="D546" s="16" t="inlineStr">
        <is>
          <t>128-14196298762871814</t>
        </is>
      </c>
      <c r="E546" s="16" t="inlineStr">
        <is>
          <t>Delivered</t>
        </is>
      </c>
      <c r="F546" s="16" t="inlineStr">
        <is>
          <t>TL2663N18C</t>
        </is>
      </c>
      <c r="G546" s="16" t="inlineStr">
        <is>
          <t>Linkbits，Soporte de pared fijo para televisores de 26"-63", Ultra-Delgado Compatible con VESA 400x400mm, Capacidad de Peso Fuerte de 25KG, Instalación Fácil Sin Electricidad</t>
        </is>
      </c>
      <c r="H546" s="16" t="inlineStr">
        <is>
          <t>NEGRO</t>
        </is>
      </c>
      <c r="I546" s="16" t="n">
        <v>1</v>
      </c>
      <c r="J546" s="17" t="n">
        <v>48.5</v>
      </c>
      <c r="K546" s="17" t="n">
        <v>63.48</v>
      </c>
      <c r="L546" s="17" t="n">
        <v>25.86</v>
      </c>
      <c r="M546" s="17" t="n">
        <v>0</v>
      </c>
      <c r="N546" s="17">
        <f>K546*0.08+L546*0.08</f>
        <v/>
      </c>
      <c r="O546" s="17">
        <f>-(K546*0.025+L546*0.025)</f>
        <v/>
      </c>
      <c r="P546" s="17">
        <f>32</f>
        <v/>
      </c>
      <c r="Q546" s="17">
        <f>J546+L546+N546+O546-P546-M546</f>
        <v/>
      </c>
    </row>
    <row r="547">
      <c r="A547" s="16" t="inlineStr">
        <is>
          <t>5.1-5.7</t>
        </is>
      </c>
      <c r="B547" s="16" t="inlineStr">
        <is>
          <t>PO-128-14270156483190478</t>
        </is>
      </c>
      <c r="C547" s="16" t="inlineStr">
        <is>
          <t>Delivered</t>
        </is>
      </c>
      <c r="D547" s="16" t="inlineStr">
        <is>
          <t>128-14270114540150478</t>
        </is>
      </c>
      <c r="E547" s="16" t="inlineStr">
        <is>
          <t>Delivered</t>
        </is>
      </c>
      <c r="F547" s="16" t="inlineStr">
        <is>
          <t>VB349T</t>
        </is>
      </c>
      <c r="G547" s="16" t="inlineStr">
        <is>
          <t>LINKBITS Altavoz Portátil de Doble Altavoz - 3 Pulgadas, Sonido HD, Emparejamiento Rápido de Bluetooth, Conectividad TWS, Reproducción Multimodo (Micro SD/USB/Radio FM) - Perfecto para Oficina, Viajes y Espacios Pequeños</t>
        </is>
      </c>
      <c r="H547" s="16" t="inlineStr">
        <is>
          <t>NEGRO</t>
        </is>
      </c>
      <c r="I547" s="16" t="n">
        <v>1</v>
      </c>
      <c r="J547" s="17" t="n">
        <v>79</v>
      </c>
      <c r="K547" s="17" t="n">
        <v>31.93</v>
      </c>
      <c r="L547" s="17" t="n">
        <v>25.86</v>
      </c>
      <c r="M547" s="17" t="n">
        <v>0</v>
      </c>
      <c r="N547" s="17">
        <f>K547*0.08+L547*0.08</f>
        <v/>
      </c>
      <c r="O547" s="17">
        <f>-(K547*0.025+L547*0.025)</f>
        <v/>
      </c>
      <c r="P547" s="17">
        <f>32</f>
        <v/>
      </c>
      <c r="Q547" s="17">
        <f>J547+L547+N547+O547-P547-M547</f>
        <v/>
      </c>
    </row>
    <row r="548">
      <c r="A548" s="16" t="inlineStr">
        <is>
          <t>5.1-5.7</t>
        </is>
      </c>
      <c r="B548" s="16" t="inlineStr">
        <is>
          <t>PO-128-14203870751351835</t>
        </is>
      </c>
      <c r="C548" s="16" t="inlineStr">
        <is>
          <t>Delivered</t>
        </is>
      </c>
      <c r="D548" s="16" t="inlineStr">
        <is>
          <t>128-14203891722871835</t>
        </is>
      </c>
      <c r="E548" s="16" t="inlineStr">
        <is>
          <t>Delivered</t>
        </is>
      </c>
      <c r="F548" s="16" t="inlineStr">
        <is>
          <t>BG-115-P</t>
        </is>
      </c>
      <c r="G548" s="16" t="inlineStr">
        <is>
          <t>LINK BITS Audífonos Inalámbricos con Luces Multicolor, Recargables y en Adorable Forma de Orejas de Gato - Conecta a Celulares y PCs, Tiene Radio FM, Tarjeta TF y AUX - 7 Horas de Reproducción, Plegables y Perfectos para Trabajo, Juegos y Estudio</t>
        </is>
      </c>
      <c r="H548" s="16" t="inlineStr">
        <is>
          <t>rosa</t>
        </is>
      </c>
      <c r="I548" s="16" t="n">
        <v>1</v>
      </c>
      <c r="J548" s="17" t="n">
        <v>75</v>
      </c>
      <c r="K548" s="17" t="n">
        <v>85.73999999999999</v>
      </c>
      <c r="L548" s="17" t="n">
        <v>25.86</v>
      </c>
      <c r="M548" s="17" t="n">
        <v>0</v>
      </c>
      <c r="N548" s="17">
        <f>K548*0.08+L548*0.08</f>
        <v/>
      </c>
      <c r="O548" s="17">
        <f>-(K548*0.025+L548*0.025)</f>
        <v/>
      </c>
      <c r="P548" s="17">
        <f>32</f>
        <v/>
      </c>
      <c r="Q548" s="17">
        <f>J548+L548+N548+O548-P548-M548</f>
        <v/>
      </c>
    </row>
    <row r="549">
      <c r="A549" s="16" t="inlineStr">
        <is>
          <t>5.1-5.7</t>
        </is>
      </c>
      <c r="B549" s="16" t="inlineStr">
        <is>
          <t>PO-128-14288538450550304</t>
        </is>
      </c>
      <c r="C549" s="16" t="inlineStr">
        <is>
          <t>Delivered</t>
        </is>
      </c>
      <c r="D549" s="16" t="inlineStr">
        <is>
          <t>128-14288580393590304</t>
        </is>
      </c>
      <c r="E549" s="16" t="inlineStr">
        <is>
          <t>Delivered</t>
        </is>
      </c>
      <c r="F549" s="16" t="inlineStr">
        <is>
          <t>TL2663N18C</t>
        </is>
      </c>
      <c r="G549" s="16" t="inlineStr">
        <is>
          <t>Linkbits，Soporte de pared fijo para televisores de 26"-63", Ultra-Delgado Compatible con VESA 400x400mm, Capacidad de Peso Fuerte de 25KG, Instalación Fácil Sin Electricidad</t>
        </is>
      </c>
      <c r="H549" s="16" t="inlineStr">
        <is>
          <t>NEGRO</t>
        </is>
      </c>
      <c r="I549" s="16" t="n">
        <v>1</v>
      </c>
      <c r="J549" s="17" t="n">
        <v>48.5</v>
      </c>
      <c r="K549" s="17" t="n">
        <v>63.48</v>
      </c>
      <c r="L549" s="17" t="n">
        <v>25.86</v>
      </c>
      <c r="M549" s="17" t="n">
        <v>0</v>
      </c>
      <c r="N549" s="17">
        <f>K549*0.08+L549*0.08</f>
        <v/>
      </c>
      <c r="O549" s="17">
        <f>-(K549*0.025+L549*0.025)</f>
        <v/>
      </c>
      <c r="P549" s="17">
        <f>32</f>
        <v/>
      </c>
      <c r="Q549" s="17">
        <f>J549+L549+N549+O549-P549-M549</f>
        <v/>
      </c>
    </row>
    <row r="550">
      <c r="A550" s="16" t="inlineStr">
        <is>
          <t>5.1-5.7</t>
        </is>
      </c>
      <c r="B550" s="16" t="inlineStr">
        <is>
          <t>PO-128-14283476869750270</t>
        </is>
      </c>
      <c r="C550" s="16" t="inlineStr">
        <is>
          <t>Delivered</t>
        </is>
      </c>
      <c r="D550" s="16" t="inlineStr">
        <is>
          <t>128-14283455898230270</t>
        </is>
      </c>
      <c r="E550" s="16" t="inlineStr">
        <is>
          <t>Delivered</t>
        </is>
      </c>
      <c r="F550" s="16" t="inlineStr">
        <is>
          <t>LV54W25</t>
        </is>
      </c>
      <c r="G550" s="16" t="inlineStr">
        <is>
          <t>TIANLAI Lámpara Ventilador E27 2 en 1, Silenciosa, LED Alta Luminosidad 180°, Instalación Rápida, Ahorro Energético para Dormitorio y Interiores Pequeños</t>
        </is>
      </c>
      <c r="H550" s="16" t="inlineStr">
        <is>
          <t>1 Pieza</t>
        </is>
      </c>
      <c r="I550" s="16" t="n">
        <v>3</v>
      </c>
      <c r="J550" s="17" t="n">
        <v>235.5</v>
      </c>
      <c r="K550" s="17" t="n">
        <v>246.9</v>
      </c>
      <c r="L550" s="17" t="n">
        <v>0</v>
      </c>
      <c r="M550" s="17" t="n">
        <v>0</v>
      </c>
      <c r="N550" s="17">
        <f>K550*0.08+L550*0.08</f>
        <v/>
      </c>
      <c r="O550" s="17">
        <f>-(K550*0.025+L550*0.025)</f>
        <v/>
      </c>
      <c r="P550" s="17">
        <f>32</f>
        <v/>
      </c>
      <c r="Q550" s="17">
        <f>J550+L550+N550+O550-P550-M550</f>
        <v/>
      </c>
    </row>
    <row r="551">
      <c r="A551" s="16" t="inlineStr">
        <is>
          <t>5.1-5.7</t>
        </is>
      </c>
      <c r="B551" s="16" t="inlineStr">
        <is>
          <t>PO-128-13845369559674034</t>
        </is>
      </c>
      <c r="C551" s="16" t="inlineStr">
        <is>
          <t>Delivered</t>
        </is>
      </c>
      <c r="D551" s="16" t="inlineStr">
        <is>
          <t>128-13845327616634034</t>
        </is>
      </c>
      <c r="E551" s="16" t="inlineStr">
        <is>
          <t>Delivered</t>
        </is>
      </c>
      <c r="F551" s="16" t="inlineStr">
        <is>
          <t>LV54W25</t>
        </is>
      </c>
      <c r="G551" s="16" t="inlineStr">
        <is>
          <t>TIANLAI Lámpara Ventilador E27 2 en 1, Silenciosa, LED Alta Luminosidad 180°, Instalación Rápida, Ahorro Energético para Dormitorio y Interiores Pequeños</t>
        </is>
      </c>
      <c r="H551" s="16" t="inlineStr">
        <is>
          <t>1 Pieza</t>
        </is>
      </c>
      <c r="I551" s="16" t="n">
        <v>3</v>
      </c>
      <c r="J551" s="17" t="n">
        <v>235.5</v>
      </c>
      <c r="K551" s="17" t="n">
        <v>287.1</v>
      </c>
      <c r="L551" s="17" t="n">
        <v>0</v>
      </c>
      <c r="M551" s="17" t="n">
        <v>0</v>
      </c>
      <c r="N551" s="17">
        <f>K551*0.08+L551*0.08</f>
        <v/>
      </c>
      <c r="O551" s="17">
        <f>-(K551*0.025+L551*0.025)</f>
        <v/>
      </c>
      <c r="P551" s="17">
        <f>32</f>
        <v/>
      </c>
      <c r="Q551" s="17">
        <f>J551+L551+N551+O551-P551-M551</f>
        <v/>
      </c>
    </row>
    <row r="552">
      <c r="A552" s="16" t="inlineStr">
        <is>
          <t>5.1-5.7</t>
        </is>
      </c>
      <c r="B552" s="16" t="inlineStr">
        <is>
          <t>PO-128-14201122642551851</t>
        </is>
      </c>
      <c r="C552" s="16" t="inlineStr">
        <is>
          <t>Delivered</t>
        </is>
      </c>
      <c r="D552" s="16" t="inlineStr">
        <is>
          <t>128-14201164585591851</t>
        </is>
      </c>
      <c r="E552" s="16" t="inlineStr">
        <is>
          <t>Delivered</t>
        </is>
      </c>
      <c r="F552" s="16" t="inlineStr">
        <is>
          <t>LV64W25</t>
        </is>
      </c>
      <c r="G5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52" s="16" t="inlineStr">
        <is>
          <t>Blanco</t>
        </is>
      </c>
      <c r="I552" s="16" t="n">
        <v>1</v>
      </c>
      <c r="J552" s="17" t="n">
        <v>120</v>
      </c>
      <c r="K552" s="17" t="n">
        <v>113.26</v>
      </c>
      <c r="L552" s="17" t="n">
        <v>25.86</v>
      </c>
      <c r="M552" s="17" t="n">
        <v>0</v>
      </c>
      <c r="N552" s="17">
        <f>K552*0.08+L552*0.08</f>
        <v/>
      </c>
      <c r="O552" s="17">
        <f>-(K552*0.025+L552*0.025)</f>
        <v/>
      </c>
      <c r="P552" s="17">
        <f>32</f>
        <v/>
      </c>
      <c r="Q552" s="17">
        <f>J552+L552+N552+O552-P552-M552</f>
        <v/>
      </c>
    </row>
    <row r="553">
      <c r="A553" s="16" t="inlineStr">
        <is>
          <t>5.1-5.7</t>
        </is>
      </c>
      <c r="B553" s="16" t="inlineStr">
        <is>
          <t>PO-128-14167684526711091</t>
        </is>
      </c>
      <c r="C553" s="16" t="inlineStr">
        <is>
          <t>Delivered</t>
        </is>
      </c>
      <c r="D553" s="16" t="inlineStr">
        <is>
          <t>128-14167679283831091</t>
        </is>
      </c>
      <c r="E553" s="16" t="inlineStr">
        <is>
          <t>Delivered</t>
        </is>
      </c>
      <c r="F553" s="16" t="inlineStr">
        <is>
          <t>LV64W25</t>
        </is>
      </c>
      <c r="G5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53" s="16" t="inlineStr">
        <is>
          <t>Blanco</t>
        </is>
      </c>
      <c r="I553" s="16" t="n">
        <v>3</v>
      </c>
      <c r="J553" s="17" t="n">
        <v>360</v>
      </c>
      <c r="K553" s="17" t="n">
        <v>352.62</v>
      </c>
      <c r="L553" s="17" t="n">
        <v>0</v>
      </c>
      <c r="M553" s="17" t="n">
        <v>0</v>
      </c>
      <c r="N553" s="17">
        <f>K553*0.08+L553*0.08</f>
        <v/>
      </c>
      <c r="O553" s="17">
        <f>-(K553*0.025+L553*0.025)</f>
        <v/>
      </c>
      <c r="P553" s="17">
        <f>32</f>
        <v/>
      </c>
      <c r="Q553" s="17">
        <f>J553+L553+N553+O553-P553-M553</f>
        <v/>
      </c>
    </row>
    <row r="554">
      <c r="A554" s="16" t="inlineStr">
        <is>
          <t>5.1-5.7</t>
        </is>
      </c>
      <c r="B554" s="16" t="inlineStr">
        <is>
          <t>PO-128-14349199534710905</t>
        </is>
      </c>
      <c r="C554" s="16" t="inlineStr">
        <is>
          <t>Delivered</t>
        </is>
      </c>
      <c r="D554" s="16" t="inlineStr">
        <is>
          <t>128-14349212641910905</t>
        </is>
      </c>
      <c r="E554" s="16" t="inlineStr">
        <is>
          <t>Delivered</t>
        </is>
      </c>
      <c r="F554" s="16" t="inlineStr">
        <is>
          <t>BSC07</t>
        </is>
      </c>
      <c r="G554" s="16" t="inlineStr">
        <is>
          <t>TIANLAI Báscula Digital BSC04/BSC07, Alta Precisión, Fácil Operación, Ligera y Portátil, Función Tara, Unidad Dual oz/g, Ideal para Cocina, Control de Porciones, Sellos y Objetos Pequeños, Uso en Hogar y Viaje</t>
        </is>
      </c>
      <c r="H554" s="16" t="inlineStr">
        <is>
          <t>1g/White</t>
        </is>
      </c>
      <c r="I554" s="16" t="n">
        <v>1</v>
      </c>
      <c r="J554" s="17" t="n">
        <v>35</v>
      </c>
      <c r="K554" s="17" t="n">
        <v>47.21</v>
      </c>
      <c r="L554" s="17" t="n">
        <v>25.86</v>
      </c>
      <c r="M554" s="17" t="n">
        <v>0</v>
      </c>
      <c r="N554" s="17">
        <f>K554*0.08+L554*0.08</f>
        <v/>
      </c>
      <c r="O554" s="17">
        <f>-(K554*0.025+L554*0.025)</f>
        <v/>
      </c>
      <c r="P554" s="17">
        <f>32</f>
        <v/>
      </c>
      <c r="Q554" s="17">
        <f>J554+L554+N554+O554-P554-M554</f>
        <v/>
      </c>
    </row>
    <row r="555">
      <c r="A555" s="16" t="inlineStr">
        <is>
          <t>5.1-5.7</t>
        </is>
      </c>
      <c r="B555" s="16" t="inlineStr">
        <is>
          <t>PO-128-14424500439670582</t>
        </is>
      </c>
      <c r="C555" s="16" t="inlineStr">
        <is>
          <t>Delivered</t>
        </is>
      </c>
      <c r="D555" s="16" t="inlineStr">
        <is>
          <t>128-14424411310710582</t>
        </is>
      </c>
      <c r="E555" s="16" t="inlineStr">
        <is>
          <t>Delivered</t>
        </is>
      </c>
      <c r="F555" s="16" t="inlineStr">
        <is>
          <t>MB-174-G</t>
        </is>
      </c>
      <c r="G555" s="16" t="inlineStr">
        <is>
          <t>LINK BITS MB-174 Mini Bocina Bluetooth Soporte para Celular Integrado TWS Luz Ambiental 5W 80dB Sonido Claro Carga TYPE-C Material ABS Portátil Ideal como Regalo para Hogar Oficina Exterior Picnic</t>
        </is>
      </c>
      <c r="H555" s="16" t="inlineStr">
        <is>
          <t>GRIS</t>
        </is>
      </c>
      <c r="I555" s="16" t="n">
        <v>1</v>
      </c>
      <c r="J555" s="17" t="n">
        <v>92.5</v>
      </c>
      <c r="K555" s="17" t="n">
        <v>110.57</v>
      </c>
      <c r="L555" s="17" t="n">
        <v>25.86</v>
      </c>
      <c r="M555" s="17" t="n">
        <v>0</v>
      </c>
      <c r="N555" s="17">
        <f>K555*0.08+L555*0.08</f>
        <v/>
      </c>
      <c r="O555" s="17">
        <f>-(K555*0.025+L555*0.025)</f>
        <v/>
      </c>
      <c r="P555" s="17">
        <f>32</f>
        <v/>
      </c>
      <c r="Q555" s="17">
        <f>J555+L555+N555+O555-P555-M555</f>
        <v/>
      </c>
    </row>
    <row r="556">
      <c r="A556" s="16" t="inlineStr">
        <is>
          <t>5.1-5.7</t>
        </is>
      </c>
      <c r="B556" s="16" t="inlineStr">
        <is>
          <t>PO-128-14259966106230410</t>
        </is>
      </c>
      <c r="C556" s="16" t="inlineStr">
        <is>
          <t>Delivered</t>
        </is>
      </c>
      <c r="D556" s="16" t="inlineStr">
        <is>
          <t>128-14260126014070410</t>
        </is>
      </c>
      <c r="E556" s="16" t="inlineStr">
        <is>
          <t>Delivered</t>
        </is>
      </c>
      <c r="F556" s="16" t="inlineStr">
        <is>
          <t>VB349T</t>
        </is>
      </c>
      <c r="G556" s="16" t="inlineStr">
        <is>
          <t>LINKBITS Altavoz Portátil de Doble Altavoz - 3 Pulgadas, Sonido HD, Emparejamiento Rápido de Bluetooth, Conectividad TWS, Reproducción Multimodo (Micro SD/USB/Radio FM) - Perfecto para Oficina, Viajes y Espacios Pequeños</t>
        </is>
      </c>
      <c r="H556" s="16" t="inlineStr">
        <is>
          <t>NEGRO</t>
        </is>
      </c>
      <c r="I556" s="16" t="n">
        <v>1</v>
      </c>
      <c r="J556" s="17" t="n">
        <v>79</v>
      </c>
      <c r="K556" s="17" t="n">
        <v>9.51</v>
      </c>
      <c r="L556" s="17" t="n">
        <v>25.86</v>
      </c>
      <c r="M556" s="17" t="n">
        <v>0</v>
      </c>
      <c r="N556" s="17">
        <f>K556*0.08+L556*0.08</f>
        <v/>
      </c>
      <c r="O556" s="17">
        <f>-(K556*0.025+L556*0.025)</f>
        <v/>
      </c>
      <c r="P556" s="17">
        <f>32</f>
        <v/>
      </c>
      <c r="Q556" s="17">
        <f>J556+L556+N556+O556-P556-M556</f>
        <v/>
      </c>
    </row>
    <row r="557">
      <c r="A557" s="16" t="inlineStr">
        <is>
          <t>5.1-5.7</t>
        </is>
      </c>
      <c r="B557" s="16" t="inlineStr">
        <is>
          <t>PO-128-14350831350390959</t>
        </is>
      </c>
      <c r="C557" s="16" t="inlineStr">
        <is>
          <t>Delivered</t>
        </is>
      </c>
      <c r="D557" s="16" t="inlineStr">
        <is>
          <t>128-14350883779190959</t>
        </is>
      </c>
      <c r="E557" s="16" t="inlineStr">
        <is>
          <t>Delivered</t>
        </is>
      </c>
      <c r="F557" s="16" t="inlineStr">
        <is>
          <t>LV64W25</t>
        </is>
      </c>
      <c r="G5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57" s="16" t="inlineStr">
        <is>
          <t>Blanco</t>
        </is>
      </c>
      <c r="I557" s="16" t="n">
        <v>1</v>
      </c>
      <c r="J557" s="17" t="n">
        <v>120</v>
      </c>
      <c r="K557" s="17" t="n">
        <v>109.78</v>
      </c>
      <c r="L557" s="17" t="n">
        <v>25.86</v>
      </c>
      <c r="M557" s="17" t="n">
        <v>0</v>
      </c>
      <c r="N557" s="17">
        <f>K557*0.08+L557*0.08</f>
        <v/>
      </c>
      <c r="O557" s="17">
        <f>-(K557*0.025+L557*0.025)</f>
        <v/>
      </c>
      <c r="P557" s="17">
        <f>32</f>
        <v/>
      </c>
      <c r="Q557" s="17">
        <f>J557+L557+N557+O557-P557-M557</f>
        <v/>
      </c>
    </row>
    <row r="558">
      <c r="A558" s="16" t="inlineStr">
        <is>
          <t>5.1-5.7</t>
        </is>
      </c>
      <c r="B558" s="16" t="inlineStr">
        <is>
          <t>PO-128-13800013445753280</t>
        </is>
      </c>
      <c r="C558" s="16" t="inlineStr">
        <is>
          <t>Delivered</t>
        </is>
      </c>
      <c r="D558" s="16" t="inlineStr">
        <is>
          <t>128-13800034417273280</t>
        </is>
      </c>
      <c r="E558" s="16" t="inlineStr">
        <is>
          <t>Delivered</t>
        </is>
      </c>
      <c r="F558" s="16" t="inlineStr">
        <is>
          <t>LV54W25</t>
        </is>
      </c>
      <c r="G558" s="16" t="inlineStr">
        <is>
          <t>TIANLAI Lámpara Ventilador E27 2 en 1, Silenciosa, LED Alta Luminosidad 180°, Instalación Rápida, Ahorro Energético para Dormitorio y Interiores Pequeños</t>
        </is>
      </c>
      <c r="H558" s="16" t="inlineStr">
        <is>
          <t>1 Pieza</t>
        </is>
      </c>
      <c r="I558" s="16" t="n">
        <v>3</v>
      </c>
      <c r="J558" s="17" t="n">
        <v>235.5</v>
      </c>
      <c r="K558" s="17" t="n">
        <v>246.9</v>
      </c>
      <c r="L558" s="17" t="n">
        <v>0</v>
      </c>
      <c r="M558" s="17" t="n">
        <v>0</v>
      </c>
      <c r="N558" s="17">
        <f>K558*0.08+L558*0.08</f>
        <v/>
      </c>
      <c r="O558" s="17">
        <f>-(K558*0.025+L558*0.025)</f>
        <v/>
      </c>
      <c r="P558" s="17">
        <f>32</f>
        <v/>
      </c>
      <c r="Q558" s="17">
        <f>J558+L558+N558+O558-P558-M558</f>
        <v/>
      </c>
    </row>
    <row r="559">
      <c r="A559" s="16" t="inlineStr">
        <is>
          <t>5.1-5.7</t>
        </is>
      </c>
      <c r="B559" s="16" t="inlineStr">
        <is>
          <t>PO-128-13937420175992335</t>
        </is>
      </c>
      <c r="C559" s="16" t="inlineStr">
        <is>
          <t>Delivered</t>
        </is>
      </c>
      <c r="D559" s="16" t="inlineStr">
        <is>
          <t>128-13937367747192335</t>
        </is>
      </c>
      <c r="E559" s="16" t="inlineStr">
        <is>
          <t>Delivered</t>
        </is>
      </c>
      <c r="F559" s="16" t="inlineStr">
        <is>
          <t>BSC07</t>
        </is>
      </c>
      <c r="G559" s="16" t="inlineStr">
        <is>
          <t>TIANLAI Báscula Digital BSC04/BSC07, Alta Precisión, Fácil Operación, Ligera y Portátil, Función Tara, Unidad Dual oz/g, Ideal para Cocina, Control de Porciones, Sellos y Objetos Pequeños, Uso en Hogar y Viaje</t>
        </is>
      </c>
      <c r="H559" s="16" t="inlineStr">
        <is>
          <t>1g/White</t>
        </is>
      </c>
      <c r="I559" s="16" t="n">
        <v>1</v>
      </c>
      <c r="J559" s="17" t="n">
        <v>35</v>
      </c>
      <c r="K559" s="17" t="n">
        <v>47.21</v>
      </c>
      <c r="L559" s="17" t="n">
        <v>25.86</v>
      </c>
      <c r="M559" s="17" t="n">
        <v>0</v>
      </c>
      <c r="N559" s="17">
        <f>K559*0.08+L559*0.08</f>
        <v/>
      </c>
      <c r="O559" s="17">
        <f>-(K559*0.025+L559*0.025)</f>
        <v/>
      </c>
      <c r="P559" s="17">
        <f>32</f>
        <v/>
      </c>
      <c r="Q559" s="17">
        <f>J559+L559+N559+O559-P559-M559</f>
        <v/>
      </c>
    </row>
    <row r="560">
      <c r="A560" s="16" t="inlineStr">
        <is>
          <t>5.1-5.7</t>
        </is>
      </c>
      <c r="B560" s="16" t="inlineStr">
        <is>
          <t>PO-128-14217989827191687</t>
        </is>
      </c>
      <c r="C560" s="16" t="inlineStr">
        <is>
          <t>Delivered</t>
        </is>
      </c>
      <c r="D560" s="16" t="inlineStr">
        <is>
          <t>128-14217947884151687</t>
        </is>
      </c>
      <c r="E560" s="16" t="inlineStr">
        <is>
          <t>Delivered</t>
        </is>
      </c>
      <c r="F560" s="16" t="inlineStr">
        <is>
          <t>LV64W25</t>
        </is>
      </c>
      <c r="G5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0" s="16" t="inlineStr">
        <is>
          <t>Blanco</t>
        </is>
      </c>
      <c r="I560" s="16" t="n">
        <v>2</v>
      </c>
      <c r="J560" s="17" t="n">
        <v>240</v>
      </c>
      <c r="K560" s="17" t="n">
        <v>251.68</v>
      </c>
      <c r="L560" s="17" t="n">
        <v>0</v>
      </c>
      <c r="M560" s="17" t="n">
        <v>0</v>
      </c>
      <c r="N560" s="17">
        <f>K560*0.08+L560*0.08</f>
        <v/>
      </c>
      <c r="O560" s="17">
        <f>-(K560*0.025+L560*0.025)</f>
        <v/>
      </c>
      <c r="P560" s="17">
        <f>32</f>
        <v/>
      </c>
      <c r="Q560" s="17">
        <f>J560+L560+N560+O560-P560-M560</f>
        <v/>
      </c>
    </row>
    <row r="561">
      <c r="A561" s="16" t="inlineStr">
        <is>
          <t>5.1-5.7</t>
        </is>
      </c>
      <c r="B561" s="16" t="inlineStr">
        <is>
          <t>PO-128-13928045548152519</t>
        </is>
      </c>
      <c r="C561" s="16" t="inlineStr">
        <is>
          <t>Delivered</t>
        </is>
      </c>
      <c r="D561" s="16" t="inlineStr">
        <is>
          <t>128-13928097976952519</t>
        </is>
      </c>
      <c r="E561" s="16" t="inlineStr">
        <is>
          <t>Delivered</t>
        </is>
      </c>
      <c r="F561" s="16" t="inlineStr">
        <is>
          <t>LV64W25</t>
        </is>
      </c>
      <c r="G5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1" s="16" t="inlineStr">
        <is>
          <t>Blanco</t>
        </is>
      </c>
      <c r="I561" s="16" t="n">
        <v>2</v>
      </c>
      <c r="J561" s="17" t="n">
        <v>240</v>
      </c>
      <c r="K561" s="17" t="n">
        <v>251.68</v>
      </c>
      <c r="L561" s="17" t="n">
        <v>0</v>
      </c>
      <c r="M561" s="17" t="n">
        <v>0</v>
      </c>
      <c r="N561" s="17">
        <f>K561*0.08+L561*0.08</f>
        <v/>
      </c>
      <c r="O561" s="17">
        <f>-(K561*0.025+L561*0.025)</f>
        <v/>
      </c>
      <c r="P561" s="17">
        <f>32</f>
        <v/>
      </c>
      <c r="Q561" s="17">
        <f>J561+L561+N561+O561-P561-M561</f>
        <v/>
      </c>
    </row>
    <row r="562">
      <c r="A562" s="16" t="inlineStr">
        <is>
          <t>5.1-5.7</t>
        </is>
      </c>
      <c r="B562" s="16" t="inlineStr">
        <is>
          <t>PO-128-13895598664313606</t>
        </is>
      </c>
      <c r="C562" s="16" t="inlineStr">
        <is>
          <t>Delivered</t>
        </is>
      </c>
      <c r="D562" s="16" t="inlineStr">
        <is>
          <t>128-13895619635833606</t>
        </is>
      </c>
      <c r="E562" s="16" t="inlineStr">
        <is>
          <t>Delivered</t>
        </is>
      </c>
      <c r="F562" s="16" t="inlineStr">
        <is>
          <t>LV64W25</t>
        </is>
      </c>
      <c r="G5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2" s="16" t="inlineStr">
        <is>
          <t>Blanco</t>
        </is>
      </c>
      <c r="I562" s="16" t="n">
        <v>2</v>
      </c>
      <c r="J562" s="17" t="n">
        <v>240</v>
      </c>
      <c r="K562" s="17" t="n">
        <v>247.54</v>
      </c>
      <c r="L562" s="17" t="n">
        <v>0</v>
      </c>
      <c r="M562" s="17" t="n">
        <v>0</v>
      </c>
      <c r="N562" s="17">
        <f>K562*0.08+L562*0.08</f>
        <v/>
      </c>
      <c r="O562" s="17">
        <f>-(K562*0.025+L562*0.025)</f>
        <v/>
      </c>
      <c r="P562" s="17">
        <f>32</f>
        <v/>
      </c>
      <c r="Q562" s="17">
        <f>J562+L562+N562+O562-P562-M562</f>
        <v/>
      </c>
    </row>
    <row r="563">
      <c r="A563" s="16" t="inlineStr">
        <is>
          <t>5.1-5.7</t>
        </is>
      </c>
      <c r="B563" s="16" t="inlineStr">
        <is>
          <t>PO-128-13930650522232503</t>
        </is>
      </c>
      <c r="C563" s="16" t="inlineStr">
        <is>
          <t>Delivered</t>
        </is>
      </c>
      <c r="D563" s="16" t="inlineStr">
        <is>
          <t>128-13930755379832503</t>
        </is>
      </c>
      <c r="E563" s="16" t="inlineStr">
        <is>
          <t>Delivered</t>
        </is>
      </c>
      <c r="F563" s="16" t="inlineStr">
        <is>
          <t>LV64W25</t>
        </is>
      </c>
      <c r="G5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3" s="16" t="inlineStr">
        <is>
          <t>Blanco</t>
        </is>
      </c>
      <c r="I563" s="16" t="n">
        <v>4</v>
      </c>
      <c r="J563" s="17" t="n">
        <v>480</v>
      </c>
      <c r="K563" s="17" t="n">
        <v>503.36</v>
      </c>
      <c r="L563" s="17" t="n">
        <v>0</v>
      </c>
      <c r="M563" s="17" t="n">
        <v>0</v>
      </c>
      <c r="N563" s="17">
        <f>K563*0.08+L563*0.08</f>
        <v/>
      </c>
      <c r="O563" s="17">
        <f>-(K563*0.025+L563*0.025)</f>
        <v/>
      </c>
      <c r="P563" s="17">
        <f>32</f>
        <v/>
      </c>
      <c r="Q563" s="17">
        <f>J563+L563+N563+O563-P563-M563</f>
        <v/>
      </c>
    </row>
    <row r="564">
      <c r="A564" s="16" t="inlineStr">
        <is>
          <t>5.1-5.7</t>
        </is>
      </c>
      <c r="B564" s="16" t="inlineStr">
        <is>
          <t>PO-128-14119048868471314</t>
        </is>
      </c>
      <c r="C564" s="16" t="inlineStr">
        <is>
          <t>Delivered</t>
        </is>
      </c>
      <c r="D564" s="16" t="inlineStr">
        <is>
          <t>128-14119185183351314</t>
        </is>
      </c>
      <c r="E564" s="16" t="inlineStr">
        <is>
          <t>Delivered</t>
        </is>
      </c>
      <c r="F564" s="16" t="inlineStr">
        <is>
          <t>KTS-2031</t>
        </is>
      </c>
      <c r="G564" s="16" t="inlineStr">
        <is>
          <t>Bocina inalámbrica de 3 pulgadas con linterna multifuncional y panel solar integrado.Altavoz Portátil con Linterna LED 4 Modos, Radio FM, Bluetooth, Carga Solar, Ideal para Apagones, Emergencias, Campo y Exteriores</t>
        </is>
      </c>
      <c r="H564" s="16" t="inlineStr">
        <is>
          <t>NEGRO</t>
        </is>
      </c>
      <c r="I564" s="16" t="n">
        <v>1</v>
      </c>
      <c r="J564" s="17" t="n">
        <v>63.15</v>
      </c>
      <c r="K564" s="17" t="n">
        <v>72.39</v>
      </c>
      <c r="L564" s="17" t="n">
        <v>25.86</v>
      </c>
      <c r="M564" s="17" t="n">
        <v>0</v>
      </c>
      <c r="N564" s="17">
        <f>K564*0.08+L564*0.08</f>
        <v/>
      </c>
      <c r="O564" s="17">
        <f>-(K564*0.025+L564*0.025)</f>
        <v/>
      </c>
      <c r="P564" s="17">
        <f>32</f>
        <v/>
      </c>
      <c r="Q564" s="17">
        <f>J564+L564+N564+O564-P564-M564</f>
        <v/>
      </c>
    </row>
    <row r="565">
      <c r="A565" s="16" t="inlineStr">
        <is>
          <t>5.1-5.7</t>
        </is>
      </c>
      <c r="B565" s="16" t="inlineStr">
        <is>
          <t>PO-128-14246352968311580</t>
        </is>
      </c>
      <c r="C565" s="16" t="inlineStr">
        <is>
          <t>Delivered</t>
        </is>
      </c>
      <c r="D565" s="16" t="inlineStr">
        <is>
          <t>128-14246311025271580</t>
        </is>
      </c>
      <c r="E565" s="16" t="inlineStr">
        <is>
          <t>Delivered</t>
        </is>
      </c>
      <c r="F565" s="16" t="inlineStr">
        <is>
          <t>LV64W25</t>
        </is>
      </c>
      <c r="G5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5" s="16" t="inlineStr">
        <is>
          <t>Blanco</t>
        </is>
      </c>
      <c r="I565" s="16" t="n">
        <v>2</v>
      </c>
      <c r="J565" s="17" t="n">
        <v>240</v>
      </c>
      <c r="K565" s="17" t="n">
        <v>251.68</v>
      </c>
      <c r="L565" s="17" t="n">
        <v>0</v>
      </c>
      <c r="M565" s="17" t="n">
        <v>0</v>
      </c>
      <c r="N565" s="17">
        <f>K565*0.08+L565*0.08</f>
        <v/>
      </c>
      <c r="O565" s="17">
        <f>-(K565*0.025+L565*0.025)</f>
        <v/>
      </c>
      <c r="P565" s="17">
        <f>32</f>
        <v/>
      </c>
      <c r="Q565" s="17">
        <f>J565+L565+N565+O565-P565-M565</f>
        <v/>
      </c>
    </row>
    <row r="566">
      <c r="A566" s="16" t="inlineStr">
        <is>
          <t>5.1-5.7</t>
        </is>
      </c>
      <c r="B566" s="16" t="inlineStr">
        <is>
          <t>PO-128-13770941327993391</t>
        </is>
      </c>
      <c r="C566" s="16" t="inlineStr">
        <is>
          <t>Delivered</t>
        </is>
      </c>
      <c r="D566" s="16" t="inlineStr">
        <is>
          <t>128-13771046185593391</t>
        </is>
      </c>
      <c r="E566" s="16" t="inlineStr">
        <is>
          <t>Delivered</t>
        </is>
      </c>
      <c r="F566" s="16" t="inlineStr">
        <is>
          <t>KTS-2031</t>
        </is>
      </c>
      <c r="G566" s="16" t="inlineStr">
        <is>
          <t>Bocina inalámbrica de 3 pulgadas con linterna multifuncional y panel solar integrado.Altavoz Portátil con Linterna LED 4 Modos, Radio FM, Bluetooth, Carga Solar, Ideal para Apagones, Emergencias, Campo y Exteriores</t>
        </is>
      </c>
      <c r="H566" s="16" t="inlineStr">
        <is>
          <t>NEGRO</t>
        </is>
      </c>
      <c r="I566" s="16" t="n">
        <v>1</v>
      </c>
      <c r="J566" s="17" t="n">
        <v>63.15</v>
      </c>
      <c r="K566" s="17" t="n">
        <v>72.39</v>
      </c>
      <c r="L566" s="17" t="n">
        <v>25.86</v>
      </c>
      <c r="M566" s="17" t="n">
        <v>0</v>
      </c>
      <c r="N566" s="17">
        <f>K566*0.08+L566*0.08</f>
        <v/>
      </c>
      <c r="O566" s="17">
        <f>-(K566*0.025+L566*0.025)</f>
        <v/>
      </c>
      <c r="P566" s="17">
        <f>32</f>
        <v/>
      </c>
      <c r="Q566" s="17">
        <f>J566+L566+N566+O566-P566-M566</f>
        <v/>
      </c>
    </row>
    <row r="567">
      <c r="A567" s="16" t="inlineStr">
        <is>
          <t>5.1-5.7</t>
        </is>
      </c>
      <c r="B567" s="16" t="inlineStr">
        <is>
          <t>PO-128-14250210038391623</t>
        </is>
      </c>
      <c r="C567" s="16" t="inlineStr">
        <is>
          <t>Delivered</t>
        </is>
      </c>
      <c r="D567" s="16" t="inlineStr">
        <is>
          <t>128-14250168095351623</t>
        </is>
      </c>
      <c r="E567" s="16" t="inlineStr">
        <is>
          <t>Delivered</t>
        </is>
      </c>
      <c r="F567" s="16" t="inlineStr">
        <is>
          <t>LV64W25</t>
        </is>
      </c>
      <c r="G5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67" s="16" t="inlineStr">
        <is>
          <t>Blanco</t>
        </is>
      </c>
      <c r="I567" s="16" t="n">
        <v>1</v>
      </c>
      <c r="J567" s="17" t="n">
        <v>120</v>
      </c>
      <c r="K567" s="17" t="n">
        <v>125.84</v>
      </c>
      <c r="L567" s="17" t="n">
        <v>25.86</v>
      </c>
      <c r="M567" s="17" t="n">
        <v>0</v>
      </c>
      <c r="N567" s="17">
        <f>K567*0.08+L567*0.08</f>
        <v/>
      </c>
      <c r="O567" s="17">
        <f>-(K567*0.025+L567*0.025)</f>
        <v/>
      </c>
      <c r="P567" s="17">
        <f>32</f>
        <v/>
      </c>
      <c r="Q567" s="17">
        <f>J567+L567+N567+O567-P567-M567</f>
        <v/>
      </c>
    </row>
    <row r="568">
      <c r="A568" s="16" t="inlineStr">
        <is>
          <t>5.1-5.7</t>
        </is>
      </c>
      <c r="B568" s="16" t="inlineStr">
        <is>
          <t>PO-128-14307170611830131</t>
        </is>
      </c>
      <c r="C568" s="16" t="inlineStr">
        <is>
          <t>Delivered</t>
        </is>
      </c>
      <c r="D568" s="16" t="inlineStr">
        <is>
          <t>128-14307128668790131</t>
        </is>
      </c>
      <c r="E568" s="16" t="inlineStr">
        <is>
          <t>Delivered</t>
        </is>
      </c>
      <c r="F568" s="16" t="inlineStr">
        <is>
          <t>LV54W25</t>
        </is>
      </c>
      <c r="G568" s="16" t="inlineStr">
        <is>
          <t>TIANLAI Lámpara Ventilador E27 2 en 1, Silenciosa, LED Alta Luminosidad 180°, Instalación Rápida, Ahorro Energético para Dormitorio y Interiores Pequeños</t>
        </is>
      </c>
      <c r="H568" s="16" t="inlineStr">
        <is>
          <t>1 Pieza</t>
        </is>
      </c>
      <c r="I568" s="16" t="n">
        <v>1</v>
      </c>
      <c r="J568" s="17" t="n">
        <v>78.5</v>
      </c>
      <c r="K568" s="17" t="n">
        <v>82.3</v>
      </c>
      <c r="L568" s="17" t="n">
        <v>25.86</v>
      </c>
      <c r="M568" s="17" t="n">
        <v>0</v>
      </c>
      <c r="N568" s="17">
        <f>K568*0.08+L568*0.08</f>
        <v/>
      </c>
      <c r="O568" s="17">
        <f>-(K568*0.025+L568*0.025)</f>
        <v/>
      </c>
      <c r="P568" s="17">
        <f>32</f>
        <v/>
      </c>
      <c r="Q568" s="17">
        <f>J568+L568+N568+O568-P568-M568</f>
        <v/>
      </c>
    </row>
    <row r="569">
      <c r="A569" s="16" t="inlineStr">
        <is>
          <t>5.1-5.7</t>
        </is>
      </c>
      <c r="B569" s="16" t="inlineStr">
        <is>
          <t>PO-128-14377282437750801</t>
        </is>
      </c>
      <c r="C569" s="16" t="inlineStr">
        <is>
          <t>Delivered</t>
        </is>
      </c>
      <c r="D569" s="16" t="inlineStr">
        <is>
          <t>128-14377245737590801</t>
        </is>
      </c>
      <c r="E569" s="16" t="inlineStr">
        <is>
          <t>Delivered</t>
        </is>
      </c>
      <c r="F569" s="16" t="inlineStr">
        <is>
          <t>TL2663N18C</t>
        </is>
      </c>
      <c r="G569" s="16" t="inlineStr">
        <is>
          <t>Linkbits，Soporte de pared fijo para televisores de 26"-63", Ultra-Delgado Compatible con VESA 400x400mm, Capacidad de Peso Fuerte de 25KG, Instalación Fácil Sin Electricidad</t>
        </is>
      </c>
      <c r="H569" s="16" t="inlineStr">
        <is>
          <t>NEGRO</t>
        </is>
      </c>
      <c r="I569" s="16" t="n">
        <v>1</v>
      </c>
      <c r="J569" s="17" t="n">
        <v>48.5</v>
      </c>
      <c r="K569" s="17" t="n">
        <v>63.48</v>
      </c>
      <c r="L569" s="17" t="n">
        <v>25.86</v>
      </c>
      <c r="M569" s="17" t="n">
        <v>0</v>
      </c>
      <c r="N569" s="17">
        <f>K569*0.08+L569*0.08</f>
        <v/>
      </c>
      <c r="O569" s="17">
        <f>-(K569*0.025+L569*0.025)</f>
        <v/>
      </c>
      <c r="P569" s="17">
        <f>32</f>
        <v/>
      </c>
      <c r="Q569" s="17">
        <f>J569+L569+N569+O569-P569-M569</f>
        <v/>
      </c>
    </row>
    <row r="570">
      <c r="A570" s="16" t="inlineStr">
        <is>
          <t>5.1-5.7</t>
        </is>
      </c>
      <c r="B570" s="16" t="inlineStr">
        <is>
          <t>PO-128-14313740892790218</t>
        </is>
      </c>
      <c r="C570" s="16" t="inlineStr">
        <is>
          <t>Delivered</t>
        </is>
      </c>
      <c r="D570" s="16" t="inlineStr">
        <is>
          <t>128-14313809050230218</t>
        </is>
      </c>
      <c r="E570" s="16" t="inlineStr">
        <is>
          <t>Delivered</t>
        </is>
      </c>
      <c r="F570" s="16" t="inlineStr">
        <is>
          <t>LV64W25</t>
        </is>
      </c>
      <c r="G5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70" s="16" t="inlineStr">
        <is>
          <t>Blanco</t>
        </is>
      </c>
      <c r="I570" s="16" t="n">
        <v>4</v>
      </c>
      <c r="J570" s="17" t="n">
        <v>480</v>
      </c>
      <c r="K570" s="17" t="n">
        <v>503.36</v>
      </c>
      <c r="L570" s="17" t="n">
        <v>0</v>
      </c>
      <c r="M570" s="17" t="n">
        <v>0</v>
      </c>
      <c r="N570" s="17">
        <f>K570*0.08+L570*0.08</f>
        <v/>
      </c>
      <c r="O570" s="17">
        <f>-(K570*0.025+L570*0.025)</f>
        <v/>
      </c>
      <c r="P570" s="17">
        <f>32</f>
        <v/>
      </c>
      <c r="Q570" s="17">
        <f>J570+L570+N570+O570-P570-M570</f>
        <v/>
      </c>
    </row>
    <row r="571">
      <c r="A571" s="16" t="inlineStr">
        <is>
          <t>5.1-5.7</t>
        </is>
      </c>
      <c r="B571" s="16" t="inlineStr">
        <is>
          <t>PO-128-13845998398074094</t>
        </is>
      </c>
      <c r="C571" s="16" t="inlineStr">
        <is>
          <t>Delivered</t>
        </is>
      </c>
      <c r="D571" s="16" t="inlineStr">
        <is>
          <t>128-13845980047994094</t>
        </is>
      </c>
      <c r="E571" s="16" t="inlineStr">
        <is>
          <t>Delivered</t>
        </is>
      </c>
      <c r="F571" s="16" t="inlineStr">
        <is>
          <t>TL2663N18C</t>
        </is>
      </c>
      <c r="G571" s="16" t="inlineStr">
        <is>
          <t>Linkbits，Soporte de pared fijo para televisores de 26"-63", Ultra-Delgado Compatible con VESA 400x400mm, Capacidad de Peso Fuerte de 25KG, Instalación Fácil Sin Electricidad</t>
        </is>
      </c>
      <c r="H571" s="16" t="inlineStr">
        <is>
          <t>NEGRO</t>
        </is>
      </c>
      <c r="I571" s="16" t="n">
        <v>1</v>
      </c>
      <c r="J571" s="17" t="n">
        <v>48.5</v>
      </c>
      <c r="K571" s="17" t="n">
        <v>63.48</v>
      </c>
      <c r="L571" s="17" t="n">
        <v>25.86</v>
      </c>
      <c r="M571" s="17" t="n">
        <v>0</v>
      </c>
      <c r="N571" s="17">
        <f>K571*0.08+L571*0.08</f>
        <v/>
      </c>
      <c r="O571" s="17">
        <f>-(K571*0.025+L571*0.025)</f>
        <v/>
      </c>
      <c r="P571" s="17">
        <f>32</f>
        <v/>
      </c>
      <c r="Q571" s="17">
        <f>J571+L571+N571+O571-P571-M571</f>
        <v/>
      </c>
    </row>
    <row r="572">
      <c r="A572" s="16" t="inlineStr">
        <is>
          <t>5.1-5.7</t>
        </is>
      </c>
      <c r="B572" s="16" t="inlineStr">
        <is>
          <t>PO-128-14080702823032633</t>
        </is>
      </c>
      <c r="C572" s="16" t="inlineStr">
        <is>
          <t>Delivered</t>
        </is>
      </c>
      <c r="D572" s="16" t="inlineStr">
        <is>
          <t>128-14080778844792633</t>
        </is>
      </c>
      <c r="E572" s="16" t="inlineStr">
        <is>
          <t>Delivered</t>
        </is>
      </c>
      <c r="F572" s="16" t="inlineStr">
        <is>
          <t>VB349T</t>
        </is>
      </c>
      <c r="G572" s="16" t="inlineStr">
        <is>
          <t>LINKBITS Altavoz Portátil de Doble Altavoz - 3 Pulgadas, Sonido HD, Emparejamiento Rápido de Bluetooth, Conectividad TWS, Reproducción Multimodo (Micro SD/USB/Radio FM) - Perfecto para Oficina, Viajes y Espacios Pequeños</t>
        </is>
      </c>
      <c r="H572" s="16" t="inlineStr">
        <is>
          <t>NEGRO</t>
        </is>
      </c>
      <c r="I572" s="16" t="n">
        <v>1</v>
      </c>
      <c r="J572" s="17" t="n">
        <v>79</v>
      </c>
      <c r="K572" s="17" t="n">
        <v>92.27</v>
      </c>
      <c r="L572" s="17" t="n">
        <v>25.86</v>
      </c>
      <c r="M572" s="17" t="n">
        <v>0</v>
      </c>
      <c r="N572" s="17">
        <f>K572*0.08+L572*0.08</f>
        <v/>
      </c>
      <c r="O572" s="17">
        <f>-(K572*0.025+L572*0.025)</f>
        <v/>
      </c>
      <c r="P572" s="17">
        <f>32</f>
        <v/>
      </c>
      <c r="Q572" s="17">
        <f>J572+L572+N572+O572-P572-M572</f>
        <v/>
      </c>
    </row>
    <row r="573">
      <c r="A573" s="16" t="inlineStr">
        <is>
          <t>5.1-5.7</t>
        </is>
      </c>
      <c r="B573" s="16" t="inlineStr">
        <is>
          <t>PO-128-14182191575671962</t>
        </is>
      </c>
      <c r="C573" s="16" t="inlineStr">
        <is>
          <t>Delivered</t>
        </is>
      </c>
      <c r="D573" s="16" t="inlineStr">
        <is>
          <t>128-14182170604151962</t>
        </is>
      </c>
      <c r="E573" s="16" t="inlineStr">
        <is>
          <t>Delivered</t>
        </is>
      </c>
      <c r="F573" s="16" t="inlineStr">
        <is>
          <t>BSC04</t>
        </is>
      </c>
      <c r="G573" s="16" t="inlineStr">
        <is>
          <t>TIANLAI Báscula Digital BSC04/BSC07, Alta Precisión, Fácil Operación, Ligera y Portátil, Función Tara, Unidad Dual oz/g, Ideal para Cocina, Control de Porciones, Sellos y Objetos Pequeños, Uso en Hogar y Viaje</t>
        </is>
      </c>
      <c r="H573" s="16" t="inlineStr">
        <is>
          <t>5g/White</t>
        </is>
      </c>
      <c r="I573" s="16" t="n">
        <v>1</v>
      </c>
      <c r="J573" s="17" t="n">
        <v>57.2</v>
      </c>
      <c r="K573" s="17" t="n">
        <v>73.51000000000001</v>
      </c>
      <c r="L573" s="17" t="n">
        <v>25.86</v>
      </c>
      <c r="M573" s="17" t="n">
        <v>0</v>
      </c>
      <c r="N573" s="17">
        <f>K573*0.08+L573*0.08</f>
        <v/>
      </c>
      <c r="O573" s="17">
        <f>-(K573*0.025+L573*0.025)</f>
        <v/>
      </c>
      <c r="P573" s="17">
        <f>32</f>
        <v/>
      </c>
      <c r="Q573" s="17">
        <f>J573+L573+N573+O573-P573-M573</f>
        <v/>
      </c>
    </row>
    <row r="574">
      <c r="A574" s="16" t="inlineStr">
        <is>
          <t>5.1-5.7</t>
        </is>
      </c>
      <c r="B574" s="16" t="inlineStr">
        <is>
          <t>PO-128-14214025370231900</t>
        </is>
      </c>
      <c r="C574" s="16" t="inlineStr">
        <is>
          <t>Delivered</t>
        </is>
      </c>
      <c r="D574" s="16" t="inlineStr">
        <is>
          <t>128-14214014884471900</t>
        </is>
      </c>
      <c r="E574" s="16" t="inlineStr">
        <is>
          <t>Delivered</t>
        </is>
      </c>
      <c r="F574" s="16" t="inlineStr">
        <is>
          <t>LV64W25</t>
        </is>
      </c>
      <c r="G5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74" s="16" t="inlineStr">
        <is>
          <t>Blanco</t>
        </is>
      </c>
      <c r="I574" s="16" t="n">
        <v>2</v>
      </c>
      <c r="J574" s="17" t="n">
        <v>240</v>
      </c>
      <c r="K574" s="17" t="n">
        <v>251.68</v>
      </c>
      <c r="L574" s="17" t="n">
        <v>0</v>
      </c>
      <c r="M574" s="17" t="n">
        <v>0</v>
      </c>
      <c r="N574" s="17">
        <f>K574*0.08+L574*0.08</f>
        <v/>
      </c>
      <c r="O574" s="17">
        <f>-(K574*0.025+L574*0.025)</f>
        <v/>
      </c>
      <c r="P574" s="17">
        <f>32</f>
        <v/>
      </c>
      <c r="Q574" s="17">
        <f>J574+L574+N574+O574-P574-M574</f>
        <v/>
      </c>
    </row>
    <row r="575">
      <c r="A575" s="16" t="inlineStr">
        <is>
          <t>5.1-5.7</t>
        </is>
      </c>
      <c r="B575" s="16" t="inlineStr">
        <is>
          <t>PO-128-14247165614711577</t>
        </is>
      </c>
      <c r="C575" s="16" t="inlineStr">
        <is>
          <t>Delivered</t>
        </is>
      </c>
      <c r="D575" s="16" t="inlineStr">
        <is>
          <t>128-14247155128951577</t>
        </is>
      </c>
      <c r="E575" s="16" t="inlineStr">
        <is>
          <t>Delivered</t>
        </is>
      </c>
      <c r="F575" s="16" t="inlineStr">
        <is>
          <t>BG-115-B</t>
        </is>
      </c>
      <c r="G575" s="16" t="inlineStr">
        <is>
          <t>LINK BITS Audífonos Inalámbricos con Luces Multicolor, Recargables y en Adorable Forma de Orejas de Gato - Conecta a Celulares y PCs, Tiene Radio FM, Tarjeta TF y AUX - 7 Horas de Reproducción, Plegables y Perfectos para Trabajo, Juegos y Estudio</t>
        </is>
      </c>
      <c r="H575" s="16" t="inlineStr">
        <is>
          <t>blanco</t>
        </is>
      </c>
      <c r="I575" s="16" t="n">
        <v>1</v>
      </c>
      <c r="J575" s="17" t="n">
        <v>75</v>
      </c>
      <c r="K575" s="17" t="n">
        <v>85.73999999999999</v>
      </c>
      <c r="L575" s="17" t="n">
        <v>25.86</v>
      </c>
      <c r="M575" s="17" t="n">
        <v>0</v>
      </c>
      <c r="N575" s="17">
        <f>K575*0.08+L575*0.08</f>
        <v/>
      </c>
      <c r="O575" s="17">
        <f>-(K575*0.025+L575*0.025)</f>
        <v/>
      </c>
      <c r="P575" s="17">
        <f>32</f>
        <v/>
      </c>
      <c r="Q575" s="17">
        <f>J575+L575+N575+O575-P575-M575</f>
        <v/>
      </c>
    </row>
    <row r="576">
      <c r="A576" s="16" t="inlineStr">
        <is>
          <t>5.1-5.7</t>
        </is>
      </c>
      <c r="B576" s="16" t="inlineStr">
        <is>
          <t>PO-128-14021416714873048</t>
        </is>
      </c>
      <c r="C576" s="16" t="inlineStr">
        <is>
          <t>Delivered</t>
        </is>
      </c>
      <c r="D576" s="16" t="inlineStr">
        <is>
          <t>128-14021437686393048</t>
        </is>
      </c>
      <c r="E576" s="16" t="inlineStr">
        <is>
          <t>Delivered</t>
        </is>
      </c>
      <c r="F576" s="16" t="inlineStr">
        <is>
          <t>LV54W25</t>
        </is>
      </c>
      <c r="G576" s="16" t="inlineStr">
        <is>
          <t>TIANLAI Lámpara Ventilador E27 2 en 1, Silenciosa, LED Alta Luminosidad 180°, Instalación Rápida, Ahorro Energético para Dormitorio y Interiores Pequeños</t>
        </is>
      </c>
      <c r="H576" s="16" t="inlineStr">
        <is>
          <t>1 Pieza</t>
        </is>
      </c>
      <c r="I576" s="16" t="n">
        <v>1</v>
      </c>
      <c r="J576" s="17" t="n">
        <v>78.5</v>
      </c>
      <c r="K576" s="17" t="n">
        <v>95.7</v>
      </c>
      <c r="L576" s="17" t="n">
        <v>25.86</v>
      </c>
      <c r="M576" s="17" t="n">
        <v>0</v>
      </c>
      <c r="N576" s="17">
        <f>K576*0.08+L576*0.08</f>
        <v/>
      </c>
      <c r="O576" s="17">
        <f>-(K576*0.025+L576*0.025)</f>
        <v/>
      </c>
      <c r="P576" s="17">
        <f>32</f>
        <v/>
      </c>
      <c r="Q576" s="17">
        <f>J576+L576+N576+O576-P576-M576</f>
        <v/>
      </c>
    </row>
    <row r="577">
      <c r="A577" s="16" t="inlineStr">
        <is>
          <t>5.1-5.7</t>
        </is>
      </c>
      <c r="B577" s="16" t="inlineStr">
        <is>
          <t>PO-128-14118981110391317</t>
        </is>
      </c>
      <c r="C577" s="16" t="inlineStr">
        <is>
          <t>Delivered</t>
        </is>
      </c>
      <c r="D577" s="16" t="inlineStr">
        <is>
          <t>128-14119002081911317</t>
        </is>
      </c>
      <c r="E577" s="16" t="inlineStr">
        <is>
          <t>Delivered</t>
        </is>
      </c>
      <c r="F577" s="16" t="inlineStr">
        <is>
          <t>LV54W25</t>
        </is>
      </c>
      <c r="G577" s="16" t="inlineStr">
        <is>
          <t>TIANLAI Lámpara Ventilador E27 2 en 1, Silenciosa, LED Alta Luminosidad 180°, Instalación Rápida, Ahorro Energético para Dormitorio y Interiores Pequeños</t>
        </is>
      </c>
      <c r="H577" s="16" t="inlineStr">
        <is>
          <t>1 Pieza</t>
        </is>
      </c>
      <c r="I577" s="16" t="n">
        <v>1</v>
      </c>
      <c r="J577" s="17" t="n">
        <v>78.5</v>
      </c>
      <c r="K577" s="17" t="n">
        <v>65.84</v>
      </c>
      <c r="L577" s="17" t="n">
        <v>25.86</v>
      </c>
      <c r="M577" s="17" t="n">
        <v>0</v>
      </c>
      <c r="N577" s="17">
        <f>K577*0.08+L577*0.08</f>
        <v/>
      </c>
      <c r="O577" s="17">
        <f>-(K577*0.025+L577*0.025)</f>
        <v/>
      </c>
      <c r="P577" s="17">
        <f>32</f>
        <v/>
      </c>
      <c r="Q577" s="17">
        <f>J577+L577+N577+O577-P577-M577</f>
        <v/>
      </c>
    </row>
    <row r="578">
      <c r="A578" s="16" t="inlineStr">
        <is>
          <t>5.1-5.7</t>
        </is>
      </c>
      <c r="B578" s="16" t="inlineStr">
        <is>
          <t>PO-128-14268129229430426</t>
        </is>
      </c>
      <c r="C578" s="16" t="inlineStr">
        <is>
          <t>Delivered</t>
        </is>
      </c>
      <c r="D578" s="16" t="inlineStr">
        <is>
          <t>128-14268150200950426</t>
        </is>
      </c>
      <c r="E578" s="16" t="inlineStr">
        <is>
          <t>Delivered</t>
        </is>
      </c>
      <c r="F578" s="16" t="inlineStr">
        <is>
          <t>LV64W25</t>
        </is>
      </c>
      <c r="G5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78" s="16" t="inlineStr">
        <is>
          <t>Blanco</t>
        </is>
      </c>
      <c r="I578" s="16" t="n">
        <v>2</v>
      </c>
      <c r="J578" s="17" t="n">
        <v>240</v>
      </c>
      <c r="K578" s="17" t="n">
        <v>251.68</v>
      </c>
      <c r="L578" s="17" t="n">
        <v>0</v>
      </c>
      <c r="M578" s="17" t="n">
        <v>0</v>
      </c>
      <c r="N578" s="17">
        <f>K578*0.08+L578*0.08</f>
        <v/>
      </c>
      <c r="O578" s="17">
        <f>-(K578*0.025+L578*0.025)</f>
        <v/>
      </c>
      <c r="P578" s="17">
        <f>32</f>
        <v/>
      </c>
      <c r="Q578" s="17">
        <f>J578+L578+N578+O578-P578-M578</f>
        <v/>
      </c>
    </row>
    <row r="579">
      <c r="A579" s="16" t="inlineStr">
        <is>
          <t>5.1-5.7</t>
        </is>
      </c>
      <c r="B579" s="16" t="inlineStr">
        <is>
          <t>PO-128-13776306371193423</t>
        </is>
      </c>
      <c r="C579" s="16" t="inlineStr">
        <is>
          <t>Delivered</t>
        </is>
      </c>
      <c r="D579" s="16" t="inlineStr">
        <is>
          <t>128-13776327342713423</t>
        </is>
      </c>
      <c r="E579" s="16" t="inlineStr">
        <is>
          <t>Delivered</t>
        </is>
      </c>
      <c r="F579" s="16" t="inlineStr">
        <is>
          <t>LV64W25</t>
        </is>
      </c>
      <c r="G5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79" s="16" t="inlineStr">
        <is>
          <t>Blanco</t>
        </is>
      </c>
      <c r="I579" s="16" t="n">
        <v>2</v>
      </c>
      <c r="J579" s="17" t="n">
        <v>240</v>
      </c>
      <c r="K579" s="17" t="n">
        <v>213.93</v>
      </c>
      <c r="L579" s="17" t="n">
        <v>0</v>
      </c>
      <c r="M579" s="17" t="n">
        <v>0</v>
      </c>
      <c r="N579" s="17">
        <f>K579*0.08+L579*0.08</f>
        <v/>
      </c>
      <c r="O579" s="17">
        <f>-(K579*0.025+L579*0.025)</f>
        <v/>
      </c>
      <c r="P579" s="17">
        <f>32</f>
        <v/>
      </c>
      <c r="Q579" s="17">
        <f>J579+L579+N579+O579-P579-M579</f>
        <v/>
      </c>
    </row>
    <row r="580">
      <c r="A580" s="16" t="inlineStr">
        <is>
          <t>5.1-5.7</t>
        </is>
      </c>
      <c r="B580" s="16" t="inlineStr">
        <is>
          <t>PO-128-13749433078393519</t>
        </is>
      </c>
      <c r="C580" s="16" t="inlineStr">
        <is>
          <t>Delivered</t>
        </is>
      </c>
      <c r="D580" s="16" t="inlineStr">
        <is>
          <t>128-13749473055353519</t>
        </is>
      </c>
      <c r="E580" s="16" t="inlineStr">
        <is>
          <t>Delivered</t>
        </is>
      </c>
      <c r="F580" s="16" t="inlineStr">
        <is>
          <t>LV54W25</t>
        </is>
      </c>
      <c r="G580" s="16" t="inlineStr">
        <is>
          <t>TIANLAI Lámpara Ventilador E27 2 en 1, Silenciosa, LED Alta Luminosidad 180°, Instalación Rápida, Ahorro Energético para Dormitorio y Interiores Pequeños</t>
        </is>
      </c>
      <c r="H580" s="16" t="inlineStr">
        <is>
          <t>1 Pieza</t>
        </is>
      </c>
      <c r="I580" s="16" t="n">
        <v>1</v>
      </c>
      <c r="J580" s="17" t="n">
        <v>78.5</v>
      </c>
      <c r="K580" s="17" t="n">
        <v>95.7</v>
      </c>
      <c r="L580" s="17" t="n">
        <v>25.86</v>
      </c>
      <c r="M580" s="17" t="n">
        <v>0</v>
      </c>
      <c r="N580" s="17">
        <f>K580*0.08+L580*0.08</f>
        <v/>
      </c>
      <c r="O580" s="17">
        <f>-(K580*0.025+L580*0.025)</f>
        <v/>
      </c>
      <c r="P580" s="17">
        <f>32</f>
        <v/>
      </c>
      <c r="Q580" s="17">
        <f>J580+L580+N580+O580-P580-M580</f>
        <v/>
      </c>
    </row>
    <row r="581">
      <c r="A581" s="16" t="inlineStr">
        <is>
          <t>5.1-5.7</t>
        </is>
      </c>
      <c r="B581" s="16" t="inlineStr">
        <is>
          <t>PO-128-13832288184953984</t>
        </is>
      </c>
      <c r="C581" s="16" t="inlineStr">
        <is>
          <t>Delivered</t>
        </is>
      </c>
      <c r="D581" s="16" t="inlineStr">
        <is>
          <t>128-13832298670713984</t>
        </is>
      </c>
      <c r="E581" s="16" t="inlineStr">
        <is>
          <t>Delivered</t>
        </is>
      </c>
      <c r="F581" s="16" t="inlineStr">
        <is>
          <t>TL1412N17C</t>
        </is>
      </c>
      <c r="G581" s="16" t="inlineStr">
        <is>
          <t>Linkbits, Soporte de Pared Fijo para TV y Monitor de 14"-43", Ultra Delgado 2.3cm, Fuerte Capacidad de Peso de 25KG, Fácil Instalación con Accesorios Completos</t>
        </is>
      </c>
      <c r="H581" s="16" t="inlineStr">
        <is>
          <t>NEGRO</t>
        </is>
      </c>
      <c r="I581" s="16" t="n">
        <v>1</v>
      </c>
      <c r="J581" s="17" t="n">
        <v>36.5</v>
      </c>
      <c r="K581" s="17" t="n">
        <v>48.21</v>
      </c>
      <c r="L581" s="17" t="n">
        <v>25.86</v>
      </c>
      <c r="M581" s="17" t="n">
        <v>0</v>
      </c>
      <c r="N581" s="17">
        <f>K581*0.08+L581*0.08</f>
        <v/>
      </c>
      <c r="O581" s="17">
        <f>-(K581*0.025+L581*0.025)</f>
        <v/>
      </c>
      <c r="P581" s="17">
        <f>32</f>
        <v/>
      </c>
      <c r="Q581" s="17">
        <f>J581+L581+N581+O581-P581-M581</f>
        <v/>
      </c>
    </row>
    <row r="582">
      <c r="A582" s="16" t="inlineStr">
        <is>
          <t>5.1-5.7</t>
        </is>
      </c>
      <c r="B582" s="16" t="inlineStr">
        <is>
          <t>PO-128-13859736617593884</t>
        </is>
      </c>
      <c r="C582" s="16" t="inlineStr">
        <is>
          <t>Delivered</t>
        </is>
      </c>
      <c r="D582" s="16" t="inlineStr">
        <is>
          <t>128-13859778560633884</t>
        </is>
      </c>
      <c r="E582" s="16" t="inlineStr">
        <is>
          <t>Delivered</t>
        </is>
      </c>
      <c r="F582" s="16" t="inlineStr">
        <is>
          <t>LV54W25</t>
        </is>
      </c>
      <c r="G582" s="16" t="inlineStr">
        <is>
          <t>TIANLAI Lámpara Ventilador E27 2 en 1, Silenciosa, LED Alta Luminosidad 180°, Instalación Rápida, Ahorro Energético para Dormitorio y Interiores Pequeños</t>
        </is>
      </c>
      <c r="H582" s="16" t="inlineStr">
        <is>
          <t>1 Pieza</t>
        </is>
      </c>
      <c r="I582" s="16" t="n">
        <v>1</v>
      </c>
      <c r="J582" s="17" t="n">
        <v>78.5</v>
      </c>
      <c r="K582" s="17" t="n">
        <v>39.2</v>
      </c>
      <c r="L582" s="17" t="n">
        <v>25.86</v>
      </c>
      <c r="M582" s="17" t="n">
        <v>0</v>
      </c>
      <c r="N582" s="17">
        <f>K582*0.08+L582*0.08</f>
        <v/>
      </c>
      <c r="O582" s="17">
        <f>-(K582*0.025+L582*0.025)</f>
        <v/>
      </c>
      <c r="P582" s="17">
        <f>32</f>
        <v/>
      </c>
      <c r="Q582" s="17">
        <f>J582+L582+N582+O582-P582-M582</f>
        <v/>
      </c>
    </row>
    <row r="583">
      <c r="A583" s="16" t="inlineStr">
        <is>
          <t>5.1-5.7</t>
        </is>
      </c>
      <c r="B583" s="16" t="inlineStr">
        <is>
          <t>PO-128-13949458729592391</t>
        </is>
      </c>
      <c r="C583" s="16" t="inlineStr">
        <is>
          <t>Delivered</t>
        </is>
      </c>
      <c r="D583" s="16" t="inlineStr">
        <is>
          <t>128-13949457746552391</t>
        </is>
      </c>
      <c r="E583" s="16" t="inlineStr">
        <is>
          <t>Delivered</t>
        </is>
      </c>
      <c r="F583" s="16" t="inlineStr">
        <is>
          <t>BG-115-B</t>
        </is>
      </c>
      <c r="G583" s="16" t="inlineStr">
        <is>
          <t>LINK BITS Audífonos Inalámbricos con Luces Multicolor, Recargables y en Adorable Forma de Orejas de Gato - Conecta a Celulares y PCs, Tiene Radio FM, Tarjeta TF y AUX - 7 Horas de Reproducción, Plegables y Perfectos para Trabajo, Juegos y Estudio</t>
        </is>
      </c>
      <c r="H583" s="16" t="inlineStr">
        <is>
          <t>blanco</t>
        </is>
      </c>
      <c r="I583" s="16" t="n">
        <v>1</v>
      </c>
      <c r="J583" s="17" t="n">
        <v>75</v>
      </c>
      <c r="K583" s="17" t="n">
        <v>85.73999999999999</v>
      </c>
      <c r="L583" s="17" t="n">
        <v>25.86</v>
      </c>
      <c r="M583" s="17" t="n">
        <v>0</v>
      </c>
      <c r="N583" s="17">
        <f>K583*0.08+L583*0.08</f>
        <v/>
      </c>
      <c r="O583" s="17">
        <f>-(K583*0.025+L583*0.025)</f>
        <v/>
      </c>
      <c r="P583" s="17">
        <f>32</f>
        <v/>
      </c>
      <c r="Q583" s="17">
        <f>J583+L583+N583+O583-P583-M583</f>
        <v/>
      </c>
    </row>
    <row r="584">
      <c r="A584" s="16" t="inlineStr">
        <is>
          <t>5.1-5.7</t>
        </is>
      </c>
      <c r="B584" s="16" t="inlineStr">
        <is>
          <t>PO-128-14017708647033070</t>
        </is>
      </c>
      <c r="C584" s="16" t="inlineStr">
        <is>
          <t>Delivered</t>
        </is>
      </c>
      <c r="D584" s="16" t="inlineStr">
        <is>
          <t>128-14017724375673070</t>
        </is>
      </c>
      <c r="E584" s="16" t="inlineStr">
        <is>
          <t>Delivered</t>
        </is>
      </c>
      <c r="F584" s="16" t="inlineStr">
        <is>
          <t>LV54W25</t>
        </is>
      </c>
      <c r="G584" s="16" t="inlineStr">
        <is>
          <t>TIANLAI Lámpara Ventilador E27 2 en 1, Silenciosa, LED Alta Luminosidad 180°, Instalación Rápida, Ahorro Energético para Dormitorio y Interiores Pequeños</t>
        </is>
      </c>
      <c r="H584" s="16" t="inlineStr">
        <is>
          <t>1 Pieza</t>
        </is>
      </c>
      <c r="I584" s="16" t="n">
        <v>1</v>
      </c>
      <c r="J584" s="17" t="n">
        <v>78.5</v>
      </c>
      <c r="K584" s="17" t="n">
        <v>82.3</v>
      </c>
      <c r="L584" s="17" t="n">
        <v>25.86</v>
      </c>
      <c r="M584" s="17" t="n">
        <v>0</v>
      </c>
      <c r="N584" s="17">
        <f>K584*0.08+L584*0.08</f>
        <v/>
      </c>
      <c r="O584" s="17">
        <f>-(K584*0.025+L584*0.025)</f>
        <v/>
      </c>
      <c r="P584" s="17">
        <f>32</f>
        <v/>
      </c>
      <c r="Q584" s="17">
        <f>J584+L584+N584+O584-P584-M584</f>
        <v/>
      </c>
    </row>
    <row r="585">
      <c r="A585" s="16" t="inlineStr">
        <is>
          <t>5.1-5.7</t>
        </is>
      </c>
      <c r="B585" s="16" t="inlineStr">
        <is>
          <t>PO-128-14269647002230419</t>
        </is>
      </c>
      <c r="C585" s="16" t="inlineStr">
        <is>
          <t>Delivered</t>
        </is>
      </c>
      <c r="D585" s="16" t="inlineStr">
        <is>
          <t>128-14269667973750419</t>
        </is>
      </c>
      <c r="E585" s="16" t="inlineStr">
        <is>
          <t>Delivered</t>
        </is>
      </c>
      <c r="F585" s="16" t="inlineStr">
        <is>
          <t>LV64W25</t>
        </is>
      </c>
      <c r="G5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85" s="16" t="inlineStr">
        <is>
          <t>Blanco</t>
        </is>
      </c>
      <c r="I585" s="16" t="n">
        <v>5</v>
      </c>
      <c r="J585" s="17" t="n">
        <v>600</v>
      </c>
      <c r="K585" s="17" t="n">
        <v>519</v>
      </c>
      <c r="L585" s="17" t="n">
        <v>0</v>
      </c>
      <c r="M585" s="17" t="n">
        <v>1.95</v>
      </c>
      <c r="N585" s="17">
        <f>K585*0.08+L585*0.08</f>
        <v/>
      </c>
      <c r="O585" s="17">
        <f>-(K585*0.025+L585*0.025)</f>
        <v/>
      </c>
      <c r="P585" s="17">
        <f>32</f>
        <v/>
      </c>
      <c r="Q585" s="17">
        <f>J585+L585+N585+O585-P585-M585</f>
        <v/>
      </c>
    </row>
    <row r="586">
      <c r="A586" s="16" t="inlineStr">
        <is>
          <t>5.1-5.7</t>
        </is>
      </c>
      <c r="B586" s="16" t="inlineStr">
        <is>
          <t>PO-128-14204996700791826</t>
        </is>
      </c>
      <c r="C586" s="16" t="inlineStr">
        <is>
          <t>Delivered</t>
        </is>
      </c>
      <c r="D586" s="16" t="inlineStr">
        <is>
          <t>128-14204954757751826</t>
        </is>
      </c>
      <c r="E586" s="16" t="inlineStr">
        <is>
          <t>Delivered</t>
        </is>
      </c>
      <c r="F586" s="16" t="inlineStr">
        <is>
          <t>LV64W25</t>
        </is>
      </c>
      <c r="G5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86" s="16" t="inlineStr">
        <is>
          <t>Blanco</t>
        </is>
      </c>
      <c r="I586" s="16" t="n">
        <v>1</v>
      </c>
      <c r="J586" s="17" t="n">
        <v>120</v>
      </c>
      <c r="K586" s="17" t="n">
        <v>138.28</v>
      </c>
      <c r="L586" s="17" t="n">
        <v>25.86</v>
      </c>
      <c r="M586" s="17" t="n">
        <v>0</v>
      </c>
      <c r="N586" s="17">
        <f>K586*0.08+L586*0.08</f>
        <v/>
      </c>
      <c r="O586" s="17">
        <f>-(K586*0.025+L586*0.025)</f>
        <v/>
      </c>
      <c r="P586" s="17">
        <f>32</f>
        <v/>
      </c>
      <c r="Q586" s="17">
        <f>J586+L586+N586+O586-P586-M586</f>
        <v/>
      </c>
    </row>
    <row r="587">
      <c r="A587" s="16" t="inlineStr">
        <is>
          <t>5.1-5.7</t>
        </is>
      </c>
      <c r="B587" s="16" t="inlineStr">
        <is>
          <t>PO-128-14360589691510965</t>
        </is>
      </c>
      <c r="C587" s="16" t="inlineStr">
        <is>
          <t>Delivered</t>
        </is>
      </c>
      <c r="D587" s="16" t="inlineStr">
        <is>
          <t>128-14360547748470965</t>
        </is>
      </c>
      <c r="E587" s="16" t="inlineStr">
        <is>
          <t>Delivered</t>
        </is>
      </c>
      <c r="F587" s="16" t="inlineStr">
        <is>
          <t>LV64W25</t>
        </is>
      </c>
      <c r="G5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87" s="16" t="inlineStr">
        <is>
          <t>Blanco</t>
        </is>
      </c>
      <c r="I587" s="16" t="n">
        <v>1</v>
      </c>
      <c r="J587" s="17" t="n">
        <v>120</v>
      </c>
      <c r="K587" s="17" t="n">
        <v>82.73999999999999</v>
      </c>
      <c r="L587" s="17" t="n">
        <v>25.86</v>
      </c>
      <c r="M587" s="17" t="n">
        <v>0</v>
      </c>
      <c r="N587" s="17">
        <f>K587*0.08+L587*0.08</f>
        <v/>
      </c>
      <c r="O587" s="17">
        <f>-(K587*0.025+L587*0.025)</f>
        <v/>
      </c>
      <c r="P587" s="17">
        <f>32</f>
        <v/>
      </c>
      <c r="Q587" s="17">
        <f>J587+L587+N587+O587-P587-M587</f>
        <v/>
      </c>
    </row>
    <row r="588">
      <c r="A588" s="16" t="inlineStr">
        <is>
          <t>5.1-5.7</t>
        </is>
      </c>
      <c r="B588" s="16" t="inlineStr">
        <is>
          <t>PO-128-13798891469433289</t>
        </is>
      </c>
      <c r="C588" s="16" t="inlineStr">
        <is>
          <t>Delivered</t>
        </is>
      </c>
      <c r="D588" s="16" t="inlineStr">
        <is>
          <t>128-13798849526393289</t>
        </is>
      </c>
      <c r="E588" s="16" t="inlineStr">
        <is>
          <t>Delivered</t>
        </is>
      </c>
      <c r="F588" s="16" t="inlineStr">
        <is>
          <t>LV64W25</t>
        </is>
      </c>
      <c r="G5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88" s="16" t="inlineStr">
        <is>
          <t>Blanco</t>
        </is>
      </c>
      <c r="I588" s="16" t="n">
        <v>1</v>
      </c>
      <c r="J588" s="17" t="n">
        <v>120</v>
      </c>
      <c r="K588" s="17" t="n">
        <v>82.73999999999999</v>
      </c>
      <c r="L588" s="17" t="n">
        <v>25.86</v>
      </c>
      <c r="M588" s="17" t="n">
        <v>0</v>
      </c>
      <c r="N588" s="17">
        <f>K588*0.08+L588*0.08</f>
        <v/>
      </c>
      <c r="O588" s="17">
        <f>-(K588*0.025+L588*0.025)</f>
        <v/>
      </c>
      <c r="P588" s="17">
        <f>32</f>
        <v/>
      </c>
      <c r="Q588" s="17">
        <f>J588+L588+N588+O588-P588-M588</f>
        <v/>
      </c>
    </row>
    <row r="589">
      <c r="A589" s="16" t="inlineStr">
        <is>
          <t>5.1-5.7</t>
        </is>
      </c>
      <c r="B589" s="16" t="inlineStr">
        <is>
          <t>PO-128-14136788449911211</t>
        </is>
      </c>
      <c r="C589" s="16" t="inlineStr">
        <is>
          <t>Delivered</t>
        </is>
      </c>
      <c r="D589" s="16" t="inlineStr">
        <is>
          <t>128-14136746506871211</t>
        </is>
      </c>
      <c r="E589" s="16" t="inlineStr">
        <is>
          <t>Delivered</t>
        </is>
      </c>
      <c r="F589" s="16" t="inlineStr">
        <is>
          <t>LV54W25</t>
        </is>
      </c>
      <c r="G589" s="16" t="inlineStr">
        <is>
          <t>TIANLAI Lámpara Ventilador E27 2 en 1, Silenciosa, LED Alta Luminosidad 180°, Instalación Rápida, Ahorro Energético para Dormitorio y Interiores Pequeños</t>
        </is>
      </c>
      <c r="H589" s="16" t="inlineStr">
        <is>
          <t>1 Pieza</t>
        </is>
      </c>
      <c r="I589" s="16" t="n">
        <v>1</v>
      </c>
      <c r="J589" s="17" t="n">
        <v>78.5</v>
      </c>
      <c r="K589" s="17" t="n">
        <v>95.7</v>
      </c>
      <c r="L589" s="17" t="n">
        <v>25.86</v>
      </c>
      <c r="M589" s="17" t="n">
        <v>0</v>
      </c>
      <c r="N589" s="17">
        <f>K589*0.08+L589*0.08</f>
        <v/>
      </c>
      <c r="O589" s="17">
        <f>-(K589*0.025+L589*0.025)</f>
        <v/>
      </c>
      <c r="P589" s="17">
        <f>32</f>
        <v/>
      </c>
      <c r="Q589" s="17">
        <f>J589+L589+N589+O589-P589-M589</f>
        <v/>
      </c>
    </row>
    <row r="590">
      <c r="A590" s="16" t="inlineStr">
        <is>
          <t>5.1-5.7</t>
        </is>
      </c>
      <c r="B590" s="16" t="inlineStr">
        <is>
          <t>PO-128-14030601882232866</t>
        </is>
      </c>
      <c r="C590" s="16" t="inlineStr">
        <is>
          <t>Delivered</t>
        </is>
      </c>
      <c r="D590" s="16" t="inlineStr">
        <is>
          <t>128-14030559939192866</t>
        </is>
      </c>
      <c r="E590" s="16" t="inlineStr">
        <is>
          <t>Delivered</t>
        </is>
      </c>
      <c r="F590" s="16" t="inlineStr">
        <is>
          <t>LV64W25</t>
        </is>
      </c>
      <c r="G5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0" s="16" t="inlineStr">
        <is>
          <t>Blanco</t>
        </is>
      </c>
      <c r="I590" s="16" t="n">
        <v>6</v>
      </c>
      <c r="J590" s="17" t="n">
        <v>720</v>
      </c>
      <c r="K590" s="17" t="n">
        <v>829.6799999999999</v>
      </c>
      <c r="L590" s="17" t="n">
        <v>0</v>
      </c>
      <c r="M590" s="17" t="n">
        <v>0</v>
      </c>
      <c r="N590" s="17">
        <f>K590*0.08+L590*0.08</f>
        <v/>
      </c>
      <c r="O590" s="17">
        <f>-(K590*0.025+L590*0.025)</f>
        <v/>
      </c>
      <c r="P590" s="17">
        <f>32</f>
        <v/>
      </c>
      <c r="Q590" s="17">
        <f>J590+L590+N590+O590-P590-M590</f>
        <v/>
      </c>
    </row>
    <row r="591">
      <c r="A591" s="16" t="inlineStr">
        <is>
          <t>5.1-5.7</t>
        </is>
      </c>
      <c r="B591" s="16" t="inlineStr">
        <is>
          <t>PO-128-14284158044790266</t>
        </is>
      </c>
      <c r="C591" s="16" t="inlineStr">
        <is>
          <t>Delivered</t>
        </is>
      </c>
      <c r="D591" s="16" t="inlineStr">
        <is>
          <t>128-14284147559030266</t>
        </is>
      </c>
      <c r="E591" s="16" t="inlineStr">
        <is>
          <t>Delivered</t>
        </is>
      </c>
      <c r="F591" s="16" t="inlineStr">
        <is>
          <t>BG-115-P</t>
        </is>
      </c>
      <c r="G591" s="16" t="inlineStr">
        <is>
          <t>LINK BITS Audífonos Inalámbricos con Luces Multicolor, Recargables y en Adorable Forma de Orejas de Gato - Conecta a Celulares y PCs, Tiene Radio FM, Tarjeta TF y AUX - 7 Horas de Reproducción, Plegables y Perfectos para Trabajo, Juegos y Estudio</t>
        </is>
      </c>
      <c r="H591" s="16" t="inlineStr">
        <is>
          <t>rosa</t>
        </is>
      </c>
      <c r="I591" s="16" t="n">
        <v>1</v>
      </c>
      <c r="J591" s="17" t="n">
        <v>75</v>
      </c>
      <c r="K591" s="17" t="n">
        <v>68.59</v>
      </c>
      <c r="L591" s="17" t="n">
        <v>25.86</v>
      </c>
      <c r="M591" s="17" t="n">
        <v>0</v>
      </c>
      <c r="N591" s="17">
        <f>K591*0.08+L591*0.08</f>
        <v/>
      </c>
      <c r="O591" s="17">
        <f>-(K591*0.025+L591*0.025)</f>
        <v/>
      </c>
      <c r="P591" s="17">
        <f>32</f>
        <v/>
      </c>
      <c r="Q591" s="17">
        <f>J591+L591+N591+O591-P591-M591</f>
        <v/>
      </c>
    </row>
    <row r="592">
      <c r="A592" s="16" t="inlineStr">
        <is>
          <t>5.1-5.7</t>
        </is>
      </c>
      <c r="B592" s="16" t="inlineStr">
        <is>
          <t>PO-128-14078883205752642</t>
        </is>
      </c>
      <c r="C592" s="16" t="inlineStr">
        <is>
          <t>Delivered</t>
        </is>
      </c>
      <c r="D592" s="16" t="inlineStr">
        <is>
          <t>128-14078904177272642</t>
        </is>
      </c>
      <c r="E592" s="16" t="inlineStr">
        <is>
          <t>Delivered</t>
        </is>
      </c>
      <c r="F592" s="16" t="inlineStr">
        <is>
          <t>LV64W25</t>
        </is>
      </c>
      <c r="G5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2" s="16" t="inlineStr">
        <is>
          <t>Blanco</t>
        </is>
      </c>
      <c r="I592" s="16" t="n">
        <v>1</v>
      </c>
      <c r="J592" s="17" t="n">
        <v>120</v>
      </c>
      <c r="K592" s="17" t="n">
        <v>125.84</v>
      </c>
      <c r="L592" s="17" t="n">
        <v>25.86</v>
      </c>
      <c r="M592" s="17" t="n">
        <v>0</v>
      </c>
      <c r="N592" s="17">
        <f>K592*0.08+L592*0.08</f>
        <v/>
      </c>
      <c r="O592" s="17">
        <f>-(K592*0.025+L592*0.025)</f>
        <v/>
      </c>
      <c r="P592" s="17">
        <f>32</f>
        <v/>
      </c>
      <c r="Q592" s="17">
        <f>J592+L592+N592+O592-P592-M592</f>
        <v/>
      </c>
    </row>
    <row r="593">
      <c r="A593" s="16" t="inlineStr">
        <is>
          <t>5.1-5.7</t>
        </is>
      </c>
      <c r="B593" s="16" t="inlineStr">
        <is>
          <t>PO-128-13793938637433252</t>
        </is>
      </c>
      <c r="C593" s="16" t="inlineStr">
        <is>
          <t>Delivered</t>
        </is>
      </c>
      <c r="D593" s="16" t="inlineStr">
        <is>
          <t>128-13793922908793252</t>
        </is>
      </c>
      <c r="E593" s="16" t="inlineStr">
        <is>
          <t>Delivered</t>
        </is>
      </c>
      <c r="F593" s="16" t="inlineStr">
        <is>
          <t>LV64W25</t>
        </is>
      </c>
      <c r="G5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3" s="16" t="inlineStr">
        <is>
          <t>Blanco</t>
        </is>
      </c>
      <c r="I593" s="16" t="n">
        <v>1</v>
      </c>
      <c r="J593" s="17" t="n">
        <v>120</v>
      </c>
      <c r="K593" s="17" t="n">
        <v>125.84</v>
      </c>
      <c r="L593" s="17" t="n">
        <v>25.86</v>
      </c>
      <c r="M593" s="17" t="n">
        <v>0</v>
      </c>
      <c r="N593" s="17">
        <f>K593*0.08+L593*0.08</f>
        <v/>
      </c>
      <c r="O593" s="17">
        <f>-(K593*0.025+L593*0.025)</f>
        <v/>
      </c>
      <c r="P593" s="17">
        <f>32</f>
        <v/>
      </c>
      <c r="Q593" s="17">
        <f>J593+L593+N593+O593-P593-M593</f>
        <v/>
      </c>
    </row>
    <row r="594">
      <c r="A594" s="16" t="inlineStr">
        <is>
          <t>5.1-5.7</t>
        </is>
      </c>
      <c r="B594" s="16" t="inlineStr">
        <is>
          <t>PO-128-14396713718390685</t>
        </is>
      </c>
      <c r="C594" s="16" t="inlineStr">
        <is>
          <t>Delivered</t>
        </is>
      </c>
      <c r="D594" s="16" t="inlineStr">
        <is>
          <t>128-14396724204150685</t>
        </is>
      </c>
      <c r="E594" s="16" t="inlineStr">
        <is>
          <t>Delivered</t>
        </is>
      </c>
      <c r="F594" s="16" t="inlineStr">
        <is>
          <t>TL2663N18C</t>
        </is>
      </c>
      <c r="G594" s="16" t="inlineStr">
        <is>
          <t>Linkbits，Soporte de pared fijo para televisores de 26"-63", Ultra-Delgado Compatible con VESA 400x400mm, Capacidad de Peso Fuerte de 25KG, Instalación Fácil Sin Electricidad</t>
        </is>
      </c>
      <c r="H594" s="16" t="inlineStr">
        <is>
          <t>NEGRO</t>
        </is>
      </c>
      <c r="I594" s="16" t="n">
        <v>1</v>
      </c>
      <c r="J594" s="17" t="n">
        <v>48.5</v>
      </c>
      <c r="K594" s="17" t="n">
        <v>63.48</v>
      </c>
      <c r="L594" s="17" t="n">
        <v>25.86</v>
      </c>
      <c r="M594" s="17" t="n">
        <v>0</v>
      </c>
      <c r="N594" s="17">
        <f>K594*0.08+L594*0.08</f>
        <v/>
      </c>
      <c r="O594" s="17">
        <f>-(K594*0.025+L594*0.025)</f>
        <v/>
      </c>
      <c r="P594" s="17">
        <f>32</f>
        <v/>
      </c>
      <c r="Q594" s="17">
        <f>J594+L594+N594+O594-P594-M594</f>
        <v/>
      </c>
    </row>
    <row r="595">
      <c r="A595" s="16" t="inlineStr">
        <is>
          <t>5.1-5.7</t>
        </is>
      </c>
      <c r="B595" s="16" t="inlineStr">
        <is>
          <t>PO-128-14388110930550865</t>
        </is>
      </c>
      <c r="C595" s="16" t="inlineStr">
        <is>
          <t>Delivered</t>
        </is>
      </c>
      <c r="D595" s="16" t="inlineStr">
        <is>
          <t>128-14388068987510865</t>
        </is>
      </c>
      <c r="E595" s="16" t="inlineStr">
        <is>
          <t>Delivered</t>
        </is>
      </c>
      <c r="F595" s="16" t="inlineStr">
        <is>
          <t>LV64W25</t>
        </is>
      </c>
      <c r="G5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5" s="16" t="inlineStr">
        <is>
          <t>Blanco</t>
        </is>
      </c>
      <c r="I595" s="16" t="n">
        <v>2</v>
      </c>
      <c r="J595" s="17" t="n">
        <v>240</v>
      </c>
      <c r="K595" s="17" t="n">
        <v>213.93</v>
      </c>
      <c r="L595" s="17" t="n">
        <v>0</v>
      </c>
      <c r="M595" s="17" t="n">
        <v>0</v>
      </c>
      <c r="N595" s="17">
        <f>K595*0.08+L595*0.08</f>
        <v/>
      </c>
      <c r="O595" s="17">
        <f>-(K595*0.025+L595*0.025)</f>
        <v/>
      </c>
      <c r="P595" s="17">
        <f>32</f>
        <v/>
      </c>
      <c r="Q595" s="17">
        <f>J595+L595+N595+O595-P595-M595</f>
        <v/>
      </c>
    </row>
    <row r="596">
      <c r="A596" s="16" t="inlineStr">
        <is>
          <t>5.1-5.7</t>
        </is>
      </c>
      <c r="B596" s="16" t="inlineStr">
        <is>
          <t>PO-128-03376421816950771</t>
        </is>
      </c>
      <c r="C596" s="16" t="inlineStr">
        <is>
          <t>Delivered</t>
        </is>
      </c>
      <c r="D596" s="16" t="inlineStr">
        <is>
          <t>128-03376423127670771</t>
        </is>
      </c>
      <c r="E596" s="16" t="inlineStr">
        <is>
          <t>Delivered</t>
        </is>
      </c>
      <c r="F596" s="16" t="inlineStr">
        <is>
          <t>LV64W25</t>
        </is>
      </c>
      <c r="G5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6" s="16" t="inlineStr">
        <is>
          <t>Blanco</t>
        </is>
      </c>
      <c r="I596" s="16" t="n">
        <v>2</v>
      </c>
      <c r="J596" s="17" t="n">
        <v>240</v>
      </c>
      <c r="K596" s="17" t="n">
        <v>276.56</v>
      </c>
      <c r="L596" s="17" t="n">
        <v>0</v>
      </c>
      <c r="M596" s="17" t="n">
        <v>0</v>
      </c>
      <c r="N596" s="17">
        <f>K596*0.08+L596*0.08</f>
        <v/>
      </c>
      <c r="O596" s="17">
        <f>-(K596*0.025+L596*0.025)</f>
        <v/>
      </c>
      <c r="P596" s="17">
        <f>32</f>
        <v/>
      </c>
      <c r="Q596" s="17">
        <f>J596+L596+N596+O596-P596-M596</f>
        <v/>
      </c>
    </row>
    <row r="597">
      <c r="A597" s="16" t="inlineStr">
        <is>
          <t>5.1-5.7</t>
        </is>
      </c>
      <c r="B597" s="16" t="inlineStr">
        <is>
          <t>PO-128-03149670226551227</t>
        </is>
      </c>
      <c r="C597" s="16" t="inlineStr">
        <is>
          <t>Delivered</t>
        </is>
      </c>
      <c r="D597" s="16" t="inlineStr">
        <is>
          <t>128-03149649255031227</t>
        </is>
      </c>
      <c r="E597" s="16" t="inlineStr">
        <is>
          <t>Delivered</t>
        </is>
      </c>
      <c r="F597" s="16" t="inlineStr">
        <is>
          <t>LV64W25</t>
        </is>
      </c>
      <c r="G5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7" s="16" t="inlineStr">
        <is>
          <t>Blanco</t>
        </is>
      </c>
      <c r="I597" s="16" t="n">
        <v>2</v>
      </c>
      <c r="J597" s="17" t="n">
        <v>240</v>
      </c>
      <c r="K597" s="17" t="n">
        <v>276.56</v>
      </c>
      <c r="L597" s="17" t="n">
        <v>0</v>
      </c>
      <c r="M597" s="17" t="n">
        <v>0</v>
      </c>
      <c r="N597" s="17">
        <f>K597*0.08+L597*0.08</f>
        <v/>
      </c>
      <c r="O597" s="17">
        <f>-(K597*0.025+L597*0.025)</f>
        <v/>
      </c>
      <c r="P597" s="17">
        <f>32</f>
        <v/>
      </c>
      <c r="Q597" s="17">
        <f>J597+L597+N597+O597-P597-M597</f>
        <v/>
      </c>
    </row>
    <row r="598">
      <c r="A598" s="16" t="inlineStr">
        <is>
          <t>5.1-5.7</t>
        </is>
      </c>
      <c r="B598" s="16" t="inlineStr">
        <is>
          <t>PO-128-03015441971832987</t>
        </is>
      </c>
      <c r="C598" s="16" t="inlineStr">
        <is>
          <t>Delivered</t>
        </is>
      </c>
      <c r="D598" s="16" t="inlineStr">
        <is>
          <t>128-03015483914872987</t>
        </is>
      </c>
      <c r="E598" s="16" t="inlineStr">
        <is>
          <t>Delivered</t>
        </is>
      </c>
      <c r="F598" s="16" t="inlineStr">
        <is>
          <t>LV64W25</t>
        </is>
      </c>
      <c r="G5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8" s="16" t="inlineStr">
        <is>
          <t>Blanco</t>
        </is>
      </c>
      <c r="I598" s="16" t="n">
        <v>2</v>
      </c>
      <c r="J598" s="17" t="n">
        <v>240</v>
      </c>
      <c r="K598" s="17" t="n">
        <v>276.56</v>
      </c>
      <c r="L598" s="17" t="n">
        <v>0</v>
      </c>
      <c r="M598" s="17" t="n">
        <v>276.56</v>
      </c>
      <c r="N598" s="17">
        <f>K598*0.08+L598*0.08</f>
        <v/>
      </c>
      <c r="O598" s="17">
        <f>-(K598*0.025+L598*0.025)</f>
        <v/>
      </c>
      <c r="P598" s="17">
        <f>32</f>
        <v/>
      </c>
      <c r="Q598" s="17">
        <f>J598+L598+N598+O598-P598-M598</f>
        <v/>
      </c>
    </row>
    <row r="599">
      <c r="A599" s="16" t="inlineStr">
        <is>
          <t>5.1-5.7</t>
        </is>
      </c>
      <c r="B599" s="16" t="inlineStr">
        <is>
          <t>PO-128-03277917891190463</t>
        </is>
      </c>
      <c r="C599" s="16" t="inlineStr">
        <is>
          <t>Delivered</t>
        </is>
      </c>
      <c r="D599" s="16" t="inlineStr">
        <is>
          <t>128-03277875948150463</t>
        </is>
      </c>
      <c r="E599" s="16" t="inlineStr">
        <is>
          <t>Delivered</t>
        </is>
      </c>
      <c r="F599" s="16" t="inlineStr">
        <is>
          <t>LV64W25</t>
        </is>
      </c>
      <c r="G5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599" s="16" t="inlineStr">
        <is>
          <t>Blanco</t>
        </is>
      </c>
      <c r="I599" s="16" t="n">
        <v>2</v>
      </c>
      <c r="J599" s="17" t="n">
        <v>240</v>
      </c>
      <c r="K599" s="17" t="n">
        <v>221.24</v>
      </c>
      <c r="L599" s="17" t="n">
        <v>0</v>
      </c>
      <c r="M599" s="17" t="n">
        <v>0</v>
      </c>
      <c r="N599" s="17">
        <f>K599*0.08+L599*0.08</f>
        <v/>
      </c>
      <c r="O599" s="17">
        <f>-(K599*0.025+L599*0.025)</f>
        <v/>
      </c>
      <c r="P599" s="17">
        <f>32</f>
        <v/>
      </c>
      <c r="Q599" s="17">
        <f>J599+L599+N599+O599-P599-M599</f>
        <v/>
      </c>
    </row>
    <row r="600">
      <c r="A600" s="16" t="inlineStr">
        <is>
          <t>5.1-5.7</t>
        </is>
      </c>
      <c r="B600" s="16" t="inlineStr">
        <is>
          <t>PO-128-02926548593272493</t>
        </is>
      </c>
      <c r="C600" s="16" t="inlineStr">
        <is>
          <t>Delivered</t>
        </is>
      </c>
      <c r="D600" s="16" t="inlineStr">
        <is>
          <t>128-02926601022072493</t>
        </is>
      </c>
      <c r="E600" s="16" t="inlineStr">
        <is>
          <t>Delivered</t>
        </is>
      </c>
      <c r="F600" s="16" t="inlineStr">
        <is>
          <t>LV54W25</t>
        </is>
      </c>
      <c r="G600" s="16" t="inlineStr">
        <is>
          <t>TIANLAI Lámpara Ventilador E27 2 en 1, Silenciosa, LED Alta Luminosidad 180°, Instalación Rápida, Ahorro Energético para Dormitorio y Interiores Pequeños</t>
        </is>
      </c>
      <c r="H600" s="16" t="inlineStr">
        <is>
          <t>1 Pieza</t>
        </is>
      </c>
      <c r="I600" s="16" t="n">
        <v>1</v>
      </c>
      <c r="J600" s="17" t="n">
        <v>78.5</v>
      </c>
      <c r="K600" s="17" t="n">
        <v>82.3</v>
      </c>
      <c r="L600" s="17" t="n">
        <v>25.86</v>
      </c>
      <c r="M600" s="17" t="n">
        <v>0</v>
      </c>
      <c r="N600" s="17">
        <f>K600*0.08+L600*0.08</f>
        <v/>
      </c>
      <c r="O600" s="17">
        <f>-(K600*0.025+L600*0.025)</f>
        <v/>
      </c>
      <c r="P600" s="17">
        <f>32</f>
        <v/>
      </c>
      <c r="Q600" s="17">
        <f>J600+L600+N600+O600-P600-M600</f>
        <v/>
      </c>
    </row>
    <row r="601">
      <c r="A601" s="16" t="inlineStr">
        <is>
          <t>5.1-5.7</t>
        </is>
      </c>
      <c r="B601" s="16" t="inlineStr">
        <is>
          <t>PO-128-02875828470393947</t>
        </is>
      </c>
      <c r="C601" s="16" t="inlineStr">
        <is>
          <t>Delivered</t>
        </is>
      </c>
      <c r="D601" s="16" t="inlineStr">
        <is>
          <t>128-02875820606073947</t>
        </is>
      </c>
      <c r="E601" s="16" t="inlineStr">
        <is>
          <t>Delivered</t>
        </is>
      </c>
      <c r="F601" s="16" t="inlineStr">
        <is>
          <t>LV64W25</t>
        </is>
      </c>
      <c r="G6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01" s="16" t="inlineStr">
        <is>
          <t>Blanco</t>
        </is>
      </c>
      <c r="I601" s="16" t="n">
        <v>1</v>
      </c>
      <c r="J601" s="17" t="n">
        <v>120</v>
      </c>
      <c r="K601" s="17" t="n">
        <v>124.45</v>
      </c>
      <c r="L601" s="17" t="n">
        <v>25.86</v>
      </c>
      <c r="M601" s="17" t="n">
        <v>0</v>
      </c>
      <c r="N601" s="17">
        <f>K601*0.08+L601*0.08</f>
        <v/>
      </c>
      <c r="O601" s="17">
        <f>-(K601*0.025+L601*0.025)</f>
        <v/>
      </c>
      <c r="P601" s="17">
        <f>32</f>
        <v/>
      </c>
      <c r="Q601" s="17">
        <f>J601+L601+N601+O601-P601-M601</f>
        <v/>
      </c>
    </row>
    <row r="602">
      <c r="A602" s="16" t="inlineStr">
        <is>
          <t>5.1-5.7</t>
        </is>
      </c>
      <c r="B602" s="16" t="inlineStr">
        <is>
          <t>PO-128-03299094579830334</t>
        </is>
      </c>
      <c r="C602" s="16" t="inlineStr">
        <is>
          <t>Delivered</t>
        </is>
      </c>
      <c r="D602" s="16" t="inlineStr">
        <is>
          <t>128-03299199437430334</t>
        </is>
      </c>
      <c r="E602" s="16" t="inlineStr">
        <is>
          <t>Delivered</t>
        </is>
      </c>
      <c r="F602" s="16" t="inlineStr">
        <is>
          <t>LV54W25</t>
        </is>
      </c>
      <c r="G602" s="16" t="inlineStr">
        <is>
          <t>TIANLAI Lámpara Ventilador E27 2 en 1, Silenciosa, LED Alta Luminosidad 180°, Instalación Rápida, Ahorro Energético para Dormitorio y Interiores Pequeños</t>
        </is>
      </c>
      <c r="H602" s="16" t="inlineStr">
        <is>
          <t>1 Pieza</t>
        </is>
      </c>
      <c r="I602" s="16" t="n">
        <v>1</v>
      </c>
      <c r="J602" s="17" t="n">
        <v>78.5</v>
      </c>
      <c r="K602" s="17" t="n">
        <v>82.3</v>
      </c>
      <c r="L602" s="17" t="n">
        <v>25.86</v>
      </c>
      <c r="M602" s="17" t="n">
        <v>0</v>
      </c>
      <c r="N602" s="17">
        <f>K602*0.08+L602*0.08</f>
        <v/>
      </c>
      <c r="O602" s="17">
        <f>-(K602*0.025+L602*0.025)</f>
        <v/>
      </c>
      <c r="P602" s="17">
        <f>32</f>
        <v/>
      </c>
      <c r="Q602" s="17">
        <f>J602+L602+N602+O602-P602-M602</f>
        <v/>
      </c>
    </row>
    <row r="603">
      <c r="A603" s="16" t="inlineStr">
        <is>
          <t>5.1-5.7</t>
        </is>
      </c>
      <c r="B603" s="16" t="inlineStr">
        <is>
          <t>PO-128-03085466460792632</t>
        </is>
      </c>
      <c r="C603" s="16" t="inlineStr">
        <is>
          <t>Delivered</t>
        </is>
      </c>
      <c r="D603" s="16" t="inlineStr">
        <is>
          <t>128-03085476946552632</t>
        </is>
      </c>
      <c r="E603" s="16" t="inlineStr">
        <is>
          <t>Delivered</t>
        </is>
      </c>
      <c r="F603" s="16" t="inlineStr">
        <is>
          <t>LV64W25</t>
        </is>
      </c>
      <c r="G6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03" s="16" t="inlineStr">
        <is>
          <t>Blanco</t>
        </is>
      </c>
      <c r="I603" s="16" t="n">
        <v>1</v>
      </c>
      <c r="J603" s="17" t="n">
        <v>120</v>
      </c>
      <c r="K603" s="17" t="n">
        <v>125.84</v>
      </c>
      <c r="L603" s="17" t="n">
        <v>25.86</v>
      </c>
      <c r="M603" s="17" t="n">
        <v>0</v>
      </c>
      <c r="N603" s="17">
        <f>K603*0.08+L603*0.08</f>
        <v/>
      </c>
      <c r="O603" s="17">
        <f>-(K603*0.025+L603*0.025)</f>
        <v/>
      </c>
      <c r="P603" s="17">
        <f>32</f>
        <v/>
      </c>
      <c r="Q603" s="17">
        <f>J603+L603+N603+O603-P603-M603</f>
        <v/>
      </c>
    </row>
    <row r="604">
      <c r="A604" s="16" t="inlineStr">
        <is>
          <t>5.1-5.7</t>
        </is>
      </c>
      <c r="B604" s="16" t="inlineStr">
        <is>
          <t>PO-128-03228729324151714</t>
        </is>
      </c>
      <c r="C604" s="16" t="inlineStr">
        <is>
          <t>Delivered</t>
        </is>
      </c>
      <c r="D604" s="16" t="inlineStr">
        <is>
          <t>128-03228750295671714</t>
        </is>
      </c>
      <c r="E604" s="16" t="inlineStr">
        <is>
          <t>Delivered</t>
        </is>
      </c>
      <c r="F604" s="16" t="inlineStr">
        <is>
          <t>TL1455N20B</t>
        </is>
      </c>
      <c r="G604" s="16" t="inlineStr">
        <is>
          <t>LINK BITS Soporte para TV 14 A 55 Pulgadas, Base para TV Pantalla Articulado Inclinable y Giratorio, MAX VESA 400×400 mm, Soporta hasta 18kg (Acero Reforzado)</t>
        </is>
      </c>
      <c r="H604" s="16" t="inlineStr">
        <is>
          <t>TL1455N20B</t>
        </is>
      </c>
      <c r="I604" s="16" t="n">
        <v>2</v>
      </c>
      <c r="J604" s="17" t="n">
        <v>143.6</v>
      </c>
      <c r="K604" s="17" t="n">
        <v>161.33</v>
      </c>
      <c r="L604" s="17" t="n">
        <v>25.86</v>
      </c>
      <c r="M604" s="17" t="n">
        <v>0</v>
      </c>
      <c r="N604" s="17">
        <f>K604*0.08+L604*0.08</f>
        <v/>
      </c>
      <c r="O604" s="17">
        <f>-(K604*0.025+L604*0.025)</f>
        <v/>
      </c>
      <c r="P604" s="17">
        <f>32</f>
        <v/>
      </c>
      <c r="Q604" s="17">
        <f>J604+L604+N604+O604-P604-M604</f>
        <v/>
      </c>
    </row>
    <row r="605">
      <c r="A605" s="16" t="inlineStr">
        <is>
          <t>5.1-5.7</t>
        </is>
      </c>
      <c r="B605" s="16" t="inlineStr">
        <is>
          <t>PO-128-02999500124792120</t>
        </is>
      </c>
      <c r="C605" s="16" t="inlineStr">
        <is>
          <t>Delivered</t>
        </is>
      </c>
      <c r="D605" s="16" t="inlineStr">
        <is>
          <t>128-02999542067832120</t>
        </is>
      </c>
      <c r="E605" s="16" t="inlineStr">
        <is>
          <t>Delivered</t>
        </is>
      </c>
      <c r="F605" s="16" t="inlineStr">
        <is>
          <t>KTS-2031</t>
        </is>
      </c>
      <c r="G605" s="16" t="inlineStr">
        <is>
          <t>Bocina inalámbrica de 3 pulgadas con linterna multifuncional y panel solar integrado.Altavoz Portátil con Linterna LED 4 Modos, Radio FM, Bluetooth, Carga Solar, Ideal para Apagones, Emergencias, Campo y Exteriores</t>
        </is>
      </c>
      <c r="H605" s="16" t="inlineStr">
        <is>
          <t>NEGRO</t>
        </is>
      </c>
      <c r="I605" s="16" t="n">
        <v>3</v>
      </c>
      <c r="J605" s="17" t="n">
        <v>189.45</v>
      </c>
      <c r="K605" s="17" t="n">
        <v>173.75</v>
      </c>
      <c r="L605" s="17" t="n">
        <v>25.86</v>
      </c>
      <c r="M605" s="17" t="n">
        <v>0</v>
      </c>
      <c r="N605" s="17">
        <f>K605*0.08+L605*0.08</f>
        <v/>
      </c>
      <c r="O605" s="17">
        <f>-(K605*0.025+L605*0.025)</f>
        <v/>
      </c>
      <c r="P605" s="17">
        <f>32</f>
        <v/>
      </c>
      <c r="Q605" s="17">
        <f>J605+L605+N605+O605-P605-M605</f>
        <v/>
      </c>
    </row>
    <row r="606">
      <c r="A606" s="16" t="inlineStr">
        <is>
          <t>5.1-5.7</t>
        </is>
      </c>
      <c r="B606" s="16" t="inlineStr">
        <is>
          <t>PO-128-03186180608631969</t>
        </is>
      </c>
      <c r="C606" s="16" t="inlineStr">
        <is>
          <t>Delivered</t>
        </is>
      </c>
      <c r="D606" s="16" t="inlineStr">
        <is>
          <t>128-03186191094391969</t>
        </is>
      </c>
      <c r="E606" s="16" t="inlineStr">
        <is>
          <t>Delivered</t>
        </is>
      </c>
      <c r="F606" s="16" t="inlineStr">
        <is>
          <t>LV54W25</t>
        </is>
      </c>
      <c r="G606" s="16" t="inlineStr">
        <is>
          <t>TIANLAI Lámpara Ventilador E27 2 en 1, Silenciosa, LED Alta Luminosidad 180°, Instalación Rápida, Ahorro Energético para Dormitorio y Interiores Pequeños</t>
        </is>
      </c>
      <c r="H606" s="16" t="inlineStr">
        <is>
          <t>1 Pieza</t>
        </is>
      </c>
      <c r="I606" s="16" t="n">
        <v>1</v>
      </c>
      <c r="J606" s="17" t="n">
        <v>78.5</v>
      </c>
      <c r="K606" s="17" t="n">
        <v>65.84</v>
      </c>
      <c r="L606" s="17" t="n">
        <v>25.86</v>
      </c>
      <c r="M606" s="17" t="n">
        <v>0</v>
      </c>
      <c r="N606" s="17">
        <f>K606*0.08+L606*0.08</f>
        <v/>
      </c>
      <c r="O606" s="17">
        <f>-(K606*0.025+L606*0.025)</f>
        <v/>
      </c>
      <c r="P606" s="17">
        <f>32</f>
        <v/>
      </c>
      <c r="Q606" s="17">
        <f>J606+L606+N606+O606-P606-M606</f>
        <v/>
      </c>
    </row>
    <row r="607">
      <c r="A607" s="16" t="inlineStr">
        <is>
          <t>5.1-5.7</t>
        </is>
      </c>
      <c r="B607" s="16" t="inlineStr">
        <is>
          <t>PO-128-03103121316471502</t>
        </is>
      </c>
      <c r="C607" s="16" t="inlineStr">
        <is>
          <t>Delivered</t>
        </is>
      </c>
      <c r="D607" s="16" t="inlineStr">
        <is>
          <t>128-03103273359991502</t>
        </is>
      </c>
      <c r="E607" s="16" t="inlineStr">
        <is>
          <t>Delivered</t>
        </is>
      </c>
      <c r="F607" s="16" t="inlineStr">
        <is>
          <t>LV64W25</t>
        </is>
      </c>
      <c r="G6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07" s="16" t="inlineStr">
        <is>
          <t>Blanco</t>
        </is>
      </c>
      <c r="I607" s="16" t="n">
        <v>1</v>
      </c>
      <c r="J607" s="17" t="n">
        <v>120</v>
      </c>
      <c r="K607" s="17" t="n">
        <v>125.84</v>
      </c>
      <c r="L607" s="17" t="n">
        <v>25.86</v>
      </c>
      <c r="M607" s="17" t="n">
        <v>0</v>
      </c>
      <c r="N607" s="17">
        <f>K607*0.08+L607*0.08</f>
        <v/>
      </c>
      <c r="O607" s="17">
        <f>-(K607*0.025+L607*0.025)</f>
        <v/>
      </c>
      <c r="P607" s="17">
        <f>32</f>
        <v/>
      </c>
      <c r="Q607" s="17">
        <f>J607+L607+N607+O607-P607-M607</f>
        <v/>
      </c>
    </row>
    <row r="608">
      <c r="A608" s="16" t="inlineStr">
        <is>
          <t>5.1-5.7</t>
        </is>
      </c>
      <c r="B608" s="16" t="inlineStr">
        <is>
          <t>PO-128-03123170089591321</t>
        </is>
      </c>
      <c r="C608" s="16" t="inlineStr">
        <is>
          <t>Delivered</t>
        </is>
      </c>
      <c r="D608" s="16" t="inlineStr">
        <is>
          <t>128-03123238247031321</t>
        </is>
      </c>
      <c r="E608" s="16" t="inlineStr">
        <is>
          <t>Delivered</t>
        </is>
      </c>
      <c r="F608" s="16" t="inlineStr">
        <is>
          <t>LV64W25</t>
        </is>
      </c>
      <c r="G6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08" s="16" t="inlineStr">
        <is>
          <t>Blanco</t>
        </is>
      </c>
      <c r="I608" s="16" t="n">
        <v>2</v>
      </c>
      <c r="J608" s="17" t="n">
        <v>240</v>
      </c>
      <c r="K608" s="17" t="n">
        <v>251.68</v>
      </c>
      <c r="L608" s="17" t="n">
        <v>0</v>
      </c>
      <c r="M608" s="17" t="n">
        <v>0</v>
      </c>
      <c r="N608" s="17">
        <f>K608*0.08+L608*0.08</f>
        <v/>
      </c>
      <c r="O608" s="17">
        <f>-(K608*0.025+L608*0.025)</f>
        <v/>
      </c>
      <c r="P608" s="17">
        <f>32</f>
        <v/>
      </c>
      <c r="Q608" s="17">
        <f>J608+L608+N608+O608-P608-M608</f>
        <v/>
      </c>
    </row>
    <row r="609">
      <c r="A609" s="16" t="inlineStr">
        <is>
          <t>5.1-5.7</t>
        </is>
      </c>
      <c r="B609" s="16" t="inlineStr">
        <is>
          <t>PO-128-03004114381432159</t>
        </is>
      </c>
      <c r="C609" s="16" t="inlineStr">
        <is>
          <t>Delivered</t>
        </is>
      </c>
      <c r="D609" s="16" t="inlineStr">
        <is>
          <t>128-03004072438392159</t>
        </is>
      </c>
      <c r="E609" s="16" t="inlineStr">
        <is>
          <t>Delivered</t>
        </is>
      </c>
      <c r="F609" s="16" t="inlineStr">
        <is>
          <t>LV64W25</t>
        </is>
      </c>
      <c r="G6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09" s="16" t="inlineStr">
        <is>
          <t>Blanco</t>
        </is>
      </c>
      <c r="I609" s="16" t="n">
        <v>2</v>
      </c>
      <c r="J609" s="17" t="n">
        <v>240</v>
      </c>
      <c r="K609" s="17" t="n">
        <v>251.68</v>
      </c>
      <c r="L609" s="17" t="n">
        <v>0</v>
      </c>
      <c r="M609" s="17" t="n">
        <v>0</v>
      </c>
      <c r="N609" s="17">
        <f>K609*0.08+L609*0.08</f>
        <v/>
      </c>
      <c r="O609" s="17">
        <f>-(K609*0.025+L609*0.025)</f>
        <v/>
      </c>
      <c r="P609" s="17">
        <f>32</f>
        <v/>
      </c>
      <c r="Q609" s="17">
        <f>J609+L609+N609+O609-P609-M609</f>
        <v/>
      </c>
    </row>
    <row r="610">
      <c r="A610" s="16" t="inlineStr">
        <is>
          <t>5.1-5.7</t>
        </is>
      </c>
      <c r="B610" s="16" t="inlineStr">
        <is>
          <t>PO-128-03004114381432159</t>
        </is>
      </c>
      <c r="C610" s="16" t="inlineStr">
        <is>
          <t>Delivered</t>
        </is>
      </c>
      <c r="D610" s="16" t="inlineStr">
        <is>
          <t>128-03004030495352159</t>
        </is>
      </c>
      <c r="E610" s="16" t="inlineStr">
        <is>
          <t>Delivered</t>
        </is>
      </c>
      <c r="F610" s="16" t="inlineStr">
        <is>
          <t>LV54W25</t>
        </is>
      </c>
      <c r="G610" s="16" t="inlineStr">
        <is>
          <t>TIANLAI Lámpara Ventilador E27 2 en 1, Silenciosa, LED Alta Luminosidad 180°, Instalación Rápida, Ahorro Energético para Dormitorio y Interiores Pequeños</t>
        </is>
      </c>
      <c r="H610" s="16" t="inlineStr">
        <is>
          <t>1 Pieza</t>
        </is>
      </c>
      <c r="I610" s="16" t="n">
        <v>1</v>
      </c>
      <c r="J610" s="17" t="n">
        <v>78.5</v>
      </c>
      <c r="K610" s="17" t="n">
        <v>82.3</v>
      </c>
      <c r="L610" s="17" t="n">
        <v>0</v>
      </c>
      <c r="M610" s="17" t="n">
        <v>0</v>
      </c>
      <c r="N610" s="17">
        <f>K610*0.08+L610*0.08</f>
        <v/>
      </c>
      <c r="O610" s="17">
        <f>-(K610*0.025+L610*0.025)</f>
        <v/>
      </c>
      <c r="P610" s="17">
        <f>32</f>
        <v/>
      </c>
      <c r="Q610" s="17">
        <f>J610+L610+N610+O610-P610-M610</f>
        <v/>
      </c>
    </row>
    <row r="611">
      <c r="A611" s="16" t="inlineStr">
        <is>
          <t>5.1-5.7</t>
        </is>
      </c>
      <c r="B611" s="16" t="inlineStr">
        <is>
          <t>PO-128-02979309793912240</t>
        </is>
      </c>
      <c r="C611" s="16" t="inlineStr">
        <is>
          <t>Delivered</t>
        </is>
      </c>
      <c r="D611" s="16" t="inlineStr">
        <is>
          <t>128-02979320279672240</t>
        </is>
      </c>
      <c r="E611" s="16" t="inlineStr">
        <is>
          <t>Delivered</t>
        </is>
      </c>
      <c r="F611" s="16" t="inlineStr">
        <is>
          <t>SA323T</t>
        </is>
      </c>
      <c r="G611"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611" s="16" t="inlineStr">
        <is>
          <t>AZUL/SA323T</t>
        </is>
      </c>
      <c r="I611" s="16" t="n">
        <v>1</v>
      </c>
      <c r="J611" s="17" t="n">
        <v>45</v>
      </c>
      <c r="K611" s="17" t="n">
        <v>54.07</v>
      </c>
      <c r="L611" s="17" t="n">
        <v>25.86</v>
      </c>
      <c r="M611" s="17" t="n">
        <v>0</v>
      </c>
      <c r="N611" s="17">
        <f>K611*0.08+L611*0.08</f>
        <v/>
      </c>
      <c r="O611" s="17">
        <f>-(K611*0.025+L611*0.025)</f>
        <v/>
      </c>
      <c r="P611" s="17">
        <f>32</f>
        <v/>
      </c>
      <c r="Q611" s="17">
        <f>J611+L611+N611+O611-P611-M611</f>
        <v/>
      </c>
    </row>
    <row r="612">
      <c r="A612" s="16" t="inlineStr">
        <is>
          <t>5.1-5.7</t>
        </is>
      </c>
      <c r="B612" s="16" t="inlineStr">
        <is>
          <t>PO-128-02963069307512403</t>
        </is>
      </c>
      <c r="C612" s="16" t="inlineStr">
        <is>
          <t>Delivered</t>
        </is>
      </c>
      <c r="D612" s="16" t="inlineStr">
        <is>
          <t>128-02963103386232403</t>
        </is>
      </c>
      <c r="E612" s="16" t="inlineStr">
        <is>
          <t>Delivered</t>
        </is>
      </c>
      <c r="F612" s="16" t="inlineStr">
        <is>
          <t>LV64W25</t>
        </is>
      </c>
      <c r="G6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12" s="16" t="inlineStr">
        <is>
          <t>Blanco</t>
        </is>
      </c>
      <c r="I612" s="16" t="n">
        <v>2</v>
      </c>
      <c r="J612" s="17" t="n">
        <v>240</v>
      </c>
      <c r="K612" s="17" t="n">
        <v>251.68</v>
      </c>
      <c r="L612" s="17" t="n">
        <v>0</v>
      </c>
      <c r="M612" s="17" t="n">
        <v>0</v>
      </c>
      <c r="N612" s="17">
        <f>K612*0.08+L612*0.08</f>
        <v/>
      </c>
      <c r="O612" s="17">
        <f>-(K612*0.025+L612*0.025)</f>
        <v/>
      </c>
      <c r="P612" s="17">
        <f>32</f>
        <v/>
      </c>
      <c r="Q612" s="17">
        <f>J612+L612+N612+O612-P612-M612</f>
        <v/>
      </c>
    </row>
    <row r="613">
      <c r="A613" s="16" t="inlineStr">
        <is>
          <t>5.1-5.7</t>
        </is>
      </c>
      <c r="B613" s="16" t="inlineStr">
        <is>
          <t>PO-128-02787659510393449</t>
        </is>
      </c>
      <c r="C613" s="16" t="inlineStr">
        <is>
          <t>Delivered</t>
        </is>
      </c>
      <c r="D613" s="16" t="inlineStr">
        <is>
          <t>128-02787680481913449</t>
        </is>
      </c>
      <c r="E613" s="16" t="inlineStr">
        <is>
          <t>Delivered</t>
        </is>
      </c>
      <c r="F613" s="16" t="inlineStr">
        <is>
          <t>LV54W25</t>
        </is>
      </c>
      <c r="G613" s="16" t="inlineStr">
        <is>
          <t>TIANLAI Lámpara Ventilador E27 2 en 1, Silenciosa, LED Alta Luminosidad 180°, Instalación Rápida, Ahorro Energético para Dormitorio y Interiores Pequeños</t>
        </is>
      </c>
      <c r="H613" s="16" t="inlineStr">
        <is>
          <t>1 Pieza</t>
        </is>
      </c>
      <c r="I613" s="16" t="n">
        <v>1</v>
      </c>
      <c r="J613" s="17" t="n">
        <v>78.5</v>
      </c>
      <c r="K613" s="17" t="n">
        <v>82.3</v>
      </c>
      <c r="L613" s="17" t="n">
        <v>25.86</v>
      </c>
      <c r="M613" s="17" t="n">
        <v>0</v>
      </c>
      <c r="N613" s="17">
        <f>K613*0.08+L613*0.08</f>
        <v/>
      </c>
      <c r="O613" s="17">
        <f>-(K613*0.025+L613*0.025)</f>
        <v/>
      </c>
      <c r="P613" s="17">
        <f>32</f>
        <v/>
      </c>
      <c r="Q613" s="17">
        <f>J613+L613+N613+O613-P613-M613</f>
        <v/>
      </c>
    </row>
    <row r="614">
      <c r="A614" s="16" t="inlineStr">
        <is>
          <t>5.1-5.7</t>
        </is>
      </c>
      <c r="B614" s="16" t="inlineStr">
        <is>
          <t>PO-128-03126137877111367</t>
        </is>
      </c>
      <c r="C614" s="16" t="inlineStr">
        <is>
          <t>Delivered</t>
        </is>
      </c>
      <c r="D614" s="16" t="inlineStr">
        <is>
          <t>128-03126242734711367</t>
        </is>
      </c>
      <c r="E614" s="16" t="inlineStr">
        <is>
          <t>Delivered</t>
        </is>
      </c>
      <c r="F614" s="16" t="inlineStr">
        <is>
          <t>LV64W25</t>
        </is>
      </c>
      <c r="G6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14" s="16" t="inlineStr">
        <is>
          <t>Blanco</t>
        </is>
      </c>
      <c r="I614" s="16" t="n">
        <v>5</v>
      </c>
      <c r="J614" s="17" t="n">
        <v>600</v>
      </c>
      <c r="K614" s="17" t="n">
        <v>586.1</v>
      </c>
      <c r="L614" s="17" t="n">
        <v>0</v>
      </c>
      <c r="M614" s="17" t="n">
        <v>0</v>
      </c>
      <c r="N614" s="17">
        <f>K614*0.08+L614*0.08</f>
        <v/>
      </c>
      <c r="O614" s="17">
        <f>-(K614*0.025+L614*0.025)</f>
        <v/>
      </c>
      <c r="P614" s="17">
        <f>32</f>
        <v/>
      </c>
      <c r="Q614" s="17">
        <f>J614+L614+N614+O614-P614-M614</f>
        <v/>
      </c>
    </row>
    <row r="615">
      <c r="A615" s="16" t="inlineStr">
        <is>
          <t>5.1-5.7</t>
        </is>
      </c>
      <c r="B615" s="16" t="inlineStr">
        <is>
          <t>PO-128-03126853274231363</t>
        </is>
      </c>
      <c r="C615" s="16" t="inlineStr">
        <is>
          <t>Delivered</t>
        </is>
      </c>
      <c r="D615" s="16" t="inlineStr">
        <is>
          <t>128-03126842788471363</t>
        </is>
      </c>
      <c r="E615" s="16" t="inlineStr">
        <is>
          <t>Delivered</t>
        </is>
      </c>
      <c r="F615" s="16" t="inlineStr">
        <is>
          <t>BG-115-B</t>
        </is>
      </c>
      <c r="G615" s="16" t="inlineStr">
        <is>
          <t>LINK BITS Audífonos Inalámbricos con Luces Multicolor, Recargables y en Adorable Forma de Orejas de Gato - Conecta a Celulares y PCs, Tiene Radio FM, Tarjeta TF y AUX - 7 Horas de Reproducción, Plegables y Perfectos para Trabajo, Juegos y Estudio</t>
        </is>
      </c>
      <c r="H615" s="16" t="inlineStr">
        <is>
          <t>blanco</t>
        </is>
      </c>
      <c r="I615" s="16" t="n">
        <v>1</v>
      </c>
      <c r="J615" s="17" t="n">
        <v>75</v>
      </c>
      <c r="K615" s="17" t="n">
        <v>85.73999999999999</v>
      </c>
      <c r="L615" s="17" t="n">
        <v>25.86</v>
      </c>
      <c r="M615" s="17" t="n">
        <v>0</v>
      </c>
      <c r="N615" s="17">
        <f>K615*0.08+L615*0.08</f>
        <v/>
      </c>
      <c r="O615" s="17">
        <f>-(K615*0.025+L615*0.025)</f>
        <v/>
      </c>
      <c r="P615" s="17">
        <f>32</f>
        <v/>
      </c>
      <c r="Q615" s="17">
        <f>J615+L615+N615+O615-P615-M615</f>
        <v/>
      </c>
    </row>
    <row r="616">
      <c r="A616" s="16" t="inlineStr">
        <is>
          <t>5.1-5.7</t>
        </is>
      </c>
      <c r="B616" s="16" t="inlineStr">
        <is>
          <t>PO-128-03380608297590811</t>
        </is>
      </c>
      <c r="C616" s="16" t="inlineStr">
        <is>
          <t>Delivered</t>
        </is>
      </c>
      <c r="D616" s="16" t="inlineStr">
        <is>
          <t>128-03380587326070811</t>
        </is>
      </c>
      <c r="E616" s="16" t="inlineStr">
        <is>
          <t>Delivered</t>
        </is>
      </c>
      <c r="F616" s="16" t="inlineStr">
        <is>
          <t>LV64W25</t>
        </is>
      </c>
      <c r="G6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16" s="16" t="inlineStr">
        <is>
          <t>Blanco</t>
        </is>
      </c>
      <c r="I616" s="16" t="n">
        <v>2</v>
      </c>
      <c r="J616" s="17" t="n">
        <v>240</v>
      </c>
      <c r="K616" s="17" t="n">
        <v>251.68</v>
      </c>
      <c r="L616" s="17" t="n">
        <v>0</v>
      </c>
      <c r="M616" s="17" t="n">
        <v>0</v>
      </c>
      <c r="N616" s="17">
        <f>K616*0.08+L616*0.08</f>
        <v/>
      </c>
      <c r="O616" s="17">
        <f>-(K616*0.025+L616*0.025)</f>
        <v/>
      </c>
      <c r="P616" s="17">
        <f>32</f>
        <v/>
      </c>
      <c r="Q616" s="17">
        <f>J616+L616+N616+O616-P616-M616</f>
        <v/>
      </c>
    </row>
    <row r="617">
      <c r="A617" s="16" t="inlineStr">
        <is>
          <t>5.1-5.7</t>
        </is>
      </c>
      <c r="B617" s="16" t="inlineStr">
        <is>
          <t>PO-128-03167036457591059</t>
        </is>
      </c>
      <c r="C617" s="16" t="inlineStr">
        <is>
          <t>Delivered</t>
        </is>
      </c>
      <c r="D617" s="16" t="inlineStr">
        <is>
          <t>128-03167200297591059</t>
        </is>
      </c>
      <c r="E617" s="16" t="inlineStr">
        <is>
          <t>Delivered</t>
        </is>
      </c>
      <c r="F617" s="16" t="inlineStr">
        <is>
          <t>LV64W25</t>
        </is>
      </c>
      <c r="G6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17" s="16" t="inlineStr">
        <is>
          <t>Blanco</t>
        </is>
      </c>
      <c r="I617" s="16" t="n">
        <v>1</v>
      </c>
      <c r="J617" s="17" t="n">
        <v>120</v>
      </c>
      <c r="K617" s="17" t="n">
        <v>82.73999999999999</v>
      </c>
      <c r="L617" s="17" t="n">
        <v>25.86</v>
      </c>
      <c r="M617" s="17" t="n">
        <v>0</v>
      </c>
      <c r="N617" s="17">
        <f>K617*0.08+L617*0.08</f>
        <v/>
      </c>
      <c r="O617" s="17">
        <f>-(K617*0.025+L617*0.025)</f>
        <v/>
      </c>
      <c r="P617" s="17">
        <f>32</f>
        <v/>
      </c>
      <c r="Q617" s="17">
        <f>J617+L617+N617+O617-P617-M617</f>
        <v/>
      </c>
    </row>
    <row r="618">
      <c r="A618" s="16" t="inlineStr">
        <is>
          <t>5.1-5.7</t>
        </is>
      </c>
      <c r="B618" s="16" t="inlineStr">
        <is>
          <t>PO-128-02826981192313148</t>
        </is>
      </c>
      <c r="C618" s="16" t="inlineStr">
        <is>
          <t>Delivered</t>
        </is>
      </c>
      <c r="D618" s="16" t="inlineStr">
        <is>
          <t>128-02827117507193148</t>
        </is>
      </c>
      <c r="E618" s="16" t="inlineStr">
        <is>
          <t>Delivered</t>
        </is>
      </c>
      <c r="F618" s="16" t="inlineStr">
        <is>
          <t>SA323T</t>
        </is>
      </c>
      <c r="G618"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618" s="16" t="inlineStr">
        <is>
          <t>AZUL/SA323T</t>
        </is>
      </c>
      <c r="I618" s="16" t="n">
        <v>1</v>
      </c>
      <c r="J618" s="17" t="n">
        <v>45</v>
      </c>
      <c r="K618" s="17" t="n">
        <v>10.97</v>
      </c>
      <c r="L618" s="17" t="n">
        <v>25.86</v>
      </c>
      <c r="M618" s="17" t="n">
        <v>0</v>
      </c>
      <c r="N618" s="17">
        <f>K618*0.08+L618*0.08</f>
        <v/>
      </c>
      <c r="O618" s="17">
        <f>-(K618*0.025+L618*0.025)</f>
        <v/>
      </c>
      <c r="P618" s="17">
        <f>32</f>
        <v/>
      </c>
      <c r="Q618" s="17">
        <f>J618+L618+N618+O618-P618-M618</f>
        <v/>
      </c>
    </row>
    <row r="619">
      <c r="A619" s="16" t="inlineStr">
        <is>
          <t>5.1-5.7</t>
        </is>
      </c>
      <c r="B619" s="16" t="inlineStr">
        <is>
          <t>PO-128-02991924081272103</t>
        </is>
      </c>
      <c r="C619" s="16" t="inlineStr">
        <is>
          <t>Delivered</t>
        </is>
      </c>
      <c r="D619" s="16" t="inlineStr">
        <is>
          <t>128-02991922115192103</t>
        </is>
      </c>
      <c r="E619" s="16" t="inlineStr">
        <is>
          <t>Delivered</t>
        </is>
      </c>
      <c r="F619" s="16" t="inlineStr">
        <is>
          <t>LV54W25</t>
        </is>
      </c>
      <c r="G619" s="16" t="inlineStr">
        <is>
          <t>TIANLAI Lámpara Ventilador E27 2 en 1, Silenciosa, LED Alta Luminosidad 180°, Instalación Rápida, Ahorro Energético para Dormitorio y Interiores Pequeños</t>
        </is>
      </c>
      <c r="H619" s="16" t="inlineStr">
        <is>
          <t>1 Pieza</t>
        </is>
      </c>
      <c r="I619" s="16" t="n">
        <v>2</v>
      </c>
      <c r="J619" s="17" t="n">
        <v>157</v>
      </c>
      <c r="K619" s="17" t="n">
        <v>172.07</v>
      </c>
      <c r="L619" s="17" t="n">
        <v>25.86</v>
      </c>
      <c r="M619" s="17" t="n">
        <v>0</v>
      </c>
      <c r="N619" s="17">
        <f>K619*0.08+L619*0.08</f>
        <v/>
      </c>
      <c r="O619" s="17">
        <f>-(K619*0.025+L619*0.025)</f>
        <v/>
      </c>
      <c r="P619" s="17">
        <f>32</f>
        <v/>
      </c>
      <c r="Q619" s="17">
        <f>J619+L619+N619+O619-P619-M619</f>
        <v/>
      </c>
    </row>
    <row r="620">
      <c r="A620" s="16" t="inlineStr">
        <is>
          <t>5.1-5.7</t>
        </is>
      </c>
      <c r="B620" s="16" t="inlineStr">
        <is>
          <t>PO-128-02886498284153754</t>
        </is>
      </c>
      <c r="C620" s="16" t="inlineStr">
        <is>
          <t>Delivered</t>
        </is>
      </c>
      <c r="D620" s="16" t="inlineStr">
        <is>
          <t>128-02886456341113754</t>
        </is>
      </c>
      <c r="E620" s="16" t="inlineStr">
        <is>
          <t>Delivered</t>
        </is>
      </c>
      <c r="F620" s="16" t="inlineStr">
        <is>
          <t>LV64W25</t>
        </is>
      </c>
      <c r="G6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0" s="16" t="inlineStr">
        <is>
          <t>Blanco</t>
        </is>
      </c>
      <c r="I620" s="16" t="n">
        <v>2</v>
      </c>
      <c r="J620" s="17" t="n">
        <v>240</v>
      </c>
      <c r="K620" s="17" t="n">
        <v>251.68</v>
      </c>
      <c r="L620" s="17" t="n">
        <v>0</v>
      </c>
      <c r="M620" s="17" t="n">
        <v>0</v>
      </c>
      <c r="N620" s="17">
        <f>K620*0.08+L620*0.08</f>
        <v/>
      </c>
      <c r="O620" s="17">
        <f>-(K620*0.025+L620*0.025)</f>
        <v/>
      </c>
      <c r="P620" s="17">
        <f>32</f>
        <v/>
      </c>
      <c r="Q620" s="17">
        <f>J620+L620+N620+O620-P620-M620</f>
        <v/>
      </c>
    </row>
    <row r="621">
      <c r="A621" s="16" t="inlineStr">
        <is>
          <t>5.1-5.7</t>
        </is>
      </c>
      <c r="B621" s="16" t="inlineStr">
        <is>
          <t>PO-128-03170345820791102</t>
        </is>
      </c>
      <c r="C621" s="16" t="inlineStr">
        <is>
          <t>Delivered</t>
        </is>
      </c>
      <c r="D621" s="16" t="inlineStr">
        <is>
          <t>128-03170282906231102</t>
        </is>
      </c>
      <c r="E621" s="16" t="inlineStr">
        <is>
          <t>Delivered</t>
        </is>
      </c>
      <c r="F621" s="16" t="inlineStr">
        <is>
          <t>LV64W25</t>
        </is>
      </c>
      <c r="G6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1" s="16" t="inlineStr">
        <is>
          <t>Blanco</t>
        </is>
      </c>
      <c r="I621" s="16" t="n">
        <v>1</v>
      </c>
      <c r="J621" s="17" t="n">
        <v>120</v>
      </c>
      <c r="K621" s="17" t="n">
        <v>125.84</v>
      </c>
      <c r="L621" s="17" t="n">
        <v>25.86</v>
      </c>
      <c r="M621" s="17" t="n">
        <v>0</v>
      </c>
      <c r="N621" s="17">
        <f>K621*0.08+L621*0.08</f>
        <v/>
      </c>
      <c r="O621" s="17">
        <f>-(K621*0.025+L621*0.025)</f>
        <v/>
      </c>
      <c r="P621" s="17">
        <f>32</f>
        <v/>
      </c>
      <c r="Q621" s="17">
        <f>J621+L621+N621+O621-P621-M621</f>
        <v/>
      </c>
    </row>
    <row r="622">
      <c r="A622" s="16" t="inlineStr">
        <is>
          <t>5.1-5.7</t>
        </is>
      </c>
      <c r="B622" s="16" t="inlineStr">
        <is>
          <t>PO-128-02907020882553633</t>
        </is>
      </c>
      <c r="C622" s="16" t="inlineStr">
        <is>
          <t>Delivered</t>
        </is>
      </c>
      <c r="D622" s="16" t="inlineStr">
        <is>
          <t>128-02907125740153633</t>
        </is>
      </c>
      <c r="E622" s="16" t="inlineStr">
        <is>
          <t>Delivered</t>
        </is>
      </c>
      <c r="F622" s="16" t="inlineStr">
        <is>
          <t>LV64W25</t>
        </is>
      </c>
      <c r="G6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2" s="16" t="inlineStr">
        <is>
          <t>Blanco</t>
        </is>
      </c>
      <c r="I622" s="16" t="n">
        <v>1</v>
      </c>
      <c r="J622" s="17" t="n">
        <v>120</v>
      </c>
      <c r="K622" s="17" t="n">
        <v>125.84</v>
      </c>
      <c r="L622" s="17" t="n">
        <v>25.86</v>
      </c>
      <c r="M622" s="17" t="n">
        <v>0</v>
      </c>
      <c r="N622" s="17">
        <f>K622*0.08+L622*0.08</f>
        <v/>
      </c>
      <c r="O622" s="17">
        <f>-(K622*0.025+L622*0.025)</f>
        <v/>
      </c>
      <c r="P622" s="17">
        <f>32</f>
        <v/>
      </c>
      <c r="Q622" s="17">
        <f>J622+L622+N622+O622-P622-M622</f>
        <v/>
      </c>
    </row>
    <row r="623">
      <c r="A623" s="16" t="inlineStr">
        <is>
          <t>5.1-5.7</t>
        </is>
      </c>
      <c r="B623" s="16" t="inlineStr">
        <is>
          <t>PO-128-03284323410550486</t>
        </is>
      </c>
      <c r="C623" s="16" t="inlineStr">
        <is>
          <t>Delivered</t>
        </is>
      </c>
      <c r="D623" s="16" t="inlineStr">
        <is>
          <t>128-03284392315510486</t>
        </is>
      </c>
      <c r="E623" s="16" t="inlineStr">
        <is>
          <t>Delivered</t>
        </is>
      </c>
      <c r="F623" s="16" t="inlineStr">
        <is>
          <t>LV64W25</t>
        </is>
      </c>
      <c r="G6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3" s="16" t="inlineStr">
        <is>
          <t>Blanco</t>
        </is>
      </c>
      <c r="I623" s="16" t="n">
        <v>2</v>
      </c>
      <c r="J623" s="17" t="n">
        <v>240</v>
      </c>
      <c r="K623" s="17" t="n">
        <v>251.68</v>
      </c>
      <c r="L623" s="17" t="n">
        <v>0</v>
      </c>
      <c r="M623" s="17" t="n">
        <v>0</v>
      </c>
      <c r="N623" s="17">
        <f>K623*0.08+L623*0.08</f>
        <v/>
      </c>
      <c r="O623" s="17">
        <f>-(K623*0.025+L623*0.025)</f>
        <v/>
      </c>
      <c r="P623" s="17">
        <f>32</f>
        <v/>
      </c>
      <c r="Q623" s="17">
        <f>J623+L623+N623+O623-P623-M623</f>
        <v/>
      </c>
    </row>
    <row r="624">
      <c r="A624" s="16" t="inlineStr">
        <is>
          <t>5.1-5.7</t>
        </is>
      </c>
      <c r="B624" s="16" t="inlineStr">
        <is>
          <t>PO-128-03284323410550486</t>
        </is>
      </c>
      <c r="C624" s="16" t="inlineStr">
        <is>
          <t>Delivered</t>
        </is>
      </c>
      <c r="D624" s="16" t="inlineStr">
        <is>
          <t>128-03284459725430486</t>
        </is>
      </c>
      <c r="E624" s="16" t="inlineStr">
        <is>
          <t>Delivered</t>
        </is>
      </c>
      <c r="F624" s="16" t="inlineStr">
        <is>
          <t>LV64W25</t>
        </is>
      </c>
      <c r="G6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4" s="16" t="inlineStr">
        <is>
          <t>Blanco</t>
        </is>
      </c>
      <c r="I624" s="16" t="n">
        <v>2</v>
      </c>
      <c r="J624" s="17" t="n">
        <v>240</v>
      </c>
      <c r="K624" s="17" t="n">
        <v>251.68</v>
      </c>
      <c r="L624" s="17" t="n">
        <v>0</v>
      </c>
      <c r="M624" s="17" t="n">
        <v>0</v>
      </c>
      <c r="N624" s="17">
        <f>K624*0.08+L624*0.08</f>
        <v/>
      </c>
      <c r="O624" s="17">
        <f>-(K624*0.025+L624*0.025)</f>
        <v/>
      </c>
      <c r="P624" s="17">
        <f>32</f>
        <v/>
      </c>
      <c r="Q624" s="17">
        <f>J624+L624+N624+O624-P624-M624</f>
        <v/>
      </c>
    </row>
    <row r="625">
      <c r="A625" s="16" t="inlineStr">
        <is>
          <t>5.1-5.7</t>
        </is>
      </c>
      <c r="B625" s="16" t="inlineStr">
        <is>
          <t>PO-128-03343564083830071</t>
        </is>
      </c>
      <c r="C625" s="16" t="inlineStr">
        <is>
          <t>Delivered</t>
        </is>
      </c>
      <c r="D625" s="16" t="inlineStr">
        <is>
          <t>128-03343668941430071</t>
        </is>
      </c>
      <c r="E625" s="16" t="inlineStr">
        <is>
          <t>Delivered</t>
        </is>
      </c>
      <c r="F625" s="16" t="inlineStr">
        <is>
          <t>TL2663N18C</t>
        </is>
      </c>
      <c r="G625" s="16" t="inlineStr">
        <is>
          <t>Linkbits，Soporte de pared fijo para televisores de 26"-63", Ultra-Delgado Compatible con VESA 400x400mm, Capacidad de Peso Fuerte de 25KG, Instalación Fácil Sin Electricidad</t>
        </is>
      </c>
      <c r="H625" s="16" t="inlineStr">
        <is>
          <t>NEGRO</t>
        </is>
      </c>
      <c r="I625" s="16" t="n">
        <v>11</v>
      </c>
      <c r="J625" s="17" t="n">
        <v>533.5</v>
      </c>
      <c r="K625" s="17" t="n">
        <v>523.71</v>
      </c>
      <c r="L625" s="17" t="n">
        <v>0</v>
      </c>
      <c r="M625" s="17" t="n">
        <v>0</v>
      </c>
      <c r="N625" s="17">
        <f>K625*0.08+L625*0.08</f>
        <v/>
      </c>
      <c r="O625" s="17">
        <f>-(K625*0.025+L625*0.025)</f>
        <v/>
      </c>
      <c r="P625" s="17">
        <f>32</f>
        <v/>
      </c>
      <c r="Q625" s="17">
        <f>J625+L625+N625+O625-P625-M625</f>
        <v/>
      </c>
    </row>
    <row r="626">
      <c r="A626" s="16" t="inlineStr">
        <is>
          <t>5.1-5.7</t>
        </is>
      </c>
      <c r="B626" s="16" t="inlineStr">
        <is>
          <t>PO-128-02793475594873220</t>
        </is>
      </c>
      <c r="C626" s="16" t="inlineStr">
        <is>
          <t>Delivered</t>
        </is>
      </c>
      <c r="D626" s="16" t="inlineStr">
        <is>
          <t>128-02793454623353220</t>
        </is>
      </c>
      <c r="E626" s="16" t="inlineStr">
        <is>
          <t>Delivered</t>
        </is>
      </c>
      <c r="F626" s="16" t="inlineStr">
        <is>
          <t>LV64W25</t>
        </is>
      </c>
      <c r="G6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6" s="16" t="inlineStr">
        <is>
          <t>Blanco</t>
        </is>
      </c>
      <c r="I626" s="16" t="n">
        <v>1</v>
      </c>
      <c r="J626" s="17" t="n">
        <v>120</v>
      </c>
      <c r="K626" s="17" t="n">
        <v>117.61</v>
      </c>
      <c r="L626" s="17" t="n">
        <v>25.86</v>
      </c>
      <c r="M626" s="17" t="n">
        <v>0</v>
      </c>
      <c r="N626" s="17">
        <f>K626*0.08+L626*0.08</f>
        <v/>
      </c>
      <c r="O626" s="17">
        <f>-(K626*0.025+L626*0.025)</f>
        <v/>
      </c>
      <c r="P626" s="17">
        <f>32</f>
        <v/>
      </c>
      <c r="Q626" s="17">
        <f>J626+L626+N626+O626-P626-M626</f>
        <v/>
      </c>
    </row>
    <row r="627">
      <c r="A627" s="16" t="inlineStr">
        <is>
          <t>5.1-5.7</t>
        </is>
      </c>
      <c r="B627" s="16" t="inlineStr">
        <is>
          <t>PO-128-03155476117111254</t>
        </is>
      </c>
      <c r="C627" s="16" t="inlineStr">
        <is>
          <t>Delivered</t>
        </is>
      </c>
      <c r="D627" s="16" t="inlineStr">
        <is>
          <t>128-03155612431991254</t>
        </is>
      </c>
      <c r="E627" s="16" t="inlineStr">
        <is>
          <t>Delivered</t>
        </is>
      </c>
      <c r="F627" s="16" t="inlineStr">
        <is>
          <t>LV64W25</t>
        </is>
      </c>
      <c r="G6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7" s="16" t="inlineStr">
        <is>
          <t>Blanco</t>
        </is>
      </c>
      <c r="I627" s="16" t="n">
        <v>2</v>
      </c>
      <c r="J627" s="17" t="n">
        <v>240</v>
      </c>
      <c r="K627" s="17" t="n">
        <v>251.68</v>
      </c>
      <c r="L627" s="17" t="n">
        <v>0</v>
      </c>
      <c r="M627" s="17" t="n">
        <v>0</v>
      </c>
      <c r="N627" s="17">
        <f>K627*0.08+L627*0.08</f>
        <v/>
      </c>
      <c r="O627" s="17">
        <f>-(K627*0.025+L627*0.025)</f>
        <v/>
      </c>
      <c r="P627" s="17">
        <f>32</f>
        <v/>
      </c>
      <c r="Q627" s="17">
        <f>J627+L627+N627+O627-P627-M627</f>
        <v/>
      </c>
    </row>
    <row r="628">
      <c r="A628" s="16" t="inlineStr">
        <is>
          <t>5.1-5.7</t>
        </is>
      </c>
      <c r="B628" s="16" t="inlineStr">
        <is>
          <t>PO-128-03052281610872703</t>
        </is>
      </c>
      <c r="C628" s="16" t="inlineStr">
        <is>
          <t>Delivered</t>
        </is>
      </c>
      <c r="D628" s="16" t="inlineStr">
        <is>
          <t>128-03052357632632703</t>
        </is>
      </c>
      <c r="E628" s="16" t="inlineStr">
        <is>
          <t>Delivered</t>
        </is>
      </c>
      <c r="F628" s="16" t="inlineStr">
        <is>
          <t>VA371T</t>
        </is>
      </c>
      <c r="G628" s="16" t="inlineStr">
        <is>
          <t>Linkbits Bocina Bluetooth Portátil 3" de Alta Gama，Hi-Res Audio y Graves Potentes，Luces LED + Soporte USB/TF/FM/TWS，Ideal para Hogar y Aire Libre</t>
        </is>
      </c>
      <c r="H628" s="16" t="inlineStr">
        <is>
          <t>VA371T</t>
        </is>
      </c>
      <c r="I628" s="16" t="n">
        <v>1</v>
      </c>
      <c r="J628" s="17" t="n">
        <v>42</v>
      </c>
      <c r="K628" s="17" t="n">
        <v>50.38</v>
      </c>
      <c r="L628" s="17" t="n">
        <v>25.86</v>
      </c>
      <c r="M628" s="17" t="n">
        <v>0</v>
      </c>
      <c r="N628" s="17">
        <f>K628*0.08+L628*0.08</f>
        <v/>
      </c>
      <c r="O628" s="17">
        <f>-(K628*0.025+L628*0.025)</f>
        <v/>
      </c>
      <c r="P628" s="17">
        <f>32</f>
        <v/>
      </c>
      <c r="Q628" s="17">
        <f>J628+L628+N628+O628-P628-M628</f>
        <v/>
      </c>
    </row>
    <row r="629">
      <c r="A629" s="16" t="inlineStr">
        <is>
          <t>5.1-5.7</t>
        </is>
      </c>
      <c r="B629" s="16" t="inlineStr">
        <is>
          <t>PO-128-03112040458871515</t>
        </is>
      </c>
      <c r="C629" s="16" t="inlineStr">
        <is>
          <t>Delivered</t>
        </is>
      </c>
      <c r="D629" s="16" t="inlineStr">
        <is>
          <t>128-03112145316471515</t>
        </is>
      </c>
      <c r="E629" s="16" t="inlineStr">
        <is>
          <t>Delivered</t>
        </is>
      </c>
      <c r="F629" s="16" t="inlineStr">
        <is>
          <t>LV64W25</t>
        </is>
      </c>
      <c r="G6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29" s="16" t="inlineStr">
        <is>
          <t>Blanco</t>
        </is>
      </c>
      <c r="I629" s="16" t="n">
        <v>2</v>
      </c>
      <c r="J629" s="17" t="n">
        <v>240</v>
      </c>
      <c r="K629" s="17" t="n">
        <v>201.35</v>
      </c>
      <c r="L629" s="17" t="n">
        <v>0</v>
      </c>
      <c r="M629" s="17" t="n">
        <v>0</v>
      </c>
      <c r="N629" s="17">
        <f>K629*0.08+L629*0.08</f>
        <v/>
      </c>
      <c r="O629" s="17">
        <f>-(K629*0.025+L629*0.025)</f>
        <v/>
      </c>
      <c r="P629" s="17">
        <f>32</f>
        <v/>
      </c>
      <c r="Q629" s="17">
        <f>J629+L629+N629+O629-P629-M629</f>
        <v/>
      </c>
    </row>
    <row r="630">
      <c r="A630" s="16" t="inlineStr">
        <is>
          <t>5.1-5.7</t>
        </is>
      </c>
      <c r="B630" s="16" t="inlineStr">
        <is>
          <t>PO-128-03124701553271374</t>
        </is>
      </c>
      <c r="C630" s="16" t="inlineStr">
        <is>
          <t>Delivered</t>
        </is>
      </c>
      <c r="D630" s="16" t="inlineStr">
        <is>
          <t>128-03124696310391374</t>
        </is>
      </c>
      <c r="E630" s="16" t="inlineStr">
        <is>
          <t>Delivered</t>
        </is>
      </c>
      <c r="F630" s="16" t="inlineStr">
        <is>
          <t>KTS-2031</t>
        </is>
      </c>
      <c r="G630" s="16" t="inlineStr">
        <is>
          <t>Bocina inalámbrica de 3 pulgadas con linterna multifuncional y panel solar integrado.Altavoz Portátil con Linterna LED 4 Modos, Radio FM, Bluetooth, Carga Solar, Ideal para Apagones, Emergencias, Campo y Exteriores</t>
        </is>
      </c>
      <c r="H630" s="16" t="inlineStr">
        <is>
          <t>NEGRO</t>
        </is>
      </c>
      <c r="I630" s="16" t="n">
        <v>4</v>
      </c>
      <c r="J630" s="17" t="n">
        <v>252.6</v>
      </c>
      <c r="K630" s="17" t="n">
        <v>289.56</v>
      </c>
      <c r="L630" s="17" t="n">
        <v>0</v>
      </c>
      <c r="M630" s="17" t="n">
        <v>0</v>
      </c>
      <c r="N630" s="17">
        <f>K630*0.08+L630*0.08</f>
        <v/>
      </c>
      <c r="O630" s="17">
        <f>-(K630*0.025+L630*0.025)</f>
        <v/>
      </c>
      <c r="P630" s="17">
        <f>32</f>
        <v/>
      </c>
      <c r="Q630" s="17">
        <f>J630+L630+N630+O630-P630-M630</f>
        <v/>
      </c>
    </row>
    <row r="631">
      <c r="A631" s="16" t="inlineStr">
        <is>
          <t>5.1-5.7</t>
        </is>
      </c>
      <c r="B631" s="16" t="inlineStr">
        <is>
          <t>PO-128-02836589988473989</t>
        </is>
      </c>
      <c r="C631" s="16" t="inlineStr">
        <is>
          <t>Delivered</t>
        </is>
      </c>
      <c r="D631" s="16" t="inlineStr">
        <is>
          <t>128-02836631931513989</t>
        </is>
      </c>
      <c r="E631" s="16" t="inlineStr">
        <is>
          <t>Delivered</t>
        </is>
      </c>
      <c r="F631" s="16" t="inlineStr">
        <is>
          <t>LV54W25</t>
        </is>
      </c>
      <c r="G631" s="16" t="inlineStr">
        <is>
          <t>TIANLAI Lámpara Ventilador E27 2 en 1, Silenciosa, LED Alta Luminosidad 180°, Instalación Rápida, Ahorro Energético para Dormitorio y Interiores Pequeños</t>
        </is>
      </c>
      <c r="H631" s="16" t="inlineStr">
        <is>
          <t>1 Pieza</t>
        </is>
      </c>
      <c r="I631" s="16" t="n">
        <v>3</v>
      </c>
      <c r="J631" s="17" t="n">
        <v>235.5</v>
      </c>
      <c r="K631" s="17" t="n">
        <v>246.9</v>
      </c>
      <c r="L631" s="17" t="n">
        <v>0</v>
      </c>
      <c r="M631" s="17" t="n">
        <v>0</v>
      </c>
      <c r="N631" s="17">
        <f>K631*0.08+L631*0.08</f>
        <v/>
      </c>
      <c r="O631" s="17">
        <f>-(K631*0.025+L631*0.025)</f>
        <v/>
      </c>
      <c r="P631" s="17">
        <f>32</f>
        <v/>
      </c>
      <c r="Q631" s="17">
        <f>J631+L631+N631+O631-P631-M631</f>
        <v/>
      </c>
    </row>
    <row r="632">
      <c r="A632" s="16" t="inlineStr">
        <is>
          <t>5.1-5.7</t>
        </is>
      </c>
      <c r="B632" s="16" t="inlineStr">
        <is>
          <t>PO-128-02842150042234018</t>
        </is>
      </c>
      <c r="C632" s="16" t="inlineStr">
        <is>
          <t>Delivered</t>
        </is>
      </c>
      <c r="D632" s="16" t="inlineStr">
        <is>
          <t>128-02842218199674018</t>
        </is>
      </c>
      <c r="E632" s="16" t="inlineStr">
        <is>
          <t>Delivered</t>
        </is>
      </c>
      <c r="F632" s="16" t="inlineStr">
        <is>
          <t>LV64W25</t>
        </is>
      </c>
      <c r="G6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32" s="16" t="inlineStr">
        <is>
          <t>Blanco</t>
        </is>
      </c>
      <c r="I632" s="16" t="n">
        <v>2</v>
      </c>
      <c r="J632" s="17" t="n">
        <v>240</v>
      </c>
      <c r="K632" s="17" t="n">
        <v>251.68</v>
      </c>
      <c r="L632" s="17" t="n">
        <v>0</v>
      </c>
      <c r="M632" s="17" t="n">
        <v>0</v>
      </c>
      <c r="N632" s="17">
        <f>K632*0.08+L632*0.08</f>
        <v/>
      </c>
      <c r="O632" s="17">
        <f>-(K632*0.025+L632*0.025)</f>
        <v/>
      </c>
      <c r="P632" s="17">
        <f>32</f>
        <v/>
      </c>
      <c r="Q632" s="17">
        <f>J632+L632+N632+O632-P632-M632</f>
        <v/>
      </c>
    </row>
    <row r="633">
      <c r="A633" s="16" t="inlineStr">
        <is>
          <t>5.1-5.7</t>
        </is>
      </c>
      <c r="B633" s="16" t="inlineStr">
        <is>
          <t>PO-128-02857691617913863</t>
        </is>
      </c>
      <c r="C633" s="16" t="inlineStr">
        <is>
          <t>Delivered</t>
        </is>
      </c>
      <c r="D633" s="16" t="inlineStr">
        <is>
          <t>128-02857796475513863</t>
        </is>
      </c>
      <c r="E633" s="16" t="inlineStr">
        <is>
          <t>Delivered</t>
        </is>
      </c>
      <c r="F633" s="16" t="inlineStr">
        <is>
          <t>LV64W25</t>
        </is>
      </c>
      <c r="G6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33" s="16" t="inlineStr">
        <is>
          <t>Blanco</t>
        </is>
      </c>
      <c r="I633" s="16" t="n">
        <v>1</v>
      </c>
      <c r="J633" s="17" t="n">
        <v>120</v>
      </c>
      <c r="K633" s="17" t="n">
        <v>125.84</v>
      </c>
      <c r="L633" s="17" t="n">
        <v>25.86</v>
      </c>
      <c r="M633" s="17" t="n">
        <v>0</v>
      </c>
      <c r="N633" s="17">
        <f>K633*0.08+L633*0.08</f>
        <v/>
      </c>
      <c r="O633" s="17">
        <f>-(K633*0.025+L633*0.025)</f>
        <v/>
      </c>
      <c r="P633" s="17">
        <f>32</f>
        <v/>
      </c>
      <c r="Q633" s="17">
        <f>J633+L633+N633+O633-P633-M633</f>
        <v/>
      </c>
    </row>
    <row r="634">
      <c r="A634" s="16" t="inlineStr">
        <is>
          <t>5.1-5.7</t>
        </is>
      </c>
      <c r="B634" s="16" t="inlineStr">
        <is>
          <t>PO-128-02935576965752503</t>
        </is>
      </c>
      <c r="C634" s="16" t="inlineStr">
        <is>
          <t>Delivered</t>
        </is>
      </c>
      <c r="D634" s="16" t="inlineStr">
        <is>
          <t>128-02935555994232503</t>
        </is>
      </c>
      <c r="E634" s="16" t="inlineStr">
        <is>
          <t>Delivered</t>
        </is>
      </c>
      <c r="F634" s="16" t="inlineStr">
        <is>
          <t>TL2663N18C</t>
        </is>
      </c>
      <c r="G634" s="16" t="inlineStr">
        <is>
          <t>Linkbits，Soporte de pared fijo para televisores de 26"-63", Ultra-Delgado Compatible con VESA 400x400mm, Capacidad de Peso Fuerte de 25KG, Instalación Fácil Sin Electricidad</t>
        </is>
      </c>
      <c r="H634" s="16" t="inlineStr">
        <is>
          <t>NEGRO</t>
        </is>
      </c>
      <c r="I634" s="16" t="n">
        <v>1</v>
      </c>
      <c r="J634" s="17" t="n">
        <v>48.5</v>
      </c>
      <c r="K634" s="17" t="n">
        <v>63.48</v>
      </c>
      <c r="L634" s="17" t="n">
        <v>25.86</v>
      </c>
      <c r="M634" s="17" t="n">
        <v>0</v>
      </c>
      <c r="N634" s="17">
        <f>K634*0.08+L634*0.08</f>
        <v/>
      </c>
      <c r="O634" s="17">
        <f>-(K634*0.025+L634*0.025)</f>
        <v/>
      </c>
      <c r="P634" s="17">
        <f>32</f>
        <v/>
      </c>
      <c r="Q634" s="17">
        <f>J634+L634+N634+O634-P634-M634</f>
        <v/>
      </c>
    </row>
    <row r="635">
      <c r="A635" s="16" t="inlineStr">
        <is>
          <t>5.1-5.7</t>
        </is>
      </c>
      <c r="B635" s="16" t="inlineStr">
        <is>
          <t>PO-128-03125494313591371</t>
        </is>
      </c>
      <c r="C635" s="16" t="inlineStr">
        <is>
          <t>Delivered</t>
        </is>
      </c>
      <c r="D635" s="16" t="inlineStr">
        <is>
          <t>128-03125444506231371</t>
        </is>
      </c>
      <c r="E635" s="16" t="inlineStr">
        <is>
          <t>Delivered</t>
        </is>
      </c>
      <c r="F635" s="16" t="inlineStr">
        <is>
          <t>TL1412N17C</t>
        </is>
      </c>
      <c r="G635" s="16" t="inlineStr">
        <is>
          <t>Linkbits, Soporte de Pared Fijo para TV y Monitor de 14"-43", Ultra Delgado 2.3cm, Fuerte Capacidad de Peso de 25KG, Fácil Instalación con Accesorios Completos</t>
        </is>
      </c>
      <c r="H635" s="16" t="inlineStr">
        <is>
          <t>NEGRO</t>
        </is>
      </c>
      <c r="I635" s="16" t="n">
        <v>1</v>
      </c>
      <c r="J635" s="17" t="n">
        <v>36.5</v>
      </c>
      <c r="K635" s="17" t="n">
        <v>48.21</v>
      </c>
      <c r="L635" s="17" t="n">
        <v>25.86</v>
      </c>
      <c r="M635" s="17" t="n">
        <v>0</v>
      </c>
      <c r="N635" s="17">
        <f>K635*0.08+L635*0.08</f>
        <v/>
      </c>
      <c r="O635" s="17">
        <f>-(K635*0.025+L635*0.025)</f>
        <v/>
      </c>
      <c r="P635" s="17">
        <f>32</f>
        <v/>
      </c>
      <c r="Q635" s="17">
        <f>J635+L635+N635+O635-P635-M635</f>
        <v/>
      </c>
    </row>
    <row r="636">
      <c r="A636" s="16" t="inlineStr">
        <is>
          <t>5.1-5.7</t>
        </is>
      </c>
      <c r="B636" s="16" t="inlineStr">
        <is>
          <t>PO-128-03284819067510485</t>
        </is>
      </c>
      <c r="C636" s="16" t="inlineStr">
        <is>
          <t>Delivered</t>
        </is>
      </c>
      <c r="D636" s="16" t="inlineStr">
        <is>
          <t>128-03284971111030485</t>
        </is>
      </c>
      <c r="E636" s="16" t="inlineStr">
        <is>
          <t>Delivered</t>
        </is>
      </c>
      <c r="F636" s="16" t="inlineStr">
        <is>
          <t>LV54W25</t>
        </is>
      </c>
      <c r="G636" s="16" t="inlineStr">
        <is>
          <t>TIANLAI Lámpara Ventilador E27 2 en 1, Silenciosa, LED Alta Luminosidad 180°, Instalación Rápida, Ahorro Energético para Dormitorio y Interiores Pequeños</t>
        </is>
      </c>
      <c r="H636" s="16" t="inlineStr">
        <is>
          <t>1 Pieza</t>
        </is>
      </c>
      <c r="I636" s="16" t="n">
        <v>1</v>
      </c>
      <c r="J636" s="17" t="n">
        <v>78.5</v>
      </c>
      <c r="K636" s="17" t="n">
        <v>82.3</v>
      </c>
      <c r="L636" s="17" t="n">
        <v>25.86</v>
      </c>
      <c r="M636" s="17" t="n">
        <v>0</v>
      </c>
      <c r="N636" s="17">
        <f>K636*0.08+L636*0.08</f>
        <v/>
      </c>
      <c r="O636" s="17">
        <f>-(K636*0.025+L636*0.025)</f>
        <v/>
      </c>
      <c r="P636" s="17">
        <f>32</f>
        <v/>
      </c>
      <c r="Q636" s="17">
        <f>J636+L636+N636+O636-P636-M636</f>
        <v/>
      </c>
    </row>
    <row r="637">
      <c r="A637" s="16" t="inlineStr">
        <is>
          <t>5.1-5.7</t>
        </is>
      </c>
      <c r="B637" s="16" t="inlineStr">
        <is>
          <t>PO-128-03004510904952154</t>
        </is>
      </c>
      <c r="C637" s="16" t="inlineStr">
        <is>
          <t>Delivered</t>
        </is>
      </c>
      <c r="D637" s="16" t="inlineStr">
        <is>
          <t>128-03004552847992154</t>
        </is>
      </c>
      <c r="E637" s="16" t="inlineStr">
        <is>
          <t>Delivered</t>
        </is>
      </c>
      <c r="F637" s="16" t="inlineStr">
        <is>
          <t>LV64W25</t>
        </is>
      </c>
      <c r="G6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37" s="16" t="inlineStr">
        <is>
          <t>Blanco</t>
        </is>
      </c>
      <c r="I637" s="16" t="n">
        <v>3</v>
      </c>
      <c r="J637" s="17" t="n">
        <v>360</v>
      </c>
      <c r="K637" s="17" t="n">
        <v>302.03</v>
      </c>
      <c r="L637" s="17" t="n">
        <v>0</v>
      </c>
      <c r="M637" s="17" t="n">
        <v>0</v>
      </c>
      <c r="N637" s="17">
        <f>K637*0.08+L637*0.08</f>
        <v/>
      </c>
      <c r="O637" s="17">
        <f>-(K637*0.025+L637*0.025)</f>
        <v/>
      </c>
      <c r="P637" s="17">
        <f>32</f>
        <v/>
      </c>
      <c r="Q637" s="17">
        <f>J637+L637+N637+O637-P637-M637</f>
        <v/>
      </c>
    </row>
    <row r="638">
      <c r="A638" s="16" t="inlineStr">
        <is>
          <t>5.1-5.7</t>
        </is>
      </c>
      <c r="B638" s="16" t="inlineStr">
        <is>
          <t>PO-128-02834018970233170</t>
        </is>
      </c>
      <c r="C638" s="16" t="inlineStr">
        <is>
          <t>Delivered</t>
        </is>
      </c>
      <c r="D638" s="16" t="inlineStr">
        <is>
          <t>128-02834017004153170</t>
        </is>
      </c>
      <c r="E638" s="16" t="inlineStr">
        <is>
          <t>Delivered</t>
        </is>
      </c>
      <c r="F638" s="16" t="inlineStr">
        <is>
          <t>LV64W25</t>
        </is>
      </c>
      <c r="G6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38" s="16" t="inlineStr">
        <is>
          <t>Blanco</t>
        </is>
      </c>
      <c r="I638" s="16" t="n">
        <v>2</v>
      </c>
      <c r="J638" s="17" t="n">
        <v>240</v>
      </c>
      <c r="K638" s="17" t="n">
        <v>251.68</v>
      </c>
      <c r="L638" s="17" t="n">
        <v>0</v>
      </c>
      <c r="M638" s="17" t="n">
        <v>0</v>
      </c>
      <c r="N638" s="17">
        <f>K638*0.08+L638*0.08</f>
        <v/>
      </c>
      <c r="O638" s="17">
        <f>-(K638*0.025+L638*0.025)</f>
        <v/>
      </c>
      <c r="P638" s="17">
        <f>32</f>
        <v/>
      </c>
      <c r="Q638" s="17">
        <f>J638+L638+N638+O638-P638-M638</f>
        <v/>
      </c>
    </row>
    <row r="639">
      <c r="A639" s="16" t="inlineStr">
        <is>
          <t>5.1-5.7</t>
        </is>
      </c>
      <c r="B639" s="16" t="inlineStr">
        <is>
          <t>PO-128-03040799560312898</t>
        </is>
      </c>
      <c r="C639" s="16" t="inlineStr">
        <is>
          <t>Delivered</t>
        </is>
      </c>
      <c r="D639" s="16" t="inlineStr">
        <is>
          <t>128-03040842814072898</t>
        </is>
      </c>
      <c r="E639" s="16" t="inlineStr">
        <is>
          <t>Delivered</t>
        </is>
      </c>
      <c r="F639" s="16" t="inlineStr">
        <is>
          <t>LV64W25</t>
        </is>
      </c>
      <c r="G6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39" s="16" t="inlineStr">
        <is>
          <t>Blanco</t>
        </is>
      </c>
      <c r="I639" s="16" t="n">
        <v>3</v>
      </c>
      <c r="J639" s="17" t="n">
        <v>360</v>
      </c>
      <c r="K639" s="17" t="n">
        <v>346.96</v>
      </c>
      <c r="L639" s="17" t="n">
        <v>0</v>
      </c>
      <c r="M639" s="17" t="n">
        <v>2.52</v>
      </c>
      <c r="N639" s="17">
        <f>K639*0.08+L639*0.08</f>
        <v/>
      </c>
      <c r="O639" s="17">
        <f>-(K639*0.025+L639*0.025)</f>
        <v/>
      </c>
      <c r="P639" s="17">
        <f>32</f>
        <v/>
      </c>
      <c r="Q639" s="17">
        <f>J639+L639+N639+O639-P639-M639</f>
        <v/>
      </c>
    </row>
    <row r="640">
      <c r="A640" s="16" t="inlineStr">
        <is>
          <t>5.1-5.7</t>
        </is>
      </c>
      <c r="B640" s="16" t="inlineStr">
        <is>
          <t>PO-128-03047203922552924</t>
        </is>
      </c>
      <c r="C640" s="16" t="inlineStr">
        <is>
          <t>Delivered</t>
        </is>
      </c>
      <c r="D640" s="16" t="inlineStr">
        <is>
          <t>128-03047245619832924</t>
        </is>
      </c>
      <c r="E640" s="16" t="inlineStr">
        <is>
          <t>Delivered</t>
        </is>
      </c>
      <c r="F640" s="16" t="inlineStr">
        <is>
          <t>LV64W25</t>
        </is>
      </c>
      <c r="G6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40" s="16" t="inlineStr">
        <is>
          <t>Blanco</t>
        </is>
      </c>
      <c r="I640" s="16" t="n">
        <v>3</v>
      </c>
      <c r="J640" s="17" t="n">
        <v>360</v>
      </c>
      <c r="K640" s="17" t="n">
        <v>302.03</v>
      </c>
      <c r="L640" s="17" t="n">
        <v>0</v>
      </c>
      <c r="M640" s="17" t="n">
        <v>2.19</v>
      </c>
      <c r="N640" s="17">
        <f>K640*0.08+L640*0.08</f>
        <v/>
      </c>
      <c r="O640" s="17">
        <f>-(K640*0.025+L640*0.025)</f>
        <v/>
      </c>
      <c r="P640" s="17">
        <f>32</f>
        <v/>
      </c>
      <c r="Q640" s="17">
        <f>J640+L640+N640+O640-P640-M640</f>
        <v/>
      </c>
    </row>
    <row r="641">
      <c r="A641" s="16" t="inlineStr">
        <is>
          <t>5.1-5.7</t>
        </is>
      </c>
      <c r="B641" s="16" t="inlineStr">
        <is>
          <t>PO-128-03296518994550350</t>
        </is>
      </c>
      <c r="C641" s="16" t="inlineStr">
        <is>
          <t>Delivered</t>
        </is>
      </c>
      <c r="D641" s="16" t="inlineStr">
        <is>
          <t>128-03296477051510350</t>
        </is>
      </c>
      <c r="E641" s="16" t="inlineStr">
        <is>
          <t>Delivered</t>
        </is>
      </c>
      <c r="F641" s="16" t="inlineStr">
        <is>
          <t>LV54W25</t>
        </is>
      </c>
      <c r="G641" s="16" t="inlineStr">
        <is>
          <t>TIANLAI Lámpara Ventilador E27 2 en 1, Silenciosa, LED Alta Luminosidad 180°, Instalación Rápida, Ahorro Energético para Dormitorio y Interiores Pequeños</t>
        </is>
      </c>
      <c r="H641" s="16" t="inlineStr">
        <is>
          <t>1 Pieza</t>
        </is>
      </c>
      <c r="I641" s="16" t="n">
        <v>1</v>
      </c>
      <c r="J641" s="17" t="n">
        <v>78.5</v>
      </c>
      <c r="K641" s="17" t="n">
        <v>82.3</v>
      </c>
      <c r="L641" s="17" t="n">
        <v>25.86</v>
      </c>
      <c r="M641" s="17" t="n">
        <v>0</v>
      </c>
      <c r="N641" s="17">
        <f>K641*0.08+L641*0.08</f>
        <v/>
      </c>
      <c r="O641" s="17">
        <f>-(K641*0.025+L641*0.025)</f>
        <v/>
      </c>
      <c r="P641" s="17">
        <f>32</f>
        <v/>
      </c>
      <c r="Q641" s="17">
        <f>J641+L641+N641+O641-P641-M641</f>
        <v/>
      </c>
    </row>
    <row r="642">
      <c r="A642" s="16" t="inlineStr">
        <is>
          <t>5.1-5.7</t>
        </is>
      </c>
      <c r="B642" s="16" t="inlineStr">
        <is>
          <t>PO-128-03216757084791915</t>
        </is>
      </c>
      <c r="C642" s="16" t="inlineStr">
        <is>
          <t>Delivered</t>
        </is>
      </c>
      <c r="D642" s="16" t="inlineStr">
        <is>
          <t>128-03216767570551915</t>
        </is>
      </c>
      <c r="E642" s="16" t="inlineStr">
        <is>
          <t>Delivered</t>
        </is>
      </c>
      <c r="F642" s="16" t="inlineStr">
        <is>
          <t>LV64W25</t>
        </is>
      </c>
      <c r="G6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42" s="16" t="inlineStr">
        <is>
          <t>Blanco</t>
        </is>
      </c>
      <c r="I642" s="16" t="n">
        <v>2</v>
      </c>
      <c r="J642" s="17" t="n">
        <v>240</v>
      </c>
      <c r="K642" s="17" t="n">
        <v>201.36</v>
      </c>
      <c r="L642" s="17" t="n">
        <v>0</v>
      </c>
      <c r="M642" s="17" t="n">
        <v>0</v>
      </c>
      <c r="N642" s="17">
        <f>K642*0.08+L642*0.08</f>
        <v/>
      </c>
      <c r="O642" s="17">
        <f>-(K642*0.025+L642*0.025)</f>
        <v/>
      </c>
      <c r="P642" s="17">
        <f>32</f>
        <v/>
      </c>
      <c r="Q642" s="17">
        <f>J642+L642+N642+O642-P642-M642</f>
        <v/>
      </c>
    </row>
    <row r="643">
      <c r="A643" s="16" t="inlineStr">
        <is>
          <t>5.1-5.7</t>
        </is>
      </c>
      <c r="B643" s="16" t="inlineStr">
        <is>
          <t>PO-128-03317963100790222</t>
        </is>
      </c>
      <c r="C643" s="16" t="inlineStr">
        <is>
          <t>Delivered</t>
        </is>
      </c>
      <c r="D643" s="16" t="inlineStr">
        <is>
          <t>128-03317952615030222</t>
        </is>
      </c>
      <c r="E643" s="16" t="inlineStr">
        <is>
          <t>Delivered</t>
        </is>
      </c>
      <c r="F643" s="16" t="inlineStr">
        <is>
          <t>B03W10-10PZS</t>
        </is>
      </c>
      <c r="G64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643" s="16" t="inlineStr">
        <is>
          <t>B03W10</t>
        </is>
      </c>
      <c r="I643" s="16" t="n">
        <v>1</v>
      </c>
      <c r="J643" s="17" t="n">
        <v>66</v>
      </c>
      <c r="K643" s="17" t="n">
        <v>73.25</v>
      </c>
      <c r="L643" s="17" t="n">
        <v>25.86</v>
      </c>
      <c r="M643" s="17" t="n">
        <v>0</v>
      </c>
      <c r="N643" s="17">
        <f>K643*0.08+L643*0.08</f>
        <v/>
      </c>
      <c r="O643" s="17">
        <f>-(K643*0.025+L643*0.025)</f>
        <v/>
      </c>
      <c r="P643" s="17">
        <f>32</f>
        <v/>
      </c>
      <c r="Q643" s="17">
        <f>J643+L643+N643+O643-P643-M643</f>
        <v/>
      </c>
    </row>
    <row r="644">
      <c r="A644" s="16" t="inlineStr">
        <is>
          <t>5.1-5.7</t>
        </is>
      </c>
      <c r="B644" s="16" t="inlineStr">
        <is>
          <t>PO-128-03027901717113041</t>
        </is>
      </c>
      <c r="C644" s="16" t="inlineStr">
        <is>
          <t>Delivered</t>
        </is>
      </c>
      <c r="D644" s="16" t="inlineStr">
        <is>
          <t>128-03027908270713041</t>
        </is>
      </c>
      <c r="E644" s="16" t="inlineStr">
        <is>
          <t>Delivered</t>
        </is>
      </c>
      <c r="F644" s="16" t="inlineStr">
        <is>
          <t>BG-115-P</t>
        </is>
      </c>
      <c r="G644" s="16" t="inlineStr">
        <is>
          <t>LINK BITS Audífonos Inalámbricos con Luces Multicolor, Recargables y en Adorable Forma de Orejas de Gato - Conecta a Celulares y PCs, Tiene Radio FM, Tarjeta TF y AUX - 7 Horas de Reproducción, Plegables y Perfectos para Trabajo, Juegos y Estudio</t>
        </is>
      </c>
      <c r="H644" s="16" t="inlineStr">
        <is>
          <t>rosa</t>
        </is>
      </c>
      <c r="I644" s="16" t="n">
        <v>1</v>
      </c>
      <c r="J644" s="17" t="n">
        <v>75</v>
      </c>
      <c r="K644" s="17" t="n">
        <v>85.73999999999999</v>
      </c>
      <c r="L644" s="17" t="n">
        <v>25.86</v>
      </c>
      <c r="M644" s="17" t="n">
        <v>0</v>
      </c>
      <c r="N644" s="17">
        <f>K644*0.08+L644*0.08</f>
        <v/>
      </c>
      <c r="O644" s="17">
        <f>-(K644*0.025+L644*0.025)</f>
        <v/>
      </c>
      <c r="P644" s="17">
        <f>32</f>
        <v/>
      </c>
      <c r="Q644" s="17">
        <f>J644+L644+N644+O644-P644-M644</f>
        <v/>
      </c>
    </row>
    <row r="645">
      <c r="A645" s="16" t="inlineStr">
        <is>
          <t>5.1-5.7</t>
        </is>
      </c>
      <c r="B645" s="16" t="inlineStr">
        <is>
          <t>PO-128-03328278426230224</t>
        </is>
      </c>
      <c r="C645" s="16" t="inlineStr">
        <is>
          <t>Delivered</t>
        </is>
      </c>
      <c r="D645" s="16" t="inlineStr">
        <is>
          <t>128-03328281047670224</t>
        </is>
      </c>
      <c r="E645" s="16" t="inlineStr">
        <is>
          <t>Delivered</t>
        </is>
      </c>
      <c r="F645" s="16" t="inlineStr">
        <is>
          <t>LV54W25</t>
        </is>
      </c>
      <c r="G645" s="16" t="inlineStr">
        <is>
          <t>TIANLAI Lámpara Ventilador E27 2 en 1, Silenciosa, LED Alta Luminosidad 180°, Instalación Rápida, Ahorro Energético para Dormitorio y Interiores Pequeños</t>
        </is>
      </c>
      <c r="H645" s="16" t="inlineStr">
        <is>
          <t>1 Pieza</t>
        </is>
      </c>
      <c r="I645" s="16" t="n">
        <v>1</v>
      </c>
      <c r="J645" s="17" t="n">
        <v>78.5</v>
      </c>
      <c r="K645" s="17" t="n">
        <v>70.27</v>
      </c>
      <c r="L645" s="17" t="n">
        <v>25.86</v>
      </c>
      <c r="M645" s="17" t="n">
        <v>0</v>
      </c>
      <c r="N645" s="17">
        <f>K645*0.08+L645*0.08</f>
        <v/>
      </c>
      <c r="O645" s="17">
        <f>-(K645*0.025+L645*0.025)</f>
        <v/>
      </c>
      <c r="P645" s="17">
        <f>32</f>
        <v/>
      </c>
      <c r="Q645" s="17">
        <f>J645+L645+N645+O645-P645-M645</f>
        <v/>
      </c>
    </row>
    <row r="646">
      <c r="A646" s="16" t="inlineStr">
        <is>
          <t>5.1-5.7</t>
        </is>
      </c>
      <c r="B646" s="16" t="inlineStr">
        <is>
          <t>PO-128-03309496453750144</t>
        </is>
      </c>
      <c r="C646" s="16" t="inlineStr">
        <is>
          <t>Delivered</t>
        </is>
      </c>
      <c r="D646" s="16" t="inlineStr">
        <is>
          <t>128-03309559368310144</t>
        </is>
      </c>
      <c r="E646" s="16" t="inlineStr">
        <is>
          <t>Delivered</t>
        </is>
      </c>
      <c r="F646" s="16" t="inlineStr">
        <is>
          <t>LV64W25</t>
        </is>
      </c>
      <c r="G6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46" s="16" t="inlineStr">
        <is>
          <t>Blanco</t>
        </is>
      </c>
      <c r="I646" s="16" t="n">
        <v>2</v>
      </c>
      <c r="J646" s="17" t="n">
        <v>240</v>
      </c>
      <c r="K646" s="17" t="n">
        <v>201.35</v>
      </c>
      <c r="L646" s="17" t="n">
        <v>0</v>
      </c>
      <c r="M646" s="17" t="n">
        <v>0</v>
      </c>
      <c r="N646" s="17">
        <f>K646*0.08+L646*0.08</f>
        <v/>
      </c>
      <c r="O646" s="17">
        <f>-(K646*0.025+L646*0.025)</f>
        <v/>
      </c>
      <c r="P646" s="17">
        <f>32</f>
        <v/>
      </c>
      <c r="Q646" s="17">
        <f>J646+L646+N646+O646-P646-M646</f>
        <v/>
      </c>
    </row>
    <row r="647">
      <c r="A647" s="16" t="inlineStr">
        <is>
          <t>5.1-5.7</t>
        </is>
      </c>
      <c r="B647" s="16" t="inlineStr">
        <is>
          <t>PO-128-03309496453750144</t>
        </is>
      </c>
      <c r="C647" s="16" t="inlineStr">
        <is>
          <t>Delivered</t>
        </is>
      </c>
      <c r="D647" s="16" t="inlineStr">
        <is>
          <t>128-03309601311350144</t>
        </is>
      </c>
      <c r="E647" s="16" t="inlineStr">
        <is>
          <t>Delivered</t>
        </is>
      </c>
      <c r="F647" s="16" t="inlineStr">
        <is>
          <t>LV54W25</t>
        </is>
      </c>
      <c r="G647" s="16" t="inlineStr">
        <is>
          <t>TIANLAI Lámpara Ventilador E27 2 en 1, Silenciosa, LED Alta Luminosidad 180°, Instalación Rápida, Ahorro Energético para Dormitorio y Interiores Pequeños</t>
        </is>
      </c>
      <c r="H647" s="16" t="inlineStr">
        <is>
          <t>1 Pieza</t>
        </is>
      </c>
      <c r="I647" s="16" t="n">
        <v>2</v>
      </c>
      <c r="J647" s="17" t="n">
        <v>157</v>
      </c>
      <c r="K647" s="17" t="n">
        <v>131.67</v>
      </c>
      <c r="L647" s="17" t="n">
        <v>0</v>
      </c>
      <c r="M647" s="17" t="n">
        <v>0</v>
      </c>
      <c r="N647" s="17">
        <f>K647*0.08+L647*0.08</f>
        <v/>
      </c>
      <c r="O647" s="17">
        <f>-(K647*0.025+L647*0.025)</f>
        <v/>
      </c>
      <c r="P647" s="17">
        <f>32</f>
        <v/>
      </c>
      <c r="Q647" s="17">
        <f>J647+L647+N647+O647-P647-M647</f>
        <v/>
      </c>
    </row>
    <row r="648">
      <c r="A648" s="16" t="inlineStr">
        <is>
          <t>5.1-5.7</t>
        </is>
      </c>
      <c r="B648" s="16" t="inlineStr">
        <is>
          <t>PO-128-02971373363832224</t>
        </is>
      </c>
      <c r="C648" s="16" t="inlineStr">
        <is>
          <t>Delivered</t>
        </is>
      </c>
      <c r="D648" s="16" t="inlineStr">
        <is>
          <t>128-02971331420792224</t>
        </is>
      </c>
      <c r="E648" s="16" t="inlineStr">
        <is>
          <t>Delivered</t>
        </is>
      </c>
      <c r="F648" s="16" t="inlineStr">
        <is>
          <t>LV64W25</t>
        </is>
      </c>
      <c r="G6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48" s="16" t="inlineStr">
        <is>
          <t>Blanco</t>
        </is>
      </c>
      <c r="I648" s="16" t="n">
        <v>1</v>
      </c>
      <c r="J648" s="17" t="n">
        <v>120</v>
      </c>
      <c r="K648" s="17" t="n">
        <v>138.28</v>
      </c>
      <c r="L648" s="17" t="n">
        <v>25.86</v>
      </c>
      <c r="M648" s="17" t="n">
        <v>0</v>
      </c>
      <c r="N648" s="17">
        <f>K648*0.08+L648*0.08</f>
        <v/>
      </c>
      <c r="O648" s="17">
        <f>-(K648*0.025+L648*0.025)</f>
        <v/>
      </c>
      <c r="P648" s="17">
        <f>32</f>
        <v/>
      </c>
      <c r="Q648" s="17">
        <f>J648+L648+N648+O648-P648-M648</f>
        <v/>
      </c>
    </row>
    <row r="649">
      <c r="A649" s="16" t="inlineStr">
        <is>
          <t>5.1-5.7</t>
        </is>
      </c>
      <c r="B649" s="16" t="inlineStr">
        <is>
          <t>PO-128-02862696991353897</t>
        </is>
      </c>
      <c r="C649" s="16" t="inlineStr">
        <is>
          <t>Delivered</t>
        </is>
      </c>
      <c r="D649" s="16" t="inlineStr">
        <is>
          <t>128-02862711736953897</t>
        </is>
      </c>
      <c r="E649" s="16" t="inlineStr">
        <is>
          <t>Delivered</t>
        </is>
      </c>
      <c r="F649" s="16" t="inlineStr">
        <is>
          <t>MB-174-G</t>
        </is>
      </c>
      <c r="G649" s="16" t="inlineStr">
        <is>
          <t>LINK BITS MB-174 Mini Bocina Bluetooth Soporte para Celular Integrado TWS Luz Ambiental 5W 80dB Sonido Claro Carga TYPE-C Material ABS Portátil Ideal como Regalo para Hogar Oficina Exterior Picnic</t>
        </is>
      </c>
      <c r="H649" s="16" t="inlineStr">
        <is>
          <t>GRIS</t>
        </is>
      </c>
      <c r="I649" s="16" t="n">
        <v>1</v>
      </c>
      <c r="J649" s="17" t="n">
        <v>92.5</v>
      </c>
      <c r="K649" s="17" t="n">
        <v>110.57</v>
      </c>
      <c r="L649" s="17" t="n">
        <v>25.86</v>
      </c>
      <c r="M649" s="17" t="n">
        <v>0</v>
      </c>
      <c r="N649" s="17">
        <f>K649*0.08+L649*0.08</f>
        <v/>
      </c>
      <c r="O649" s="17">
        <f>-(K649*0.025+L649*0.025)</f>
        <v/>
      </c>
      <c r="P649" s="17">
        <f>32</f>
        <v/>
      </c>
      <c r="Q649" s="17">
        <f>J649+L649+N649+O649-P649-M649</f>
        <v/>
      </c>
    </row>
    <row r="650">
      <c r="A650" s="16" t="inlineStr">
        <is>
          <t>5.1-5.7</t>
        </is>
      </c>
      <c r="B650" s="16" t="inlineStr">
        <is>
          <t>PO-128-03118672661111282</t>
        </is>
      </c>
      <c r="C650" s="16" t="inlineStr">
        <is>
          <t>Delivered</t>
        </is>
      </c>
      <c r="D650" s="16" t="inlineStr">
        <is>
          <t>128-03118693632631282</t>
        </is>
      </c>
      <c r="E650" s="16" t="inlineStr">
        <is>
          <t>Delivered</t>
        </is>
      </c>
      <c r="F650" s="16" t="inlineStr">
        <is>
          <t>LV64W25</t>
        </is>
      </c>
      <c r="G6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50" s="16" t="inlineStr">
        <is>
          <t>Blanco</t>
        </is>
      </c>
      <c r="I650" s="16" t="n">
        <v>2</v>
      </c>
      <c r="J650" s="17" t="n">
        <v>240</v>
      </c>
      <c r="K650" s="17" t="n">
        <v>251.68</v>
      </c>
      <c r="L650" s="17" t="n">
        <v>0</v>
      </c>
      <c r="M650" s="17" t="n">
        <v>0</v>
      </c>
      <c r="N650" s="17">
        <f>K650*0.08+L650*0.08</f>
        <v/>
      </c>
      <c r="O650" s="17">
        <f>-(K650*0.025+L650*0.025)</f>
        <v/>
      </c>
      <c r="P650" s="17">
        <f>32</f>
        <v/>
      </c>
      <c r="Q650" s="17">
        <f>J650+L650+N650+O650-P650-M650</f>
        <v/>
      </c>
    </row>
    <row r="651">
      <c r="A651" s="16" t="inlineStr">
        <is>
          <t>5.1-5.7</t>
        </is>
      </c>
      <c r="B651" s="16" t="inlineStr">
        <is>
          <t>PO-128-03298076129910340</t>
        </is>
      </c>
      <c r="C651" s="16" t="inlineStr">
        <is>
          <t>Delivered</t>
        </is>
      </c>
      <c r="D651" s="16" t="inlineStr">
        <is>
          <t>128-03298212444790340</t>
        </is>
      </c>
      <c r="E651" s="16" t="inlineStr">
        <is>
          <t>Delivered</t>
        </is>
      </c>
      <c r="F651" s="16" t="inlineStr">
        <is>
          <t>KTS-1936</t>
        </is>
      </c>
      <c r="G651" s="16" t="inlineStr">
        <is>
          <t>Espejo con Luz para Makeup，Espejo con Luz LED y Bocina Bluetooth，Espejo para Maquillaje con Aumentos y Luces LED de Intensidad Ajustable，Lente de Aumento 10X+Reproductor TF+ TWS，espejo de portátil y para estudiantes, oficina, dormitorio, mejor regalo</t>
        </is>
      </c>
      <c r="H651" s="16" t="inlineStr">
        <is>
          <t>BLANCO</t>
        </is>
      </c>
      <c r="I651" s="16" t="n">
        <v>1</v>
      </c>
      <c r="J651" s="17" t="n">
        <v>217.75</v>
      </c>
      <c r="K651" s="17" t="n">
        <v>196.48</v>
      </c>
      <c r="L651" s="17" t="n">
        <v>25.86</v>
      </c>
      <c r="M651" s="17" t="n">
        <v>0</v>
      </c>
      <c r="N651" s="17">
        <f>K651*0.08+L651*0.08</f>
        <v/>
      </c>
      <c r="O651" s="17">
        <f>-(K651*0.025+L651*0.025)</f>
        <v/>
      </c>
      <c r="P651" s="17">
        <f>32</f>
        <v/>
      </c>
      <c r="Q651" s="17">
        <f>J651+L651+N651+O651-P651-M651</f>
        <v/>
      </c>
    </row>
    <row r="652">
      <c r="A652" s="16" t="inlineStr">
        <is>
          <t>5.1-5.7</t>
        </is>
      </c>
      <c r="B652" s="16" t="inlineStr">
        <is>
          <t>PO-128-03303854551670370</t>
        </is>
      </c>
      <c r="C652" s="16" t="inlineStr">
        <is>
          <t>Delivered</t>
        </is>
      </c>
      <c r="D652" s="16" t="inlineStr">
        <is>
          <t>128-03303936471670370</t>
        </is>
      </c>
      <c r="E652" s="16" t="inlineStr">
        <is>
          <t>Delivered</t>
        </is>
      </c>
      <c r="F652" s="16" t="inlineStr">
        <is>
          <t>KTS-2031</t>
        </is>
      </c>
      <c r="G652" s="16" t="inlineStr">
        <is>
          <t>Bocina inalámbrica de 3 pulgadas con linterna multifuncional y panel solar integrado.Altavoz Portátil con Linterna LED 4 Modos, Radio FM, Bluetooth, Carga Solar, Ideal para Apagones, Emergencias, Campo y Exteriores</t>
        </is>
      </c>
      <c r="H652" s="16" t="inlineStr">
        <is>
          <t>NEGRO</t>
        </is>
      </c>
      <c r="I652" s="16" t="n">
        <v>1</v>
      </c>
      <c r="J652" s="17" t="n">
        <v>63.15</v>
      </c>
      <c r="K652" s="17" t="n">
        <v>20.67</v>
      </c>
      <c r="L652" s="17" t="n">
        <v>25.86</v>
      </c>
      <c r="M652" s="17" t="n">
        <v>0</v>
      </c>
      <c r="N652" s="17">
        <f>K652*0.08+L652*0.08</f>
        <v/>
      </c>
      <c r="O652" s="17">
        <f>-(K652*0.025+L652*0.025)</f>
        <v/>
      </c>
      <c r="P652" s="17">
        <f>32</f>
        <v/>
      </c>
      <c r="Q652" s="17">
        <f>J652+L652+N652+O652-P652-M652</f>
        <v/>
      </c>
    </row>
    <row r="653">
      <c r="A653" s="16" t="inlineStr">
        <is>
          <t>5.1-5.7</t>
        </is>
      </c>
      <c r="B653" s="16" t="inlineStr">
        <is>
          <t>PO-128-02791427134073424</t>
        </is>
      </c>
      <c r="C653" s="16" t="inlineStr">
        <is>
          <t>Delivered</t>
        </is>
      </c>
      <c r="D653" s="16" t="inlineStr">
        <is>
          <t>128-02791448105593424</t>
        </is>
      </c>
      <c r="E653" s="16" t="inlineStr">
        <is>
          <t>Delivered</t>
        </is>
      </c>
      <c r="F653" s="16" t="inlineStr">
        <is>
          <t>LV64W25</t>
        </is>
      </c>
      <c r="G6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53" s="16" t="inlineStr">
        <is>
          <t>Blanco</t>
        </is>
      </c>
      <c r="I653" s="16" t="n">
        <v>2</v>
      </c>
      <c r="J653" s="17" t="n">
        <v>240</v>
      </c>
      <c r="K653" s="17" t="n">
        <v>251.68</v>
      </c>
      <c r="L653" s="17" t="n">
        <v>0</v>
      </c>
      <c r="M653" s="17" t="n">
        <v>0</v>
      </c>
      <c r="N653" s="17">
        <f>K653*0.08+L653*0.08</f>
        <v/>
      </c>
      <c r="O653" s="17">
        <f>-(K653*0.025+L653*0.025)</f>
        <v/>
      </c>
      <c r="P653" s="17">
        <f>32</f>
        <v/>
      </c>
      <c r="Q653" s="17">
        <f>J653+L653+N653+O653-P653-M653</f>
        <v/>
      </c>
    </row>
    <row r="654">
      <c r="A654" s="16" t="inlineStr">
        <is>
          <t>5.1-5.7</t>
        </is>
      </c>
      <c r="B654" s="16" t="inlineStr">
        <is>
          <t>PO-128-03366586798711020</t>
        </is>
      </c>
      <c r="C654" s="16" t="inlineStr">
        <is>
          <t>Delivered</t>
        </is>
      </c>
      <c r="D654" s="16" t="inlineStr">
        <is>
          <t>128-03366544855671020</t>
        </is>
      </c>
      <c r="E654" s="16" t="inlineStr">
        <is>
          <t>Delivered</t>
        </is>
      </c>
      <c r="F654" s="16" t="inlineStr">
        <is>
          <t>BG-115-P</t>
        </is>
      </c>
      <c r="G654" s="16" t="inlineStr">
        <is>
          <t>LINK BITS Audífonos Inalámbricos con Luces Multicolor, Recargables y en Adorable Forma de Orejas de Gato - Conecta a Celulares y PCs, Tiene Radio FM, Tarjeta TF y AUX - 7 Horas de Reproducción, Plegables y Perfectos para Trabajo, Juegos y Estudio</t>
        </is>
      </c>
      <c r="H654" s="16" t="inlineStr">
        <is>
          <t>rosa</t>
        </is>
      </c>
      <c r="I654" s="16" t="n">
        <v>1</v>
      </c>
      <c r="J654" s="17" t="n">
        <v>75</v>
      </c>
      <c r="K654" s="17" t="n">
        <v>85.73999999999999</v>
      </c>
      <c r="L654" s="17" t="n">
        <v>25.86</v>
      </c>
      <c r="M654" s="17" t="n">
        <v>0</v>
      </c>
      <c r="N654" s="17">
        <f>K654*0.08+L654*0.08</f>
        <v/>
      </c>
      <c r="O654" s="17">
        <f>-(K654*0.025+L654*0.025)</f>
        <v/>
      </c>
      <c r="P654" s="17">
        <f>32</f>
        <v/>
      </c>
      <c r="Q654" s="17">
        <f>J654+L654+N654+O654-P654-M654</f>
        <v/>
      </c>
    </row>
    <row r="655">
      <c r="A655" s="16" t="inlineStr">
        <is>
          <t>5.1-5.7</t>
        </is>
      </c>
      <c r="B655" s="16" t="inlineStr">
        <is>
          <t>PO-128-03033139774072816</t>
        </is>
      </c>
      <c r="C655" s="16" t="inlineStr">
        <is>
          <t>Delivered</t>
        </is>
      </c>
      <c r="D655" s="16" t="inlineStr">
        <is>
          <t>128-03033097831032816</t>
        </is>
      </c>
      <c r="E655" s="16" t="inlineStr">
        <is>
          <t>Delivered</t>
        </is>
      </c>
      <c r="F655" s="16" t="inlineStr">
        <is>
          <t>LV54W25</t>
        </is>
      </c>
      <c r="G655" s="16" t="inlineStr">
        <is>
          <t>TIANLAI Lámpara Ventilador E27 2 en 1, Silenciosa, LED Alta Luminosidad 180°, Instalación Rápida, Ahorro Energético para Dormitorio y Interiores Pequeños</t>
        </is>
      </c>
      <c r="H655" s="16" t="inlineStr">
        <is>
          <t>1 Pieza</t>
        </is>
      </c>
      <c r="I655" s="16" t="n">
        <v>6</v>
      </c>
      <c r="J655" s="17" t="n">
        <v>471</v>
      </c>
      <c r="K655" s="17" t="n">
        <v>493.8</v>
      </c>
      <c r="L655" s="17" t="n">
        <v>0</v>
      </c>
      <c r="M655" s="17" t="n">
        <v>0</v>
      </c>
      <c r="N655" s="17">
        <f>K655*0.08+L655*0.08</f>
        <v/>
      </c>
      <c r="O655" s="17">
        <f>-(K655*0.025+L655*0.025)</f>
        <v/>
      </c>
      <c r="P655" s="17">
        <f>32</f>
        <v/>
      </c>
      <c r="Q655" s="17">
        <f>J655+L655+N655+O655-P655-M655</f>
        <v/>
      </c>
    </row>
    <row r="656">
      <c r="A656" s="16" t="inlineStr">
        <is>
          <t>5.1-5.7</t>
        </is>
      </c>
      <c r="B656" s="16" t="inlineStr">
        <is>
          <t>PO-128-03410558167670758</t>
        </is>
      </c>
      <c r="C656" s="16" t="inlineStr">
        <is>
          <t>Delivered</t>
        </is>
      </c>
      <c r="D656" s="16" t="inlineStr">
        <is>
          <t>128-03410638121590758</t>
        </is>
      </c>
      <c r="E656" s="16" t="inlineStr">
        <is>
          <t>Delivered</t>
        </is>
      </c>
      <c r="F656" s="16" t="inlineStr">
        <is>
          <t>VA371T</t>
        </is>
      </c>
      <c r="G656" s="16" t="inlineStr">
        <is>
          <t>Linkbits Bocina Bluetooth Portátil 3" de Alta Gama，Hi-Res Audio y Graves Potentes，Luces LED + Soporte USB/TF/FM/TWS，Ideal para Hogar y Aire Libre</t>
        </is>
      </c>
      <c r="H656" s="16" t="inlineStr">
        <is>
          <t>VA371T</t>
        </is>
      </c>
      <c r="I656" s="16" t="n">
        <v>2</v>
      </c>
      <c r="J656" s="17" t="n">
        <v>84</v>
      </c>
      <c r="K656" s="17" t="n">
        <v>100.76</v>
      </c>
      <c r="L656" s="17" t="n">
        <v>25.86</v>
      </c>
      <c r="M656" s="17" t="n">
        <v>0</v>
      </c>
      <c r="N656" s="17">
        <f>K656*0.08+L656*0.08</f>
        <v/>
      </c>
      <c r="O656" s="17">
        <f>-(K656*0.025+L656*0.025)</f>
        <v/>
      </c>
      <c r="P656" s="17">
        <f>32</f>
        <v/>
      </c>
      <c r="Q656" s="17">
        <f>J656+L656+N656+O656-P656-M656</f>
        <v/>
      </c>
    </row>
    <row r="657">
      <c r="A657" s="16" t="inlineStr">
        <is>
          <t>5.1-5.7</t>
        </is>
      </c>
      <c r="B657" s="16" t="inlineStr">
        <is>
          <t>PO-128-02797053778553201</t>
        </is>
      </c>
      <c r="C657" s="16" t="inlineStr">
        <is>
          <t>Delivered</t>
        </is>
      </c>
      <c r="D657" s="16" t="inlineStr">
        <is>
          <t>128-02797074750073201</t>
        </is>
      </c>
      <c r="E657" s="16" t="inlineStr">
        <is>
          <t>Delivered</t>
        </is>
      </c>
      <c r="F657" s="16" t="inlineStr">
        <is>
          <t>LV64W25</t>
        </is>
      </c>
      <c r="G6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57" s="16" t="inlineStr">
        <is>
          <t>Blanco</t>
        </is>
      </c>
      <c r="I657" s="16" t="n">
        <v>2</v>
      </c>
      <c r="J657" s="17" t="n">
        <v>240</v>
      </c>
      <c r="K657" s="17" t="n">
        <v>201.35</v>
      </c>
      <c r="L657" s="17" t="n">
        <v>0</v>
      </c>
      <c r="M657" s="17" t="n">
        <v>0</v>
      </c>
      <c r="N657" s="17">
        <f>K657*0.08+L657*0.08</f>
        <v/>
      </c>
      <c r="O657" s="17">
        <f>-(K657*0.025+L657*0.025)</f>
        <v/>
      </c>
      <c r="P657" s="17">
        <f>32</f>
        <v/>
      </c>
      <c r="Q657" s="17">
        <f>J657+L657+N657+O657-P657-M657</f>
        <v/>
      </c>
    </row>
    <row r="658">
      <c r="A658" s="16" t="inlineStr">
        <is>
          <t>5.1-5.7</t>
        </is>
      </c>
      <c r="B658" s="16" t="inlineStr">
        <is>
          <t>PO-128-03305491241590360</t>
        </is>
      </c>
      <c r="C658" s="16" t="inlineStr">
        <is>
          <t>Delivered</t>
        </is>
      </c>
      <c r="D658" s="16" t="inlineStr">
        <is>
          <t>128-03305487309430360</t>
        </is>
      </c>
      <c r="E658" s="16" t="inlineStr">
        <is>
          <t>Delivered</t>
        </is>
      </c>
      <c r="F658" s="16" t="inlineStr">
        <is>
          <t>BSC04</t>
        </is>
      </c>
      <c r="G658" s="16" t="inlineStr">
        <is>
          <t>TIANLAI Báscula Digital BSC04/BSC07, Alta Precisión, Fácil Operación, Ligera y Portátil, Función Tara, Unidad Dual oz/g, Ideal para Cocina, Control de Porciones, Sellos y Objetos Pequeños, Uso en Hogar y Viaje</t>
        </is>
      </c>
      <c r="H658" s="16" t="inlineStr">
        <is>
          <t>5g/White</t>
        </is>
      </c>
      <c r="I658" s="16" t="n">
        <v>1</v>
      </c>
      <c r="J658" s="17" t="n">
        <v>57.2</v>
      </c>
      <c r="K658" s="17" t="n">
        <v>73.51000000000001</v>
      </c>
      <c r="L658" s="17" t="n">
        <v>25.86</v>
      </c>
      <c r="M658" s="17" t="n">
        <v>0</v>
      </c>
      <c r="N658" s="17">
        <f>K658*0.08+L658*0.08</f>
        <v/>
      </c>
      <c r="O658" s="17">
        <f>-(K658*0.025+L658*0.025)</f>
        <v/>
      </c>
      <c r="P658" s="17">
        <f>32</f>
        <v/>
      </c>
      <c r="Q658" s="17">
        <f>J658+L658+N658+O658-P658-M658</f>
        <v/>
      </c>
    </row>
    <row r="659">
      <c r="A659" s="16" t="inlineStr">
        <is>
          <t>5.1-5.7</t>
        </is>
      </c>
      <c r="B659" s="16" t="inlineStr">
        <is>
          <t>PO-128-03071824005752587</t>
        </is>
      </c>
      <c r="C659" s="16" t="inlineStr">
        <is>
          <t>Delivered</t>
        </is>
      </c>
      <c r="D659" s="16" t="inlineStr">
        <is>
          <t>128-03071803034232587</t>
        </is>
      </c>
      <c r="E659" s="16" t="inlineStr">
        <is>
          <t>Delivered</t>
        </is>
      </c>
      <c r="F659" s="16" t="inlineStr">
        <is>
          <t>LV64W25</t>
        </is>
      </c>
      <c r="G6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59" s="16" t="inlineStr">
        <is>
          <t>Blanco</t>
        </is>
      </c>
      <c r="I659" s="16" t="n">
        <v>1</v>
      </c>
      <c r="J659" s="17" t="n">
        <v>120</v>
      </c>
      <c r="K659" s="17" t="n">
        <v>138.28</v>
      </c>
      <c r="L659" s="17" t="n">
        <v>25.86</v>
      </c>
      <c r="M659" s="17" t="n">
        <v>0</v>
      </c>
      <c r="N659" s="17">
        <f>K659*0.08+L659*0.08</f>
        <v/>
      </c>
      <c r="O659" s="17">
        <f>-(K659*0.025+L659*0.025)</f>
        <v/>
      </c>
      <c r="P659" s="17">
        <f>32</f>
        <v/>
      </c>
      <c r="Q659" s="17">
        <f>J659+L659+N659+O659-P659-M659</f>
        <v/>
      </c>
    </row>
    <row r="660">
      <c r="A660" s="16" t="inlineStr">
        <is>
          <t>5.1-5.7</t>
        </is>
      </c>
      <c r="B660" s="16" t="inlineStr">
        <is>
          <t>PO-128-02816362957433084</t>
        </is>
      </c>
      <c r="C660" s="16" t="inlineStr">
        <is>
          <t>Delivered</t>
        </is>
      </c>
      <c r="D660" s="16" t="inlineStr">
        <is>
          <t>128-02816321014393084</t>
        </is>
      </c>
      <c r="E660" s="16" t="inlineStr">
        <is>
          <t>Delivered</t>
        </is>
      </c>
      <c r="F660" s="16" t="inlineStr">
        <is>
          <t>B03W10-10PZS</t>
        </is>
      </c>
      <c r="G66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660" s="16" t="inlineStr">
        <is>
          <t>B03W10</t>
        </is>
      </c>
      <c r="I660" s="16" t="n">
        <v>1</v>
      </c>
      <c r="J660" s="17" t="n">
        <v>66</v>
      </c>
      <c r="K660" s="17" t="n">
        <v>74.12</v>
      </c>
      <c r="L660" s="17" t="n">
        <v>25.86</v>
      </c>
      <c r="M660" s="17" t="n">
        <v>0</v>
      </c>
      <c r="N660" s="17">
        <f>K660*0.08+L660*0.08</f>
        <v/>
      </c>
      <c r="O660" s="17">
        <f>-(K660*0.025+L660*0.025)</f>
        <v/>
      </c>
      <c r="P660" s="17">
        <f>32</f>
        <v/>
      </c>
      <c r="Q660" s="17">
        <f>J660+L660+N660+O660-P660-M660</f>
        <v/>
      </c>
    </row>
    <row r="661">
      <c r="A661" s="16" t="inlineStr">
        <is>
          <t>5.1-5.7</t>
        </is>
      </c>
      <c r="B661" s="16" t="inlineStr">
        <is>
          <t>PO-128-03362210028150982</t>
        </is>
      </c>
      <c r="C661" s="16" t="inlineStr">
        <is>
          <t>Delivered</t>
        </is>
      </c>
      <c r="D661" s="16" t="inlineStr">
        <is>
          <t>128-03362304399990982</t>
        </is>
      </c>
      <c r="E661" s="16" t="inlineStr">
        <is>
          <t>Delivered</t>
        </is>
      </c>
      <c r="F661" s="16" t="inlineStr">
        <is>
          <t>LV64W25</t>
        </is>
      </c>
      <c r="G6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1" s="16" t="inlineStr">
        <is>
          <t>Blanco</t>
        </is>
      </c>
      <c r="I661" s="16" t="n">
        <v>2</v>
      </c>
      <c r="J661" s="17" t="n">
        <v>240</v>
      </c>
      <c r="K661" s="17" t="n">
        <v>251.68</v>
      </c>
      <c r="L661" s="17" t="n">
        <v>0</v>
      </c>
      <c r="M661" s="17" t="n">
        <v>0</v>
      </c>
      <c r="N661" s="17">
        <f>K661*0.08+L661*0.08</f>
        <v/>
      </c>
      <c r="O661" s="17">
        <f>-(K661*0.025+L661*0.025)</f>
        <v/>
      </c>
      <c r="P661" s="17">
        <f>32</f>
        <v/>
      </c>
      <c r="Q661" s="17">
        <f>J661+L661+N661+O661-P661-M661</f>
        <v/>
      </c>
    </row>
    <row r="662">
      <c r="A662" s="16" t="inlineStr">
        <is>
          <t>5.1-5.7</t>
        </is>
      </c>
      <c r="B662" s="16" t="inlineStr">
        <is>
          <t>PO-128-03362210028150982</t>
        </is>
      </c>
      <c r="C662" s="16" t="inlineStr">
        <is>
          <t>Delivered</t>
        </is>
      </c>
      <c r="D662" s="16" t="inlineStr">
        <is>
          <t>128-03362251971190982</t>
        </is>
      </c>
      <c r="E662" s="16" t="inlineStr">
        <is>
          <t>Delivered</t>
        </is>
      </c>
      <c r="F662" s="16" t="inlineStr">
        <is>
          <t>TL1455N20B</t>
        </is>
      </c>
      <c r="G662" s="16" t="inlineStr">
        <is>
          <t>LINK BITS Soporte para TV 14 A 55 Pulgadas, Base para TV Pantalla Articulado Inclinable y Giratorio, MAX VESA 400×400 mm, Soporta hasta 18kg (Acero Reforzado)</t>
        </is>
      </c>
      <c r="H662" s="16" t="inlineStr">
        <is>
          <t>TL1455N20B</t>
        </is>
      </c>
      <c r="I662" s="16" t="n">
        <v>1</v>
      </c>
      <c r="J662" s="17" t="n">
        <v>71.8</v>
      </c>
      <c r="K662" s="17" t="n">
        <v>94.63</v>
      </c>
      <c r="L662" s="17" t="n">
        <v>0</v>
      </c>
      <c r="M662" s="17" t="n">
        <v>0</v>
      </c>
      <c r="N662" s="17">
        <f>K662*0.08+L662*0.08</f>
        <v/>
      </c>
      <c r="O662" s="17">
        <f>-(K662*0.025+L662*0.025)</f>
        <v/>
      </c>
      <c r="P662" s="17">
        <f>32</f>
        <v/>
      </c>
      <c r="Q662" s="17">
        <f>J662+L662+N662+O662-P662-M662</f>
        <v/>
      </c>
    </row>
    <row r="663">
      <c r="A663" s="16" t="inlineStr">
        <is>
          <t>5.1-5.7</t>
        </is>
      </c>
      <c r="B663" s="16" t="inlineStr">
        <is>
          <t>PO-128-03285288100470483</t>
        </is>
      </c>
      <c r="C663" s="16" t="inlineStr">
        <is>
          <t>Delivered</t>
        </is>
      </c>
      <c r="D663" s="16" t="inlineStr">
        <is>
          <t>128-03285298586230483</t>
        </is>
      </c>
      <c r="E663" s="16" t="inlineStr">
        <is>
          <t>Delivered</t>
        </is>
      </c>
      <c r="F663" s="16" t="inlineStr">
        <is>
          <t>LV64W25</t>
        </is>
      </c>
      <c r="G6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3" s="16" t="inlineStr">
        <is>
          <t>Blanco</t>
        </is>
      </c>
      <c r="I663" s="16" t="n">
        <v>2</v>
      </c>
      <c r="J663" s="17" t="n">
        <v>240</v>
      </c>
      <c r="K663" s="17" t="n">
        <v>219.65</v>
      </c>
      <c r="L663" s="17" t="n">
        <v>0</v>
      </c>
      <c r="M663" s="17" t="n">
        <v>0</v>
      </c>
      <c r="N663" s="17">
        <f>K663*0.08+L663*0.08</f>
        <v/>
      </c>
      <c r="O663" s="17">
        <f>-(K663*0.025+L663*0.025)</f>
        <v/>
      </c>
      <c r="P663" s="17">
        <f>32</f>
        <v/>
      </c>
      <c r="Q663" s="17">
        <f>J663+L663+N663+O663-P663-M663</f>
        <v/>
      </c>
    </row>
    <row r="664">
      <c r="A664" s="16" t="inlineStr">
        <is>
          <t>5.1-5.7</t>
        </is>
      </c>
      <c r="B664" s="16" t="inlineStr">
        <is>
          <t>PO-128-03264777349750413</t>
        </is>
      </c>
      <c r="C664" s="16" t="inlineStr">
        <is>
          <t>Delivered</t>
        </is>
      </c>
      <c r="D664" s="16" t="inlineStr">
        <is>
          <t>128-03264717056630413</t>
        </is>
      </c>
      <c r="E664" s="16" t="inlineStr">
        <is>
          <t>Delivered</t>
        </is>
      </c>
      <c r="F664" s="16" t="inlineStr">
        <is>
          <t>LV64W25</t>
        </is>
      </c>
      <c r="G6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4" s="16" t="inlineStr">
        <is>
          <t>Blanco</t>
        </is>
      </c>
      <c r="I664" s="16" t="n">
        <v>2</v>
      </c>
      <c r="J664" s="17" t="n">
        <v>240</v>
      </c>
      <c r="K664" s="17" t="n">
        <v>251.68</v>
      </c>
      <c r="L664" s="17" t="n">
        <v>0</v>
      </c>
      <c r="M664" s="17" t="n">
        <v>0</v>
      </c>
      <c r="N664" s="17">
        <f>K664*0.08+L664*0.08</f>
        <v/>
      </c>
      <c r="O664" s="17">
        <f>-(K664*0.025+L664*0.025)</f>
        <v/>
      </c>
      <c r="P664" s="17">
        <f>32</f>
        <v/>
      </c>
      <c r="Q664" s="17">
        <f>J664+L664+N664+O664-P664-M664</f>
        <v/>
      </c>
    </row>
    <row r="665">
      <c r="A665" s="16" t="inlineStr">
        <is>
          <t>5.1-5.7</t>
        </is>
      </c>
      <c r="B665" s="16" t="inlineStr">
        <is>
          <t>PO-128-02880111483513728</t>
        </is>
      </c>
      <c r="C665" s="16" t="inlineStr">
        <is>
          <t>Delivered</t>
        </is>
      </c>
      <c r="D665" s="16" t="inlineStr">
        <is>
          <t>128-02880137697913728</t>
        </is>
      </c>
      <c r="E665" s="16" t="inlineStr">
        <is>
          <t>Delivered</t>
        </is>
      </c>
      <c r="F665" s="16" t="inlineStr">
        <is>
          <t>BSC07</t>
        </is>
      </c>
      <c r="G665" s="16" t="inlineStr">
        <is>
          <t>TIANLAI Báscula Digital BSC04/BSC07, Alta Precisión, Fácil Operación, Ligera y Portátil, Función Tara, Unidad Dual oz/g, Ideal para Cocina, Control de Porciones, Sellos y Objetos Pequeños, Uso en Hogar y Viaje</t>
        </is>
      </c>
      <c r="H665" s="16" t="inlineStr">
        <is>
          <t>1g/White</t>
        </is>
      </c>
      <c r="I665" s="16" t="n">
        <v>1</v>
      </c>
      <c r="J665" s="17" t="n">
        <v>35</v>
      </c>
      <c r="K665" s="17" t="n">
        <v>47.21</v>
      </c>
      <c r="L665" s="17" t="n">
        <v>25.86</v>
      </c>
      <c r="M665" s="17" t="n">
        <v>0</v>
      </c>
      <c r="N665" s="17">
        <f>K665*0.08+L665*0.08</f>
        <v/>
      </c>
      <c r="O665" s="17">
        <f>-(K665*0.025+L665*0.025)</f>
        <v/>
      </c>
      <c r="P665" s="17">
        <f>32</f>
        <v/>
      </c>
      <c r="Q665" s="17">
        <f>J665+L665+N665+O665-P665-M665</f>
        <v/>
      </c>
    </row>
    <row r="666">
      <c r="A666" s="16" t="inlineStr">
        <is>
          <t>5.1-5.7</t>
        </is>
      </c>
      <c r="B666" s="16" t="inlineStr">
        <is>
          <t>PO-128-03435454116470610</t>
        </is>
      </c>
      <c r="C666" s="16" t="inlineStr">
        <is>
          <t>Delivered</t>
        </is>
      </c>
      <c r="D666" s="16" t="inlineStr">
        <is>
          <t>128-03435412173430610</t>
        </is>
      </c>
      <c r="E666" s="16" t="inlineStr">
        <is>
          <t>Delivered</t>
        </is>
      </c>
      <c r="F666" s="16" t="inlineStr">
        <is>
          <t>LV64W25</t>
        </is>
      </c>
      <c r="G6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6" s="16" t="inlineStr">
        <is>
          <t>Blanco</t>
        </is>
      </c>
      <c r="I666" s="16" t="n">
        <v>2</v>
      </c>
      <c r="J666" s="17" t="n">
        <v>240</v>
      </c>
      <c r="K666" s="17" t="n">
        <v>201.35</v>
      </c>
      <c r="L666" s="17" t="n">
        <v>0</v>
      </c>
      <c r="M666" s="17" t="n">
        <v>0</v>
      </c>
      <c r="N666" s="17">
        <f>K666*0.08+L666*0.08</f>
        <v/>
      </c>
      <c r="O666" s="17">
        <f>-(K666*0.025+L666*0.025)</f>
        <v/>
      </c>
      <c r="P666" s="17">
        <f>32</f>
        <v/>
      </c>
      <c r="Q666" s="17">
        <f>J666+L666+N666+O666-P666-M666</f>
        <v/>
      </c>
    </row>
    <row r="667">
      <c r="A667" s="16" t="inlineStr">
        <is>
          <t>5.1-5.7</t>
        </is>
      </c>
      <c r="B667" s="16" t="inlineStr">
        <is>
          <t>PO-128-02943557929592326</t>
        </is>
      </c>
      <c r="C667" s="16" t="inlineStr">
        <is>
          <t>Delivered</t>
        </is>
      </c>
      <c r="D667" s="16" t="inlineStr">
        <is>
          <t>128-02943536958072326</t>
        </is>
      </c>
      <c r="E667" s="16" t="inlineStr">
        <is>
          <t>Delivered</t>
        </is>
      </c>
      <c r="F667" s="16" t="inlineStr">
        <is>
          <t>LV64W25</t>
        </is>
      </c>
      <c r="G6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7" s="16" t="inlineStr">
        <is>
          <t>Blanco</t>
        </is>
      </c>
      <c r="I667" s="16" t="n">
        <v>2</v>
      </c>
      <c r="J667" s="17" t="n">
        <v>240</v>
      </c>
      <c r="K667" s="17" t="n">
        <v>251.68</v>
      </c>
      <c r="L667" s="17" t="n">
        <v>0</v>
      </c>
      <c r="M667" s="17" t="n">
        <v>0</v>
      </c>
      <c r="N667" s="17">
        <f>K667*0.08+L667*0.08</f>
        <v/>
      </c>
      <c r="O667" s="17">
        <f>-(K667*0.025+L667*0.025)</f>
        <v/>
      </c>
      <c r="P667" s="17">
        <f>32</f>
        <v/>
      </c>
      <c r="Q667" s="17">
        <f>J667+L667+N667+O667-P667-M667</f>
        <v/>
      </c>
    </row>
    <row r="668">
      <c r="A668" s="16" t="inlineStr">
        <is>
          <t>5.1-5.7</t>
        </is>
      </c>
      <c r="B668" s="16" t="inlineStr">
        <is>
          <t>PO-128-03396932352630649</t>
        </is>
      </c>
      <c r="C668" s="16" t="inlineStr">
        <is>
          <t>Delivered</t>
        </is>
      </c>
      <c r="D668" s="16" t="inlineStr">
        <is>
          <t>128-03396958567030649</t>
        </is>
      </c>
      <c r="E668" s="16" t="inlineStr">
        <is>
          <t>Delivered</t>
        </is>
      </c>
      <c r="F668" s="16" t="inlineStr">
        <is>
          <t>LV64W25</t>
        </is>
      </c>
      <c r="G6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68" s="16" t="inlineStr">
        <is>
          <t>Blanco</t>
        </is>
      </c>
      <c r="I668" s="16" t="n">
        <v>1</v>
      </c>
      <c r="J668" s="17" t="n">
        <v>120</v>
      </c>
      <c r="K668" s="17" t="n">
        <v>138.28</v>
      </c>
      <c r="L668" s="17" t="n">
        <v>25.86</v>
      </c>
      <c r="M668" s="17" t="n">
        <v>0</v>
      </c>
      <c r="N668" s="17">
        <f>K668*0.08+L668*0.08</f>
        <v/>
      </c>
      <c r="O668" s="17">
        <f>-(K668*0.025+L668*0.025)</f>
        <v/>
      </c>
      <c r="P668" s="17">
        <f>32</f>
        <v/>
      </c>
      <c r="Q668" s="17">
        <f>J668+L668+N668+O668-P668-M668</f>
        <v/>
      </c>
    </row>
    <row r="669">
      <c r="A669" s="16" t="inlineStr">
        <is>
          <t>5.1-5.7</t>
        </is>
      </c>
      <c r="B669" s="16" t="inlineStr">
        <is>
          <t>PO-128-03373549988470789</t>
        </is>
      </c>
      <c r="C669" s="16" t="inlineStr">
        <is>
          <t>Delivered</t>
        </is>
      </c>
      <c r="D669" s="16" t="inlineStr">
        <is>
          <t>128-03373508045430789</t>
        </is>
      </c>
      <c r="E669" s="16" t="inlineStr">
        <is>
          <t>Delivered</t>
        </is>
      </c>
      <c r="F669" s="16" t="inlineStr">
        <is>
          <t>KTS-2031</t>
        </is>
      </c>
      <c r="G669" s="16" t="inlineStr">
        <is>
          <t>Bocina inalámbrica de 3 pulgadas con linterna multifuncional y panel solar integrado.Altavoz Portátil con Linterna LED 4 Modos, Radio FM, Bluetooth, Carga Solar, Ideal para Apagones, Emergencias, Campo y Exteriores</t>
        </is>
      </c>
      <c r="H669" s="16" t="inlineStr">
        <is>
          <t>NEGRO</t>
        </is>
      </c>
      <c r="I669" s="16" t="n">
        <v>1</v>
      </c>
      <c r="J669" s="17" t="n">
        <v>63.15</v>
      </c>
      <c r="K669" s="17" t="n">
        <v>29.29</v>
      </c>
      <c r="L669" s="17" t="n">
        <v>25.86</v>
      </c>
      <c r="M669" s="17" t="n">
        <v>0</v>
      </c>
      <c r="N669" s="17">
        <f>K669*0.08+L669*0.08</f>
        <v/>
      </c>
      <c r="O669" s="17">
        <f>-(K669*0.025+L669*0.025)</f>
        <v/>
      </c>
      <c r="P669" s="17">
        <f>32</f>
        <v/>
      </c>
      <c r="Q669" s="17">
        <f>J669+L669+N669+O669-P669-M669</f>
        <v/>
      </c>
    </row>
    <row r="670">
      <c r="A670" s="16" t="inlineStr">
        <is>
          <t>5.1-5.7</t>
        </is>
      </c>
      <c r="B670" s="16" t="inlineStr">
        <is>
          <t>PO-128-03130009723511406</t>
        </is>
      </c>
      <c r="C670" s="16" t="inlineStr">
        <is>
          <t>Delivered</t>
        </is>
      </c>
      <c r="D670" s="16" t="inlineStr">
        <is>
          <t>128-03130077880951406</t>
        </is>
      </c>
      <c r="E670" s="16" t="inlineStr">
        <is>
          <t>Delivered</t>
        </is>
      </c>
      <c r="F670" s="16" t="inlineStr">
        <is>
          <t>LV64W25</t>
        </is>
      </c>
      <c r="G6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70" s="16" t="inlineStr">
        <is>
          <t>Blanco</t>
        </is>
      </c>
      <c r="I670" s="16" t="n">
        <v>1</v>
      </c>
      <c r="J670" s="17" t="n">
        <v>120</v>
      </c>
      <c r="K670" s="17" t="n">
        <v>125.84</v>
      </c>
      <c r="L670" s="17" t="n">
        <v>25.86</v>
      </c>
      <c r="M670" s="17" t="n">
        <v>0</v>
      </c>
      <c r="N670" s="17">
        <f>K670*0.08+L670*0.08</f>
        <v/>
      </c>
      <c r="O670" s="17">
        <f>-(K670*0.025+L670*0.025)</f>
        <v/>
      </c>
      <c r="P670" s="17">
        <f>32</f>
        <v/>
      </c>
      <c r="Q670" s="17">
        <f>J670+L670+N670+O670-P670-M670</f>
        <v/>
      </c>
    </row>
    <row r="671">
      <c r="A671" s="16" t="inlineStr">
        <is>
          <t>5.1-5.7</t>
        </is>
      </c>
      <c r="B671" s="16" t="inlineStr">
        <is>
          <t>PO-128-03298072566390340</t>
        </is>
      </c>
      <c r="C671" s="16" t="inlineStr">
        <is>
          <t>Delivered</t>
        </is>
      </c>
      <c r="D671" s="16" t="inlineStr">
        <is>
          <t>128-03298224609910340</t>
        </is>
      </c>
      <c r="E671" s="16" t="inlineStr">
        <is>
          <t>Delivered</t>
        </is>
      </c>
      <c r="F671" s="16" t="inlineStr">
        <is>
          <t>TLCD02-8P</t>
        </is>
      </c>
      <c r="G67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671" s="16" t="inlineStr">
        <is>
          <t>color aleatorio/pantalla de 8.5 pulgadas</t>
        </is>
      </c>
      <c r="I671" s="16" t="n">
        <v>2</v>
      </c>
      <c r="J671" s="17" t="n">
        <v>48</v>
      </c>
      <c r="K671" s="17" t="n">
        <v>65.68000000000001</v>
      </c>
      <c r="L671" s="17" t="n">
        <v>0</v>
      </c>
      <c r="M671" s="17" t="n">
        <v>0</v>
      </c>
      <c r="N671" s="17">
        <f>K671*0.08+L671*0.08</f>
        <v/>
      </c>
      <c r="O671" s="17">
        <f>-(K671*0.025+L671*0.025)</f>
        <v/>
      </c>
      <c r="P671" s="17">
        <f>32</f>
        <v/>
      </c>
      <c r="Q671" s="17">
        <f>J671+L671+N671+O671-P671-M671</f>
        <v/>
      </c>
    </row>
    <row r="672">
      <c r="A672" s="16" t="inlineStr">
        <is>
          <t>5.1-5.7</t>
        </is>
      </c>
      <c r="B672" s="16" t="inlineStr">
        <is>
          <t>PO-128-03298072566390340</t>
        </is>
      </c>
      <c r="C672" s="16" t="inlineStr">
        <is>
          <t>Delivered</t>
        </is>
      </c>
      <c r="D672" s="16" t="inlineStr">
        <is>
          <t>128-03298182666870340</t>
        </is>
      </c>
      <c r="E672" s="16" t="inlineStr">
        <is>
          <t>Delivered</t>
        </is>
      </c>
      <c r="F672" s="16" t="inlineStr">
        <is>
          <t>EM12W12</t>
        </is>
      </c>
      <c r="G672" s="16" t="inlineStr">
        <is>
          <t>TIANLAI Lámpara Solar de Emergencia, 1pc 960lm IP4 5 Modos con SOS, Recargable USB+Solar con Gancho, Linterna Portátil para Camping Hogar Senderismo Pesca</t>
        </is>
      </c>
      <c r="H672" s="16" t="inlineStr">
        <is>
          <t>BLANCO</t>
        </is>
      </c>
      <c r="I672" s="16" t="n">
        <v>1</v>
      </c>
      <c r="J672" s="17" t="n">
        <v>75</v>
      </c>
      <c r="K672" s="17" t="n">
        <v>99.59</v>
      </c>
      <c r="L672" s="17" t="n">
        <v>0</v>
      </c>
      <c r="M672" s="17" t="n">
        <v>0</v>
      </c>
      <c r="N672" s="17">
        <f>K672*0.08+L672*0.08</f>
        <v/>
      </c>
      <c r="O672" s="17">
        <f>-(K672*0.025+L672*0.025)</f>
        <v/>
      </c>
      <c r="P672" s="17">
        <f>32</f>
        <v/>
      </c>
      <c r="Q672" s="17">
        <f>J672+L672+N672+O672-P672-M672</f>
        <v/>
      </c>
    </row>
    <row r="673">
      <c r="A673" s="16" t="inlineStr">
        <is>
          <t>5.1-5.7</t>
        </is>
      </c>
      <c r="B673" s="16" t="inlineStr">
        <is>
          <t>PO-128-03298072566390340</t>
        </is>
      </c>
      <c r="C673" s="16" t="inlineStr">
        <is>
          <t>Delivered</t>
        </is>
      </c>
      <c r="D673" s="16" t="inlineStr">
        <is>
          <t>128-03298140723830340</t>
        </is>
      </c>
      <c r="E673" s="16" t="inlineStr">
        <is>
          <t>Delivered</t>
        </is>
      </c>
      <c r="F673" s="16" t="inlineStr">
        <is>
          <t>LV64W25</t>
        </is>
      </c>
      <c r="G6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73" s="16" t="inlineStr">
        <is>
          <t>Blanco</t>
        </is>
      </c>
      <c r="I673" s="16" t="n">
        <v>1</v>
      </c>
      <c r="J673" s="17" t="n">
        <v>120</v>
      </c>
      <c r="K673" s="17" t="n">
        <v>125.84</v>
      </c>
      <c r="L673" s="17" t="n">
        <v>0</v>
      </c>
      <c r="M673" s="17" t="n">
        <v>0</v>
      </c>
      <c r="N673" s="17">
        <f>K673*0.08+L673*0.08</f>
        <v/>
      </c>
      <c r="O673" s="17">
        <f>-(K673*0.025+L673*0.025)</f>
        <v/>
      </c>
      <c r="P673" s="17">
        <f>32</f>
        <v/>
      </c>
      <c r="Q673" s="17">
        <f>J673+L673+N673+O673-P673-M673</f>
        <v/>
      </c>
    </row>
    <row r="674">
      <c r="A674" s="16" t="inlineStr">
        <is>
          <t>5.1-5.7</t>
        </is>
      </c>
      <c r="B674" s="16" t="inlineStr">
        <is>
          <t>PO-128-02970508872312231</t>
        </is>
      </c>
      <c r="C674" s="16" t="inlineStr">
        <is>
          <t>Delivered</t>
        </is>
      </c>
      <c r="D674" s="16" t="inlineStr">
        <is>
          <t>128-02970561301112231</t>
        </is>
      </c>
      <c r="E674" s="16" t="inlineStr">
        <is>
          <t>Delivered</t>
        </is>
      </c>
      <c r="F674" s="16" t="inlineStr">
        <is>
          <t>BSC07</t>
        </is>
      </c>
      <c r="G674" s="16" t="inlineStr">
        <is>
          <t>TIANLAI Báscula Digital BSC04/BSC07, Alta Precisión, Fácil Operación, Ligera y Portátil, Función Tara, Unidad Dual oz/g, Ideal para Cocina, Control de Porciones, Sellos y Objetos Pequeños, Uso en Hogar y Viaje</t>
        </is>
      </c>
      <c r="H674" s="16" t="inlineStr">
        <is>
          <t>1g/White</t>
        </is>
      </c>
      <c r="I674" s="16" t="n">
        <v>1</v>
      </c>
      <c r="J674" s="17" t="n">
        <v>35</v>
      </c>
      <c r="K674" s="17" t="n">
        <v>4.11</v>
      </c>
      <c r="L674" s="17" t="n">
        <v>25.86</v>
      </c>
      <c r="M674" s="17" t="n">
        <v>0</v>
      </c>
      <c r="N674" s="17">
        <f>K674*0.08+L674*0.08</f>
        <v/>
      </c>
      <c r="O674" s="17">
        <f>-(K674*0.025+L674*0.025)</f>
        <v/>
      </c>
      <c r="P674" s="17">
        <f>32</f>
        <v/>
      </c>
      <c r="Q674" s="17">
        <f>J674+L674+N674+O674-P674-M674</f>
        <v/>
      </c>
    </row>
    <row r="675">
      <c r="A675" s="16" t="inlineStr">
        <is>
          <t>5.1-5.7</t>
        </is>
      </c>
      <c r="B675" s="16" t="inlineStr">
        <is>
          <t>PO-128-02915422362233711</t>
        </is>
      </c>
      <c r="C675" s="16" t="inlineStr">
        <is>
          <t>Delivered</t>
        </is>
      </c>
      <c r="D675" s="16" t="inlineStr">
        <is>
          <t>128-02915383040633711</t>
        </is>
      </c>
      <c r="E675" s="16" t="inlineStr">
        <is>
          <t>Delivered</t>
        </is>
      </c>
      <c r="F675" s="16" t="inlineStr">
        <is>
          <t>LV64W25</t>
        </is>
      </c>
      <c r="G6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75" s="16" t="inlineStr">
        <is>
          <t>Blanco</t>
        </is>
      </c>
      <c r="I675" s="16" t="n">
        <v>2</v>
      </c>
      <c r="J675" s="17" t="n">
        <v>240</v>
      </c>
      <c r="K675" s="17" t="n">
        <v>251.68</v>
      </c>
      <c r="L675" s="17" t="n">
        <v>0</v>
      </c>
      <c r="M675" s="17" t="n">
        <v>0</v>
      </c>
      <c r="N675" s="17">
        <f>K675*0.08+L675*0.08</f>
        <v/>
      </c>
      <c r="O675" s="17">
        <f>-(K675*0.025+L675*0.025)</f>
        <v/>
      </c>
      <c r="P675" s="17">
        <f>32</f>
        <v/>
      </c>
      <c r="Q675" s="17">
        <f>J675+L675+N675+O675-P675-M675</f>
        <v/>
      </c>
    </row>
    <row r="676">
      <c r="A676" s="16" t="inlineStr">
        <is>
          <t>5.1-5.7</t>
        </is>
      </c>
      <c r="B676" s="16" t="inlineStr">
        <is>
          <t>PO-128-03016888709752976</t>
        </is>
      </c>
      <c r="C676" s="16" t="inlineStr">
        <is>
          <t>Delivered</t>
        </is>
      </c>
      <c r="D676" s="16" t="inlineStr">
        <is>
          <t>128-03017040753272976</t>
        </is>
      </c>
      <c r="E676" s="16" t="inlineStr">
        <is>
          <t>Delivered</t>
        </is>
      </c>
      <c r="F676" s="16" t="inlineStr">
        <is>
          <t>LV54W25</t>
        </is>
      </c>
      <c r="G676" s="16" t="inlineStr">
        <is>
          <t>TIANLAI Lámpara Ventilador E27 2 en 1, Silenciosa, LED Alta Luminosidad 180°, Instalación Rápida, Ahorro Energético para Dormitorio y Interiores Pequeños</t>
        </is>
      </c>
      <c r="H676" s="16" t="inlineStr">
        <is>
          <t>1 Pieza</t>
        </is>
      </c>
      <c r="I676" s="16" t="n">
        <v>4</v>
      </c>
      <c r="J676" s="17" t="n">
        <v>314</v>
      </c>
      <c r="K676" s="17" t="n">
        <v>382.8</v>
      </c>
      <c r="L676" s="17" t="n">
        <v>0</v>
      </c>
      <c r="M676" s="17" t="n">
        <v>0</v>
      </c>
      <c r="N676" s="17">
        <f>K676*0.08+L676*0.08</f>
        <v/>
      </c>
      <c r="O676" s="17">
        <f>-(K676*0.025+L676*0.025)</f>
        <v/>
      </c>
      <c r="P676" s="17">
        <f>32</f>
        <v/>
      </c>
      <c r="Q676" s="17">
        <f>J676+L676+N676+O676-P676-M676</f>
        <v/>
      </c>
    </row>
    <row r="677">
      <c r="A677" s="16" t="inlineStr">
        <is>
          <t>5.1-5.7</t>
        </is>
      </c>
      <c r="B677" s="16" t="inlineStr">
        <is>
          <t>PO-128-03213454172791871</t>
        </is>
      </c>
      <c r="C677" s="16" t="inlineStr">
        <is>
          <t>Delivered</t>
        </is>
      </c>
      <c r="D677" s="16" t="inlineStr">
        <is>
          <t>128-03213475144311871</t>
        </is>
      </c>
      <c r="E677" s="16" t="inlineStr">
        <is>
          <t>Delivered</t>
        </is>
      </c>
      <c r="F677" s="16" t="inlineStr">
        <is>
          <t>LV64W25</t>
        </is>
      </c>
      <c r="G6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77" s="16" t="inlineStr">
        <is>
          <t>Blanco</t>
        </is>
      </c>
      <c r="I677" s="16" t="n">
        <v>2</v>
      </c>
      <c r="J677" s="17" t="n">
        <v>240</v>
      </c>
      <c r="K677" s="17" t="n">
        <v>276.56</v>
      </c>
      <c r="L677" s="17" t="n">
        <v>0</v>
      </c>
      <c r="M677" s="17" t="n">
        <v>0</v>
      </c>
      <c r="N677" s="17">
        <f>K677*0.08+L677*0.08</f>
        <v/>
      </c>
      <c r="O677" s="17">
        <f>-(K677*0.025+L677*0.025)</f>
        <v/>
      </c>
      <c r="P677" s="17">
        <f>32</f>
        <v/>
      </c>
      <c r="Q677" s="17">
        <f>J677+L677+N677+O677-P677-M677</f>
        <v/>
      </c>
    </row>
    <row r="678">
      <c r="A678" s="16" t="inlineStr">
        <is>
          <t>5.1-5.7</t>
        </is>
      </c>
      <c r="B678" s="16" t="inlineStr">
        <is>
          <t>PO-128-02847282381434053</t>
        </is>
      </c>
      <c r="C678" s="16" t="inlineStr">
        <is>
          <t>Delivered</t>
        </is>
      </c>
      <c r="D678" s="16" t="inlineStr">
        <is>
          <t>128-02847303352954053</t>
        </is>
      </c>
      <c r="E678" s="16" t="inlineStr">
        <is>
          <t>Delivered</t>
        </is>
      </c>
      <c r="F678" s="16" t="inlineStr">
        <is>
          <t>BG-115-P</t>
        </is>
      </c>
      <c r="G678" s="16" t="inlineStr">
        <is>
          <t>LINK BITS Audífonos Inalámbricos con Luces Multicolor, Recargables y en Adorable Forma de Orejas de Gato - Conecta a Celulares y PCs, Tiene Radio FM, Tarjeta TF y AUX - 7 Horas de Reproducción, Plegables y Perfectos para Trabajo, Juegos y Estudio</t>
        </is>
      </c>
      <c r="H678" s="16" t="inlineStr">
        <is>
          <t>rosa</t>
        </is>
      </c>
      <c r="I678" s="16" t="n">
        <v>1</v>
      </c>
      <c r="J678" s="17" t="n">
        <v>75</v>
      </c>
      <c r="K678" s="17" t="n">
        <v>85.73999999999999</v>
      </c>
      <c r="L678" s="17" t="n">
        <v>25.86</v>
      </c>
      <c r="M678" s="17" t="n">
        <v>0</v>
      </c>
      <c r="N678" s="17">
        <f>K678*0.08+L678*0.08</f>
        <v/>
      </c>
      <c r="O678" s="17">
        <f>-(K678*0.025+L678*0.025)</f>
        <v/>
      </c>
      <c r="P678" s="17">
        <f>32</f>
        <v/>
      </c>
      <c r="Q678" s="17">
        <f>J678+L678+N678+O678-P678-M678</f>
        <v/>
      </c>
    </row>
    <row r="679">
      <c r="A679" s="16" t="inlineStr">
        <is>
          <t>5.1-5.7</t>
        </is>
      </c>
      <c r="B679" s="16" t="inlineStr">
        <is>
          <t>PO-128-02861927905913900</t>
        </is>
      </c>
      <c r="C679" s="16" t="inlineStr">
        <is>
          <t>Delivered</t>
        </is>
      </c>
      <c r="D679" s="16" t="inlineStr">
        <is>
          <t>128-02861906934393900</t>
        </is>
      </c>
      <c r="E679" s="16" t="inlineStr">
        <is>
          <t>Delivered</t>
        </is>
      </c>
      <c r="F679" s="16" t="inlineStr">
        <is>
          <t>VB349T</t>
        </is>
      </c>
      <c r="G679" s="16" t="inlineStr">
        <is>
          <t>LINKBITS Altavoz Portátil de Doble Altavoz - 3 Pulgadas, Sonido HD, Emparejamiento Rápido de Bluetooth, Conectividad TWS, Reproducción Multimodo (Micro SD/USB/Radio FM) - Perfecto para Oficina, Viajes y Espacios Pequeños</t>
        </is>
      </c>
      <c r="H679" s="16" t="inlineStr">
        <is>
          <t>NEGRO</t>
        </is>
      </c>
      <c r="I679" s="16" t="n">
        <v>1</v>
      </c>
      <c r="J679" s="17" t="n">
        <v>79</v>
      </c>
      <c r="K679" s="17" t="n">
        <v>72.56999999999999</v>
      </c>
      <c r="L679" s="17" t="n">
        <v>25.86</v>
      </c>
      <c r="M679" s="17" t="n">
        <v>0</v>
      </c>
      <c r="N679" s="17">
        <f>K679*0.08+L679*0.08</f>
        <v/>
      </c>
      <c r="O679" s="17">
        <f>-(K679*0.025+L679*0.025)</f>
        <v/>
      </c>
      <c r="P679" s="17">
        <f>32</f>
        <v/>
      </c>
      <c r="Q679" s="17">
        <f>J679+L679+N679+O679-P679-M679</f>
        <v/>
      </c>
    </row>
    <row r="680">
      <c r="A680" s="16" t="inlineStr">
        <is>
          <t>5.1-5.7</t>
        </is>
      </c>
      <c r="B680" s="16" t="inlineStr">
        <is>
          <t>PO-128-03141645358711211</t>
        </is>
      </c>
      <c r="C680" s="16" t="inlineStr">
        <is>
          <t>Delivered</t>
        </is>
      </c>
      <c r="D680" s="16" t="inlineStr">
        <is>
          <t>128-03141666330231211</t>
        </is>
      </c>
      <c r="E680" s="16" t="inlineStr">
        <is>
          <t>Delivered</t>
        </is>
      </c>
      <c r="F680" s="16" t="inlineStr">
        <is>
          <t>BSC07</t>
        </is>
      </c>
      <c r="G680" s="16" t="inlineStr">
        <is>
          <t>TIANLAI Báscula Digital BSC04/BSC07, Alta Precisión, Fácil Operación, Ligera y Portátil, Función Tara, Unidad Dual oz/g, Ideal para Cocina, Control de Porciones, Sellos y Objetos Pequeños, Uso en Hogar y Viaje</t>
        </is>
      </c>
      <c r="H680" s="16" t="inlineStr">
        <is>
          <t>1g/White</t>
        </is>
      </c>
      <c r="I680" s="16" t="n">
        <v>1</v>
      </c>
      <c r="J680" s="17" t="n">
        <v>35</v>
      </c>
      <c r="K680" s="17" t="n">
        <v>4.11</v>
      </c>
      <c r="L680" s="17" t="n">
        <v>25.86</v>
      </c>
      <c r="M680" s="17" t="n">
        <v>0</v>
      </c>
      <c r="N680" s="17">
        <f>K680*0.08+L680*0.08</f>
        <v/>
      </c>
      <c r="O680" s="17">
        <f>-(K680*0.025+L680*0.025)</f>
        <v/>
      </c>
      <c r="P680" s="17">
        <f>32</f>
        <v/>
      </c>
      <c r="Q680" s="17">
        <f>J680+L680+N680+O680-P680-M680</f>
        <v/>
      </c>
    </row>
    <row r="681">
      <c r="A681" s="16" t="inlineStr">
        <is>
          <t>5.1-5.7</t>
        </is>
      </c>
      <c r="B681" s="16" t="inlineStr">
        <is>
          <t>PO-128-03403482255990672</t>
        </is>
      </c>
      <c r="C681" s="16" t="inlineStr">
        <is>
          <t>Delivered</t>
        </is>
      </c>
      <c r="D681" s="16" t="inlineStr">
        <is>
          <t>128-03403492741750672</t>
        </is>
      </c>
      <c r="E681" s="16" t="inlineStr">
        <is>
          <t>Delivered</t>
        </is>
      </c>
      <c r="F681" s="16" t="inlineStr">
        <is>
          <t>LV64W25</t>
        </is>
      </c>
      <c r="G6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81" s="16" t="inlineStr">
        <is>
          <t>Blanco</t>
        </is>
      </c>
      <c r="I681" s="16" t="n">
        <v>1</v>
      </c>
      <c r="J681" s="17" t="n">
        <v>120</v>
      </c>
      <c r="K681" s="17" t="n">
        <v>138.28</v>
      </c>
      <c r="L681" s="17" t="n">
        <v>25.86</v>
      </c>
      <c r="M681" s="17" t="n">
        <v>0</v>
      </c>
      <c r="N681" s="17">
        <f>K681*0.08+L681*0.08</f>
        <v/>
      </c>
      <c r="O681" s="17">
        <f>-(K681*0.025+L681*0.025)</f>
        <v/>
      </c>
      <c r="P681" s="17">
        <f>32</f>
        <v/>
      </c>
      <c r="Q681" s="17">
        <f>J681+L681+N681+O681-P681-M681</f>
        <v/>
      </c>
    </row>
    <row r="682">
      <c r="A682" s="16" t="inlineStr">
        <is>
          <t>5.1-5.7</t>
        </is>
      </c>
      <c r="B682" s="16" t="inlineStr">
        <is>
          <t>PO-128-02959907164792420</t>
        </is>
      </c>
      <c r="C682" s="16" t="inlineStr">
        <is>
          <t>Delivered</t>
        </is>
      </c>
      <c r="D682" s="16" t="inlineStr">
        <is>
          <t>128-02959865221752420</t>
        </is>
      </c>
      <c r="E682" s="16" t="inlineStr">
        <is>
          <t>Delivered</t>
        </is>
      </c>
      <c r="F682" s="16" t="inlineStr">
        <is>
          <t>LV54W25</t>
        </is>
      </c>
      <c r="G682" s="16" t="inlineStr">
        <is>
          <t>TIANLAI Lámpara Ventilador E27 2 en 1, Silenciosa, LED Alta Luminosidad 180°, Instalación Rápida, Ahorro Energético para Dormitorio y Interiores Pequeños</t>
        </is>
      </c>
      <c r="H682" s="16" t="inlineStr">
        <is>
          <t>1 Pieza</t>
        </is>
      </c>
      <c r="I682" s="16" t="n">
        <v>2</v>
      </c>
      <c r="J682" s="17" t="n">
        <v>157</v>
      </c>
      <c r="K682" s="17" t="n">
        <v>164.6</v>
      </c>
      <c r="L682" s="17" t="n">
        <v>25.86</v>
      </c>
      <c r="M682" s="17" t="n">
        <v>0</v>
      </c>
      <c r="N682" s="17">
        <f>K682*0.08+L682*0.08</f>
        <v/>
      </c>
      <c r="O682" s="17">
        <f>-(K682*0.025+L682*0.025)</f>
        <v/>
      </c>
      <c r="P682" s="17">
        <f>32</f>
        <v/>
      </c>
      <c r="Q682" s="17">
        <f>J682+L682+N682+O682-P682-M682</f>
        <v/>
      </c>
    </row>
    <row r="683">
      <c r="A683" s="16" t="inlineStr">
        <is>
          <t>5.1-5.7</t>
        </is>
      </c>
      <c r="B683" s="16" t="inlineStr">
        <is>
          <t>PO-128-03218837299831903</t>
        </is>
      </c>
      <c r="C683" s="16" t="inlineStr">
        <is>
          <t>Delivered</t>
        </is>
      </c>
      <c r="D683" s="16" t="inlineStr">
        <is>
          <t>128-03218795356791903</t>
        </is>
      </c>
      <c r="E683" s="16" t="inlineStr">
        <is>
          <t>Delivered</t>
        </is>
      </c>
      <c r="F683" s="16" t="inlineStr">
        <is>
          <t>LV54W25</t>
        </is>
      </c>
      <c r="G683" s="16" t="inlineStr">
        <is>
          <t>TIANLAI Lámpara Ventilador E27 2 en 1, Silenciosa, LED Alta Luminosidad 180°, Instalación Rápida, Ahorro Energético para Dormitorio y Interiores Pequeños</t>
        </is>
      </c>
      <c r="H683" s="16" t="inlineStr">
        <is>
          <t>1 Pieza</t>
        </is>
      </c>
      <c r="I683" s="16" t="n">
        <v>1</v>
      </c>
      <c r="J683" s="17" t="n">
        <v>78.5</v>
      </c>
      <c r="K683" s="17" t="n">
        <v>82.3</v>
      </c>
      <c r="L683" s="17" t="n">
        <v>25.86</v>
      </c>
      <c r="M683" s="17" t="n">
        <v>0</v>
      </c>
      <c r="N683" s="17">
        <f>K683*0.08+L683*0.08</f>
        <v/>
      </c>
      <c r="O683" s="17">
        <f>-(K683*0.025+L683*0.025)</f>
        <v/>
      </c>
      <c r="P683" s="17">
        <f>32</f>
        <v/>
      </c>
      <c r="Q683" s="17">
        <f>J683+L683+N683+O683-P683-M683</f>
        <v/>
      </c>
    </row>
    <row r="684">
      <c r="A684" s="16" t="inlineStr">
        <is>
          <t>5.1-5.7</t>
        </is>
      </c>
      <c r="B684" s="16" t="inlineStr">
        <is>
          <t>PO-128-03279173571190455</t>
        </is>
      </c>
      <c r="C684" s="16" t="inlineStr">
        <is>
          <t>Delivered</t>
        </is>
      </c>
      <c r="D684" s="16" t="inlineStr">
        <is>
          <t>128-03279152599670455</t>
        </is>
      </c>
      <c r="E684" s="16" t="inlineStr">
        <is>
          <t>Delivered</t>
        </is>
      </c>
      <c r="F684" s="16" t="inlineStr">
        <is>
          <t>TLCD02-8P-N</t>
        </is>
      </c>
      <c r="G68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684" s="16" t="inlineStr">
        <is>
          <t>NEGRO/pantalla de 8.5 pulgadas</t>
        </is>
      </c>
      <c r="I684" s="16" t="n">
        <v>1</v>
      </c>
      <c r="J684" s="17" t="n">
        <v>24</v>
      </c>
      <c r="K684" s="17" t="n">
        <v>29.67</v>
      </c>
      <c r="L684" s="17" t="n">
        <v>25.86</v>
      </c>
      <c r="M684" s="17" t="n">
        <v>0</v>
      </c>
      <c r="N684" s="17">
        <f>K684*0.08+L684*0.08</f>
        <v/>
      </c>
      <c r="O684" s="17">
        <f>-(K684*0.025+L684*0.025)</f>
        <v/>
      </c>
      <c r="P684" s="17">
        <f>32</f>
        <v/>
      </c>
      <c r="Q684" s="17">
        <f>J684+L684+N684+O684-P684-M684</f>
        <v/>
      </c>
    </row>
    <row r="685">
      <c r="A685" s="16" t="inlineStr">
        <is>
          <t>5.1-5.7</t>
        </is>
      </c>
      <c r="B685" s="16" t="inlineStr">
        <is>
          <t>PO-128-03315402906230175</t>
        </is>
      </c>
      <c r="C685" s="16" t="inlineStr">
        <is>
          <t>Delivered</t>
        </is>
      </c>
      <c r="D685" s="16" t="inlineStr">
        <is>
          <t>128-03315444849270175</t>
        </is>
      </c>
      <c r="E685" s="16" t="inlineStr">
        <is>
          <t>Delivered</t>
        </is>
      </c>
      <c r="F685" s="16" t="inlineStr">
        <is>
          <t>BSC04</t>
        </is>
      </c>
      <c r="G685" s="16" t="inlineStr">
        <is>
          <t>TIANLAI Báscula Digital BSC04/BSC07, Alta Precisión, Fácil Operación, Ligera y Portátil, Función Tara, Unidad Dual oz/g, Ideal para Cocina, Control de Porciones, Sellos y Objetos Pequeños, Uso en Hogar y Viaje</t>
        </is>
      </c>
      <c r="H685" s="16" t="inlineStr">
        <is>
          <t>5g/White</t>
        </is>
      </c>
      <c r="I685" s="16" t="n">
        <v>1</v>
      </c>
      <c r="J685" s="17" t="n">
        <v>57.2</v>
      </c>
      <c r="K685" s="17" t="n">
        <v>73.51000000000001</v>
      </c>
      <c r="L685" s="17" t="n">
        <v>25.86</v>
      </c>
      <c r="M685" s="17" t="n">
        <v>0</v>
      </c>
      <c r="N685" s="17">
        <f>K685*0.08+L685*0.08</f>
        <v/>
      </c>
      <c r="O685" s="17">
        <f>-(K685*0.025+L685*0.025)</f>
        <v/>
      </c>
      <c r="P685" s="17">
        <f>32</f>
        <v/>
      </c>
      <c r="Q685" s="17">
        <f>J685+L685+N685+O685-P685-M685</f>
        <v/>
      </c>
    </row>
    <row r="686">
      <c r="A686" s="16" t="inlineStr">
        <is>
          <t>5.1-5.7</t>
        </is>
      </c>
      <c r="B686" s="16" t="inlineStr">
        <is>
          <t>PO-128-03346663957110117</t>
        </is>
      </c>
      <c r="C686" s="16" t="inlineStr">
        <is>
          <t>Delivered</t>
        </is>
      </c>
      <c r="D686" s="16" t="inlineStr">
        <is>
          <t>128-03346684928630117</t>
        </is>
      </c>
      <c r="E686" s="16" t="inlineStr">
        <is>
          <t>Delivered</t>
        </is>
      </c>
      <c r="F686" s="16" t="inlineStr">
        <is>
          <t>BG-115-P</t>
        </is>
      </c>
      <c r="G686" s="16" t="inlineStr">
        <is>
          <t>LINK BITS Audífonos Inalámbricos con Luces Multicolor, Recargables y en Adorable Forma de Orejas de Gato - Conecta a Celulares y PCs, Tiene Radio FM, Tarjeta TF y AUX - 7 Horas de Reproducción, Plegables y Perfectos para Trabajo, Juegos y Estudio</t>
        </is>
      </c>
      <c r="H686" s="16" t="inlineStr">
        <is>
          <t>rosa</t>
        </is>
      </c>
      <c r="I686" s="16" t="n">
        <v>1</v>
      </c>
      <c r="J686" s="17" t="n">
        <v>75</v>
      </c>
      <c r="K686" s="17" t="n">
        <v>85.73999999999999</v>
      </c>
      <c r="L686" s="17" t="n">
        <v>25.86</v>
      </c>
      <c r="M686" s="17" t="n">
        <v>0</v>
      </c>
      <c r="N686" s="17">
        <f>K686*0.08+L686*0.08</f>
        <v/>
      </c>
      <c r="O686" s="17">
        <f>-(K686*0.025+L686*0.025)</f>
        <v/>
      </c>
      <c r="P686" s="17">
        <f>32</f>
        <v/>
      </c>
      <c r="Q686" s="17">
        <f>J686+L686+N686+O686-P686-M686</f>
        <v/>
      </c>
    </row>
    <row r="687">
      <c r="A687" s="16" t="inlineStr">
        <is>
          <t>5.1-5.7</t>
        </is>
      </c>
      <c r="B687" s="16" t="inlineStr">
        <is>
          <t>PO-128-03076522609272623</t>
        </is>
      </c>
      <c r="C687" s="16" t="inlineStr">
        <is>
          <t>Delivered</t>
        </is>
      </c>
      <c r="D687" s="16" t="inlineStr">
        <is>
          <t>128-03076605512312623</t>
        </is>
      </c>
      <c r="E687" s="16" t="inlineStr">
        <is>
          <t>Delivered</t>
        </is>
      </c>
      <c r="F687" s="16" t="inlineStr">
        <is>
          <t>VB349T</t>
        </is>
      </c>
      <c r="G687" s="16" t="inlineStr">
        <is>
          <t>LINKBITS Altavoz Portátil de Doble Altavoz - 3 Pulgadas, Sonido HD, Emparejamiento Rápido de Bluetooth, Conectividad TWS, Reproducción Multimodo (Micro SD/USB/Radio FM) - Perfecto para Oficina, Viajes y Espacios Pequeños</t>
        </is>
      </c>
      <c r="H687" s="16" t="inlineStr">
        <is>
          <t>NEGRO</t>
        </is>
      </c>
      <c r="I687" s="16" t="n">
        <v>1</v>
      </c>
      <c r="J687" s="17" t="n">
        <v>79</v>
      </c>
      <c r="K687" s="17" t="n">
        <v>6.06</v>
      </c>
      <c r="L687" s="17" t="n">
        <v>25.86</v>
      </c>
      <c r="M687" s="17" t="n">
        <v>0.01</v>
      </c>
      <c r="N687" s="17">
        <f>K687*0.08+L687*0.08</f>
        <v/>
      </c>
      <c r="O687" s="17">
        <f>-(K687*0.025+L687*0.025)</f>
        <v/>
      </c>
      <c r="P687" s="17">
        <f>32</f>
        <v/>
      </c>
      <c r="Q687" s="17">
        <f>J687+L687+N687+O687-P687-M687</f>
        <v/>
      </c>
    </row>
    <row r="688">
      <c r="A688" s="16" t="inlineStr">
        <is>
          <t>5.1-5.7</t>
        </is>
      </c>
      <c r="B688" s="16" t="inlineStr">
        <is>
          <t>PO-128-03076456028792623</t>
        </is>
      </c>
      <c r="C688" s="16" t="inlineStr">
        <is>
          <t>Delivered</t>
        </is>
      </c>
      <c r="D688" s="16" t="inlineStr">
        <is>
          <t>128-03076592343672623</t>
        </is>
      </c>
      <c r="E688" s="16" t="inlineStr">
        <is>
          <t>Delivered</t>
        </is>
      </c>
      <c r="F688" s="16" t="inlineStr">
        <is>
          <t>VB349T</t>
        </is>
      </c>
      <c r="G688" s="16" t="inlineStr">
        <is>
          <t>LINKBITS Altavoz Portátil de Doble Altavoz - 3 Pulgadas, Sonido HD, Emparejamiento Rápido de Bluetooth, Conectividad TWS, Reproducción Multimodo (Micro SD/USB/Radio FM) - Perfecto para Oficina, Viajes y Espacios Pequeños</t>
        </is>
      </c>
      <c r="H688" s="16" t="inlineStr">
        <is>
          <t>NEGRO</t>
        </is>
      </c>
      <c r="I688" s="16" t="n">
        <v>1</v>
      </c>
      <c r="J688" s="17" t="n">
        <v>79</v>
      </c>
      <c r="K688" s="17" t="n">
        <v>6.06</v>
      </c>
      <c r="L688" s="17" t="n">
        <v>25.86</v>
      </c>
      <c r="M688" s="17" t="n">
        <v>0.01</v>
      </c>
      <c r="N688" s="17">
        <f>K688*0.08+L688*0.08</f>
        <v/>
      </c>
      <c r="O688" s="17">
        <f>-(K688*0.025+L688*0.025)</f>
        <v/>
      </c>
      <c r="P688" s="17">
        <f>32</f>
        <v/>
      </c>
      <c r="Q688" s="17">
        <f>J688+L688+N688+O688-P688-M688</f>
        <v/>
      </c>
    </row>
    <row r="689">
      <c r="A689" s="16" t="inlineStr">
        <is>
          <t>5.1-5.7</t>
        </is>
      </c>
      <c r="B689" s="16" t="inlineStr">
        <is>
          <t>PO-128-03072498657912583</t>
        </is>
      </c>
      <c r="C689" s="16" t="inlineStr">
        <is>
          <t>Delivered</t>
        </is>
      </c>
      <c r="D689" s="16" t="inlineStr">
        <is>
          <t>128-03072574679672583</t>
        </is>
      </c>
      <c r="E689" s="16" t="inlineStr">
        <is>
          <t>Delivered</t>
        </is>
      </c>
      <c r="F689" s="16" t="inlineStr">
        <is>
          <t>LV64W25</t>
        </is>
      </c>
      <c r="G6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89" s="16" t="inlineStr">
        <is>
          <t>Blanco</t>
        </is>
      </c>
      <c r="I689" s="16" t="n">
        <v>5</v>
      </c>
      <c r="J689" s="17" t="n">
        <v>600</v>
      </c>
      <c r="K689" s="17" t="n">
        <v>551.6</v>
      </c>
      <c r="L689" s="17" t="n">
        <v>0</v>
      </c>
      <c r="M689" s="17" t="n">
        <v>4</v>
      </c>
      <c r="N689" s="17">
        <f>K689*0.08+L689*0.08</f>
        <v/>
      </c>
      <c r="O689" s="17">
        <f>-(K689*0.025+L689*0.025)</f>
        <v/>
      </c>
      <c r="P689" s="17">
        <f>32</f>
        <v/>
      </c>
      <c r="Q689" s="17">
        <f>J689+L689+N689+O689-P689-M689</f>
        <v/>
      </c>
    </row>
    <row r="690">
      <c r="A690" s="16" t="inlineStr">
        <is>
          <t>5.1-5.7</t>
        </is>
      </c>
      <c r="B690" s="16" t="inlineStr">
        <is>
          <t>PO-128-03101658296951449</t>
        </is>
      </c>
      <c r="C690" s="16" t="inlineStr">
        <is>
          <t>Delivered</t>
        </is>
      </c>
      <c r="D690" s="16" t="inlineStr">
        <is>
          <t>128-03101700239991449</t>
        </is>
      </c>
      <c r="E690" s="16" t="inlineStr">
        <is>
          <t>Delivered</t>
        </is>
      </c>
      <c r="F690" s="16" t="inlineStr">
        <is>
          <t>TL1455N20B</t>
        </is>
      </c>
      <c r="G690" s="16" t="inlineStr">
        <is>
          <t>LINK BITS Soporte para TV 14 A 55 Pulgadas, Base para TV Pantalla Articulado Inclinable y Giratorio, MAX VESA 400×400 mm, Soporta hasta 18kg (Acero Reforzado)</t>
        </is>
      </c>
      <c r="H690" s="16" t="inlineStr">
        <is>
          <t>TL1455N20B</t>
        </is>
      </c>
      <c r="I690" s="16" t="n">
        <v>1</v>
      </c>
      <c r="J690" s="17" t="n">
        <v>71.8</v>
      </c>
      <c r="K690" s="17" t="n">
        <v>94.63</v>
      </c>
      <c r="L690" s="17" t="n">
        <v>25.86</v>
      </c>
      <c r="M690" s="17" t="n">
        <v>0</v>
      </c>
      <c r="N690" s="17">
        <f>K690*0.08+L690*0.08</f>
        <v/>
      </c>
      <c r="O690" s="17">
        <f>-(K690*0.025+L690*0.025)</f>
        <v/>
      </c>
      <c r="P690" s="17">
        <f>32</f>
        <v/>
      </c>
      <c r="Q690" s="17">
        <f>J690+L690+N690+O690-P690-M690</f>
        <v/>
      </c>
    </row>
    <row r="691">
      <c r="A691" s="16" t="inlineStr">
        <is>
          <t>5.1-5.7</t>
        </is>
      </c>
      <c r="B691" s="16" t="inlineStr">
        <is>
          <t>PO-128-03110290913911524</t>
        </is>
      </c>
      <c r="C691" s="16" t="inlineStr">
        <is>
          <t>Delivered</t>
        </is>
      </c>
      <c r="D691" s="16" t="inlineStr">
        <is>
          <t>128-03110248970871524</t>
        </is>
      </c>
      <c r="E691" s="16" t="inlineStr">
        <is>
          <t>Delivered</t>
        </is>
      </c>
      <c r="F691" s="16" t="inlineStr">
        <is>
          <t>LV64W25</t>
        </is>
      </c>
      <c r="G6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1" s="16" t="inlineStr">
        <is>
          <t>Blanco</t>
        </is>
      </c>
      <c r="I691" s="16" t="n">
        <v>1</v>
      </c>
      <c r="J691" s="17" t="n">
        <v>120</v>
      </c>
      <c r="K691" s="17" t="n">
        <v>100.68</v>
      </c>
      <c r="L691" s="17" t="n">
        <v>25.86</v>
      </c>
      <c r="M691" s="17" t="n">
        <v>0</v>
      </c>
      <c r="N691" s="17">
        <f>K691*0.08+L691*0.08</f>
        <v/>
      </c>
      <c r="O691" s="17">
        <f>-(K691*0.025+L691*0.025)</f>
        <v/>
      </c>
      <c r="P691" s="17">
        <f>32</f>
        <v/>
      </c>
      <c r="Q691" s="17">
        <f>J691+L691+N691+O691-P691-M691</f>
        <v/>
      </c>
    </row>
    <row r="692">
      <c r="A692" s="16" t="inlineStr">
        <is>
          <t>5.1-5.7</t>
        </is>
      </c>
      <c r="B692" s="16" t="inlineStr">
        <is>
          <t>PO-128-02983432571512280</t>
        </is>
      </c>
      <c r="C692" s="16" t="inlineStr">
        <is>
          <t>Delivered</t>
        </is>
      </c>
      <c r="D692" s="16" t="inlineStr">
        <is>
          <t>128-02983453543032280</t>
        </is>
      </c>
      <c r="E692" s="16" t="inlineStr">
        <is>
          <t>Delivered</t>
        </is>
      </c>
      <c r="F692" s="16" t="inlineStr">
        <is>
          <t>LV64W25</t>
        </is>
      </c>
      <c r="G6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2" s="16" t="inlineStr">
        <is>
          <t>Blanco</t>
        </is>
      </c>
      <c r="I692" s="16" t="n">
        <v>1</v>
      </c>
      <c r="J692" s="17" t="n">
        <v>120</v>
      </c>
      <c r="K692" s="17" t="n">
        <v>82.73999999999999</v>
      </c>
      <c r="L692" s="17" t="n">
        <v>25.86</v>
      </c>
      <c r="M692" s="17" t="n">
        <v>0</v>
      </c>
      <c r="N692" s="17">
        <f>K692*0.08+L692*0.08</f>
        <v/>
      </c>
      <c r="O692" s="17">
        <f>-(K692*0.025+L692*0.025)</f>
        <v/>
      </c>
      <c r="P692" s="17">
        <f>32</f>
        <v/>
      </c>
      <c r="Q692" s="17">
        <f>J692+L692+N692+O692-P692-M692</f>
        <v/>
      </c>
    </row>
    <row r="693">
      <c r="A693" s="16" t="inlineStr">
        <is>
          <t>5.1-5.7</t>
        </is>
      </c>
      <c r="B693" s="16" t="inlineStr">
        <is>
          <t>PO-128-03310000620150143</t>
        </is>
      </c>
      <c r="C693" s="16" t="inlineStr">
        <is>
          <t>Delivered</t>
        </is>
      </c>
      <c r="D693" s="16" t="inlineStr">
        <is>
          <t>128-03309982270070143</t>
        </is>
      </c>
      <c r="E693" s="16" t="inlineStr">
        <is>
          <t>Delivered</t>
        </is>
      </c>
      <c r="F693" s="16" t="inlineStr">
        <is>
          <t>LV64W25</t>
        </is>
      </c>
      <c r="G6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3" s="16" t="inlineStr">
        <is>
          <t>Blanco</t>
        </is>
      </c>
      <c r="I693" s="16" t="n">
        <v>1</v>
      </c>
      <c r="J693" s="17" t="n">
        <v>120</v>
      </c>
      <c r="K693" s="17" t="n">
        <v>125.84</v>
      </c>
      <c r="L693" s="17" t="n">
        <v>25.86</v>
      </c>
      <c r="M693" s="17" t="n">
        <v>0</v>
      </c>
      <c r="N693" s="17">
        <f>K693*0.08+L693*0.08</f>
        <v/>
      </c>
      <c r="O693" s="17">
        <f>-(K693*0.025+L693*0.025)</f>
        <v/>
      </c>
      <c r="P693" s="17">
        <f>32</f>
        <v/>
      </c>
      <c r="Q693" s="17">
        <f>J693+L693+N693+O693-P693-M693</f>
        <v/>
      </c>
    </row>
    <row r="694">
      <c r="A694" s="16" t="inlineStr">
        <is>
          <t>5.1-5.7</t>
        </is>
      </c>
      <c r="B694" s="16" t="inlineStr">
        <is>
          <t>PO-128-02808178156153324</t>
        </is>
      </c>
      <c r="C694" s="16" t="inlineStr">
        <is>
          <t>Delivered</t>
        </is>
      </c>
      <c r="D694" s="16" t="inlineStr">
        <is>
          <t>128-02808330199673324</t>
        </is>
      </c>
      <c r="E694" s="16" t="inlineStr">
        <is>
          <t>Delivered</t>
        </is>
      </c>
      <c r="F694" s="16" t="inlineStr">
        <is>
          <t>LV64W25</t>
        </is>
      </c>
      <c r="G6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4" s="16" t="inlineStr">
        <is>
          <t>Blanco</t>
        </is>
      </c>
      <c r="I694" s="16" t="n">
        <v>1</v>
      </c>
      <c r="J694" s="17" t="n">
        <v>120</v>
      </c>
      <c r="K694" s="17" t="n">
        <v>82.73999999999999</v>
      </c>
      <c r="L694" s="17" t="n">
        <v>25.86</v>
      </c>
      <c r="M694" s="17" t="n">
        <v>0</v>
      </c>
      <c r="N694" s="17">
        <f>K694*0.08+L694*0.08</f>
        <v/>
      </c>
      <c r="O694" s="17">
        <f>-(K694*0.025+L694*0.025)</f>
        <v/>
      </c>
      <c r="P694" s="17">
        <f>32</f>
        <v/>
      </c>
      <c r="Q694" s="17">
        <f>J694+L694+N694+O694-P694-M694</f>
        <v/>
      </c>
    </row>
    <row r="695">
      <c r="A695" s="16" t="inlineStr">
        <is>
          <t>5.1-5.7</t>
        </is>
      </c>
      <c r="B695" s="16" t="inlineStr">
        <is>
          <t>PO-128-03153985618551265</t>
        </is>
      </c>
      <c r="C695" s="16" t="inlineStr">
        <is>
          <t>Delivered</t>
        </is>
      </c>
      <c r="D695" s="16" t="inlineStr">
        <is>
          <t>128-03153964647031265</t>
        </is>
      </c>
      <c r="E695" s="16" t="inlineStr">
        <is>
          <t>Delivered</t>
        </is>
      </c>
      <c r="F695" s="16" t="inlineStr">
        <is>
          <t>LV64W25</t>
        </is>
      </c>
      <c r="G6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5" s="16" t="inlineStr">
        <is>
          <t>Blanco</t>
        </is>
      </c>
      <c r="I695" s="16" t="n">
        <v>2</v>
      </c>
      <c r="J695" s="17" t="n">
        <v>240</v>
      </c>
      <c r="K695" s="17" t="n">
        <v>251.68</v>
      </c>
      <c r="L695" s="17" t="n">
        <v>0</v>
      </c>
      <c r="M695" s="17" t="n">
        <v>0</v>
      </c>
      <c r="N695" s="17">
        <f>K695*0.08+L695*0.08</f>
        <v/>
      </c>
      <c r="O695" s="17">
        <f>-(K695*0.025+L695*0.025)</f>
        <v/>
      </c>
      <c r="P695" s="17">
        <f>32</f>
        <v/>
      </c>
      <c r="Q695" s="17">
        <f>J695+L695+N695+O695-P695-M695</f>
        <v/>
      </c>
    </row>
    <row r="696">
      <c r="A696" s="16" t="inlineStr">
        <is>
          <t>5.1-5.7</t>
        </is>
      </c>
      <c r="B696" s="16" t="inlineStr">
        <is>
          <t>PO-128-02815108690553093</t>
        </is>
      </c>
      <c r="C696" s="16" t="inlineStr">
        <is>
          <t>Delivered</t>
        </is>
      </c>
      <c r="D696" s="16" t="inlineStr">
        <is>
          <t>128-02815119176313093</t>
        </is>
      </c>
      <c r="E696" s="16" t="inlineStr">
        <is>
          <t>Delivered</t>
        </is>
      </c>
      <c r="F696" s="16" t="inlineStr">
        <is>
          <t>LV64W25</t>
        </is>
      </c>
      <c r="G6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6" s="16" t="inlineStr">
        <is>
          <t>Blanco</t>
        </is>
      </c>
      <c r="I696" s="16" t="n">
        <v>4</v>
      </c>
      <c r="J696" s="17" t="n">
        <v>480</v>
      </c>
      <c r="K696" s="17" t="n">
        <v>503.36</v>
      </c>
      <c r="L696" s="17" t="n">
        <v>0</v>
      </c>
      <c r="M696" s="17" t="n">
        <v>0</v>
      </c>
      <c r="N696" s="17">
        <f>K696*0.08+L696*0.08</f>
        <v/>
      </c>
      <c r="O696" s="17">
        <f>-(K696*0.025+L696*0.025)</f>
        <v/>
      </c>
      <c r="P696" s="17">
        <f>32</f>
        <v/>
      </c>
      <c r="Q696" s="17">
        <f>J696+L696+N696+O696-P696-M696</f>
        <v/>
      </c>
    </row>
    <row r="697">
      <c r="A697" s="16" t="inlineStr">
        <is>
          <t>5.1-5.7</t>
        </is>
      </c>
      <c r="B697" s="16" t="inlineStr">
        <is>
          <t>PO-128-02898186046073812</t>
        </is>
      </c>
      <c r="C697" s="16" t="inlineStr">
        <is>
          <t>Delivered</t>
        </is>
      </c>
      <c r="D697" s="16" t="inlineStr">
        <is>
          <t>128-02898170317433812</t>
        </is>
      </c>
      <c r="E697" s="16" t="inlineStr">
        <is>
          <t>Delivered</t>
        </is>
      </c>
      <c r="F697" s="16" t="inlineStr">
        <is>
          <t>TL2663N18C</t>
        </is>
      </c>
      <c r="G697" s="16" t="inlineStr">
        <is>
          <t>Linkbits，Soporte de pared fijo para televisores de 26"-63", Ultra-Delgado Compatible con VESA 400x400mm, Capacidad de Peso Fuerte de 25KG, Instalación Fácil Sin Electricidad</t>
        </is>
      </c>
      <c r="H697" s="16" t="inlineStr">
        <is>
          <t>NEGRO</t>
        </is>
      </c>
      <c r="I697" s="16" t="n">
        <v>3</v>
      </c>
      <c r="J697" s="17" t="n">
        <v>145.5</v>
      </c>
      <c r="K697" s="17" t="n">
        <v>171.23</v>
      </c>
      <c r="L697" s="17" t="n">
        <v>25.86</v>
      </c>
      <c r="M697" s="17" t="n">
        <v>0</v>
      </c>
      <c r="N697" s="17">
        <f>K697*0.08+L697*0.08</f>
        <v/>
      </c>
      <c r="O697" s="17">
        <f>-(K697*0.025+L697*0.025)</f>
        <v/>
      </c>
      <c r="P697" s="17">
        <f>32</f>
        <v/>
      </c>
      <c r="Q697" s="17">
        <f>J697+L697+N697+O697-P697-M697</f>
        <v/>
      </c>
    </row>
    <row r="698">
      <c r="A698" s="16" t="inlineStr">
        <is>
          <t>5.1-5.7</t>
        </is>
      </c>
      <c r="B698" s="16" t="inlineStr">
        <is>
          <t>PO-128-02983730145912278</t>
        </is>
      </c>
      <c r="C698" s="16" t="inlineStr">
        <is>
          <t>Delivered</t>
        </is>
      </c>
      <c r="D698" s="16" t="inlineStr">
        <is>
          <t>128-02983709174392278</t>
        </is>
      </c>
      <c r="E698" s="16" t="inlineStr">
        <is>
          <t>Delivered</t>
        </is>
      </c>
      <c r="F698" s="16" t="inlineStr">
        <is>
          <t>LV64W25</t>
        </is>
      </c>
      <c r="G6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698" s="16" t="inlineStr">
        <is>
          <t>Blanco</t>
        </is>
      </c>
      <c r="I698" s="16" t="n">
        <v>1</v>
      </c>
      <c r="J698" s="17" t="n">
        <v>120</v>
      </c>
      <c r="K698" s="17" t="n">
        <v>125.84</v>
      </c>
      <c r="L698" s="17" t="n">
        <v>25.86</v>
      </c>
      <c r="M698" s="17" t="n">
        <v>0</v>
      </c>
      <c r="N698" s="17">
        <f>K698*0.08+L698*0.08</f>
        <v/>
      </c>
      <c r="O698" s="17">
        <f>-(K698*0.025+L698*0.025)</f>
        <v/>
      </c>
      <c r="P698" s="17">
        <f>32</f>
        <v/>
      </c>
      <c r="Q698" s="17">
        <f>J698+L698+N698+O698-P698-M698</f>
        <v/>
      </c>
    </row>
    <row r="699">
      <c r="A699" s="16" t="inlineStr">
        <is>
          <t>5.1-5.7</t>
        </is>
      </c>
      <c r="B699" s="16" t="inlineStr">
        <is>
          <t>PO-128-02893155768953778</t>
        </is>
      </c>
      <c r="C699" s="16" t="inlineStr">
        <is>
          <t>Delivered</t>
        </is>
      </c>
      <c r="D699" s="16" t="inlineStr">
        <is>
          <t>128-02893223926393778</t>
        </is>
      </c>
      <c r="E699" s="16" t="inlineStr">
        <is>
          <t>Delivered</t>
        </is>
      </c>
      <c r="F699" s="16" t="inlineStr">
        <is>
          <t>SB428T</t>
        </is>
      </c>
      <c r="G699" s="16" t="inlineStr">
        <is>
          <t>LINK BITS La bocina es tu compañero ideal para reuniones en México! Equipada con 2 altavoces de 4 pulgadas y potencia 5W×2, USB y TF, funciona sin internet—perfecta para picnics, fiestas en el jardín o relajación en la terraza.</t>
        </is>
      </c>
      <c r="H699" s="16" t="inlineStr">
        <is>
          <t>SB428T</t>
        </is>
      </c>
      <c r="I699" s="16" t="n">
        <v>1</v>
      </c>
      <c r="J699" s="17" t="n">
        <v>95</v>
      </c>
      <c r="K699" s="17" t="n">
        <v>113.5</v>
      </c>
      <c r="L699" s="17" t="n">
        <v>25.86</v>
      </c>
      <c r="M699" s="17" t="n">
        <v>0</v>
      </c>
      <c r="N699" s="17">
        <f>K699*0.08+L699*0.08</f>
        <v/>
      </c>
      <c r="O699" s="17">
        <f>-(K699*0.025+L699*0.025)</f>
        <v/>
      </c>
      <c r="P699" s="17">
        <f>32</f>
        <v/>
      </c>
      <c r="Q699" s="17">
        <f>J699+L699+N699+O699-P699-M699</f>
        <v/>
      </c>
    </row>
    <row r="700">
      <c r="A700" s="16" t="inlineStr">
        <is>
          <t>5.1-5.7</t>
        </is>
      </c>
      <c r="B700" s="16" t="inlineStr">
        <is>
          <t>PO-128-02856243006073870</t>
        </is>
      </c>
      <c r="C700" s="16" t="inlineStr">
        <is>
          <t>Delivered</t>
        </is>
      </c>
      <c r="D700" s="16" t="inlineStr">
        <is>
          <t>128-02856206305913870</t>
        </is>
      </c>
      <c r="E700" s="16" t="inlineStr">
        <is>
          <t>Delivered</t>
        </is>
      </c>
      <c r="F700" s="16" t="inlineStr">
        <is>
          <t>LV64W25</t>
        </is>
      </c>
      <c r="G7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0" s="16" t="inlineStr">
        <is>
          <t>Blanco</t>
        </is>
      </c>
      <c r="I700" s="16" t="n">
        <v>1</v>
      </c>
      <c r="J700" s="17" t="n">
        <v>120</v>
      </c>
      <c r="K700" s="17" t="n">
        <v>106.97</v>
      </c>
      <c r="L700" s="17" t="n">
        <v>25.86</v>
      </c>
      <c r="M700" s="17" t="n">
        <v>0</v>
      </c>
      <c r="N700" s="17">
        <f>K700*0.08+L700*0.08</f>
        <v/>
      </c>
      <c r="O700" s="17">
        <f>-(K700*0.025+L700*0.025)</f>
        <v/>
      </c>
      <c r="P700" s="17">
        <f>32</f>
        <v/>
      </c>
      <c r="Q700" s="17">
        <f>J700+L700+N700+O700-P700-M700</f>
        <v/>
      </c>
    </row>
    <row r="701">
      <c r="A701" s="16" t="inlineStr">
        <is>
          <t>5.1-5.7</t>
        </is>
      </c>
      <c r="B701" s="16" t="inlineStr">
        <is>
          <t>PO-128-03213405297271871</t>
        </is>
      </c>
      <c r="C701" s="16" t="inlineStr">
        <is>
          <t>Delivered</t>
        </is>
      </c>
      <c r="D701" s="16" t="inlineStr">
        <is>
          <t>128-03213384325751871</t>
        </is>
      </c>
      <c r="E701" s="16" t="inlineStr">
        <is>
          <t>Delivered</t>
        </is>
      </c>
      <c r="F701" s="16" t="inlineStr">
        <is>
          <t>LV64W25</t>
        </is>
      </c>
      <c r="G7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1" s="16" t="inlineStr">
        <is>
          <t>Blanco</t>
        </is>
      </c>
      <c r="I701" s="16" t="n">
        <v>1</v>
      </c>
      <c r="J701" s="17" t="n">
        <v>120</v>
      </c>
      <c r="K701" s="17" t="n">
        <v>112.42</v>
      </c>
      <c r="L701" s="17" t="n">
        <v>25.86</v>
      </c>
      <c r="M701" s="17" t="n">
        <v>0</v>
      </c>
      <c r="N701" s="17">
        <f>K701*0.08+L701*0.08</f>
        <v/>
      </c>
      <c r="O701" s="17">
        <f>-(K701*0.025+L701*0.025)</f>
        <v/>
      </c>
      <c r="P701" s="17">
        <f>32</f>
        <v/>
      </c>
      <c r="Q701" s="17">
        <f>J701+L701+N701+O701-P701-M701</f>
        <v/>
      </c>
    </row>
    <row r="702">
      <c r="A702" s="16" t="inlineStr">
        <is>
          <t>5.1-5.7</t>
        </is>
      </c>
      <c r="B702" s="16" t="inlineStr">
        <is>
          <t>PO-128-03147374101111241</t>
        </is>
      </c>
      <c r="C702" s="16" t="inlineStr">
        <is>
          <t>Delivered</t>
        </is>
      </c>
      <c r="D702" s="16" t="inlineStr">
        <is>
          <t>128-03147332158071241</t>
        </is>
      </c>
      <c r="E702" s="16" t="inlineStr">
        <is>
          <t>Delivered</t>
        </is>
      </c>
      <c r="F702" s="16" t="inlineStr">
        <is>
          <t>VA371T</t>
        </is>
      </c>
      <c r="G702" s="16" t="inlineStr">
        <is>
          <t>Linkbits Bocina Bluetooth Portátil 3" de Alta Gama，Hi-Res Audio y Graves Potentes，Luces LED + Soporte USB/TF/FM/TWS，Ideal para Hogar y Aire Libre</t>
        </is>
      </c>
      <c r="H702" s="16" t="inlineStr">
        <is>
          <t>VA371T</t>
        </is>
      </c>
      <c r="I702" s="16" t="n">
        <v>1</v>
      </c>
      <c r="J702" s="17" t="n">
        <v>42</v>
      </c>
      <c r="K702" s="17" t="n">
        <v>50.38</v>
      </c>
      <c r="L702" s="17" t="n">
        <v>25.86</v>
      </c>
      <c r="M702" s="17" t="n">
        <v>0</v>
      </c>
      <c r="N702" s="17">
        <f>K702*0.08+L702*0.08</f>
        <v/>
      </c>
      <c r="O702" s="17">
        <f>-(K702*0.025+L702*0.025)</f>
        <v/>
      </c>
      <c r="P702" s="17">
        <f>32</f>
        <v/>
      </c>
      <c r="Q702" s="17">
        <f>J702+L702+N702+O702-P702-M702</f>
        <v/>
      </c>
    </row>
    <row r="703">
      <c r="A703" s="16" t="inlineStr">
        <is>
          <t>5.1-5.7</t>
        </is>
      </c>
      <c r="B703" s="16" t="inlineStr">
        <is>
          <t>PO-128-03178279588471950</t>
        </is>
      </c>
      <c r="C703" s="16" t="inlineStr">
        <is>
          <t>Delivered</t>
        </is>
      </c>
      <c r="D703" s="16" t="inlineStr">
        <is>
          <t>128-03178303181431950</t>
        </is>
      </c>
      <c r="E703" s="16" t="inlineStr">
        <is>
          <t>Delivered</t>
        </is>
      </c>
      <c r="F703" s="16" t="inlineStr">
        <is>
          <t>LV64W25</t>
        </is>
      </c>
      <c r="G7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3" s="16" t="inlineStr">
        <is>
          <t>Blanco</t>
        </is>
      </c>
      <c r="I703" s="16" t="n">
        <v>1</v>
      </c>
      <c r="J703" s="17" t="n">
        <v>120</v>
      </c>
      <c r="K703" s="17" t="n">
        <v>125.84</v>
      </c>
      <c r="L703" s="17" t="n">
        <v>25.86</v>
      </c>
      <c r="M703" s="17" t="n">
        <v>0</v>
      </c>
      <c r="N703" s="17">
        <f>K703*0.08+L703*0.08</f>
        <v/>
      </c>
      <c r="O703" s="17">
        <f>-(K703*0.025+L703*0.025)</f>
        <v/>
      </c>
      <c r="P703" s="17">
        <f>32</f>
        <v/>
      </c>
      <c r="Q703" s="17">
        <f>J703+L703+N703+O703-P703-M703</f>
        <v/>
      </c>
    </row>
    <row r="704">
      <c r="A704" s="16" t="inlineStr">
        <is>
          <t>5.1-5.7</t>
        </is>
      </c>
      <c r="B704" s="16" t="inlineStr">
        <is>
          <t>PO-128-02820304681593124</t>
        </is>
      </c>
      <c r="C704" s="16" t="inlineStr">
        <is>
          <t>Delivered</t>
        </is>
      </c>
      <c r="D704" s="16" t="inlineStr">
        <is>
          <t>128-02820262738553124</t>
        </is>
      </c>
      <c r="E704" s="16" t="inlineStr">
        <is>
          <t>Delivered</t>
        </is>
      </c>
      <c r="F704" s="16" t="inlineStr">
        <is>
          <t>KTS-1936</t>
        </is>
      </c>
      <c r="G704" s="16" t="inlineStr">
        <is>
          <t>Espejo con Luz para Makeup，Espejo con Luz LED y Bocina Bluetooth，Espejo para Maquillaje con Aumentos y Luces LED de Intensidad Ajustable，Lente de Aumento 10X+Reproductor TF+ TWS，espejo de portátil y para estudiantes, oficina, dormitorio, mejor regalo</t>
        </is>
      </c>
      <c r="H704" s="16" t="inlineStr">
        <is>
          <t>BLANCO</t>
        </is>
      </c>
      <c r="I704" s="16" t="n">
        <v>1</v>
      </c>
      <c r="J704" s="17" t="n">
        <v>217.75</v>
      </c>
      <c r="K704" s="17" t="n">
        <v>208.76</v>
      </c>
      <c r="L704" s="17" t="n">
        <v>25.86</v>
      </c>
      <c r="M704" s="17" t="n">
        <v>0</v>
      </c>
      <c r="N704" s="17">
        <f>K704*0.08+L704*0.08</f>
        <v/>
      </c>
      <c r="O704" s="17">
        <f>-(K704*0.025+L704*0.025)</f>
        <v/>
      </c>
      <c r="P704" s="17">
        <f>32</f>
        <v/>
      </c>
      <c r="Q704" s="17">
        <f>J704+L704+N704+O704-P704-M704</f>
        <v/>
      </c>
    </row>
    <row r="705">
      <c r="A705" s="16" t="inlineStr">
        <is>
          <t>5.1-5.7</t>
        </is>
      </c>
      <c r="B705" s="16" t="inlineStr">
        <is>
          <t>PO-128-02920414556793681</t>
        </is>
      </c>
      <c r="C705" s="16" t="inlineStr">
        <is>
          <t>Delivered</t>
        </is>
      </c>
      <c r="D705" s="16" t="inlineStr">
        <is>
          <t>128-02920490578553681</t>
        </is>
      </c>
      <c r="E705" s="16" t="inlineStr">
        <is>
          <t>Delivered</t>
        </is>
      </c>
      <c r="F705" s="16" t="inlineStr">
        <is>
          <t>LV54W25</t>
        </is>
      </c>
      <c r="G705" s="16" t="inlineStr">
        <is>
          <t>TIANLAI Lámpara Ventilador E27 2 en 1, Silenciosa, LED Alta Luminosidad 180°, Instalación Rápida, Ahorro Energético para Dormitorio y Interiores Pequeños</t>
        </is>
      </c>
      <c r="H705" s="16" t="inlineStr">
        <is>
          <t>1 Pieza</t>
        </is>
      </c>
      <c r="I705" s="16" t="n">
        <v>1</v>
      </c>
      <c r="J705" s="17" t="n">
        <v>78.5</v>
      </c>
      <c r="K705" s="17" t="n">
        <v>82.3</v>
      </c>
      <c r="L705" s="17" t="n">
        <v>25.86</v>
      </c>
      <c r="M705" s="17" t="n">
        <v>0</v>
      </c>
      <c r="N705" s="17">
        <f>K705*0.08+L705*0.08</f>
        <v/>
      </c>
      <c r="O705" s="17">
        <f>-(K705*0.025+L705*0.025)</f>
        <v/>
      </c>
      <c r="P705" s="17">
        <f>32</f>
        <v/>
      </c>
      <c r="Q705" s="17">
        <f>J705+L705+N705+O705-P705-M705</f>
        <v/>
      </c>
    </row>
    <row r="706">
      <c r="A706" s="16" t="inlineStr">
        <is>
          <t>5.1-5.7</t>
        </is>
      </c>
      <c r="B706" s="16" t="inlineStr">
        <is>
          <t>PO-128-03318904115830216</t>
        </is>
      </c>
      <c r="C706" s="16" t="inlineStr">
        <is>
          <t>Delivered</t>
        </is>
      </c>
      <c r="D706" s="16" t="inlineStr">
        <is>
          <t>128-03318875279990216</t>
        </is>
      </c>
      <c r="E706" s="16" t="inlineStr">
        <is>
          <t>Delivered</t>
        </is>
      </c>
      <c r="F706" s="16" t="inlineStr">
        <is>
          <t>LV54W25</t>
        </is>
      </c>
      <c r="G706" s="16" t="inlineStr">
        <is>
          <t>TIANLAI Lámpara Ventilador E27 2 en 1, Silenciosa, LED Alta Luminosidad 180°, Instalación Rápida, Ahorro Energético para Dormitorio y Interiores Pequeños</t>
        </is>
      </c>
      <c r="H706" s="16" t="inlineStr">
        <is>
          <t>1 Pieza</t>
        </is>
      </c>
      <c r="I706" s="16" t="n">
        <v>3</v>
      </c>
      <c r="J706" s="17" t="n">
        <v>235.5</v>
      </c>
      <c r="K706" s="17" t="n">
        <v>217.17</v>
      </c>
      <c r="L706" s="17" t="n">
        <v>0</v>
      </c>
      <c r="M706" s="17" t="n">
        <v>0</v>
      </c>
      <c r="N706" s="17">
        <f>K706*0.08+L706*0.08</f>
        <v/>
      </c>
      <c r="O706" s="17">
        <f>-(K706*0.025+L706*0.025)</f>
        <v/>
      </c>
      <c r="P706" s="17">
        <f>32</f>
        <v/>
      </c>
      <c r="Q706" s="17">
        <f>J706+L706+N706+O706-P706-M706</f>
        <v/>
      </c>
    </row>
    <row r="707">
      <c r="A707" s="16" t="inlineStr">
        <is>
          <t>5.1-5.7</t>
        </is>
      </c>
      <c r="B707" s="16" t="inlineStr">
        <is>
          <t>PO-128-03422011290230562</t>
        </is>
      </c>
      <c r="C707" s="16" t="inlineStr">
        <is>
          <t>Delivered</t>
        </is>
      </c>
      <c r="D707" s="16" t="inlineStr">
        <is>
          <t>128-03421969347190562</t>
        </is>
      </c>
      <c r="E707" s="16" t="inlineStr">
        <is>
          <t>Delivered</t>
        </is>
      </c>
      <c r="F707" s="16" t="inlineStr">
        <is>
          <t>LV64W25</t>
        </is>
      </c>
      <c r="G7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7" s="16" t="inlineStr">
        <is>
          <t>Blanco</t>
        </is>
      </c>
      <c r="I707" s="16" t="n">
        <v>2</v>
      </c>
      <c r="J707" s="17" t="n">
        <v>240</v>
      </c>
      <c r="K707" s="17" t="n">
        <v>251.68</v>
      </c>
      <c r="L707" s="17" t="n">
        <v>0</v>
      </c>
      <c r="M707" s="17" t="n">
        <v>0</v>
      </c>
      <c r="N707" s="17">
        <f>K707*0.08+L707*0.08</f>
        <v/>
      </c>
      <c r="O707" s="17">
        <f>-(K707*0.025+L707*0.025)</f>
        <v/>
      </c>
      <c r="P707" s="17">
        <f>32</f>
        <v/>
      </c>
      <c r="Q707" s="17">
        <f>J707+L707+N707+O707-P707-M707</f>
        <v/>
      </c>
    </row>
    <row r="708">
      <c r="A708" s="16" t="inlineStr">
        <is>
          <t>5.1-5.7</t>
        </is>
      </c>
      <c r="B708" s="16" t="inlineStr">
        <is>
          <t>PO-128-02882703719033712</t>
        </is>
      </c>
      <c r="C708" s="16" t="inlineStr">
        <is>
          <t>Delivered</t>
        </is>
      </c>
      <c r="D708" s="16" t="inlineStr">
        <is>
          <t>128-02882745662073712</t>
        </is>
      </c>
      <c r="E708" s="16" t="inlineStr">
        <is>
          <t>Delivered</t>
        </is>
      </c>
      <c r="F708" s="16" t="inlineStr">
        <is>
          <t>LV64W25</t>
        </is>
      </c>
      <c r="G7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8" s="16" t="inlineStr">
        <is>
          <t>Blanco</t>
        </is>
      </c>
      <c r="I708" s="16" t="n">
        <v>2</v>
      </c>
      <c r="J708" s="17" t="n">
        <v>240</v>
      </c>
      <c r="K708" s="17" t="n">
        <v>251.68</v>
      </c>
      <c r="L708" s="17" t="n">
        <v>0</v>
      </c>
      <c r="M708" s="17" t="n">
        <v>0</v>
      </c>
      <c r="N708" s="17">
        <f>K708*0.08+L708*0.08</f>
        <v/>
      </c>
      <c r="O708" s="17">
        <f>-(K708*0.025+L708*0.025)</f>
        <v/>
      </c>
      <c r="P708" s="17">
        <f>32</f>
        <v/>
      </c>
      <c r="Q708" s="17">
        <f>J708+L708+N708+O708-P708-M708</f>
        <v/>
      </c>
    </row>
    <row r="709">
      <c r="A709" s="16" t="inlineStr">
        <is>
          <t>5.1-5.7</t>
        </is>
      </c>
      <c r="B709" s="16" t="inlineStr">
        <is>
          <t>PO-128-03340167393910090</t>
        </is>
      </c>
      <c r="C709" s="16" t="inlineStr">
        <is>
          <t>Delivered</t>
        </is>
      </c>
      <c r="D709" s="16" t="inlineStr">
        <is>
          <t>128-03340125450870090</t>
        </is>
      </c>
      <c r="E709" s="16" t="inlineStr">
        <is>
          <t>Delivered</t>
        </is>
      </c>
      <c r="F709" s="16" t="inlineStr">
        <is>
          <t>LV64W25</t>
        </is>
      </c>
      <c r="G7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09" s="16" t="inlineStr">
        <is>
          <t>Blanco</t>
        </is>
      </c>
      <c r="I709" s="16" t="n">
        <v>2</v>
      </c>
      <c r="J709" s="17" t="n">
        <v>240</v>
      </c>
      <c r="K709" s="17" t="n">
        <v>201.35</v>
      </c>
      <c r="L709" s="17" t="n">
        <v>0</v>
      </c>
      <c r="M709" s="17" t="n">
        <v>0</v>
      </c>
      <c r="N709" s="17">
        <f>K709*0.08+L709*0.08</f>
        <v/>
      </c>
      <c r="O709" s="17">
        <f>-(K709*0.025+L709*0.025)</f>
        <v/>
      </c>
      <c r="P709" s="17">
        <f>32</f>
        <v/>
      </c>
      <c r="Q709" s="17">
        <f>J709+L709+N709+O709-P709-M709</f>
        <v/>
      </c>
    </row>
    <row r="710">
      <c r="A710" s="16" t="inlineStr">
        <is>
          <t>5.1-5.7</t>
        </is>
      </c>
      <c r="B710" s="16" t="inlineStr">
        <is>
          <t>PO-128-03307827006070154</t>
        </is>
      </c>
      <c r="C710" s="16" t="inlineStr">
        <is>
          <t>Delivered</t>
        </is>
      </c>
      <c r="D710" s="16" t="inlineStr">
        <is>
          <t>128-03307811277430154</t>
        </is>
      </c>
      <c r="E710" s="16" t="inlineStr">
        <is>
          <t>Delivered</t>
        </is>
      </c>
      <c r="F710" s="16" t="inlineStr">
        <is>
          <t>TL2663N18C</t>
        </is>
      </c>
      <c r="G710" s="16" t="inlineStr">
        <is>
          <t>Linkbits，Soporte de pared fijo para televisores de 26"-63", Ultra-Delgado Compatible con VESA 400x400mm, Capacidad de Peso Fuerte de 25KG, Instalación Fácil Sin Electricidad</t>
        </is>
      </c>
      <c r="H710" s="16" t="inlineStr">
        <is>
          <t>NEGRO</t>
        </is>
      </c>
      <c r="I710" s="16" t="n">
        <v>1</v>
      </c>
      <c r="J710" s="17" t="n">
        <v>48.5</v>
      </c>
      <c r="K710" s="17" t="n">
        <v>58.46</v>
      </c>
      <c r="L710" s="17" t="n">
        <v>25.86</v>
      </c>
      <c r="M710" s="17" t="n">
        <v>0</v>
      </c>
      <c r="N710" s="17">
        <f>K710*0.08+L710*0.08</f>
        <v/>
      </c>
      <c r="O710" s="17">
        <f>-(K710*0.025+L710*0.025)</f>
        <v/>
      </c>
      <c r="P710" s="17">
        <f>32</f>
        <v/>
      </c>
      <c r="Q710" s="17">
        <f>J710+L710+N710+O710-P710-M710</f>
        <v/>
      </c>
    </row>
    <row r="711">
      <c r="A711" s="16" t="inlineStr">
        <is>
          <t>5.1-5.7</t>
        </is>
      </c>
      <c r="B711" s="16" t="inlineStr">
        <is>
          <t>PO-128-03349386916470101</t>
        </is>
      </c>
      <c r="C711" s="16" t="inlineStr">
        <is>
          <t>Delivered</t>
        </is>
      </c>
      <c r="D711" s="16" t="inlineStr">
        <is>
          <t>128-03349344973430101</t>
        </is>
      </c>
      <c r="E711" s="16" t="inlineStr">
        <is>
          <t>Delivered</t>
        </is>
      </c>
      <c r="F711" s="16" t="inlineStr">
        <is>
          <t>SA323T</t>
        </is>
      </c>
      <c r="G711"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711" s="16" t="inlineStr">
        <is>
          <t>AZUL/SA323T</t>
        </is>
      </c>
      <c r="I711" s="16" t="n">
        <v>1</v>
      </c>
      <c r="J711" s="17" t="n">
        <v>45</v>
      </c>
      <c r="K711" s="17" t="n">
        <v>54.07</v>
      </c>
      <c r="L711" s="17" t="n">
        <v>25.86</v>
      </c>
      <c r="M711" s="17" t="n">
        <v>0</v>
      </c>
      <c r="N711" s="17">
        <f>K711*0.08+L711*0.08</f>
        <v/>
      </c>
      <c r="O711" s="17">
        <f>-(K711*0.025+L711*0.025)</f>
        <v/>
      </c>
      <c r="P711" s="17">
        <f>32</f>
        <v/>
      </c>
      <c r="Q711" s="17">
        <f>J711+L711+N711+O711-P711-M711</f>
        <v/>
      </c>
    </row>
    <row r="712">
      <c r="A712" s="16" t="inlineStr">
        <is>
          <t>5.1-5.7</t>
        </is>
      </c>
      <c r="B712" s="16" t="inlineStr">
        <is>
          <t>PO-128-03203449365111800</t>
        </is>
      </c>
      <c r="C712" s="16" t="inlineStr">
        <is>
          <t>Delivered</t>
        </is>
      </c>
      <c r="D712" s="16" t="inlineStr">
        <is>
          <t>128-03203601408631800</t>
        </is>
      </c>
      <c r="E712" s="16" t="inlineStr">
        <is>
          <t>Delivered</t>
        </is>
      </c>
      <c r="F712" s="16" t="inlineStr">
        <is>
          <t>LV64W25</t>
        </is>
      </c>
      <c r="G7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12" s="16" t="inlineStr">
        <is>
          <t>Blanco</t>
        </is>
      </c>
      <c r="I712" s="16" t="n">
        <v>1</v>
      </c>
      <c r="J712" s="17" t="n">
        <v>120</v>
      </c>
      <c r="K712" s="17" t="n">
        <v>100.68</v>
      </c>
      <c r="L712" s="17" t="n">
        <v>25.86</v>
      </c>
      <c r="M712" s="17" t="n">
        <v>0</v>
      </c>
      <c r="N712" s="17">
        <f>K712*0.08+L712*0.08</f>
        <v/>
      </c>
      <c r="O712" s="17">
        <f>-(K712*0.025+L712*0.025)</f>
        <v/>
      </c>
      <c r="P712" s="17">
        <f>32</f>
        <v/>
      </c>
      <c r="Q712" s="17">
        <f>J712+L712+N712+O712-P712-M712</f>
        <v/>
      </c>
    </row>
    <row r="713">
      <c r="A713" s="16" t="inlineStr">
        <is>
          <t>5.1-5.7</t>
        </is>
      </c>
      <c r="B713" s="16" t="inlineStr">
        <is>
          <t>PO-128-03310909502070136</t>
        </is>
      </c>
      <c r="C713" s="16" t="inlineStr">
        <is>
          <t>Delivered</t>
        </is>
      </c>
      <c r="D713" s="16" t="inlineStr">
        <is>
          <t>128-03310843966070136</t>
        </is>
      </c>
      <c r="E713" s="16" t="inlineStr">
        <is>
          <t>Delivered</t>
        </is>
      </c>
      <c r="F713" s="16" t="inlineStr">
        <is>
          <t>LV64W25</t>
        </is>
      </c>
      <c r="G7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13" s="16" t="inlineStr">
        <is>
          <t>Blanco</t>
        </is>
      </c>
      <c r="I713" s="16" t="n">
        <v>1</v>
      </c>
      <c r="J713" s="17" t="n">
        <v>120</v>
      </c>
      <c r="K713" s="17" t="n">
        <v>138.28</v>
      </c>
      <c r="L713" s="17" t="n">
        <v>25.86</v>
      </c>
      <c r="M713" s="17" t="n">
        <v>0</v>
      </c>
      <c r="N713" s="17">
        <f>K713*0.08+L713*0.08</f>
        <v/>
      </c>
      <c r="O713" s="17">
        <f>-(K713*0.025+L713*0.025)</f>
        <v/>
      </c>
      <c r="P713" s="17">
        <f>32</f>
        <v/>
      </c>
      <c r="Q713" s="17">
        <f>J713+L713+N713+O713-P713-M713</f>
        <v/>
      </c>
    </row>
    <row r="714">
      <c r="A714" s="16" t="inlineStr">
        <is>
          <t>5.1-5.7</t>
        </is>
      </c>
      <c r="B714" s="16" t="inlineStr">
        <is>
          <t>PO-128-03140287201911155</t>
        </is>
      </c>
      <c r="C714" s="16" t="inlineStr">
        <is>
          <t>Delivered</t>
        </is>
      </c>
      <c r="D714" s="16" t="inlineStr">
        <is>
          <t>128-03140236083831155</t>
        </is>
      </c>
      <c r="E714" s="16" t="inlineStr">
        <is>
          <t>Delivered</t>
        </is>
      </c>
      <c r="F714" s="16" t="inlineStr">
        <is>
          <t>LV64W25</t>
        </is>
      </c>
      <c r="G7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14" s="16" t="inlineStr">
        <is>
          <t>Blanco</t>
        </is>
      </c>
      <c r="I714" s="16" t="n">
        <v>1</v>
      </c>
      <c r="J714" s="17" t="n">
        <v>120</v>
      </c>
      <c r="K714" s="17" t="n">
        <v>106.88</v>
      </c>
      <c r="L714" s="17" t="n">
        <v>25.86</v>
      </c>
      <c r="M714" s="17" t="n">
        <v>0</v>
      </c>
      <c r="N714" s="17">
        <f>K714*0.08+L714*0.08</f>
        <v/>
      </c>
      <c r="O714" s="17">
        <f>-(K714*0.025+L714*0.025)</f>
        <v/>
      </c>
      <c r="P714" s="17">
        <f>32</f>
        <v/>
      </c>
      <c r="Q714" s="17">
        <f>J714+L714+N714+O714-P714-M714</f>
        <v/>
      </c>
    </row>
    <row r="715">
      <c r="A715" s="16" t="inlineStr">
        <is>
          <t>5.1-5.7</t>
        </is>
      </c>
      <c r="B715" s="16" t="inlineStr">
        <is>
          <t>PO-128-03076670986872620</t>
        </is>
      </c>
      <c r="C715" s="16" t="inlineStr">
        <is>
          <t>Delivered</t>
        </is>
      </c>
      <c r="D715" s="16" t="inlineStr">
        <is>
          <t>128-03076629043832620</t>
        </is>
      </c>
      <c r="E715" s="16" t="inlineStr">
        <is>
          <t>Delivered</t>
        </is>
      </c>
      <c r="F715" s="16" t="inlineStr">
        <is>
          <t>KTS-2031</t>
        </is>
      </c>
      <c r="G715" s="16" t="inlineStr">
        <is>
          <t>Bocina inalámbrica de 3 pulgadas con linterna multifuncional y panel solar integrado.Altavoz Portátil con Linterna LED 4 Modos, Radio FM, Bluetooth, Carga Solar, Ideal para Apagones, Emergencias, Campo y Exteriores</t>
        </is>
      </c>
      <c r="H715" s="16" t="inlineStr">
        <is>
          <t>NEGRO</t>
        </is>
      </c>
      <c r="I715" s="16" t="n">
        <v>1</v>
      </c>
      <c r="J715" s="17" t="n">
        <v>63.15</v>
      </c>
      <c r="K715" s="17" t="n">
        <v>72.39</v>
      </c>
      <c r="L715" s="17" t="n">
        <v>25.86</v>
      </c>
      <c r="M715" s="17" t="n">
        <v>0</v>
      </c>
      <c r="N715" s="17">
        <f>K715*0.08+L715*0.08</f>
        <v/>
      </c>
      <c r="O715" s="17">
        <f>-(K715*0.025+L715*0.025)</f>
        <v/>
      </c>
      <c r="P715" s="17">
        <f>32</f>
        <v/>
      </c>
      <c r="Q715" s="17">
        <f>J715+L715+N715+O715-P715-M715</f>
        <v/>
      </c>
    </row>
    <row r="716">
      <c r="A716" s="16" t="inlineStr">
        <is>
          <t>5.1-5.7</t>
        </is>
      </c>
      <c r="B716" s="16" t="inlineStr">
        <is>
          <t>PO-128-03191636470392001</t>
        </is>
      </c>
      <c r="C716" s="16" t="inlineStr">
        <is>
          <t>Delivered</t>
        </is>
      </c>
      <c r="D716" s="16" t="inlineStr">
        <is>
          <t>128-03191657441912001</t>
        </is>
      </c>
      <c r="E716" s="16" t="inlineStr">
        <is>
          <t>Delivered</t>
        </is>
      </c>
      <c r="F716" s="16" t="inlineStr">
        <is>
          <t>LV54W25</t>
        </is>
      </c>
      <c r="G716" s="16" t="inlineStr">
        <is>
          <t>TIANLAI Lámpara Ventilador E27 2 en 1, Silenciosa, LED Alta Luminosidad 180°, Instalación Rápida, Ahorro Energético para Dormitorio y Interiores Pequeños</t>
        </is>
      </c>
      <c r="H716" s="16" t="inlineStr">
        <is>
          <t>1 Pieza</t>
        </is>
      </c>
      <c r="I716" s="16" t="n">
        <v>1</v>
      </c>
      <c r="J716" s="17" t="n">
        <v>78.5</v>
      </c>
      <c r="K716" s="17" t="n">
        <v>76.56</v>
      </c>
      <c r="L716" s="17" t="n">
        <v>25.86</v>
      </c>
      <c r="M716" s="17" t="n">
        <v>0</v>
      </c>
      <c r="N716" s="17">
        <f>K716*0.08+L716*0.08</f>
        <v/>
      </c>
      <c r="O716" s="17">
        <f>-(K716*0.025+L716*0.025)</f>
        <v/>
      </c>
      <c r="P716" s="17">
        <f>32</f>
        <v/>
      </c>
      <c r="Q716" s="17">
        <f>J716+L716+N716+O716-P716-M716</f>
        <v/>
      </c>
    </row>
    <row r="717">
      <c r="A717" s="16" t="inlineStr">
        <is>
          <t>5.1-5.7</t>
        </is>
      </c>
      <c r="B717" s="16" t="inlineStr">
        <is>
          <t>PO-128-03086688512632624</t>
        </is>
      </c>
      <c r="C717" s="16" t="inlineStr">
        <is>
          <t>Delivered</t>
        </is>
      </c>
      <c r="D717" s="16" t="inlineStr">
        <is>
          <t>128-03086824827512624</t>
        </is>
      </c>
      <c r="E717" s="16" t="inlineStr">
        <is>
          <t>Delivered</t>
        </is>
      </c>
      <c r="F717" s="16" t="inlineStr">
        <is>
          <t>TLCD02-8P</t>
        </is>
      </c>
      <c r="G71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717" s="16" t="inlineStr">
        <is>
          <t>color aleatorio/pantalla de 8.5 pulgadas</t>
        </is>
      </c>
      <c r="I717" s="16" t="n">
        <v>13</v>
      </c>
      <c r="J717" s="17" t="n">
        <v>312</v>
      </c>
      <c r="K717" s="17" t="n">
        <v>426.92</v>
      </c>
      <c r="L717" s="17" t="n">
        <v>0</v>
      </c>
      <c r="M717" s="17" t="n">
        <v>42.38</v>
      </c>
      <c r="N717" s="17">
        <f>K717*0.08+L717*0.08</f>
        <v/>
      </c>
      <c r="O717" s="17">
        <f>-(K717*0.025+L717*0.025)</f>
        <v/>
      </c>
      <c r="P717" s="17">
        <f>32</f>
        <v/>
      </c>
      <c r="Q717" s="17">
        <f>J717+L717+N717+O717-P717-M717</f>
        <v/>
      </c>
    </row>
    <row r="718">
      <c r="A718" s="16" t="inlineStr">
        <is>
          <t>5.1-5.7</t>
        </is>
      </c>
      <c r="B718" s="16" t="inlineStr">
        <is>
          <t>PO-128-03362366300790983</t>
        </is>
      </c>
      <c r="C718" s="16" t="inlineStr">
        <is>
          <t>Delivered</t>
        </is>
      </c>
      <c r="D718" s="16" t="inlineStr">
        <is>
          <t>128-03362362368630983</t>
        </is>
      </c>
      <c r="E718" s="16" t="inlineStr">
        <is>
          <t>Delivered</t>
        </is>
      </c>
      <c r="F718" s="16" t="inlineStr">
        <is>
          <t>LV64W25</t>
        </is>
      </c>
      <c r="G7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18" s="16" t="inlineStr">
        <is>
          <t>Blanco</t>
        </is>
      </c>
      <c r="I718" s="16" t="n">
        <v>1</v>
      </c>
      <c r="J718" s="17" t="n">
        <v>120</v>
      </c>
      <c r="K718" s="17" t="n">
        <v>125.84</v>
      </c>
      <c r="L718" s="17" t="n">
        <v>25.86</v>
      </c>
      <c r="M718" s="17" t="n">
        <v>0</v>
      </c>
      <c r="N718" s="17">
        <f>K718*0.08+L718*0.08</f>
        <v/>
      </c>
      <c r="O718" s="17">
        <f>-(K718*0.025+L718*0.025)</f>
        <v/>
      </c>
      <c r="P718" s="17">
        <f>32</f>
        <v/>
      </c>
      <c r="Q718" s="17">
        <f>J718+L718+N718+O718-P718-M718</f>
        <v/>
      </c>
    </row>
    <row r="719">
      <c r="A719" s="16" t="inlineStr">
        <is>
          <t>5.1-5.7</t>
        </is>
      </c>
      <c r="B719" s="16" t="inlineStr">
        <is>
          <t>PO-128-03303885691510370</t>
        </is>
      </c>
      <c r="C719" s="16" t="inlineStr">
        <is>
          <t>Delivered</t>
        </is>
      </c>
      <c r="D719" s="16" t="inlineStr">
        <is>
          <t>128-03303875205750370</t>
        </is>
      </c>
      <c r="E719" s="16" t="inlineStr">
        <is>
          <t>Delivered</t>
        </is>
      </c>
      <c r="F719" s="16" t="inlineStr">
        <is>
          <t>LV64W25</t>
        </is>
      </c>
      <c r="G7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19" s="16" t="inlineStr">
        <is>
          <t>Blanco</t>
        </is>
      </c>
      <c r="I719" s="16" t="n">
        <v>1</v>
      </c>
      <c r="J719" s="17" t="n">
        <v>120</v>
      </c>
      <c r="K719" s="17" t="n">
        <v>125.84</v>
      </c>
      <c r="L719" s="17" t="n">
        <v>25.86</v>
      </c>
      <c r="M719" s="17" t="n">
        <v>0.91</v>
      </c>
      <c r="N719" s="17">
        <f>K719*0.08+L719*0.08</f>
        <v/>
      </c>
      <c r="O719" s="17">
        <f>-(K719*0.025+L719*0.025)</f>
        <v/>
      </c>
      <c r="P719" s="17">
        <f>32</f>
        <v/>
      </c>
      <c r="Q719" s="17">
        <f>J719+L719+N719+O719-P719-M719</f>
        <v/>
      </c>
    </row>
    <row r="720">
      <c r="A720" s="16" t="inlineStr">
        <is>
          <t>5.1-5.7</t>
        </is>
      </c>
      <c r="B720" s="16" t="inlineStr">
        <is>
          <t>PO-128-02886557297273755</t>
        </is>
      </c>
      <c r="C720" s="16" t="inlineStr">
        <is>
          <t>Delivered</t>
        </is>
      </c>
      <c r="D720" s="16" t="inlineStr">
        <is>
          <t>128-02886546811513755</t>
        </is>
      </c>
      <c r="E720" s="16" t="inlineStr">
        <is>
          <t>Delivered</t>
        </is>
      </c>
      <c r="F720" s="16" t="inlineStr">
        <is>
          <t>LV54W25</t>
        </is>
      </c>
      <c r="G720" s="16" t="inlineStr">
        <is>
          <t>TIANLAI Lámpara Ventilador E27 2 en 1, Silenciosa, LED Alta Luminosidad 180°, Instalación Rápida, Ahorro Energético para Dormitorio y Interiores Pequeños</t>
        </is>
      </c>
      <c r="H720" s="16" t="inlineStr">
        <is>
          <t>1 Pieza</t>
        </is>
      </c>
      <c r="I720" s="16" t="n">
        <v>1</v>
      </c>
      <c r="J720" s="17" t="n">
        <v>78.5</v>
      </c>
      <c r="K720" s="17" t="n">
        <v>82.3</v>
      </c>
      <c r="L720" s="17" t="n">
        <v>25.86</v>
      </c>
      <c r="M720" s="17" t="n">
        <v>0</v>
      </c>
      <c r="N720" s="17">
        <f>K720*0.08+L720*0.08</f>
        <v/>
      </c>
      <c r="O720" s="17">
        <f>-(K720*0.025+L720*0.025)</f>
        <v/>
      </c>
      <c r="P720" s="17">
        <f>32</f>
        <v/>
      </c>
      <c r="Q720" s="17">
        <f>J720+L720+N720+O720-P720-M720</f>
        <v/>
      </c>
    </row>
    <row r="721">
      <c r="A721" s="16" t="inlineStr">
        <is>
          <t>5.1-5.7</t>
        </is>
      </c>
      <c r="B721" s="16" t="inlineStr">
        <is>
          <t>PO-128-03105941647991486</t>
        </is>
      </c>
      <c r="C721" s="16" t="inlineStr">
        <is>
          <t>Delivered</t>
        </is>
      </c>
      <c r="D721" s="16" t="inlineStr">
        <is>
          <t>128-03105899704951486</t>
        </is>
      </c>
      <c r="E721" s="16" t="inlineStr">
        <is>
          <t>Delivered</t>
        </is>
      </c>
      <c r="F721" s="16" t="inlineStr">
        <is>
          <t>LV54W25</t>
        </is>
      </c>
      <c r="G721" s="16" t="inlineStr">
        <is>
          <t>TIANLAI Lámpara Ventilador E27 2 en 1, Silenciosa, LED Alta Luminosidad 180°, Instalación Rápida, Ahorro Energético para Dormitorio y Interiores Pequeños</t>
        </is>
      </c>
      <c r="H721" s="16" t="inlineStr">
        <is>
          <t>1 Pieza</t>
        </is>
      </c>
      <c r="I721" s="16" t="n">
        <v>1</v>
      </c>
      <c r="J721" s="17" t="n">
        <v>78.5</v>
      </c>
      <c r="K721" s="17" t="n">
        <v>82.3</v>
      </c>
      <c r="L721" s="17" t="n">
        <v>25.86</v>
      </c>
      <c r="M721" s="17" t="n">
        <v>0</v>
      </c>
      <c r="N721" s="17">
        <f>K721*0.08+L721*0.08</f>
        <v/>
      </c>
      <c r="O721" s="17">
        <f>-(K721*0.025+L721*0.025)</f>
        <v/>
      </c>
      <c r="P721" s="17">
        <f>32</f>
        <v/>
      </c>
      <c r="Q721" s="17">
        <f>J721+L721+N721+O721-P721-M721</f>
        <v/>
      </c>
    </row>
    <row r="722">
      <c r="A722" s="16" t="inlineStr">
        <is>
          <t>5.1-5.7</t>
        </is>
      </c>
      <c r="B722" s="16" t="inlineStr">
        <is>
          <t>PO-128-03132384512631392</t>
        </is>
      </c>
      <c r="C722" s="16" t="inlineStr">
        <is>
          <t>Delivered</t>
        </is>
      </c>
      <c r="D722" s="16" t="inlineStr">
        <is>
          <t>128-03132405484151392</t>
        </is>
      </c>
      <c r="E722" s="16" t="inlineStr">
        <is>
          <t>Delivered</t>
        </is>
      </c>
      <c r="F722" s="16" t="inlineStr">
        <is>
          <t>LV54W25</t>
        </is>
      </c>
      <c r="G722" s="16" t="inlineStr">
        <is>
          <t>TIANLAI Lámpara Ventilador E27 2 en 1, Silenciosa, LED Alta Luminosidad 180°, Instalación Rápida, Ahorro Energético para Dormitorio y Interiores Pequeños</t>
        </is>
      </c>
      <c r="H722" s="16" t="inlineStr">
        <is>
          <t>1 Pieza</t>
        </is>
      </c>
      <c r="I722" s="16" t="n">
        <v>2</v>
      </c>
      <c r="J722" s="17" t="n">
        <v>157</v>
      </c>
      <c r="K722" s="17" t="n">
        <v>164.6</v>
      </c>
      <c r="L722" s="17" t="n">
        <v>25.86</v>
      </c>
      <c r="M722" s="17" t="n">
        <v>0</v>
      </c>
      <c r="N722" s="17">
        <f>K722*0.08+L722*0.08</f>
        <v/>
      </c>
      <c r="O722" s="17">
        <f>-(K722*0.025+L722*0.025)</f>
        <v/>
      </c>
      <c r="P722" s="17">
        <f>32</f>
        <v/>
      </c>
      <c r="Q722" s="17">
        <f>J722+L722+N722+O722-P722-M722</f>
        <v/>
      </c>
    </row>
    <row r="723">
      <c r="A723" s="16" t="inlineStr">
        <is>
          <t>5.1-5.7</t>
        </is>
      </c>
      <c r="B723" s="16" t="inlineStr">
        <is>
          <t>PO-128-03088858020472677</t>
        </is>
      </c>
      <c r="C723" s="16" t="inlineStr">
        <is>
          <t>Delivered</t>
        </is>
      </c>
      <c r="D723" s="16" t="inlineStr">
        <is>
          <t>128-03088892099192677</t>
        </is>
      </c>
      <c r="E723" s="16" t="inlineStr">
        <is>
          <t>Delivered</t>
        </is>
      </c>
      <c r="F723" s="16" t="inlineStr">
        <is>
          <t>LV54W25</t>
        </is>
      </c>
      <c r="G723" s="16" t="inlineStr">
        <is>
          <t>TIANLAI Lámpara Ventilador E27 2 en 1, Silenciosa, LED Alta Luminosidad 180°, Instalación Rápida, Ahorro Energético para Dormitorio y Interiores Pequeños</t>
        </is>
      </c>
      <c r="H723" s="16" t="inlineStr">
        <is>
          <t>1 Pieza</t>
        </is>
      </c>
      <c r="I723" s="16" t="n">
        <v>1</v>
      </c>
      <c r="J723" s="17" t="n">
        <v>78.5</v>
      </c>
      <c r="K723" s="17" t="n">
        <v>95.7</v>
      </c>
      <c r="L723" s="17" t="n">
        <v>25.86</v>
      </c>
      <c r="M723" s="17" t="n">
        <v>0</v>
      </c>
      <c r="N723" s="17">
        <f>K723*0.08+L723*0.08</f>
        <v/>
      </c>
      <c r="O723" s="17">
        <f>-(K723*0.025+L723*0.025)</f>
        <v/>
      </c>
      <c r="P723" s="17">
        <f>32</f>
        <v/>
      </c>
      <c r="Q723" s="17">
        <f>J723+L723+N723+O723-P723-M723</f>
        <v/>
      </c>
    </row>
    <row r="724">
      <c r="A724" s="16" t="inlineStr">
        <is>
          <t>5.1-5.7</t>
        </is>
      </c>
      <c r="B724" s="16" t="inlineStr">
        <is>
          <t>PO-128-02912935588473660</t>
        </is>
      </c>
      <c r="C724" s="16" t="inlineStr">
        <is>
          <t>Delivered</t>
        </is>
      </c>
      <c r="D724" s="16" t="inlineStr">
        <is>
          <t>128-02912977531513660</t>
        </is>
      </c>
      <c r="E724" s="16" t="inlineStr">
        <is>
          <t>Delivered</t>
        </is>
      </c>
      <c r="F724" s="16" t="inlineStr">
        <is>
          <t>TL2663N18C</t>
        </is>
      </c>
      <c r="G724" s="16" t="inlineStr">
        <is>
          <t>Linkbits，Soporte de pared fijo para televisores de 26"-63", Ultra-Delgado Compatible con VESA 400x400mm, Capacidad de Peso Fuerte de 25KG, Instalación Fácil Sin Electricidad</t>
        </is>
      </c>
      <c r="H724" s="16" t="inlineStr">
        <is>
          <t>NEGRO</t>
        </is>
      </c>
      <c r="I724" s="16" t="n">
        <v>1</v>
      </c>
      <c r="J724" s="17" t="n">
        <v>48.5</v>
      </c>
      <c r="K724" s="17" t="n">
        <v>63.48</v>
      </c>
      <c r="L724" s="17" t="n">
        <v>25.86</v>
      </c>
      <c r="M724" s="17" t="n">
        <v>0</v>
      </c>
      <c r="N724" s="17">
        <f>K724*0.08+L724*0.08</f>
        <v/>
      </c>
      <c r="O724" s="17">
        <f>-(K724*0.025+L724*0.025)</f>
        <v/>
      </c>
      <c r="P724" s="17">
        <f>32</f>
        <v/>
      </c>
      <c r="Q724" s="17">
        <f>J724+L724+N724+O724-P724-M724</f>
        <v/>
      </c>
    </row>
    <row r="725">
      <c r="A725" s="16" t="inlineStr">
        <is>
          <t>5.1-5.7</t>
        </is>
      </c>
      <c r="B725" s="16" t="inlineStr">
        <is>
          <t>PO-128-03158202972791046</t>
        </is>
      </c>
      <c r="C725" s="16" t="inlineStr">
        <is>
          <t>Delivered</t>
        </is>
      </c>
      <c r="D725" s="16" t="inlineStr">
        <is>
          <t>128-03158192487031046</t>
        </is>
      </c>
      <c r="E725" s="16" t="inlineStr">
        <is>
          <t>Delivered</t>
        </is>
      </c>
      <c r="F725" s="16" t="inlineStr">
        <is>
          <t>LV64W25</t>
        </is>
      </c>
      <c r="G7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25" s="16" t="inlineStr">
        <is>
          <t>Blanco</t>
        </is>
      </c>
      <c r="I725" s="16" t="n">
        <v>1</v>
      </c>
      <c r="J725" s="17" t="n">
        <v>120</v>
      </c>
      <c r="K725" s="17" t="n">
        <v>125.84</v>
      </c>
      <c r="L725" s="17" t="n">
        <v>25.86</v>
      </c>
      <c r="M725" s="17" t="n">
        <v>0</v>
      </c>
      <c r="N725" s="17">
        <f>K725*0.08+L725*0.08</f>
        <v/>
      </c>
      <c r="O725" s="17">
        <f>-(K725*0.025+L725*0.025)</f>
        <v/>
      </c>
      <c r="P725" s="17">
        <f>32</f>
        <v/>
      </c>
      <c r="Q725" s="17">
        <f>J725+L725+N725+O725-P725-M725</f>
        <v/>
      </c>
    </row>
    <row r="726">
      <c r="A726" s="16" t="inlineStr">
        <is>
          <t>5.1-5.7</t>
        </is>
      </c>
      <c r="B726" s="16" t="inlineStr">
        <is>
          <t>PO-128-02864232172153886</t>
        </is>
      </c>
      <c r="C726" s="16" t="inlineStr">
        <is>
          <t>Delivered</t>
        </is>
      </c>
      <c r="D726" s="16" t="inlineStr">
        <is>
          <t>128-02864337029753886</t>
        </is>
      </c>
      <c r="E726" s="16" t="inlineStr">
        <is>
          <t>Delivered</t>
        </is>
      </c>
      <c r="F726" s="16" t="inlineStr">
        <is>
          <t>LV64W25</t>
        </is>
      </c>
      <c r="G7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26" s="16" t="inlineStr">
        <is>
          <t>Blanco</t>
        </is>
      </c>
      <c r="I726" s="16" t="n">
        <v>1</v>
      </c>
      <c r="J726" s="17" t="n">
        <v>120</v>
      </c>
      <c r="K726" s="17" t="n">
        <v>138.28</v>
      </c>
      <c r="L726" s="17" t="n">
        <v>0</v>
      </c>
      <c r="M726" s="17" t="n">
        <v>138.28</v>
      </c>
      <c r="N726" s="17">
        <f>K726*0.08+L726*0.08</f>
        <v/>
      </c>
      <c r="O726" s="17">
        <f>-(K726*0.025+L726*0.025)</f>
        <v/>
      </c>
      <c r="P726" s="17">
        <f>32</f>
        <v/>
      </c>
      <c r="Q726" s="17">
        <f>J726+L726+N726+O726-P726-M726</f>
        <v/>
      </c>
    </row>
    <row r="727">
      <c r="A727" s="16" t="inlineStr">
        <is>
          <t>5.1-5.7</t>
        </is>
      </c>
      <c r="B727" s="16" t="inlineStr">
        <is>
          <t>PO-128-02954326180472391</t>
        </is>
      </c>
      <c r="C727" s="16" t="inlineStr">
        <is>
          <t>Delivered</t>
        </is>
      </c>
      <c r="D727" s="16" t="inlineStr">
        <is>
          <t>128-02954331423352391</t>
        </is>
      </c>
      <c r="E727" s="16" t="inlineStr">
        <is>
          <t>Delivered</t>
        </is>
      </c>
      <c r="F727" s="16" t="inlineStr">
        <is>
          <t>B03W10-10PZS</t>
        </is>
      </c>
      <c r="G72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727" s="16" t="inlineStr">
        <is>
          <t>B03W10</t>
        </is>
      </c>
      <c r="I727" s="16" t="n">
        <v>1</v>
      </c>
      <c r="J727" s="17" t="n">
        <v>66</v>
      </c>
      <c r="K727" s="17" t="n">
        <v>79.70999999999999</v>
      </c>
      <c r="L727" s="17" t="n">
        <v>25.86</v>
      </c>
      <c r="M727" s="17" t="n">
        <v>0</v>
      </c>
      <c r="N727" s="17">
        <f>K727*0.08+L727*0.08</f>
        <v/>
      </c>
      <c r="O727" s="17">
        <f>-(K727*0.025+L727*0.025)</f>
        <v/>
      </c>
      <c r="P727" s="17">
        <f>32</f>
        <v/>
      </c>
      <c r="Q727" s="17">
        <f>J727+L727+N727+O727-P727-M727</f>
        <v/>
      </c>
    </row>
    <row r="728">
      <c r="A728" s="16" t="inlineStr">
        <is>
          <t>5.1-5.7</t>
        </is>
      </c>
      <c r="B728" s="16" t="inlineStr">
        <is>
          <t>PO-128-02837432095353982</t>
        </is>
      </c>
      <c r="C728" s="16" t="inlineStr">
        <is>
          <t>Delivered</t>
        </is>
      </c>
      <c r="D728" s="16" t="inlineStr">
        <is>
          <t>128-02837474038393982</t>
        </is>
      </c>
      <c r="E728" s="16" t="inlineStr">
        <is>
          <t>Delivered</t>
        </is>
      </c>
      <c r="F728" s="16" t="inlineStr">
        <is>
          <t>LV64W25</t>
        </is>
      </c>
      <c r="G7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28" s="16" t="inlineStr">
        <is>
          <t>Blanco</t>
        </is>
      </c>
      <c r="I728" s="16" t="n">
        <v>1</v>
      </c>
      <c r="J728" s="17" t="n">
        <v>120</v>
      </c>
      <c r="K728" s="17" t="n">
        <v>43.08</v>
      </c>
      <c r="L728" s="17" t="n">
        <v>25.86</v>
      </c>
      <c r="M728" s="17" t="n">
        <v>0</v>
      </c>
      <c r="N728" s="17">
        <f>K728*0.08+L728*0.08</f>
        <v/>
      </c>
      <c r="O728" s="17">
        <f>-(K728*0.025+L728*0.025)</f>
        <v/>
      </c>
      <c r="P728" s="17">
        <f>32</f>
        <v/>
      </c>
      <c r="Q728" s="17">
        <f>J728+L728+N728+O728-P728-M728</f>
        <v/>
      </c>
    </row>
    <row r="729">
      <c r="A729" s="16" t="inlineStr">
        <is>
          <t>5.1-5.7</t>
        </is>
      </c>
      <c r="B729" s="16" t="inlineStr">
        <is>
          <t>PO-128-02826204232313155</t>
        </is>
      </c>
      <c r="C729" s="16" t="inlineStr">
        <is>
          <t>Delivered</t>
        </is>
      </c>
      <c r="D729" s="16" t="inlineStr">
        <is>
          <t>128-02826183260793155</t>
        </is>
      </c>
      <c r="E729" s="16" t="inlineStr">
        <is>
          <t>Delivered</t>
        </is>
      </c>
      <c r="F729" s="16" t="inlineStr">
        <is>
          <t>LV64W25</t>
        </is>
      </c>
      <c r="G7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29" s="16" t="inlineStr">
        <is>
          <t>Blanco</t>
        </is>
      </c>
      <c r="I729" s="16" t="n">
        <v>1</v>
      </c>
      <c r="J729" s="17" t="n">
        <v>120</v>
      </c>
      <c r="K729" s="17" t="n">
        <v>138.28</v>
      </c>
      <c r="L729" s="17" t="n">
        <v>25.86</v>
      </c>
      <c r="M729" s="17" t="n">
        <v>0</v>
      </c>
      <c r="N729" s="17">
        <f>K729*0.08+L729*0.08</f>
        <v/>
      </c>
      <c r="O729" s="17">
        <f>-(K729*0.025+L729*0.025)</f>
        <v/>
      </c>
      <c r="P729" s="17">
        <f>32</f>
        <v/>
      </c>
      <c r="Q729" s="17">
        <f>J729+L729+N729+O729-P729-M729</f>
        <v/>
      </c>
    </row>
    <row r="730">
      <c r="A730" s="16" t="inlineStr">
        <is>
          <t>5.1-5.7</t>
        </is>
      </c>
      <c r="B730" s="16" t="inlineStr">
        <is>
          <t>PO-128-03269343908470384</t>
        </is>
      </c>
      <c r="C730" s="16" t="inlineStr">
        <is>
          <t>Delivered</t>
        </is>
      </c>
      <c r="D730" s="16" t="inlineStr">
        <is>
          <t>128-03269301965430384</t>
        </is>
      </c>
      <c r="E730" s="16" t="inlineStr">
        <is>
          <t>Delivered</t>
        </is>
      </c>
      <c r="F730" s="16" t="inlineStr">
        <is>
          <t>LV54W25</t>
        </is>
      </c>
      <c r="G730" s="16" t="inlineStr">
        <is>
          <t>TIANLAI Lámpara Ventilador E27 2 en 1, Silenciosa, LED Alta Luminosidad 180°, Instalación Rápida, Ahorro Energético para Dormitorio y Interiores Pequeños</t>
        </is>
      </c>
      <c r="H730" s="16" t="inlineStr">
        <is>
          <t>1 Pieza</t>
        </is>
      </c>
      <c r="I730" s="16" t="n">
        <v>1</v>
      </c>
      <c r="J730" s="17" t="n">
        <v>78.5</v>
      </c>
      <c r="K730" s="17" t="n">
        <v>82.3</v>
      </c>
      <c r="L730" s="17" t="n">
        <v>25.86</v>
      </c>
      <c r="M730" s="17" t="n">
        <v>0</v>
      </c>
      <c r="N730" s="17">
        <f>K730*0.08+L730*0.08</f>
        <v/>
      </c>
      <c r="O730" s="17">
        <f>-(K730*0.025+L730*0.025)</f>
        <v/>
      </c>
      <c r="P730" s="17">
        <f>32</f>
        <v/>
      </c>
      <c r="Q730" s="17">
        <f>J730+L730+N730+O730-P730-M730</f>
        <v/>
      </c>
    </row>
    <row r="731">
      <c r="A731" s="16" t="inlineStr">
        <is>
          <t>5.1-5.7</t>
        </is>
      </c>
      <c r="B731" s="16" t="inlineStr">
        <is>
          <t>PO-128-03217808087671909</t>
        </is>
      </c>
      <c r="C731" s="16" t="inlineStr">
        <is>
          <t>Delivered</t>
        </is>
      </c>
      <c r="D731" s="16" t="inlineStr">
        <is>
          <t>128-03217829059191909</t>
        </is>
      </c>
      <c r="E731" s="16" t="inlineStr">
        <is>
          <t>Delivered</t>
        </is>
      </c>
      <c r="F731" s="16" t="inlineStr">
        <is>
          <t>LV64W25</t>
        </is>
      </c>
      <c r="G7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1" s="16" t="inlineStr">
        <is>
          <t>Blanco</t>
        </is>
      </c>
      <c r="I731" s="16" t="n">
        <v>2</v>
      </c>
      <c r="J731" s="17" t="n">
        <v>240</v>
      </c>
      <c r="K731" s="17" t="n">
        <v>251.68</v>
      </c>
      <c r="L731" s="17" t="n">
        <v>0</v>
      </c>
      <c r="M731" s="17" t="n">
        <v>0</v>
      </c>
      <c r="N731" s="17">
        <f>K731*0.08+L731*0.08</f>
        <v/>
      </c>
      <c r="O731" s="17">
        <f>-(K731*0.025+L731*0.025)</f>
        <v/>
      </c>
      <c r="P731" s="17">
        <f>32</f>
        <v/>
      </c>
      <c r="Q731" s="17">
        <f>J731+L731+N731+O731-P731-M731</f>
        <v/>
      </c>
    </row>
    <row r="732">
      <c r="A732" s="16" t="inlineStr">
        <is>
          <t>5.1-5.7</t>
        </is>
      </c>
      <c r="B732" s="16" t="inlineStr">
        <is>
          <t>PO-128-03273455125110425</t>
        </is>
      </c>
      <c r="C732" s="16" t="inlineStr">
        <is>
          <t>Delivered</t>
        </is>
      </c>
      <c r="D732" s="16" t="inlineStr">
        <is>
          <t>128-03273423667830425</t>
        </is>
      </c>
      <c r="E732" s="16" t="inlineStr">
        <is>
          <t>Delivered</t>
        </is>
      </c>
      <c r="F732" s="16" t="inlineStr">
        <is>
          <t>LV54W25</t>
        </is>
      </c>
      <c r="G732" s="16" t="inlineStr">
        <is>
          <t>TIANLAI Lámpara Ventilador E27 2 en 1, Silenciosa, LED Alta Luminosidad 180°, Instalación Rápida, Ahorro Energético para Dormitorio y Interiores Pequeños</t>
        </is>
      </c>
      <c r="H732" s="16" t="inlineStr">
        <is>
          <t>1 Pieza</t>
        </is>
      </c>
      <c r="I732" s="16" t="n">
        <v>2</v>
      </c>
      <c r="J732" s="17" t="n">
        <v>157</v>
      </c>
      <c r="K732" s="17" t="n">
        <v>164.6</v>
      </c>
      <c r="L732" s="17" t="n">
        <v>25.86</v>
      </c>
      <c r="M732" s="17" t="n">
        <v>0</v>
      </c>
      <c r="N732" s="17">
        <f>K732*0.08+L732*0.08</f>
        <v/>
      </c>
      <c r="O732" s="17">
        <f>-(K732*0.025+L732*0.025)</f>
        <v/>
      </c>
      <c r="P732" s="17">
        <f>32</f>
        <v/>
      </c>
      <c r="Q732" s="17">
        <f>J732+L732+N732+O732-P732-M732</f>
        <v/>
      </c>
    </row>
    <row r="733">
      <c r="A733" s="16" t="inlineStr">
        <is>
          <t>5.1-5.7</t>
        </is>
      </c>
      <c r="B733" s="16" t="inlineStr">
        <is>
          <t>PO-128-03347554826870110</t>
        </is>
      </c>
      <c r="C733" s="16" t="inlineStr">
        <is>
          <t>Delivered</t>
        </is>
      </c>
      <c r="D733" s="16" t="inlineStr">
        <is>
          <t>128-03347512883830110</t>
        </is>
      </c>
      <c r="E733" s="16" t="inlineStr">
        <is>
          <t>Delivered</t>
        </is>
      </c>
      <c r="F733" s="16" t="inlineStr">
        <is>
          <t>LV64W25</t>
        </is>
      </c>
      <c r="G7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3" s="16" t="inlineStr">
        <is>
          <t>Blanco</t>
        </is>
      </c>
      <c r="I733" s="16" t="n">
        <v>2</v>
      </c>
      <c r="J733" s="17" t="n">
        <v>240</v>
      </c>
      <c r="K733" s="17" t="n">
        <v>251.68</v>
      </c>
      <c r="L733" s="17" t="n">
        <v>0</v>
      </c>
      <c r="M733" s="17" t="n">
        <v>0</v>
      </c>
      <c r="N733" s="17">
        <f>K733*0.08+L733*0.08</f>
        <v/>
      </c>
      <c r="O733" s="17">
        <f>-(K733*0.025+L733*0.025)</f>
        <v/>
      </c>
      <c r="P733" s="17">
        <f>32</f>
        <v/>
      </c>
      <c r="Q733" s="17">
        <f>J733+L733+N733+O733-P733-M733</f>
        <v/>
      </c>
    </row>
    <row r="734">
      <c r="A734" s="16" t="inlineStr">
        <is>
          <t>5.1-5.7</t>
        </is>
      </c>
      <c r="B734" s="16" t="inlineStr">
        <is>
          <t>PO-128-02899048376953809</t>
        </is>
      </c>
      <c r="C734" s="16" t="inlineStr">
        <is>
          <t>Delivered</t>
        </is>
      </c>
      <c r="D734" s="16" t="inlineStr">
        <is>
          <t>128-02899069348473809</t>
        </is>
      </c>
      <c r="E734" s="16" t="inlineStr">
        <is>
          <t>Delivered</t>
        </is>
      </c>
      <c r="F734" s="16" t="inlineStr">
        <is>
          <t>BG-115-P</t>
        </is>
      </c>
      <c r="G734" s="16" t="inlineStr">
        <is>
          <t>LINK BITS Audífonos Inalámbricos con Luces Multicolor, Recargables y en Adorable Forma de Orejas de Gato - Conecta a Celulares y PCs, Tiene Radio FM, Tarjeta TF y AUX - 7 Horas de Reproducción, Plegables y Perfectos para Trabajo, Juegos y Estudio</t>
        </is>
      </c>
      <c r="H734" s="16" t="inlineStr">
        <is>
          <t>rosa</t>
        </is>
      </c>
      <c r="I734" s="16" t="n">
        <v>1</v>
      </c>
      <c r="J734" s="17" t="n">
        <v>75</v>
      </c>
      <c r="K734" s="17" t="n">
        <v>85.73999999999999</v>
      </c>
      <c r="L734" s="17" t="n">
        <v>25.86</v>
      </c>
      <c r="M734" s="17" t="n">
        <v>0</v>
      </c>
      <c r="N734" s="17">
        <f>K734*0.08+L734*0.08</f>
        <v/>
      </c>
      <c r="O734" s="17">
        <f>-(K734*0.025+L734*0.025)</f>
        <v/>
      </c>
      <c r="P734" s="17">
        <f>32</f>
        <v/>
      </c>
      <c r="Q734" s="17">
        <f>J734+L734+N734+O734-P734-M734</f>
        <v/>
      </c>
    </row>
    <row r="735">
      <c r="A735" s="16" t="inlineStr">
        <is>
          <t>5.1-5.7</t>
        </is>
      </c>
      <c r="B735" s="16" t="inlineStr">
        <is>
          <t>PO-128-03285062615670482</t>
        </is>
      </c>
      <c r="C735" s="16" t="inlineStr">
        <is>
          <t>Delivered</t>
        </is>
      </c>
      <c r="D735" s="16" t="inlineStr">
        <is>
          <t>128-03285015429750482</t>
        </is>
      </c>
      <c r="E735" s="16" t="inlineStr">
        <is>
          <t>Delivered</t>
        </is>
      </c>
      <c r="F735" s="16" t="inlineStr">
        <is>
          <t>LV64W25</t>
        </is>
      </c>
      <c r="G7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5" s="16" t="inlineStr">
        <is>
          <t>Blanco</t>
        </is>
      </c>
      <c r="I735" s="16" t="n">
        <v>3</v>
      </c>
      <c r="J735" s="17" t="n">
        <v>360</v>
      </c>
      <c r="K735" s="17" t="n">
        <v>387.18</v>
      </c>
      <c r="L735" s="17" t="n">
        <v>0</v>
      </c>
      <c r="M735" s="17" t="n">
        <v>0</v>
      </c>
      <c r="N735" s="17">
        <f>K735*0.08+L735*0.08</f>
        <v/>
      </c>
      <c r="O735" s="17">
        <f>-(K735*0.025+L735*0.025)</f>
        <v/>
      </c>
      <c r="P735" s="17">
        <f>32</f>
        <v/>
      </c>
      <c r="Q735" s="17">
        <f>J735+L735+N735+O735-P735-M735</f>
        <v/>
      </c>
    </row>
    <row r="736">
      <c r="A736" s="16" t="inlineStr">
        <is>
          <t>5.1-5.7</t>
        </is>
      </c>
      <c r="B736" s="16" t="inlineStr">
        <is>
          <t>PO-128-02970660373112228</t>
        </is>
      </c>
      <c r="C736" s="16" t="inlineStr">
        <is>
          <t>Delivered</t>
        </is>
      </c>
      <c r="D736" s="16" t="inlineStr">
        <is>
          <t>128-02970694451832228</t>
        </is>
      </c>
      <c r="E736" s="16" t="inlineStr">
        <is>
          <t>Delivered</t>
        </is>
      </c>
      <c r="F736" s="16" t="inlineStr">
        <is>
          <t>KTS-2031</t>
        </is>
      </c>
      <c r="G736" s="16" t="inlineStr">
        <is>
          <t>Bocina inalámbrica de 3 pulgadas con linterna multifuncional y panel solar integrado.Altavoz Portátil con Linterna LED 4 Modos, Radio FM, Bluetooth, Carga Solar, Ideal para Apagones, Emergencias, Campo y Exteriores</t>
        </is>
      </c>
      <c r="H736" s="16" t="inlineStr">
        <is>
          <t>NEGRO</t>
        </is>
      </c>
      <c r="I736" s="16" t="n">
        <v>1</v>
      </c>
      <c r="J736" s="17" t="n">
        <v>63.15</v>
      </c>
      <c r="K736" s="17" t="n">
        <v>72.38</v>
      </c>
      <c r="L736" s="17" t="n">
        <v>25.86</v>
      </c>
      <c r="M736" s="17" t="n">
        <v>0</v>
      </c>
      <c r="N736" s="17">
        <f>K736*0.08+L736*0.08</f>
        <v/>
      </c>
      <c r="O736" s="17">
        <f>-(K736*0.025+L736*0.025)</f>
        <v/>
      </c>
      <c r="P736" s="17">
        <f>32</f>
        <v/>
      </c>
      <c r="Q736" s="17">
        <f>J736+L736+N736+O736-P736-M736</f>
        <v/>
      </c>
    </row>
    <row r="737">
      <c r="A737" s="16" t="inlineStr">
        <is>
          <t>5.1-5.7</t>
        </is>
      </c>
      <c r="B737" s="16" t="inlineStr">
        <is>
          <t>PO-128-03264468583030415</t>
        </is>
      </c>
      <c r="C737" s="16" t="inlineStr">
        <is>
          <t>Delivered</t>
        </is>
      </c>
      <c r="D737" s="16" t="inlineStr">
        <is>
          <t>128-03264489554550415</t>
        </is>
      </c>
      <c r="E737" s="16" t="inlineStr">
        <is>
          <t>Delivered</t>
        </is>
      </c>
      <c r="F737" s="16" t="inlineStr">
        <is>
          <t>LV64W25</t>
        </is>
      </c>
      <c r="G7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7" s="16" t="inlineStr">
        <is>
          <t>Blanco</t>
        </is>
      </c>
      <c r="I737" s="16" t="n">
        <v>1</v>
      </c>
      <c r="J737" s="17" t="n">
        <v>120</v>
      </c>
      <c r="K737" s="17" t="n">
        <v>138.28</v>
      </c>
      <c r="L737" s="17" t="n">
        <v>25.86</v>
      </c>
      <c r="M737" s="17" t="n">
        <v>0</v>
      </c>
      <c r="N737" s="17">
        <f>K737*0.08+L737*0.08</f>
        <v/>
      </c>
      <c r="O737" s="17">
        <f>-(K737*0.025+L737*0.025)</f>
        <v/>
      </c>
      <c r="P737" s="17">
        <f>32</f>
        <v/>
      </c>
      <c r="Q737" s="17">
        <f>J737+L737+N737+O737-P737-M737</f>
        <v/>
      </c>
    </row>
    <row r="738">
      <c r="A738" s="16" t="inlineStr">
        <is>
          <t>5.1-5.7</t>
        </is>
      </c>
      <c r="B738" s="16" t="inlineStr">
        <is>
          <t>PO-128-03351515925110918</t>
        </is>
      </c>
      <c r="C738" s="16" t="inlineStr">
        <is>
          <t>Delivered</t>
        </is>
      </c>
      <c r="D738" s="16" t="inlineStr">
        <is>
          <t>128-03351568353910918</t>
        </is>
      </c>
      <c r="E738" s="16" t="inlineStr">
        <is>
          <t>Delivered</t>
        </is>
      </c>
      <c r="F738" s="16" t="inlineStr">
        <is>
          <t>LV64W25</t>
        </is>
      </c>
      <c r="G7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8" s="16" t="inlineStr">
        <is>
          <t>Blanco</t>
        </is>
      </c>
      <c r="I738" s="16" t="n">
        <v>1</v>
      </c>
      <c r="J738" s="17" t="n">
        <v>120</v>
      </c>
      <c r="K738" s="17" t="n">
        <v>125.84</v>
      </c>
      <c r="L738" s="17" t="n">
        <v>25.86</v>
      </c>
      <c r="M738" s="17" t="n">
        <v>0</v>
      </c>
      <c r="N738" s="17">
        <f>K738*0.08+L738*0.08</f>
        <v/>
      </c>
      <c r="O738" s="17">
        <f>-(K738*0.025+L738*0.025)</f>
        <v/>
      </c>
      <c r="P738" s="17">
        <f>32</f>
        <v/>
      </c>
      <c r="Q738" s="17">
        <f>J738+L738+N738+O738-P738-M738</f>
        <v/>
      </c>
    </row>
    <row r="739">
      <c r="A739" s="16" t="inlineStr">
        <is>
          <t>5.1-5.7</t>
        </is>
      </c>
      <c r="B739" s="16" t="inlineStr">
        <is>
          <t>PO-128-03067547423352802</t>
        </is>
      </c>
      <c r="C739" s="16" t="inlineStr">
        <is>
          <t>Delivered</t>
        </is>
      </c>
      <c r="D739" s="16" t="inlineStr">
        <is>
          <t>128-03067576914552802</t>
        </is>
      </c>
      <c r="E739" s="16" t="inlineStr">
        <is>
          <t>Delivered</t>
        </is>
      </c>
      <c r="F739" s="16" t="inlineStr">
        <is>
          <t>LV64W25</t>
        </is>
      </c>
      <c r="G7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39" s="16" t="inlineStr">
        <is>
          <t>Blanco</t>
        </is>
      </c>
      <c r="I739" s="16" t="n">
        <v>2</v>
      </c>
      <c r="J739" s="17" t="n">
        <v>240</v>
      </c>
      <c r="K739" s="17" t="n">
        <v>251.68</v>
      </c>
      <c r="L739" s="17" t="n">
        <v>0</v>
      </c>
      <c r="M739" s="17" t="n">
        <v>0</v>
      </c>
      <c r="N739" s="17">
        <f>K739*0.08+L739*0.08</f>
        <v/>
      </c>
      <c r="O739" s="17">
        <f>-(K739*0.025+L739*0.025)</f>
        <v/>
      </c>
      <c r="P739" s="17">
        <f>32</f>
        <v/>
      </c>
      <c r="Q739" s="17">
        <f>J739+L739+N739+O739-P739-M739</f>
        <v/>
      </c>
    </row>
    <row r="740">
      <c r="A740" s="16" t="inlineStr">
        <is>
          <t>5.1-5.7</t>
        </is>
      </c>
      <c r="B740" s="16" t="inlineStr">
        <is>
          <t>PO-128-03405475328630724</t>
        </is>
      </c>
      <c r="C740" s="16" t="inlineStr">
        <is>
          <t>Delivered</t>
        </is>
      </c>
      <c r="D740" s="16" t="inlineStr">
        <is>
          <t>128-03405464842870724</t>
        </is>
      </c>
      <c r="E740" s="16" t="inlineStr">
        <is>
          <t>Delivered</t>
        </is>
      </c>
      <c r="F740" s="16" t="inlineStr">
        <is>
          <t>LV54W25</t>
        </is>
      </c>
      <c r="G740" s="16" t="inlineStr">
        <is>
          <t>TIANLAI Lámpara Ventilador E27 2 en 1, Silenciosa, LED Alta Luminosidad 180°, Instalación Rápida, Ahorro Energético para Dormitorio y Interiores Pequeños</t>
        </is>
      </c>
      <c r="H740" s="16" t="inlineStr">
        <is>
          <t>1 Pieza</t>
        </is>
      </c>
      <c r="I740" s="16" t="n">
        <v>1</v>
      </c>
      <c r="J740" s="17" t="n">
        <v>78.5</v>
      </c>
      <c r="K740" s="17" t="n">
        <v>73.2</v>
      </c>
      <c r="L740" s="17" t="n">
        <v>25.86</v>
      </c>
      <c r="M740" s="17" t="n">
        <v>0</v>
      </c>
      <c r="N740" s="17">
        <f>K740*0.08+L740*0.08</f>
        <v/>
      </c>
      <c r="O740" s="17">
        <f>-(K740*0.025+L740*0.025)</f>
        <v/>
      </c>
      <c r="P740" s="17">
        <f>32</f>
        <v/>
      </c>
      <c r="Q740" s="17">
        <f>J740+L740+N740+O740-P740-M740</f>
        <v/>
      </c>
    </row>
    <row r="741">
      <c r="A741" s="16" t="inlineStr">
        <is>
          <t>5.1-5.7</t>
        </is>
      </c>
      <c r="B741" s="16" t="inlineStr">
        <is>
          <t>PO-128-02991602299512105</t>
        </is>
      </c>
      <c r="C741" s="16" t="inlineStr">
        <is>
          <t>Delivered</t>
        </is>
      </c>
      <c r="D741" s="16" t="inlineStr">
        <is>
          <t>128-02991560356472105</t>
        </is>
      </c>
      <c r="E741" s="16" t="inlineStr">
        <is>
          <t>Delivered</t>
        </is>
      </c>
      <c r="F741" s="16" t="inlineStr">
        <is>
          <t>LV54W25</t>
        </is>
      </c>
      <c r="G741" s="16" t="inlineStr">
        <is>
          <t>TIANLAI Lámpara Ventilador E27 2 en 1, Silenciosa, LED Alta Luminosidad 180°, Instalación Rápida, Ahorro Energético para Dormitorio y Interiores Pequeños</t>
        </is>
      </c>
      <c r="H741" s="16" t="inlineStr">
        <is>
          <t>1 Pieza</t>
        </is>
      </c>
      <c r="I741" s="16" t="n">
        <v>1</v>
      </c>
      <c r="J741" s="17" t="n">
        <v>78.5</v>
      </c>
      <c r="K741" s="17" t="n">
        <v>95.7</v>
      </c>
      <c r="L741" s="17" t="n">
        <v>25.86</v>
      </c>
      <c r="M741" s="17" t="n">
        <v>0</v>
      </c>
      <c r="N741" s="17">
        <f>K741*0.08+L741*0.08</f>
        <v/>
      </c>
      <c r="O741" s="17">
        <f>-(K741*0.025+L741*0.025)</f>
        <v/>
      </c>
      <c r="P741" s="17">
        <f>32</f>
        <v/>
      </c>
      <c r="Q741" s="17">
        <f>J741+L741+N741+O741-P741-M741</f>
        <v/>
      </c>
    </row>
    <row r="742">
      <c r="A742" s="16" t="inlineStr">
        <is>
          <t>5.1-5.7</t>
        </is>
      </c>
      <c r="B742" s="16" t="inlineStr">
        <is>
          <t>PO-128-03070251418232786</t>
        </is>
      </c>
      <c r="C742" s="16" t="inlineStr">
        <is>
          <t>Delivered</t>
        </is>
      </c>
      <c r="D742" s="16" t="inlineStr">
        <is>
          <t>128-03070387733112786</t>
        </is>
      </c>
      <c r="E742" s="16" t="inlineStr">
        <is>
          <t>Delivered</t>
        </is>
      </c>
      <c r="F742" s="16" t="inlineStr">
        <is>
          <t>LV64W25</t>
        </is>
      </c>
      <c r="G7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42" s="16" t="inlineStr">
        <is>
          <t>Blanco</t>
        </is>
      </c>
      <c r="I742" s="16" t="n">
        <v>2</v>
      </c>
      <c r="J742" s="17" t="n">
        <v>240</v>
      </c>
      <c r="K742" s="17" t="n">
        <v>221.24</v>
      </c>
      <c r="L742" s="17" t="n">
        <v>0</v>
      </c>
      <c r="M742" s="17" t="n">
        <v>0</v>
      </c>
      <c r="N742" s="17">
        <f>K742*0.08+L742*0.08</f>
        <v/>
      </c>
      <c r="O742" s="17">
        <f>-(K742*0.025+L742*0.025)</f>
        <v/>
      </c>
      <c r="P742" s="17">
        <f>32</f>
        <v/>
      </c>
      <c r="Q742" s="17">
        <f>J742+L742+N742+O742-P742-M742</f>
        <v/>
      </c>
    </row>
    <row r="743">
      <c r="A743" s="16" t="inlineStr">
        <is>
          <t>5.1-5.7</t>
        </is>
      </c>
      <c r="B743" s="16" t="inlineStr">
        <is>
          <t>PO-128-03157514619511050</t>
        </is>
      </c>
      <c r="C743" s="16" t="inlineStr">
        <is>
          <t>Delivered</t>
        </is>
      </c>
      <c r="D743" s="16" t="inlineStr">
        <is>
          <t>128-03157555579511050</t>
        </is>
      </c>
      <c r="E743" s="16" t="inlineStr">
        <is>
          <t>Delivered</t>
        </is>
      </c>
      <c r="F743" s="16" t="inlineStr">
        <is>
          <t>LV54W25</t>
        </is>
      </c>
      <c r="G743" s="16" t="inlineStr">
        <is>
          <t>TIANLAI Lámpara Ventilador E27 2 en 1, Silenciosa, LED Alta Luminosidad 180°, Instalación Rápida, Ahorro Energético para Dormitorio y Interiores Pequeños</t>
        </is>
      </c>
      <c r="H743" s="16" t="inlineStr">
        <is>
          <t>1 Pieza</t>
        </is>
      </c>
      <c r="I743" s="16" t="n">
        <v>1</v>
      </c>
      <c r="J743" s="17" t="n">
        <v>78.5</v>
      </c>
      <c r="K743" s="17" t="n">
        <v>95.7</v>
      </c>
      <c r="L743" s="17" t="n">
        <v>25.86</v>
      </c>
      <c r="M743" s="17" t="n">
        <v>0</v>
      </c>
      <c r="N743" s="17">
        <f>K743*0.08+L743*0.08</f>
        <v/>
      </c>
      <c r="O743" s="17">
        <f>-(K743*0.025+L743*0.025)</f>
        <v/>
      </c>
      <c r="P743" s="17">
        <f>32</f>
        <v/>
      </c>
      <c r="Q743" s="17">
        <f>J743+L743+N743+O743-P743-M743</f>
        <v/>
      </c>
    </row>
    <row r="744">
      <c r="A744" s="16" t="inlineStr">
        <is>
          <t>5.1-5.7</t>
        </is>
      </c>
      <c r="B744" s="16" t="inlineStr">
        <is>
          <t>PO-128-03213458647671871</t>
        </is>
      </c>
      <c r="C744" s="16" t="inlineStr">
        <is>
          <t>Delivered</t>
        </is>
      </c>
      <c r="D744" s="16" t="inlineStr">
        <is>
          <t>128-03213479619191871</t>
        </is>
      </c>
      <c r="E744" s="16" t="inlineStr">
        <is>
          <t>Delivered</t>
        </is>
      </c>
      <c r="F744" s="16" t="inlineStr">
        <is>
          <t>LV64W25</t>
        </is>
      </c>
      <c r="G7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44" s="16" t="inlineStr">
        <is>
          <t>Blanco</t>
        </is>
      </c>
      <c r="I744" s="16" t="n">
        <v>4</v>
      </c>
      <c r="J744" s="17" t="n">
        <v>480</v>
      </c>
      <c r="K744" s="17" t="n">
        <v>442.48</v>
      </c>
      <c r="L744" s="17" t="n">
        <v>0</v>
      </c>
      <c r="M744" s="17" t="n">
        <v>0</v>
      </c>
      <c r="N744" s="17">
        <f>K744*0.08+L744*0.08</f>
        <v/>
      </c>
      <c r="O744" s="17">
        <f>-(K744*0.025+L744*0.025)</f>
        <v/>
      </c>
      <c r="P744" s="17">
        <f>32</f>
        <v/>
      </c>
      <c r="Q744" s="17">
        <f>J744+L744+N744+O744-P744-M744</f>
        <v/>
      </c>
    </row>
    <row r="745">
      <c r="A745" s="16" t="inlineStr">
        <is>
          <t>5.1-5.7</t>
        </is>
      </c>
      <c r="B745" s="16" t="inlineStr">
        <is>
          <t>PO-128-03215252480631858</t>
        </is>
      </c>
      <c r="C745" s="16" t="inlineStr">
        <is>
          <t>Delivered</t>
        </is>
      </c>
      <c r="D745" s="16" t="inlineStr">
        <is>
          <t>128-03215231509111858</t>
        </is>
      </c>
      <c r="E745" s="16" t="inlineStr">
        <is>
          <t>Delivered</t>
        </is>
      </c>
      <c r="F745" s="16" t="inlineStr">
        <is>
          <t>VB349T</t>
        </is>
      </c>
      <c r="G745" s="16" t="inlineStr">
        <is>
          <t>LINKBITS Altavoz Portátil de Doble Altavoz - 3 Pulgadas, Sonido HD, Emparejamiento Rápido de Bluetooth, Conectividad TWS, Reproducción Multimodo (Micro SD/USB/Radio FM) - Perfecto para Oficina, Viajes y Espacios Pequeños</t>
        </is>
      </c>
      <c r="H745" s="16" t="inlineStr">
        <is>
          <t>NEGRO</t>
        </is>
      </c>
      <c r="I745" s="16" t="n">
        <v>1</v>
      </c>
      <c r="J745" s="17" t="n">
        <v>79</v>
      </c>
      <c r="K745" s="17" t="n">
        <v>92.27</v>
      </c>
      <c r="L745" s="17" t="n">
        <v>25.86</v>
      </c>
      <c r="M745" s="17" t="n">
        <v>0</v>
      </c>
      <c r="N745" s="17">
        <f>K745*0.08+L745*0.08</f>
        <v/>
      </c>
      <c r="O745" s="17">
        <f>-(K745*0.025+L745*0.025)</f>
        <v/>
      </c>
      <c r="P745" s="17">
        <f>32</f>
        <v/>
      </c>
      <c r="Q745" s="17">
        <f>J745+L745+N745+O745-P745-M745</f>
        <v/>
      </c>
    </row>
    <row r="746">
      <c r="A746" s="16" t="inlineStr">
        <is>
          <t>5.1-5.7</t>
        </is>
      </c>
      <c r="B746" s="16" t="inlineStr">
        <is>
          <t>PO-128-02752433941113467</t>
        </is>
      </c>
      <c r="C746" s="16" t="inlineStr">
        <is>
          <t>Delivered</t>
        </is>
      </c>
      <c r="D746" s="16" t="inlineStr">
        <is>
          <t>128-02752391998073467</t>
        </is>
      </c>
      <c r="E746" s="16" t="inlineStr">
        <is>
          <t>Delivered</t>
        </is>
      </c>
      <c r="F746" s="16" t="inlineStr">
        <is>
          <t>LV64W25</t>
        </is>
      </c>
      <c r="G7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46" s="16" t="inlineStr">
        <is>
          <t>Blanco</t>
        </is>
      </c>
      <c r="I746" s="16" t="n">
        <v>1</v>
      </c>
      <c r="J746" s="17" t="n">
        <v>120</v>
      </c>
      <c r="K746" s="17" t="n">
        <v>82.73999999999999</v>
      </c>
      <c r="L746" s="17" t="n">
        <v>25.86</v>
      </c>
      <c r="M746" s="17" t="n">
        <v>0</v>
      </c>
      <c r="N746" s="17">
        <f>K746*0.08+L746*0.08</f>
        <v/>
      </c>
      <c r="O746" s="17">
        <f>-(K746*0.025+L746*0.025)</f>
        <v/>
      </c>
      <c r="P746" s="17">
        <f>32</f>
        <v/>
      </c>
      <c r="Q746" s="17">
        <f>J746+L746+N746+O746-P746-M746</f>
        <v/>
      </c>
    </row>
    <row r="747">
      <c r="A747" s="16" t="inlineStr">
        <is>
          <t>5.1-5.7</t>
        </is>
      </c>
      <c r="B747" s="16" t="inlineStr">
        <is>
          <t>PO-128-03092284027512657</t>
        </is>
      </c>
      <c r="C747" s="16" t="inlineStr">
        <is>
          <t>Delivered</t>
        </is>
      </c>
      <c r="D747" s="16" t="inlineStr">
        <is>
          <t>128-03092242084472657</t>
        </is>
      </c>
      <c r="E747" s="16" t="inlineStr">
        <is>
          <t>Delivered</t>
        </is>
      </c>
      <c r="F747" s="16" t="inlineStr">
        <is>
          <t>LV64W25</t>
        </is>
      </c>
      <c r="G7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47" s="16" t="inlineStr">
        <is>
          <t>Blanco</t>
        </is>
      </c>
      <c r="I747" s="16" t="n">
        <v>2</v>
      </c>
      <c r="J747" s="17" t="n">
        <v>240</v>
      </c>
      <c r="K747" s="17" t="n">
        <v>251.68</v>
      </c>
      <c r="L747" s="17" t="n">
        <v>0</v>
      </c>
      <c r="M747" s="17" t="n">
        <v>0</v>
      </c>
      <c r="N747" s="17">
        <f>K747*0.08+L747*0.08</f>
        <v/>
      </c>
      <c r="O747" s="17">
        <f>-(K747*0.025+L747*0.025)</f>
        <v/>
      </c>
      <c r="P747" s="17">
        <f>32</f>
        <v/>
      </c>
      <c r="Q747" s="17">
        <f>J747+L747+N747+O747-P747-M747</f>
        <v/>
      </c>
    </row>
    <row r="748">
      <c r="A748" s="16" t="inlineStr">
        <is>
          <t>5.1-5.7</t>
        </is>
      </c>
      <c r="B748" s="16" t="inlineStr">
        <is>
          <t>PO-128-02757302303353500</t>
        </is>
      </c>
      <c r="C748" s="16" t="inlineStr">
        <is>
          <t>Delivered</t>
        </is>
      </c>
      <c r="D748" s="16" t="inlineStr">
        <is>
          <t>128-02757260360313500</t>
        </is>
      </c>
      <c r="E748" s="16" t="inlineStr">
        <is>
          <t>Delivered</t>
        </is>
      </c>
      <c r="F748" s="16" t="inlineStr">
        <is>
          <t>LV54W25</t>
        </is>
      </c>
      <c r="G748" s="16" t="inlineStr">
        <is>
          <t>TIANLAI Lámpara Ventilador E27 2 en 1, Silenciosa, LED Alta Luminosidad 180°, Instalación Rápida, Ahorro Energético para Dormitorio y Interiores Pequeños</t>
        </is>
      </c>
      <c r="H748" s="16" t="inlineStr">
        <is>
          <t>1 Pieza</t>
        </is>
      </c>
      <c r="I748" s="16" t="n">
        <v>3</v>
      </c>
      <c r="J748" s="17" t="n">
        <v>235.5</v>
      </c>
      <c r="K748" s="17" t="n">
        <v>246.9</v>
      </c>
      <c r="L748" s="17" t="n">
        <v>0</v>
      </c>
      <c r="M748" s="17" t="n">
        <v>0</v>
      </c>
      <c r="N748" s="17">
        <f>K748*0.08+L748*0.08</f>
        <v/>
      </c>
      <c r="O748" s="17">
        <f>-(K748*0.025+L748*0.025)</f>
        <v/>
      </c>
      <c r="P748" s="17">
        <f>32</f>
        <v/>
      </c>
      <c r="Q748" s="17">
        <f>J748+L748+N748+O748-P748-M748</f>
        <v/>
      </c>
    </row>
    <row r="749">
      <c r="A749" s="16" t="inlineStr">
        <is>
          <t>5.1-5.7</t>
        </is>
      </c>
      <c r="B749" s="16" t="inlineStr">
        <is>
          <t>PO-128-02898276495993813</t>
        </is>
      </c>
      <c r="C749" s="16" t="inlineStr">
        <is>
          <t>Delivered</t>
        </is>
      </c>
      <c r="D749" s="16" t="inlineStr">
        <is>
          <t>128-02898307953273813</t>
        </is>
      </c>
      <c r="E749" s="16" t="inlineStr">
        <is>
          <t>Delivered</t>
        </is>
      </c>
      <c r="F749" s="16" t="inlineStr">
        <is>
          <t>LV54W25</t>
        </is>
      </c>
      <c r="G749" s="16" t="inlineStr">
        <is>
          <t>TIANLAI Lámpara Ventilador E27 2 en 1, Silenciosa, LED Alta Luminosidad 180°, Instalación Rápida, Ahorro Energético para Dormitorio y Interiores Pequeños</t>
        </is>
      </c>
      <c r="H749" s="16" t="inlineStr">
        <is>
          <t>1 Pieza</t>
        </is>
      </c>
      <c r="I749" s="16" t="n">
        <v>1</v>
      </c>
      <c r="J749" s="17" t="n">
        <v>78.5</v>
      </c>
      <c r="K749" s="17" t="n">
        <v>82.3</v>
      </c>
      <c r="L749" s="17" t="n">
        <v>25.86</v>
      </c>
      <c r="M749" s="17" t="n">
        <v>0</v>
      </c>
      <c r="N749" s="17">
        <f>K749*0.08+L749*0.08</f>
        <v/>
      </c>
      <c r="O749" s="17">
        <f>-(K749*0.025+L749*0.025)</f>
        <v/>
      </c>
      <c r="P749" s="17">
        <f>32</f>
        <v/>
      </c>
      <c r="Q749" s="17">
        <f>J749+L749+N749+O749-P749-M749</f>
        <v/>
      </c>
    </row>
    <row r="750">
      <c r="A750" s="16" t="inlineStr">
        <is>
          <t>5.1-5.7</t>
        </is>
      </c>
      <c r="B750" s="16" t="inlineStr">
        <is>
          <t>PO-128-03270103491190445</t>
        </is>
      </c>
      <c r="C750" s="16" t="inlineStr">
        <is>
          <t>Delivered</t>
        </is>
      </c>
      <c r="D750" s="16" t="inlineStr">
        <is>
          <t>128-03270145434230445</t>
        </is>
      </c>
      <c r="E750" s="16" t="inlineStr">
        <is>
          <t>Delivered</t>
        </is>
      </c>
      <c r="F750" s="16" t="inlineStr">
        <is>
          <t>LV64W25</t>
        </is>
      </c>
      <c r="G7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0" s="16" t="inlineStr">
        <is>
          <t>Blanco</t>
        </is>
      </c>
      <c r="I750" s="16" t="n">
        <v>2</v>
      </c>
      <c r="J750" s="17" t="n">
        <v>240</v>
      </c>
      <c r="K750" s="17" t="n">
        <v>208.58</v>
      </c>
      <c r="L750" s="17" t="n">
        <v>0</v>
      </c>
      <c r="M750" s="17" t="n">
        <v>0</v>
      </c>
      <c r="N750" s="17">
        <f>K750*0.08+L750*0.08</f>
        <v/>
      </c>
      <c r="O750" s="17">
        <f>-(K750*0.025+L750*0.025)</f>
        <v/>
      </c>
      <c r="P750" s="17">
        <f>32</f>
        <v/>
      </c>
      <c r="Q750" s="17">
        <f>J750+L750+N750+O750-P750-M750</f>
        <v/>
      </c>
    </row>
    <row r="751">
      <c r="A751" s="16" t="inlineStr">
        <is>
          <t>5.1-5.7</t>
        </is>
      </c>
      <c r="B751" s="16" t="inlineStr">
        <is>
          <t>PO-128-02900205875833608</t>
        </is>
      </c>
      <c r="C751" s="16" t="inlineStr">
        <is>
          <t>Delivered</t>
        </is>
      </c>
      <c r="D751" s="16" t="inlineStr">
        <is>
          <t>128-02900258304633608</t>
        </is>
      </c>
      <c r="E751" s="16" t="inlineStr">
        <is>
          <t>Delivered</t>
        </is>
      </c>
      <c r="F751" s="16" t="inlineStr">
        <is>
          <t>LV54W25</t>
        </is>
      </c>
      <c r="G751" s="16" t="inlineStr">
        <is>
          <t>TIANLAI Lámpara Ventilador E27 2 en 1, Silenciosa, LED Alta Luminosidad 180°, Instalación Rápida, Ahorro Energético para Dormitorio y Interiores Pequeños</t>
        </is>
      </c>
      <c r="H751" s="16" t="inlineStr">
        <is>
          <t>1 Pieza</t>
        </is>
      </c>
      <c r="I751" s="16" t="n">
        <v>1</v>
      </c>
      <c r="J751" s="17" t="n">
        <v>78.5</v>
      </c>
      <c r="K751" s="17" t="n">
        <v>82.3</v>
      </c>
      <c r="L751" s="17" t="n">
        <v>25.86</v>
      </c>
      <c r="M751" s="17" t="n">
        <v>0</v>
      </c>
      <c r="N751" s="17">
        <f>K751*0.08+L751*0.08</f>
        <v/>
      </c>
      <c r="O751" s="17">
        <f>-(K751*0.025+L751*0.025)</f>
        <v/>
      </c>
      <c r="P751" s="17">
        <f>32</f>
        <v/>
      </c>
      <c r="Q751" s="17">
        <f>J751+L751+N751+O751-P751-M751</f>
        <v/>
      </c>
    </row>
    <row r="752">
      <c r="A752" s="16" t="inlineStr">
        <is>
          <t>5.1-5.7</t>
        </is>
      </c>
      <c r="B752" s="16" t="inlineStr">
        <is>
          <t>PO-128-03287739771510274</t>
        </is>
      </c>
      <c r="C752" s="16" t="inlineStr">
        <is>
          <t>Delivered</t>
        </is>
      </c>
      <c r="D752" s="16" t="inlineStr">
        <is>
          <t>128-03287718799990274</t>
        </is>
      </c>
      <c r="E752" s="16" t="inlineStr">
        <is>
          <t>Delivered</t>
        </is>
      </c>
      <c r="F752" s="16" t="inlineStr">
        <is>
          <t>LV64W25</t>
        </is>
      </c>
      <c r="G7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2" s="16" t="inlineStr">
        <is>
          <t>Blanco</t>
        </is>
      </c>
      <c r="I752" s="16" t="n">
        <v>1</v>
      </c>
      <c r="J752" s="17" t="n">
        <v>120</v>
      </c>
      <c r="K752" s="17" t="n">
        <v>138.28</v>
      </c>
      <c r="L752" s="17" t="n">
        <v>25.86</v>
      </c>
      <c r="M752" s="17" t="n">
        <v>0</v>
      </c>
      <c r="N752" s="17">
        <f>K752*0.08+L752*0.08</f>
        <v/>
      </c>
      <c r="O752" s="17">
        <f>-(K752*0.025+L752*0.025)</f>
        <v/>
      </c>
      <c r="P752" s="17">
        <f>32</f>
        <v/>
      </c>
      <c r="Q752" s="17">
        <f>J752+L752+N752+O752-P752-M752</f>
        <v/>
      </c>
    </row>
    <row r="753">
      <c r="A753" s="16" t="inlineStr">
        <is>
          <t>5.1-5.7</t>
        </is>
      </c>
      <c r="B753" s="16" t="inlineStr">
        <is>
          <t>PO-128-03339981783670093</t>
        </is>
      </c>
      <c r="C753" s="16" t="inlineStr">
        <is>
          <t>Delivered</t>
        </is>
      </c>
      <c r="D753" s="16" t="inlineStr">
        <is>
          <t>128-03339939840630093</t>
        </is>
      </c>
      <c r="E753" s="16" t="inlineStr">
        <is>
          <t>Delivered</t>
        </is>
      </c>
      <c r="F753" s="16" t="inlineStr">
        <is>
          <t>LV64W25</t>
        </is>
      </c>
      <c r="G7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3" s="16" t="inlineStr">
        <is>
          <t>Blanco</t>
        </is>
      </c>
      <c r="I753" s="16" t="n">
        <v>4</v>
      </c>
      <c r="J753" s="17" t="n">
        <v>480</v>
      </c>
      <c r="K753" s="17" t="n">
        <v>503.36</v>
      </c>
      <c r="L753" s="17" t="n">
        <v>0</v>
      </c>
      <c r="M753" s="17" t="n">
        <v>0</v>
      </c>
      <c r="N753" s="17">
        <f>K753*0.08+L753*0.08</f>
        <v/>
      </c>
      <c r="O753" s="17">
        <f>-(K753*0.025+L753*0.025)</f>
        <v/>
      </c>
      <c r="P753" s="17">
        <f>32</f>
        <v/>
      </c>
      <c r="Q753" s="17">
        <f>J753+L753+N753+O753-P753-M753</f>
        <v/>
      </c>
    </row>
    <row r="754">
      <c r="A754" s="16" t="inlineStr">
        <is>
          <t>5.1-5.7</t>
        </is>
      </c>
      <c r="B754" s="16" t="inlineStr">
        <is>
          <t>PO-128-03425598095990604</t>
        </is>
      </c>
      <c r="C754" s="16" t="inlineStr">
        <is>
          <t>Delivered</t>
        </is>
      </c>
      <c r="D754" s="16" t="inlineStr">
        <is>
          <t>128-03425632174710604</t>
        </is>
      </c>
      <c r="E754" s="16" t="inlineStr">
        <is>
          <t>Delivered</t>
        </is>
      </c>
      <c r="F754" s="16" t="inlineStr">
        <is>
          <t>LV64W25</t>
        </is>
      </c>
      <c r="G7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4" s="16" t="inlineStr">
        <is>
          <t>Blanco</t>
        </is>
      </c>
      <c r="I754" s="16" t="n">
        <v>3</v>
      </c>
      <c r="J754" s="17" t="n">
        <v>360</v>
      </c>
      <c r="K754" s="17" t="n">
        <v>254.96</v>
      </c>
      <c r="L754" s="17" t="n">
        <v>0</v>
      </c>
      <c r="M754" s="17" t="n">
        <v>1.89</v>
      </c>
      <c r="N754" s="17">
        <f>K754*0.08+L754*0.08</f>
        <v/>
      </c>
      <c r="O754" s="17">
        <f>-(K754*0.025+L754*0.025)</f>
        <v/>
      </c>
      <c r="P754" s="17">
        <f>32</f>
        <v/>
      </c>
      <c r="Q754" s="17">
        <f>J754+L754+N754+O754-P754-M754</f>
        <v/>
      </c>
    </row>
    <row r="755">
      <c r="A755" s="16" t="inlineStr">
        <is>
          <t>5.1-5.7</t>
        </is>
      </c>
      <c r="B755" s="16" t="inlineStr">
        <is>
          <t>PO-128-02959977841272420</t>
        </is>
      </c>
      <c r="C755" s="16" t="inlineStr">
        <is>
          <t>Delivered</t>
        </is>
      </c>
      <c r="D755" s="16" t="inlineStr">
        <is>
          <t>128-02959935898232420</t>
        </is>
      </c>
      <c r="E755" s="16" t="inlineStr">
        <is>
          <t>Delivered</t>
        </is>
      </c>
      <c r="F755" s="16" t="inlineStr">
        <is>
          <t>LV54W25</t>
        </is>
      </c>
      <c r="G755" s="16" t="inlineStr">
        <is>
          <t>TIANLAI Lámpara Ventilador E27 2 en 1, Silenciosa, LED Alta Luminosidad 180°, Instalación Rápida, Ahorro Energético para Dormitorio y Interiores Pequeños</t>
        </is>
      </c>
      <c r="H755" s="16" t="inlineStr">
        <is>
          <t>1 Pieza</t>
        </is>
      </c>
      <c r="I755" s="16" t="n">
        <v>1</v>
      </c>
      <c r="J755" s="17" t="n">
        <v>78.5</v>
      </c>
      <c r="K755" s="17" t="n">
        <v>82.3</v>
      </c>
      <c r="L755" s="17" t="n">
        <v>25.86</v>
      </c>
      <c r="M755" s="17" t="n">
        <v>0</v>
      </c>
      <c r="N755" s="17">
        <f>K755*0.08+L755*0.08</f>
        <v/>
      </c>
      <c r="O755" s="17">
        <f>-(K755*0.025+L755*0.025)</f>
        <v/>
      </c>
      <c r="P755" s="17">
        <f>32</f>
        <v/>
      </c>
      <c r="Q755" s="17">
        <f>J755+L755+N755+O755-P755-M755</f>
        <v/>
      </c>
    </row>
    <row r="756">
      <c r="A756" s="16" t="inlineStr">
        <is>
          <t>5.1-5.7</t>
        </is>
      </c>
      <c r="B756" s="16" t="inlineStr">
        <is>
          <t>PO-128-18699955630711786</t>
        </is>
      </c>
      <c r="C756" s="16" t="inlineStr">
        <is>
          <t>Delivered</t>
        </is>
      </c>
      <c r="D756" s="16" t="inlineStr">
        <is>
          <t>128-18699913687671786</t>
        </is>
      </c>
      <c r="E756" s="16" t="inlineStr">
        <is>
          <t>Delivered</t>
        </is>
      </c>
      <c r="F756" s="16" t="inlineStr">
        <is>
          <t>LV64W25</t>
        </is>
      </c>
      <c r="G7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6" s="16" t="inlineStr">
        <is>
          <t>Blanco</t>
        </is>
      </c>
      <c r="I756" s="16" t="n">
        <v>1</v>
      </c>
      <c r="J756" s="17" t="n">
        <v>120</v>
      </c>
      <c r="K756" s="17" t="n">
        <v>138.28</v>
      </c>
      <c r="L756" s="17" t="n">
        <v>25.86</v>
      </c>
      <c r="M756" s="17" t="n">
        <v>0</v>
      </c>
      <c r="N756" s="17">
        <f>K756*0.08+L756*0.08</f>
        <v/>
      </c>
      <c r="O756" s="17">
        <f>-(K756*0.025+L756*0.025)</f>
        <v/>
      </c>
      <c r="P756" s="17">
        <f>32</f>
        <v/>
      </c>
      <c r="Q756" s="17">
        <f>J756+L756+N756+O756-P756-M756</f>
        <v/>
      </c>
    </row>
    <row r="757">
      <c r="A757" s="16" t="inlineStr">
        <is>
          <t>5.1-5.7</t>
        </is>
      </c>
      <c r="B757" s="16" t="inlineStr">
        <is>
          <t>PO-128-18580591063671282</t>
        </is>
      </c>
      <c r="C757" s="16" t="inlineStr">
        <is>
          <t>Delivered</t>
        </is>
      </c>
      <c r="D757" s="16" t="inlineStr">
        <is>
          <t>128-18580570092151282</t>
        </is>
      </c>
      <c r="E757" s="16" t="inlineStr">
        <is>
          <t>Delivered</t>
        </is>
      </c>
      <c r="F757" s="16" t="inlineStr">
        <is>
          <t>LV54W25</t>
        </is>
      </c>
      <c r="G757" s="16" t="inlineStr">
        <is>
          <t>TIANLAI Lámpara Ventilador E27 2 en 1, Silenciosa, LED Alta Luminosidad 180°, Instalación Rápida, Ahorro Energético para Dormitorio y Interiores Pequeños</t>
        </is>
      </c>
      <c r="H757" s="16" t="inlineStr">
        <is>
          <t>1 Pieza</t>
        </is>
      </c>
      <c r="I757" s="16" t="n">
        <v>1</v>
      </c>
      <c r="J757" s="17" t="n">
        <v>78.5</v>
      </c>
      <c r="K757" s="17" t="n">
        <v>82.3</v>
      </c>
      <c r="L757" s="17" t="n">
        <v>25.86</v>
      </c>
      <c r="M757" s="17" t="n">
        <v>0</v>
      </c>
      <c r="N757" s="17">
        <f>K757*0.08+L757*0.08</f>
        <v/>
      </c>
      <c r="O757" s="17">
        <f>-(K757*0.025+L757*0.025)</f>
        <v/>
      </c>
      <c r="P757" s="17">
        <f>32</f>
        <v/>
      </c>
      <c r="Q757" s="17">
        <f>J757+L757+N757+O757-P757-M757</f>
        <v/>
      </c>
    </row>
    <row r="758">
      <c r="A758" s="16" t="inlineStr">
        <is>
          <t>5.1-5.7</t>
        </is>
      </c>
      <c r="B758" s="16" t="inlineStr">
        <is>
          <t>PO-128-19224022200952566</t>
        </is>
      </c>
      <c r="C758" s="16" t="inlineStr">
        <is>
          <t>Delivered</t>
        </is>
      </c>
      <c r="D758" s="16" t="inlineStr">
        <is>
          <t>128-19224158515832566</t>
        </is>
      </c>
      <c r="E758" s="16" t="inlineStr">
        <is>
          <t>Delivered</t>
        </is>
      </c>
      <c r="F758" s="16" t="inlineStr">
        <is>
          <t>LV64W25</t>
        </is>
      </c>
      <c r="G7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58" s="16" t="inlineStr">
        <is>
          <t>Blanco</t>
        </is>
      </c>
      <c r="I758" s="16" t="n">
        <v>2</v>
      </c>
      <c r="J758" s="17" t="n">
        <v>240</v>
      </c>
      <c r="K758" s="17" t="n">
        <v>251.68</v>
      </c>
      <c r="L758" s="17" t="n">
        <v>0</v>
      </c>
      <c r="M758" s="17" t="n">
        <v>0</v>
      </c>
      <c r="N758" s="17">
        <f>K758*0.08+L758*0.08</f>
        <v/>
      </c>
      <c r="O758" s="17">
        <f>-(K758*0.025+L758*0.025)</f>
        <v/>
      </c>
      <c r="P758" s="17">
        <f>32</f>
        <v/>
      </c>
      <c r="Q758" s="17">
        <f>J758+L758+N758+O758-P758-M758</f>
        <v/>
      </c>
    </row>
    <row r="759">
      <c r="A759" s="16" t="inlineStr">
        <is>
          <t>5.1-5.7</t>
        </is>
      </c>
      <c r="B759" s="16" t="inlineStr">
        <is>
          <t>PO-128-19199149998712717</t>
        </is>
      </c>
      <c r="C759" s="16" t="inlineStr">
        <is>
          <t>Delivered</t>
        </is>
      </c>
      <c r="D759" s="16" t="inlineStr">
        <is>
          <t>128-19199108055672717</t>
        </is>
      </c>
      <c r="E759" s="16" t="inlineStr">
        <is>
          <t>Delivered</t>
        </is>
      </c>
      <c r="F759" s="16" t="inlineStr">
        <is>
          <t>KTS-2031</t>
        </is>
      </c>
      <c r="G759" s="16" t="inlineStr">
        <is>
          <t>Bocina inalámbrica de 3 pulgadas con linterna multifuncional y panel solar integrado.Altavoz Portátil con Linterna LED 4 Modos, Radio FM, Bluetooth, Carga Solar, Ideal para Apagones, Emergencias, Campo y Exteriores</t>
        </is>
      </c>
      <c r="H759" s="16" t="inlineStr">
        <is>
          <t>NEGRO</t>
        </is>
      </c>
      <c r="I759" s="16" t="n">
        <v>1</v>
      </c>
      <c r="J759" s="17" t="n">
        <v>63.15</v>
      </c>
      <c r="K759" s="17" t="n">
        <v>61.53</v>
      </c>
      <c r="L759" s="17" t="n">
        <v>25.86</v>
      </c>
      <c r="M759" s="17" t="n">
        <v>0</v>
      </c>
      <c r="N759" s="17">
        <f>K759*0.08+L759*0.08</f>
        <v/>
      </c>
      <c r="O759" s="17">
        <f>-(K759*0.025+L759*0.025)</f>
        <v/>
      </c>
      <c r="P759" s="17">
        <f>32</f>
        <v/>
      </c>
      <c r="Q759" s="17">
        <f>J759+L759+N759+O759-P759-M759</f>
        <v/>
      </c>
    </row>
    <row r="760">
      <c r="A760" s="16" t="inlineStr">
        <is>
          <t>5.1-5.7</t>
        </is>
      </c>
      <c r="B760" s="16" t="inlineStr">
        <is>
          <t>PO-128-19016776264313930</t>
        </is>
      </c>
      <c r="C760" s="16" t="inlineStr">
        <is>
          <t>Delivered</t>
        </is>
      </c>
      <c r="D760" s="16" t="inlineStr">
        <is>
          <t>128-19016734321273930</t>
        </is>
      </c>
      <c r="E760" s="16" t="inlineStr">
        <is>
          <t>Delivered</t>
        </is>
      </c>
      <c r="F760" s="16" t="inlineStr">
        <is>
          <t>LV64W25</t>
        </is>
      </c>
      <c r="G7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60" s="16" t="inlineStr">
        <is>
          <t>Blanco</t>
        </is>
      </c>
      <c r="I760" s="16" t="n">
        <v>2</v>
      </c>
      <c r="J760" s="17" t="n">
        <v>240</v>
      </c>
      <c r="K760" s="17" t="n">
        <v>251.68</v>
      </c>
      <c r="L760" s="17" t="n">
        <v>0</v>
      </c>
      <c r="M760" s="17" t="n">
        <v>0</v>
      </c>
      <c r="N760" s="17">
        <f>K760*0.08+L760*0.08</f>
        <v/>
      </c>
      <c r="O760" s="17">
        <f>-(K760*0.025+L760*0.025)</f>
        <v/>
      </c>
      <c r="P760" s="17">
        <f>32</f>
        <v/>
      </c>
      <c r="Q760" s="17">
        <f>J760+L760+N760+O760-P760-M760</f>
        <v/>
      </c>
    </row>
    <row r="761">
      <c r="A761" s="16" t="inlineStr">
        <is>
          <t>5.1-5.7</t>
        </is>
      </c>
      <c r="B761" s="16" t="inlineStr">
        <is>
          <t>PO-128-19217606789752799</t>
        </is>
      </c>
      <c r="C761" s="16" t="inlineStr">
        <is>
          <t>Delivered</t>
        </is>
      </c>
      <c r="D761" s="16" t="inlineStr">
        <is>
          <t>128-19217564846712799</t>
        </is>
      </c>
      <c r="E761" s="16" t="inlineStr">
        <is>
          <t>Delivered</t>
        </is>
      </c>
      <c r="F761" s="16" t="inlineStr">
        <is>
          <t>LV54W25</t>
        </is>
      </c>
      <c r="G761" s="16" t="inlineStr">
        <is>
          <t>TIANLAI Lámpara Ventilador E27 2 en 1, Silenciosa, LED Alta Luminosidad 180°, Instalación Rápida, Ahorro Energético para Dormitorio y Interiores Pequeños</t>
        </is>
      </c>
      <c r="H761" s="16" t="inlineStr">
        <is>
          <t>1 Pieza</t>
        </is>
      </c>
      <c r="I761" s="16" t="n">
        <v>1</v>
      </c>
      <c r="J761" s="17" t="n">
        <v>78.5</v>
      </c>
      <c r="K761" s="17" t="n">
        <v>82.3</v>
      </c>
      <c r="L761" s="17" t="n">
        <v>25.86</v>
      </c>
      <c r="M761" s="17" t="n">
        <v>0</v>
      </c>
      <c r="N761" s="17">
        <f>K761*0.08+L761*0.08</f>
        <v/>
      </c>
      <c r="O761" s="17">
        <f>-(K761*0.025+L761*0.025)</f>
        <v/>
      </c>
      <c r="P761" s="17">
        <f>32</f>
        <v/>
      </c>
      <c r="Q761" s="17">
        <f>J761+L761+N761+O761-P761-M761</f>
        <v/>
      </c>
    </row>
    <row r="762">
      <c r="A762" s="16" t="inlineStr">
        <is>
          <t>5.1-5.7</t>
        </is>
      </c>
      <c r="B762" s="16" t="inlineStr">
        <is>
          <t>PO-128-18879268864630527</t>
        </is>
      </c>
      <c r="C762" s="16" t="inlineStr">
        <is>
          <t>Delivered</t>
        </is>
      </c>
      <c r="D762" s="16" t="inlineStr">
        <is>
          <t>128-18879247893110527</t>
        </is>
      </c>
      <c r="E762" s="16" t="inlineStr">
        <is>
          <t>Delivered</t>
        </is>
      </c>
      <c r="F762" s="16" t="inlineStr">
        <is>
          <t>B03W10-10PZS</t>
        </is>
      </c>
      <c r="G7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762" s="16" t="inlineStr">
        <is>
          <t>B03W10</t>
        </is>
      </c>
      <c r="I762" s="16" t="n">
        <v>1</v>
      </c>
      <c r="J762" s="17" t="n">
        <v>66</v>
      </c>
      <c r="K762" s="17" t="n">
        <v>58.61</v>
      </c>
      <c r="L762" s="17" t="n">
        <v>25.86</v>
      </c>
      <c r="M762" s="17" t="n">
        <v>0</v>
      </c>
      <c r="N762" s="17">
        <f>K762*0.08+L762*0.08</f>
        <v/>
      </c>
      <c r="O762" s="17">
        <f>-(K762*0.025+L762*0.025)</f>
        <v/>
      </c>
      <c r="P762" s="17">
        <f>32</f>
        <v/>
      </c>
      <c r="Q762" s="17">
        <f>J762+L762+N762+O762-P762-M762</f>
        <v/>
      </c>
    </row>
    <row r="763">
      <c r="A763" s="16" t="inlineStr">
        <is>
          <t>5.1-5.7</t>
        </is>
      </c>
      <c r="B763" s="16" t="inlineStr">
        <is>
          <t>PO-128-19096899328632364</t>
        </is>
      </c>
      <c r="C763" s="16" t="inlineStr">
        <is>
          <t>Delivered</t>
        </is>
      </c>
      <c r="D763" s="16" t="inlineStr">
        <is>
          <t>128-19096878357112364</t>
        </is>
      </c>
      <c r="E763" s="16" t="inlineStr">
        <is>
          <t>Delivered</t>
        </is>
      </c>
      <c r="F763" s="16" t="inlineStr">
        <is>
          <t>LV64W25</t>
        </is>
      </c>
      <c r="G7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63" s="16" t="inlineStr">
        <is>
          <t>Blanco</t>
        </is>
      </c>
      <c r="I763" s="16" t="n">
        <v>1</v>
      </c>
      <c r="J763" s="17" t="n">
        <v>120</v>
      </c>
      <c r="K763" s="17" t="n">
        <v>117.54</v>
      </c>
      <c r="L763" s="17" t="n">
        <v>25.86</v>
      </c>
      <c r="M763" s="17" t="n">
        <v>0</v>
      </c>
      <c r="N763" s="17">
        <f>K763*0.08+L763*0.08</f>
        <v/>
      </c>
      <c r="O763" s="17">
        <f>-(K763*0.025+L763*0.025)</f>
        <v/>
      </c>
      <c r="P763" s="17">
        <f>32</f>
        <v/>
      </c>
      <c r="Q763" s="17">
        <f>J763+L763+N763+O763-P763-M763</f>
        <v/>
      </c>
    </row>
    <row r="764">
      <c r="A764" s="16" t="inlineStr">
        <is>
          <t>5.1-5.7</t>
        </is>
      </c>
      <c r="B764" s="16" t="inlineStr">
        <is>
          <t>PO-128-19008986081913848</t>
        </is>
      </c>
      <c r="C764" s="16" t="inlineStr">
        <is>
          <t>Delivered</t>
        </is>
      </c>
      <c r="D764" s="16" t="inlineStr">
        <is>
          <t>128-19008961178233848</t>
        </is>
      </c>
      <c r="E764" s="16" t="inlineStr">
        <is>
          <t>Delivered</t>
        </is>
      </c>
      <c r="F764" s="16" t="inlineStr">
        <is>
          <t>LV64W25</t>
        </is>
      </c>
      <c r="G7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64" s="16" t="inlineStr">
        <is>
          <t>Blanco</t>
        </is>
      </c>
      <c r="I764" s="16" t="n">
        <v>1</v>
      </c>
      <c r="J764" s="17" t="n">
        <v>120</v>
      </c>
      <c r="K764" s="17" t="n">
        <v>85.31999999999999</v>
      </c>
      <c r="L764" s="17" t="n">
        <v>25.86</v>
      </c>
      <c r="M764" s="17" t="n">
        <v>0</v>
      </c>
      <c r="N764" s="17">
        <f>K764*0.08+L764*0.08</f>
        <v/>
      </c>
      <c r="O764" s="17">
        <f>-(K764*0.025+L764*0.025)</f>
        <v/>
      </c>
      <c r="P764" s="17">
        <f>32</f>
        <v/>
      </c>
      <c r="Q764" s="17">
        <f>J764+L764+N764+O764-P764-M764</f>
        <v/>
      </c>
    </row>
    <row r="765">
      <c r="A765" s="16" t="inlineStr">
        <is>
          <t>5.1-5.7</t>
        </is>
      </c>
      <c r="B765" s="16" t="inlineStr">
        <is>
          <t>PO-128-18695584420471748</t>
        </is>
      </c>
      <c r="C765" s="16" t="inlineStr">
        <is>
          <t>Delivered</t>
        </is>
      </c>
      <c r="D765" s="16" t="inlineStr">
        <is>
          <t>128-18695568691831748</t>
        </is>
      </c>
      <c r="E765" s="16" t="inlineStr">
        <is>
          <t>Delivered</t>
        </is>
      </c>
      <c r="F765" s="16" t="inlineStr">
        <is>
          <t>LV54W25</t>
        </is>
      </c>
      <c r="G765" s="16" t="inlineStr">
        <is>
          <t>TIANLAI Lámpara Ventilador E27 2 en 1, Silenciosa, LED Alta Luminosidad 180°, Instalación Rápida, Ahorro Energético para Dormitorio y Interiores Pequeños</t>
        </is>
      </c>
      <c r="H765" s="16" t="inlineStr">
        <is>
          <t>1 Pieza</t>
        </is>
      </c>
      <c r="I765" s="16" t="n">
        <v>1</v>
      </c>
      <c r="J765" s="17" t="n">
        <v>78.5</v>
      </c>
      <c r="K765" s="17" t="n">
        <v>95.7</v>
      </c>
      <c r="L765" s="17" t="n">
        <v>25.86</v>
      </c>
      <c r="M765" s="17" t="n">
        <v>0</v>
      </c>
      <c r="N765" s="17">
        <f>K765*0.08+L765*0.08</f>
        <v/>
      </c>
      <c r="O765" s="17">
        <f>-(K765*0.025+L765*0.025)</f>
        <v/>
      </c>
      <c r="P765" s="17">
        <f>32</f>
        <v/>
      </c>
      <c r="Q765" s="17">
        <f>J765+L765+N765+O765-P765-M765</f>
        <v/>
      </c>
    </row>
    <row r="766">
      <c r="A766" s="16" t="inlineStr">
        <is>
          <t>5.1-5.7</t>
        </is>
      </c>
      <c r="B766" s="16" t="inlineStr">
        <is>
          <t>PO-128-18920914227833351</t>
        </is>
      </c>
      <c r="C766" s="16" t="inlineStr">
        <is>
          <t>Delivered</t>
        </is>
      </c>
      <c r="D766" s="16" t="inlineStr">
        <is>
          <t>128-18920935199353351</t>
        </is>
      </c>
      <c r="E766" s="16" t="inlineStr">
        <is>
          <t>Delivered</t>
        </is>
      </c>
      <c r="F766" s="16" t="inlineStr">
        <is>
          <t>KTS-2031</t>
        </is>
      </c>
      <c r="G766" s="16" t="inlineStr">
        <is>
          <t>Bocina inalámbrica de 3 pulgadas con linterna multifuncional y panel solar integrado.Altavoz Portátil con Linterna LED 4 Modos, Radio FM, Bluetooth, Carga Solar, Ideal para Apagones, Emergencias, Campo y Exteriores</t>
        </is>
      </c>
      <c r="H766" s="16" t="inlineStr">
        <is>
          <t>NEGRO</t>
        </is>
      </c>
      <c r="I766" s="16" t="n">
        <v>1</v>
      </c>
      <c r="J766" s="17" t="n">
        <v>63.15</v>
      </c>
      <c r="K766" s="17" t="n">
        <v>68.12</v>
      </c>
      <c r="L766" s="17" t="n">
        <v>25.86</v>
      </c>
      <c r="M766" s="17" t="n">
        <v>0</v>
      </c>
      <c r="N766" s="17">
        <f>K766*0.08+L766*0.08</f>
        <v/>
      </c>
      <c r="O766" s="17">
        <f>-(K766*0.025+L766*0.025)</f>
        <v/>
      </c>
      <c r="P766" s="17">
        <f>32</f>
        <v/>
      </c>
      <c r="Q766" s="17">
        <f>J766+L766+N766+O766-P766-M766</f>
        <v/>
      </c>
    </row>
    <row r="767">
      <c r="A767" s="16" t="inlineStr">
        <is>
          <t>5.1-5.7</t>
        </is>
      </c>
      <c r="B767" s="16" t="inlineStr">
        <is>
          <t>PO-128-18929954949753361</t>
        </is>
      </c>
      <c r="C767" s="16" t="inlineStr">
        <is>
          <t>Delivered</t>
        </is>
      </c>
      <c r="D767" s="16" t="inlineStr">
        <is>
          <t>128-18929913006713361</t>
        </is>
      </c>
      <c r="E767" s="16" t="inlineStr">
        <is>
          <t>Delivered</t>
        </is>
      </c>
      <c r="F767" s="16" t="inlineStr">
        <is>
          <t>LV54W25</t>
        </is>
      </c>
      <c r="G767" s="16" t="inlineStr">
        <is>
          <t>TIANLAI Lámpara Ventilador E27 2 en 1, Silenciosa, LED Alta Luminosidad 180°, Instalación Rápida, Ahorro Energético para Dormitorio y Interiores Pequeños</t>
        </is>
      </c>
      <c r="H767" s="16" t="inlineStr">
        <is>
          <t>1 Pieza</t>
        </is>
      </c>
      <c r="I767" s="16" t="n">
        <v>1</v>
      </c>
      <c r="J767" s="17" t="n">
        <v>78.5</v>
      </c>
      <c r="K767" s="17" t="n">
        <v>82.3</v>
      </c>
      <c r="L767" s="17" t="n">
        <v>25.86</v>
      </c>
      <c r="M767" s="17" t="n">
        <v>0</v>
      </c>
      <c r="N767" s="17">
        <f>K767*0.08+L767*0.08</f>
        <v/>
      </c>
      <c r="O767" s="17">
        <f>-(K767*0.025+L767*0.025)</f>
        <v/>
      </c>
      <c r="P767" s="17">
        <f>32</f>
        <v/>
      </c>
      <c r="Q767" s="17">
        <f>J767+L767+N767+O767-P767-M767</f>
        <v/>
      </c>
    </row>
    <row r="768">
      <c r="A768" s="16" t="inlineStr">
        <is>
          <t>5.1-5.7</t>
        </is>
      </c>
      <c r="B768" s="16" t="inlineStr">
        <is>
          <t>PO-128-19209814641272781</t>
        </is>
      </c>
      <c r="C768" s="16" t="inlineStr">
        <is>
          <t>Delivered</t>
        </is>
      </c>
      <c r="D768" s="16" t="inlineStr">
        <is>
          <t>128-19209856584312781</t>
        </is>
      </c>
      <c r="E768" s="16" t="inlineStr">
        <is>
          <t>Delivered</t>
        </is>
      </c>
      <c r="F768" s="16" t="inlineStr">
        <is>
          <t>VB349T</t>
        </is>
      </c>
      <c r="G768" s="16" t="inlineStr">
        <is>
          <t>LINKBITS Altavoz Portátil de Doble Altavoz - 3 Pulgadas, Sonido HD, Emparejamiento Rápido de Bluetooth, Conectividad TWS, Reproducción Multimodo (Micro SD/USB/Radio FM) - Perfecto para Oficina, Viajes y Espacios Pequeños</t>
        </is>
      </c>
      <c r="H768" s="16" t="inlineStr">
        <is>
          <t>NEGRO</t>
        </is>
      </c>
      <c r="I768" s="16" t="n">
        <v>1</v>
      </c>
      <c r="J768" s="17" t="n">
        <v>79</v>
      </c>
      <c r="K768" s="17" t="n">
        <v>9.5</v>
      </c>
      <c r="L768" s="17" t="n">
        <v>25.86</v>
      </c>
      <c r="M768" s="17" t="n">
        <v>0</v>
      </c>
      <c r="N768" s="17">
        <f>K768*0.08+L768*0.08</f>
        <v/>
      </c>
      <c r="O768" s="17">
        <f>-(K768*0.025+L768*0.025)</f>
        <v/>
      </c>
      <c r="P768" s="17">
        <f>32</f>
        <v/>
      </c>
      <c r="Q768" s="17">
        <f>J768+L768+N768+O768-P768-M768</f>
        <v/>
      </c>
    </row>
    <row r="769">
      <c r="A769" s="16" t="inlineStr">
        <is>
          <t>5.1-5.7</t>
        </is>
      </c>
      <c r="B769" s="16" t="inlineStr">
        <is>
          <t>PO-128-19023094026873956</t>
        </is>
      </c>
      <c r="C769" s="16" t="inlineStr">
        <is>
          <t>Delivered</t>
        </is>
      </c>
      <c r="D769" s="16" t="inlineStr">
        <is>
          <t>128-19023135969913956</t>
        </is>
      </c>
      <c r="E769" s="16" t="inlineStr">
        <is>
          <t>Delivered</t>
        </is>
      </c>
      <c r="F769" s="16" t="inlineStr">
        <is>
          <t>LV54W25</t>
        </is>
      </c>
      <c r="G769" s="16" t="inlineStr">
        <is>
          <t>TIANLAI Lámpara Ventilador E27 2 en 1, Silenciosa, LED Alta Luminosidad 180°, Instalación Rápida, Ahorro Energético para Dormitorio y Interiores Pequeños</t>
        </is>
      </c>
      <c r="H769" s="16" t="inlineStr">
        <is>
          <t>1 Pieza</t>
        </is>
      </c>
      <c r="I769" s="16" t="n">
        <v>1</v>
      </c>
      <c r="J769" s="17" t="n">
        <v>78.5</v>
      </c>
      <c r="K769" s="17" t="n">
        <v>95.7</v>
      </c>
      <c r="L769" s="17" t="n">
        <v>25.86</v>
      </c>
      <c r="M769" s="17" t="n">
        <v>0</v>
      </c>
      <c r="N769" s="17">
        <f>K769*0.08+L769*0.08</f>
        <v/>
      </c>
      <c r="O769" s="17">
        <f>-(K769*0.025+L769*0.025)</f>
        <v/>
      </c>
      <c r="P769" s="17">
        <f>32</f>
        <v/>
      </c>
      <c r="Q769" s="17">
        <f>J769+L769+N769+O769-P769-M769</f>
        <v/>
      </c>
    </row>
    <row r="770">
      <c r="A770" s="16" t="inlineStr">
        <is>
          <t>5.1-5.7</t>
        </is>
      </c>
      <c r="B770" s="16" t="inlineStr">
        <is>
          <t>PO-128-18979128545913194</t>
        </is>
      </c>
      <c r="C770" s="16" t="inlineStr">
        <is>
          <t>Delivered</t>
        </is>
      </c>
      <c r="D770" s="16" t="inlineStr">
        <is>
          <t>128-18979170488953194</t>
        </is>
      </c>
      <c r="E770" s="16" t="inlineStr">
        <is>
          <t>Delivered</t>
        </is>
      </c>
      <c r="F770" s="16" t="inlineStr">
        <is>
          <t>LV64W25</t>
        </is>
      </c>
      <c r="G7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70" s="16" t="inlineStr">
        <is>
          <t>Blanco</t>
        </is>
      </c>
      <c r="I770" s="16" t="n">
        <v>1</v>
      </c>
      <c r="J770" s="17" t="n">
        <v>120</v>
      </c>
      <c r="K770" s="17" t="n">
        <v>106.97</v>
      </c>
      <c r="L770" s="17" t="n">
        <v>25.86</v>
      </c>
      <c r="M770" s="17" t="n">
        <v>0</v>
      </c>
      <c r="N770" s="17">
        <f>K770*0.08+L770*0.08</f>
        <v/>
      </c>
      <c r="O770" s="17">
        <f>-(K770*0.025+L770*0.025)</f>
        <v/>
      </c>
      <c r="P770" s="17">
        <f>32</f>
        <v/>
      </c>
      <c r="Q770" s="17">
        <f>J770+L770+N770+O770-P770-M770</f>
        <v/>
      </c>
    </row>
    <row r="771">
      <c r="A771" s="16" t="inlineStr">
        <is>
          <t>5.1-5.7</t>
        </is>
      </c>
      <c r="B771" s="16" t="inlineStr">
        <is>
          <t>PO-128-19024375829113948</t>
        </is>
      </c>
      <c r="C771" s="16" t="inlineStr">
        <is>
          <t>Delivered</t>
        </is>
      </c>
      <c r="D771" s="16" t="inlineStr">
        <is>
          <t>128-19024512143993948</t>
        </is>
      </c>
      <c r="E771" s="16" t="inlineStr">
        <is>
          <t>Delivered</t>
        </is>
      </c>
      <c r="F771" s="16" t="inlineStr">
        <is>
          <t>VB349T</t>
        </is>
      </c>
      <c r="G771" s="16" t="inlineStr">
        <is>
          <t>LINKBITS Altavoz Portátil de Doble Altavoz - 3 Pulgadas, Sonido HD, Emparejamiento Rápido de Bluetooth, Conectividad TWS, Reproducción Multimodo (Micro SD/USB/Radio FM) - Perfecto para Oficina, Viajes y Espacios Pequeños</t>
        </is>
      </c>
      <c r="H771" s="16" t="inlineStr">
        <is>
          <t>NEGRO</t>
        </is>
      </c>
      <c r="I771" s="16" t="n">
        <v>1</v>
      </c>
      <c r="J771" s="17" t="n">
        <v>79</v>
      </c>
      <c r="K771" s="17" t="n">
        <v>73.81</v>
      </c>
      <c r="L771" s="17" t="n">
        <v>25.86</v>
      </c>
      <c r="M771" s="17" t="n">
        <v>0</v>
      </c>
      <c r="N771" s="17">
        <f>K771*0.08+L771*0.08</f>
        <v/>
      </c>
      <c r="O771" s="17">
        <f>-(K771*0.025+L771*0.025)</f>
        <v/>
      </c>
      <c r="P771" s="17">
        <f>32</f>
        <v/>
      </c>
      <c r="Q771" s="17">
        <f>J771+L771+N771+O771-P771-M771</f>
        <v/>
      </c>
    </row>
    <row r="772">
      <c r="A772" s="16" t="inlineStr">
        <is>
          <t>5.1-5.7</t>
        </is>
      </c>
      <c r="B772" s="16" t="inlineStr">
        <is>
          <t>PO-128-18827437650550962</t>
        </is>
      </c>
      <c r="C772" s="16" t="inlineStr">
        <is>
          <t>Delivered</t>
        </is>
      </c>
      <c r="D772" s="16" t="inlineStr">
        <is>
          <t>128-18827408814710962</t>
        </is>
      </c>
      <c r="E772" s="16" t="inlineStr">
        <is>
          <t>Delivered</t>
        </is>
      </c>
      <c r="F772" s="16" t="inlineStr">
        <is>
          <t>LV64W25</t>
        </is>
      </c>
      <c r="G7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72" s="16" t="inlineStr">
        <is>
          <t>Blanco</t>
        </is>
      </c>
      <c r="I772" s="16" t="n">
        <v>2</v>
      </c>
      <c r="J772" s="17" t="n">
        <v>240</v>
      </c>
      <c r="K772" s="17" t="n">
        <v>224.03</v>
      </c>
      <c r="L772" s="17" t="n">
        <v>0</v>
      </c>
      <c r="M772" s="17" t="n">
        <v>0</v>
      </c>
      <c r="N772" s="17">
        <f>K772*0.08+L772*0.08</f>
        <v/>
      </c>
      <c r="O772" s="17">
        <f>-(K772*0.025+L772*0.025)</f>
        <v/>
      </c>
      <c r="P772" s="17">
        <f>32</f>
        <v/>
      </c>
      <c r="Q772" s="17">
        <f>J772+L772+N772+O772-P772-M772</f>
        <v/>
      </c>
    </row>
    <row r="773">
      <c r="A773" s="16" t="inlineStr">
        <is>
          <t>5.1-5.7</t>
        </is>
      </c>
      <c r="B773" s="16" t="inlineStr">
        <is>
          <t>PO-128-18769060035190158</t>
        </is>
      </c>
      <c r="C773" s="16" t="inlineStr">
        <is>
          <t>Delivered</t>
        </is>
      </c>
      <c r="D773" s="16" t="inlineStr">
        <is>
          <t>128-18769048566390158</t>
        </is>
      </c>
      <c r="E773" s="16" t="inlineStr">
        <is>
          <t>Delivered</t>
        </is>
      </c>
      <c r="F773" s="16" t="inlineStr">
        <is>
          <t>TL1412N17C</t>
        </is>
      </c>
      <c r="G773" s="16" t="inlineStr">
        <is>
          <t>Linkbits, Soporte de Pared Fijo para TV y Monitor de 14"-43", Ultra Delgado 2.3cm, Fuerte Capacidad de Peso de 25KG, Fácil Instalación con Accesorios Completos</t>
        </is>
      </c>
      <c r="H773" s="16" t="inlineStr">
        <is>
          <t>NEGRO</t>
        </is>
      </c>
      <c r="I773" s="16" t="n">
        <v>1</v>
      </c>
      <c r="J773" s="17" t="n">
        <v>36.5</v>
      </c>
      <c r="K773" s="17" t="n">
        <v>48.21</v>
      </c>
      <c r="L773" s="17" t="n">
        <v>25.86</v>
      </c>
      <c r="M773" s="17" t="n">
        <v>0</v>
      </c>
      <c r="N773" s="17">
        <f>K773*0.08+L773*0.08</f>
        <v/>
      </c>
      <c r="O773" s="17">
        <f>-(K773*0.025+L773*0.025)</f>
        <v/>
      </c>
      <c r="P773" s="17">
        <f>32</f>
        <v/>
      </c>
      <c r="Q773" s="17">
        <f>J773+L773+N773+O773-P773-M773</f>
        <v/>
      </c>
    </row>
    <row r="774">
      <c r="A774" s="16" t="inlineStr">
        <is>
          <t>5.1-5.7</t>
        </is>
      </c>
      <c r="B774" s="16" t="inlineStr">
        <is>
          <t>PO-128-18639223183991124</t>
        </is>
      </c>
      <c r="C774" s="16" t="inlineStr">
        <is>
          <t>Delivered</t>
        </is>
      </c>
      <c r="D774" s="16" t="inlineStr">
        <is>
          <t>128-18639181240951124</t>
        </is>
      </c>
      <c r="E774" s="16" t="inlineStr">
        <is>
          <t>Delivered</t>
        </is>
      </c>
      <c r="F774" s="16" t="inlineStr">
        <is>
          <t>LV54W25</t>
        </is>
      </c>
      <c r="G774" s="16" t="inlineStr">
        <is>
          <t>TIANLAI Lámpara Ventilador E27 2 en 1, Silenciosa, LED Alta Luminosidad 180°, Instalación Rápida, Ahorro Energético para Dormitorio y Interiores Pequeños</t>
        </is>
      </c>
      <c r="H774" s="16" t="inlineStr">
        <is>
          <t>1 Pieza</t>
        </is>
      </c>
      <c r="I774" s="16" t="n">
        <v>1</v>
      </c>
      <c r="J774" s="17" t="n">
        <v>78.5</v>
      </c>
      <c r="K774" s="17" t="n">
        <v>69.95999999999999</v>
      </c>
      <c r="L774" s="17" t="n">
        <v>25.86</v>
      </c>
      <c r="M774" s="17" t="n">
        <v>0</v>
      </c>
      <c r="N774" s="17">
        <f>K774*0.08+L774*0.08</f>
        <v/>
      </c>
      <c r="O774" s="17">
        <f>-(K774*0.025+L774*0.025)</f>
        <v/>
      </c>
      <c r="P774" s="17">
        <f>32</f>
        <v/>
      </c>
      <c r="Q774" s="17">
        <f>J774+L774+N774+O774-P774-M774</f>
        <v/>
      </c>
    </row>
    <row r="775">
      <c r="A775" s="16" t="inlineStr">
        <is>
          <t>5.1-5.7</t>
        </is>
      </c>
      <c r="B775" s="16" t="inlineStr">
        <is>
          <t>PO-128-18612579758711221</t>
        </is>
      </c>
      <c r="C775" s="16" t="inlineStr">
        <is>
          <t>Delivered</t>
        </is>
      </c>
      <c r="D775" s="16" t="inlineStr">
        <is>
          <t>128-18612632187511221</t>
        </is>
      </c>
      <c r="E775" s="16" t="inlineStr">
        <is>
          <t>Delivered</t>
        </is>
      </c>
      <c r="F775" s="16" t="inlineStr">
        <is>
          <t>KTS-2031</t>
        </is>
      </c>
      <c r="G775" s="16" t="inlineStr">
        <is>
          <t>Bocina inalámbrica de 3 pulgadas con linterna multifuncional y panel solar integrado.Altavoz Portátil con Linterna LED 4 Modos, Radio FM, Bluetooth, Carga Solar, Ideal para Apagones, Emergencias, Campo y Exteriores</t>
        </is>
      </c>
      <c r="H775" s="16" t="inlineStr">
        <is>
          <t>NEGRO</t>
        </is>
      </c>
      <c r="I775" s="16" t="n">
        <v>1</v>
      </c>
      <c r="J775" s="17" t="n">
        <v>63.15</v>
      </c>
      <c r="K775" s="17" t="n">
        <v>72.38</v>
      </c>
      <c r="L775" s="17" t="n">
        <v>25.86</v>
      </c>
      <c r="M775" s="17" t="n">
        <v>0</v>
      </c>
      <c r="N775" s="17">
        <f>K775*0.08+L775*0.08</f>
        <v/>
      </c>
      <c r="O775" s="17">
        <f>-(K775*0.025+L775*0.025)</f>
        <v/>
      </c>
      <c r="P775" s="17">
        <f>32</f>
        <v/>
      </c>
      <c r="Q775" s="17">
        <f>J775+L775+N775+O775-P775-M775</f>
        <v/>
      </c>
    </row>
    <row r="776">
      <c r="A776" s="16" t="inlineStr">
        <is>
          <t>5.1-5.7</t>
        </is>
      </c>
      <c r="B776" s="16" t="inlineStr">
        <is>
          <t>PO-128-18873472092790752</t>
        </is>
      </c>
      <c r="C776" s="16" t="inlineStr">
        <is>
          <t>Delivered</t>
        </is>
      </c>
      <c r="D776" s="16" t="inlineStr">
        <is>
          <t>128-18873493064310752</t>
        </is>
      </c>
      <c r="E776" s="16" t="inlineStr">
        <is>
          <t>Delivered</t>
        </is>
      </c>
      <c r="F776" s="16" t="inlineStr">
        <is>
          <t>LV54W25</t>
        </is>
      </c>
      <c r="G776" s="16" t="inlineStr">
        <is>
          <t>TIANLAI Lámpara Ventilador E27 2 en 1, Silenciosa, LED Alta Luminosidad 180°, Instalación Rápida, Ahorro Energético para Dormitorio y Interiores Pequeños</t>
        </is>
      </c>
      <c r="H776" s="16" t="inlineStr">
        <is>
          <t>1 Pieza</t>
        </is>
      </c>
      <c r="I776" s="16" t="n">
        <v>1</v>
      </c>
      <c r="J776" s="17" t="n">
        <v>78.5</v>
      </c>
      <c r="K776" s="17" t="n">
        <v>39.2</v>
      </c>
      <c r="L776" s="17" t="n">
        <v>25.86</v>
      </c>
      <c r="M776" s="17" t="n">
        <v>0</v>
      </c>
      <c r="N776" s="17">
        <f>K776*0.08+L776*0.08</f>
        <v/>
      </c>
      <c r="O776" s="17">
        <f>-(K776*0.025+L776*0.025)</f>
        <v/>
      </c>
      <c r="P776" s="17">
        <f>32</f>
        <v/>
      </c>
      <c r="Q776" s="17">
        <f>J776+L776+N776+O776-P776-M776</f>
        <v/>
      </c>
    </row>
    <row r="777">
      <c r="A777" s="16" t="inlineStr">
        <is>
          <t>5.1-5.7</t>
        </is>
      </c>
      <c r="B777" s="16" t="inlineStr">
        <is>
          <t>PO-128-18604395704951204</t>
        </is>
      </c>
      <c r="C777" s="16" t="inlineStr">
        <is>
          <t>Delivered</t>
        </is>
      </c>
      <c r="D777" s="16" t="inlineStr">
        <is>
          <t>128-18604353761911204</t>
        </is>
      </c>
      <c r="E777" s="16" t="inlineStr">
        <is>
          <t>Delivered</t>
        </is>
      </c>
      <c r="F777" s="16" t="inlineStr">
        <is>
          <t>BG-115-B</t>
        </is>
      </c>
      <c r="G777" s="16" t="inlineStr">
        <is>
          <t>LINK BITS Audífonos Inalámbricos con Luces Multicolor, Recargables y en Adorable Forma de Orejas de Gato - Conecta a Celulares y PCs, Tiene Radio FM, Tarjeta TF y AUX - 7 Horas de Reproducción, Plegables y Perfectos para Trabajo, Juegos y Estudio</t>
        </is>
      </c>
      <c r="H777" s="16" t="inlineStr">
        <is>
          <t>blanco</t>
        </is>
      </c>
      <c r="I777" s="16" t="n">
        <v>1</v>
      </c>
      <c r="J777" s="17" t="n">
        <v>75</v>
      </c>
      <c r="K777" s="17" t="n">
        <v>85.72</v>
      </c>
      <c r="L777" s="17" t="n">
        <v>25.86</v>
      </c>
      <c r="M777" s="17" t="n">
        <v>0</v>
      </c>
      <c r="N777" s="17">
        <f>K777*0.08+L777*0.08</f>
        <v/>
      </c>
      <c r="O777" s="17">
        <f>-(K777*0.025+L777*0.025)</f>
        <v/>
      </c>
      <c r="P777" s="17">
        <f>32</f>
        <v/>
      </c>
      <c r="Q777" s="17">
        <f>J777+L777+N777+O777-P777-M777</f>
        <v/>
      </c>
    </row>
    <row r="778">
      <c r="A778" s="16" t="inlineStr">
        <is>
          <t>5.1-5.7</t>
        </is>
      </c>
      <c r="B778" s="16" t="inlineStr">
        <is>
          <t>PO-128-18651771126392011</t>
        </is>
      </c>
      <c r="C778" s="16" t="inlineStr">
        <is>
          <t>Delivered</t>
        </is>
      </c>
      <c r="D778" s="16" t="inlineStr">
        <is>
          <t>128-18651875983992011</t>
        </is>
      </c>
      <c r="E778" s="16" t="inlineStr">
        <is>
          <t>Delivered</t>
        </is>
      </c>
      <c r="F778" s="16" t="inlineStr">
        <is>
          <t>VA371T</t>
        </is>
      </c>
      <c r="G778" s="16" t="inlineStr">
        <is>
          <t>Linkbits Bocina Bluetooth Portátil 3" de Alta Gama，Hi-Res Audio y Graves Potentes，Luces LED + Soporte USB/TF/FM/TWS，Ideal para Hogar y Aire Libre</t>
        </is>
      </c>
      <c r="H778" s="16" t="inlineStr">
        <is>
          <t>VA371T</t>
        </is>
      </c>
      <c r="I778" s="16" t="n">
        <v>1</v>
      </c>
      <c r="J778" s="17" t="n">
        <v>42</v>
      </c>
      <c r="K778" s="17" t="n">
        <v>7.28</v>
      </c>
      <c r="L778" s="17" t="n">
        <v>25.86</v>
      </c>
      <c r="M778" s="17" t="n">
        <v>0</v>
      </c>
      <c r="N778" s="17">
        <f>K778*0.08+L778*0.08</f>
        <v/>
      </c>
      <c r="O778" s="17">
        <f>-(K778*0.025+L778*0.025)</f>
        <v/>
      </c>
      <c r="P778" s="17">
        <f>32</f>
        <v/>
      </c>
      <c r="Q778" s="17">
        <f>J778+L778+N778+O778-P778-M778</f>
        <v/>
      </c>
    </row>
    <row r="779">
      <c r="A779" s="16" t="inlineStr">
        <is>
          <t>5.1-5.7</t>
        </is>
      </c>
      <c r="B779" s="16" t="inlineStr">
        <is>
          <t>PO-128-18957235313273327</t>
        </is>
      </c>
      <c r="C779" s="16" t="inlineStr">
        <is>
          <t>Delivered</t>
        </is>
      </c>
      <c r="D779" s="16" t="inlineStr">
        <is>
          <t>128-18957193370233327</t>
        </is>
      </c>
      <c r="E779" s="16" t="inlineStr">
        <is>
          <t>Delivered</t>
        </is>
      </c>
      <c r="F779" s="16" t="inlineStr">
        <is>
          <t>LV64W25</t>
        </is>
      </c>
      <c r="G7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79" s="16" t="inlineStr">
        <is>
          <t>Blanco</t>
        </is>
      </c>
      <c r="I779" s="16" t="n">
        <v>1</v>
      </c>
      <c r="J779" s="17" t="n">
        <v>120</v>
      </c>
      <c r="K779" s="17" t="n">
        <v>138.28</v>
      </c>
      <c r="L779" s="17" t="n">
        <v>25.86</v>
      </c>
      <c r="M779" s="17" t="n">
        <v>0</v>
      </c>
      <c r="N779" s="17">
        <f>K779*0.08+L779*0.08</f>
        <v/>
      </c>
      <c r="O779" s="17">
        <f>-(K779*0.025+L779*0.025)</f>
        <v/>
      </c>
      <c r="P779" s="17">
        <f>32</f>
        <v/>
      </c>
      <c r="Q779" s="17">
        <f>J779+L779+N779+O779-P779-M779</f>
        <v/>
      </c>
    </row>
    <row r="780">
      <c r="A780" s="16" t="inlineStr">
        <is>
          <t>5.1-5.7</t>
        </is>
      </c>
      <c r="B780" s="16" t="inlineStr">
        <is>
          <t>PO-128-19150185288312113</t>
        </is>
      </c>
      <c r="C780" s="16" t="inlineStr">
        <is>
          <t>Delivered</t>
        </is>
      </c>
      <c r="D780" s="16" t="inlineStr">
        <is>
          <t>128-19150174802552113</t>
        </is>
      </c>
      <c r="E780" s="16" t="inlineStr">
        <is>
          <t>Delivered</t>
        </is>
      </c>
      <c r="F780" s="16" t="inlineStr">
        <is>
          <t>LV64W25</t>
        </is>
      </c>
      <c r="G7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0" s="16" t="inlineStr">
        <is>
          <t>Blanco</t>
        </is>
      </c>
      <c r="I780" s="16" t="n">
        <v>1</v>
      </c>
      <c r="J780" s="17" t="n">
        <v>120</v>
      </c>
      <c r="K780" s="17" t="n">
        <v>100.68</v>
      </c>
      <c r="L780" s="17" t="n">
        <v>25.86</v>
      </c>
      <c r="M780" s="17" t="n">
        <v>0</v>
      </c>
      <c r="N780" s="17">
        <f>K780*0.08+L780*0.08</f>
        <v/>
      </c>
      <c r="O780" s="17">
        <f>-(K780*0.025+L780*0.025)</f>
        <v/>
      </c>
      <c r="P780" s="17">
        <f>32</f>
        <v/>
      </c>
      <c r="Q780" s="17">
        <f>J780+L780+N780+O780-P780-M780</f>
        <v/>
      </c>
    </row>
    <row r="781">
      <c r="A781" s="16" t="inlineStr">
        <is>
          <t>5.1-5.7</t>
        </is>
      </c>
      <c r="B781" s="16" t="inlineStr">
        <is>
          <t>PO-128-18914369802873580</t>
        </is>
      </c>
      <c r="C781" s="16" t="inlineStr">
        <is>
          <t>Delivered</t>
        </is>
      </c>
      <c r="D781" s="16" t="inlineStr">
        <is>
          <t>128-18914411745913580</t>
        </is>
      </c>
      <c r="E781" s="16" t="inlineStr">
        <is>
          <t>Delivered</t>
        </is>
      </c>
      <c r="F781" s="16" t="inlineStr">
        <is>
          <t>LV64W25</t>
        </is>
      </c>
      <c r="G7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1" s="16" t="inlineStr">
        <is>
          <t>Blanco</t>
        </is>
      </c>
      <c r="I781" s="16" t="n">
        <v>1</v>
      </c>
      <c r="J781" s="17" t="n">
        <v>120</v>
      </c>
      <c r="K781" s="17" t="n">
        <v>125.84</v>
      </c>
      <c r="L781" s="17" t="n">
        <v>25.86</v>
      </c>
      <c r="M781" s="17" t="n">
        <v>0</v>
      </c>
      <c r="N781" s="17">
        <f>K781*0.08+L781*0.08</f>
        <v/>
      </c>
      <c r="O781" s="17">
        <f>-(K781*0.025+L781*0.025)</f>
        <v/>
      </c>
      <c r="P781" s="17">
        <f>32</f>
        <v/>
      </c>
      <c r="Q781" s="17">
        <f>J781+L781+N781+O781-P781-M781</f>
        <v/>
      </c>
    </row>
    <row r="782">
      <c r="A782" s="16" t="inlineStr">
        <is>
          <t>5.1-5.7</t>
        </is>
      </c>
      <c r="B782" s="16" t="inlineStr">
        <is>
          <t>PO-128-19114054707832198</t>
        </is>
      </c>
      <c r="C782" s="16" t="inlineStr">
        <is>
          <t>Delivered</t>
        </is>
      </c>
      <c r="D782" s="16" t="inlineStr">
        <is>
          <t>128-19114075679352198</t>
        </is>
      </c>
      <c r="E782" s="16" t="inlineStr">
        <is>
          <t>Delivered</t>
        </is>
      </c>
      <c r="F782" s="16" t="inlineStr">
        <is>
          <t>LV64W25</t>
        </is>
      </c>
      <c r="G7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2" s="16" t="inlineStr">
        <is>
          <t>Blanco</t>
        </is>
      </c>
      <c r="I782" s="16" t="n">
        <v>4</v>
      </c>
      <c r="J782" s="17" t="n">
        <v>480</v>
      </c>
      <c r="K782" s="17" t="n">
        <v>442.48</v>
      </c>
      <c r="L782" s="17" t="n">
        <v>0</v>
      </c>
      <c r="M782" s="17" t="n">
        <v>0</v>
      </c>
      <c r="N782" s="17">
        <f>K782*0.08+L782*0.08</f>
        <v/>
      </c>
      <c r="O782" s="17">
        <f>-(K782*0.025+L782*0.025)</f>
        <v/>
      </c>
      <c r="P782" s="17">
        <f>32</f>
        <v/>
      </c>
      <c r="Q782" s="17">
        <f>J782+L782+N782+O782-P782-M782</f>
        <v/>
      </c>
    </row>
    <row r="783">
      <c r="A783" s="16" t="inlineStr">
        <is>
          <t>5.1-5.7</t>
        </is>
      </c>
      <c r="B783" s="16" t="inlineStr">
        <is>
          <t>PO-128-19126313144952255</t>
        </is>
      </c>
      <c r="C783" s="16" t="inlineStr">
        <is>
          <t>Delivered</t>
        </is>
      </c>
      <c r="D783" s="16" t="inlineStr">
        <is>
          <t>128-19126281687672255</t>
        </is>
      </c>
      <c r="E783" s="16" t="inlineStr">
        <is>
          <t>Delivered</t>
        </is>
      </c>
      <c r="F783" s="16" t="inlineStr">
        <is>
          <t>LV64W25</t>
        </is>
      </c>
      <c r="G7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3" s="16" t="inlineStr">
        <is>
          <t>Blanco</t>
        </is>
      </c>
      <c r="I783" s="16" t="n">
        <v>1</v>
      </c>
      <c r="J783" s="17" t="n">
        <v>120</v>
      </c>
      <c r="K783" s="17" t="n">
        <v>125.84</v>
      </c>
      <c r="L783" s="17" t="n">
        <v>25.86</v>
      </c>
      <c r="M783" s="17" t="n">
        <v>0</v>
      </c>
      <c r="N783" s="17">
        <f>K783*0.08+L783*0.08</f>
        <v/>
      </c>
      <c r="O783" s="17">
        <f>-(K783*0.025+L783*0.025)</f>
        <v/>
      </c>
      <c r="P783" s="17">
        <f>32</f>
        <v/>
      </c>
      <c r="Q783" s="17">
        <f>J783+L783+N783+O783-P783-M783</f>
        <v/>
      </c>
    </row>
    <row r="784">
      <c r="A784" s="16" t="inlineStr">
        <is>
          <t>5.1-5.7</t>
        </is>
      </c>
      <c r="B784" s="16" t="inlineStr">
        <is>
          <t>PO-128-19174418063993054</t>
        </is>
      </c>
      <c r="C784" s="16" t="inlineStr">
        <is>
          <t>Delivered</t>
        </is>
      </c>
      <c r="D784" s="16" t="inlineStr">
        <is>
          <t>128-19174376120953054</t>
        </is>
      </c>
      <c r="E784" s="16" t="inlineStr">
        <is>
          <t>Delivered</t>
        </is>
      </c>
      <c r="F784" s="16" t="inlineStr">
        <is>
          <t>TL1455N20B</t>
        </is>
      </c>
      <c r="G784" s="16" t="inlineStr">
        <is>
          <t>LINK BITS Soporte para TV 14 A 55 Pulgadas, Base para TV Pantalla Articulado Inclinable y Giratorio, MAX VESA 400×400 mm, Soporta hasta 18kg (Acero Reforzado)</t>
        </is>
      </c>
      <c r="H784" s="16" t="inlineStr">
        <is>
          <t>TL1455N20B</t>
        </is>
      </c>
      <c r="I784" s="16" t="n">
        <v>1</v>
      </c>
      <c r="J784" s="17" t="n">
        <v>72</v>
      </c>
      <c r="K784" s="17" t="n">
        <v>85.34999999999999</v>
      </c>
      <c r="L784" s="17" t="n">
        <v>25.86</v>
      </c>
      <c r="M784" s="17" t="n">
        <v>0</v>
      </c>
      <c r="N784" s="17">
        <f>K784*0.08+L784*0.08</f>
        <v/>
      </c>
      <c r="O784" s="17">
        <f>-(K784*0.025+L784*0.025)</f>
        <v/>
      </c>
      <c r="P784" s="17">
        <f>32</f>
        <v/>
      </c>
      <c r="Q784" s="17">
        <f>J784+L784+N784+O784-P784-M784</f>
        <v/>
      </c>
    </row>
    <row r="785">
      <c r="A785" s="16" t="inlineStr">
        <is>
          <t>5.1-5.7</t>
        </is>
      </c>
      <c r="B785" s="16" t="inlineStr">
        <is>
          <t>PO-128-19134769265272074</t>
        </is>
      </c>
      <c r="C785" s="16" t="inlineStr">
        <is>
          <t>Delivered</t>
        </is>
      </c>
      <c r="D785" s="16" t="inlineStr">
        <is>
          <t>128-19134779751032074</t>
        </is>
      </c>
      <c r="E785" s="16" t="inlineStr">
        <is>
          <t>Delivered</t>
        </is>
      </c>
      <c r="F785" s="16" t="inlineStr">
        <is>
          <t>LV64W25</t>
        </is>
      </c>
      <c r="G7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5" s="16" t="inlineStr">
        <is>
          <t>Blanco</t>
        </is>
      </c>
      <c r="I785" s="16" t="n">
        <v>1</v>
      </c>
      <c r="J785" s="17" t="n">
        <v>120</v>
      </c>
      <c r="K785" s="17" t="n">
        <v>138.28</v>
      </c>
      <c r="L785" s="17" t="n">
        <v>25.86</v>
      </c>
      <c r="M785" s="17" t="n">
        <v>0</v>
      </c>
      <c r="N785" s="17">
        <f>K785*0.08+L785*0.08</f>
        <v/>
      </c>
      <c r="O785" s="17">
        <f>-(K785*0.025+L785*0.025)</f>
        <v/>
      </c>
      <c r="P785" s="17">
        <f>32</f>
        <v/>
      </c>
      <c r="Q785" s="17">
        <f>J785+L785+N785+O785-P785-M785</f>
        <v/>
      </c>
    </row>
    <row r="786">
      <c r="A786" s="16" t="inlineStr">
        <is>
          <t>5.1-5.7</t>
        </is>
      </c>
      <c r="B786" s="16" t="inlineStr">
        <is>
          <t>PO-128-18928973804153367</t>
        </is>
      </c>
      <c r="C786" s="16" t="inlineStr">
        <is>
          <t>Delivered</t>
        </is>
      </c>
      <c r="D786" s="16" t="inlineStr">
        <is>
          <t>128-18928931861113367</t>
        </is>
      </c>
      <c r="E786" s="16" t="inlineStr">
        <is>
          <t>Delivered</t>
        </is>
      </c>
      <c r="F786" s="16" t="inlineStr">
        <is>
          <t>LV54W25</t>
        </is>
      </c>
      <c r="G786" s="16" t="inlineStr">
        <is>
          <t>TIANLAI Lámpara Ventilador E27 2 en 1, Silenciosa, LED Alta Luminosidad 180°, Instalación Rápida, Ahorro Energético para Dormitorio y Interiores Pequeños</t>
        </is>
      </c>
      <c r="H786" s="16" t="inlineStr">
        <is>
          <t>1 Pieza</t>
        </is>
      </c>
      <c r="I786" s="16" t="n">
        <v>1</v>
      </c>
      <c r="J786" s="17" t="n">
        <v>78.5</v>
      </c>
      <c r="K786" s="17" t="n">
        <v>82.3</v>
      </c>
      <c r="L786" s="17" t="n">
        <v>25.86</v>
      </c>
      <c r="M786" s="17" t="n">
        <v>0</v>
      </c>
      <c r="N786" s="17">
        <f>K786*0.08+L786*0.08</f>
        <v/>
      </c>
      <c r="O786" s="17">
        <f>-(K786*0.025+L786*0.025)</f>
        <v/>
      </c>
      <c r="P786" s="17">
        <f>32</f>
        <v/>
      </c>
      <c r="Q786" s="17">
        <f>J786+L786+N786+O786-P786-M786</f>
        <v/>
      </c>
    </row>
    <row r="787">
      <c r="A787" s="16" t="inlineStr">
        <is>
          <t>5.1-5.7</t>
        </is>
      </c>
      <c r="B787" s="16" t="inlineStr">
        <is>
          <t>PO-128-18603606600311208</t>
        </is>
      </c>
      <c r="C787" s="16" t="inlineStr">
        <is>
          <t>Delivered</t>
        </is>
      </c>
      <c r="D787" s="16" t="inlineStr">
        <is>
          <t>128-18603711457911208</t>
        </is>
      </c>
      <c r="E787" s="16" t="inlineStr">
        <is>
          <t>Delivered</t>
        </is>
      </c>
      <c r="F787" s="16" t="inlineStr">
        <is>
          <t>LV64W25</t>
        </is>
      </c>
      <c r="G7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7" s="16" t="inlineStr">
        <is>
          <t>Blanco</t>
        </is>
      </c>
      <c r="I787" s="16" t="n">
        <v>1</v>
      </c>
      <c r="J787" s="17" t="n">
        <v>120</v>
      </c>
      <c r="K787" s="17" t="n">
        <v>82.73999999999999</v>
      </c>
      <c r="L787" s="17" t="n">
        <v>25.86</v>
      </c>
      <c r="M787" s="17" t="n">
        <v>0</v>
      </c>
      <c r="N787" s="17">
        <f>K787*0.08+L787*0.08</f>
        <v/>
      </c>
      <c r="O787" s="17">
        <f>-(K787*0.025+L787*0.025)</f>
        <v/>
      </c>
      <c r="P787" s="17">
        <f>32</f>
        <v/>
      </c>
      <c r="Q787" s="17">
        <f>J787+L787+N787+O787-P787-M787</f>
        <v/>
      </c>
    </row>
    <row r="788">
      <c r="A788" s="16" t="inlineStr">
        <is>
          <t>5.1-5.7</t>
        </is>
      </c>
      <c r="B788" s="16" t="inlineStr">
        <is>
          <t>PO-128-18942425866873223</t>
        </is>
      </c>
      <c r="C788" s="16" t="inlineStr">
        <is>
          <t>Delivered</t>
        </is>
      </c>
      <c r="D788" s="16" t="inlineStr">
        <is>
          <t>128-18942473052793223</t>
        </is>
      </c>
      <c r="E788" s="16" t="inlineStr">
        <is>
          <t>Delivered</t>
        </is>
      </c>
      <c r="F788" s="16" t="inlineStr">
        <is>
          <t>MB-174-N</t>
        </is>
      </c>
      <c r="G788" s="16" t="inlineStr">
        <is>
          <t>LINK BITS MB-174 Mini Bocina Bluetooth Soporte para Celular Integrado TWS Luz Ambiental 5W 80dB Sonido Claro Carga TYPE-C Material ABS Portátil Ideal como Regalo para Hogar Oficina Exterior Picnic</t>
        </is>
      </c>
      <c r="H788" s="16" t="inlineStr">
        <is>
          <t>NEGRO</t>
        </is>
      </c>
      <c r="I788" s="16" t="n">
        <v>2</v>
      </c>
      <c r="J788" s="17" t="n">
        <v>187</v>
      </c>
      <c r="K788" s="17" t="n">
        <v>151.73</v>
      </c>
      <c r="L788" s="17" t="n">
        <v>25.86</v>
      </c>
      <c r="M788" s="17" t="n">
        <v>0</v>
      </c>
      <c r="N788" s="17">
        <f>K788*0.08+L788*0.08</f>
        <v/>
      </c>
      <c r="O788" s="17">
        <f>-(K788*0.025+L788*0.025)</f>
        <v/>
      </c>
      <c r="P788" s="17">
        <f>32</f>
        <v/>
      </c>
      <c r="Q788" s="17">
        <f>J788+L788+N788+O788-P788-M788</f>
        <v/>
      </c>
    </row>
    <row r="789">
      <c r="A789" s="16" t="inlineStr">
        <is>
          <t>5.1-5.7</t>
        </is>
      </c>
      <c r="B789" s="16" t="inlineStr">
        <is>
          <t>PO-128-18575026309751509</t>
        </is>
      </c>
      <c r="C789" s="16" t="inlineStr">
        <is>
          <t>Delivered</t>
        </is>
      </c>
      <c r="D789" s="16" t="inlineStr">
        <is>
          <t>128-18574984366711509</t>
        </is>
      </c>
      <c r="E789" s="16" t="inlineStr">
        <is>
          <t>Delivered</t>
        </is>
      </c>
      <c r="F789" s="16" t="inlineStr">
        <is>
          <t>LV64W25</t>
        </is>
      </c>
      <c r="G7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89" s="16" t="inlineStr">
        <is>
          <t>Blanco</t>
        </is>
      </c>
      <c r="I789" s="16" t="n">
        <v>3</v>
      </c>
      <c r="J789" s="17" t="n">
        <v>360</v>
      </c>
      <c r="K789" s="17" t="n">
        <v>414.84</v>
      </c>
      <c r="L789" s="17" t="n">
        <v>0</v>
      </c>
      <c r="M789" s="17" t="n">
        <v>0</v>
      </c>
      <c r="N789" s="17">
        <f>K789*0.08+L789*0.08</f>
        <v/>
      </c>
      <c r="O789" s="17">
        <f>-(K789*0.025+L789*0.025)</f>
        <v/>
      </c>
      <c r="P789" s="17">
        <f>32</f>
        <v/>
      </c>
      <c r="Q789" s="17">
        <f>J789+L789+N789+O789-P789-M789</f>
        <v/>
      </c>
    </row>
    <row r="790">
      <c r="A790" s="16" t="inlineStr">
        <is>
          <t>5.1-5.7</t>
        </is>
      </c>
      <c r="B790" s="16" t="inlineStr">
        <is>
          <t>PO-128-18806272799350064</t>
        </is>
      </c>
      <c r="C790" s="16" t="inlineStr">
        <is>
          <t>Delivered</t>
        </is>
      </c>
      <c r="D790" s="16" t="inlineStr">
        <is>
          <t>128-18806409114230064</t>
        </is>
      </c>
      <c r="E790" s="16" t="inlineStr">
        <is>
          <t>Delivered</t>
        </is>
      </c>
      <c r="F790" s="16" t="inlineStr">
        <is>
          <t>LV64W25</t>
        </is>
      </c>
      <c r="G7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90" s="16" t="inlineStr">
        <is>
          <t>Blanco</t>
        </is>
      </c>
      <c r="I790" s="16" t="n">
        <v>2</v>
      </c>
      <c r="J790" s="17" t="n">
        <v>240</v>
      </c>
      <c r="K790" s="17" t="n">
        <v>251.68</v>
      </c>
      <c r="L790" s="17" t="n">
        <v>0</v>
      </c>
      <c r="M790" s="17" t="n">
        <v>0</v>
      </c>
      <c r="N790" s="17">
        <f>K790*0.08+L790*0.08</f>
        <v/>
      </c>
      <c r="O790" s="17">
        <f>-(K790*0.025+L790*0.025)</f>
        <v/>
      </c>
      <c r="P790" s="17">
        <f>32</f>
        <v/>
      </c>
      <c r="Q790" s="17">
        <f>J790+L790+N790+O790-P790-M790</f>
        <v/>
      </c>
    </row>
    <row r="791">
      <c r="A791" s="16" t="inlineStr">
        <is>
          <t>5.1-5.7</t>
        </is>
      </c>
      <c r="B791" s="16" t="inlineStr">
        <is>
          <t>PO-128-18686077491831679</t>
        </is>
      </c>
      <c r="C791" s="16" t="inlineStr">
        <is>
          <t>Delivered</t>
        </is>
      </c>
      <c r="D791" s="16" t="inlineStr">
        <is>
          <t>128-18686098463351679</t>
        </is>
      </c>
      <c r="E791" s="16" t="inlineStr">
        <is>
          <t>Delivered</t>
        </is>
      </c>
      <c r="F791" s="16" t="inlineStr">
        <is>
          <t>LV54W25</t>
        </is>
      </c>
      <c r="G791" s="16" t="inlineStr">
        <is>
          <t>TIANLAI Lámpara Ventilador E27 2 en 1, Silenciosa, LED Alta Luminosidad 180°, Instalación Rápida, Ahorro Energético para Dormitorio y Interiores Pequeños</t>
        </is>
      </c>
      <c r="H791" s="16" t="inlineStr">
        <is>
          <t>1 Pieza</t>
        </is>
      </c>
      <c r="I791" s="16" t="n">
        <v>1</v>
      </c>
      <c r="J791" s="17" t="n">
        <v>78.5</v>
      </c>
      <c r="K791" s="17" t="n">
        <v>82.3</v>
      </c>
      <c r="L791" s="17" t="n">
        <v>25.86</v>
      </c>
      <c r="M791" s="17" t="n">
        <v>0</v>
      </c>
      <c r="N791" s="17">
        <f>K791*0.08+L791*0.08</f>
        <v/>
      </c>
      <c r="O791" s="17">
        <f>-(K791*0.025+L791*0.025)</f>
        <v/>
      </c>
      <c r="P791" s="17">
        <f>32</f>
        <v/>
      </c>
      <c r="Q791" s="17">
        <f>J791+L791+N791+O791-P791-M791</f>
        <v/>
      </c>
    </row>
    <row r="792">
      <c r="A792" s="16" t="inlineStr">
        <is>
          <t>5.1-5.7</t>
        </is>
      </c>
      <c r="B792" s="16" t="inlineStr">
        <is>
          <t>PO-128-19032516895353772</t>
        </is>
      </c>
      <c r="C792" s="16" t="inlineStr">
        <is>
          <t>Delivered</t>
        </is>
      </c>
      <c r="D792" s="16" t="inlineStr">
        <is>
          <t>128-19032537866873772</t>
        </is>
      </c>
      <c r="E792" s="16" t="inlineStr">
        <is>
          <t>Delivered</t>
        </is>
      </c>
      <c r="F792" s="16" t="inlineStr">
        <is>
          <t>LV64W25</t>
        </is>
      </c>
      <c r="G7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92" s="16" t="inlineStr">
        <is>
          <t>Blanco</t>
        </is>
      </c>
      <c r="I792" s="16" t="n">
        <v>1</v>
      </c>
      <c r="J792" s="17" t="n">
        <v>120</v>
      </c>
      <c r="K792" s="17" t="n">
        <v>138.28</v>
      </c>
      <c r="L792" s="17" t="n">
        <v>25.86</v>
      </c>
      <c r="M792" s="17" t="n">
        <v>0</v>
      </c>
      <c r="N792" s="17">
        <f>K792*0.08+L792*0.08</f>
        <v/>
      </c>
      <c r="O792" s="17">
        <f>-(K792*0.025+L792*0.025)</f>
        <v/>
      </c>
      <c r="P792" s="17">
        <f>32</f>
        <v/>
      </c>
      <c r="Q792" s="17">
        <f>J792+L792+N792+O792-P792-M792</f>
        <v/>
      </c>
    </row>
    <row r="793">
      <c r="A793" s="16" t="inlineStr">
        <is>
          <t>5.1-5.7</t>
        </is>
      </c>
      <c r="B793" s="16" t="inlineStr">
        <is>
          <t>PO-128-19113923052152201</t>
        </is>
      </c>
      <c r="C793" s="16" t="inlineStr">
        <is>
          <t>Delivered</t>
        </is>
      </c>
      <c r="D793" s="16" t="inlineStr">
        <is>
          <t>128-19113933537912201</t>
        </is>
      </c>
      <c r="E793" s="16" t="inlineStr">
        <is>
          <t>Delivered</t>
        </is>
      </c>
      <c r="F793" s="16" t="inlineStr">
        <is>
          <t>LV64W25</t>
        </is>
      </c>
      <c r="G7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93" s="16" t="inlineStr">
        <is>
          <t>Blanco</t>
        </is>
      </c>
      <c r="I793" s="16" t="n">
        <v>1</v>
      </c>
      <c r="J793" s="17" t="n">
        <v>120</v>
      </c>
      <c r="K793" s="17" t="n">
        <v>138.27</v>
      </c>
      <c r="L793" s="17" t="n">
        <v>25.86</v>
      </c>
      <c r="M793" s="17" t="n">
        <v>0</v>
      </c>
      <c r="N793" s="17">
        <f>K793*0.08+L793*0.08</f>
        <v/>
      </c>
      <c r="O793" s="17">
        <f>-(K793*0.025+L793*0.025)</f>
        <v/>
      </c>
      <c r="P793" s="17">
        <f>32</f>
        <v/>
      </c>
      <c r="Q793" s="17">
        <f>J793+L793+N793+O793-P793-M793</f>
        <v/>
      </c>
    </row>
    <row r="794">
      <c r="A794" s="16" t="inlineStr">
        <is>
          <t>5.1-5.7</t>
        </is>
      </c>
      <c r="B794" s="16" t="inlineStr">
        <is>
          <t>PO-128-18900887050873468</t>
        </is>
      </c>
      <c r="C794" s="16" t="inlineStr">
        <is>
          <t>Delivered</t>
        </is>
      </c>
      <c r="D794" s="16" t="inlineStr">
        <is>
          <t>128-18900880824953468</t>
        </is>
      </c>
      <c r="E794" s="16" t="inlineStr">
        <is>
          <t>Delivered</t>
        </is>
      </c>
      <c r="F794" s="16" t="inlineStr">
        <is>
          <t>LV64W25</t>
        </is>
      </c>
      <c r="G7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94" s="16" t="inlineStr">
        <is>
          <t>Blanco</t>
        </is>
      </c>
      <c r="I794" s="16" t="n">
        <v>1</v>
      </c>
      <c r="J794" s="17" t="n">
        <v>120</v>
      </c>
      <c r="K794" s="17" t="n">
        <v>125.83</v>
      </c>
      <c r="L794" s="17" t="n">
        <v>25.86</v>
      </c>
      <c r="M794" s="17" t="n">
        <v>0</v>
      </c>
      <c r="N794" s="17">
        <f>K794*0.08+L794*0.08</f>
        <v/>
      </c>
      <c r="O794" s="17">
        <f>-(K794*0.025+L794*0.025)</f>
        <v/>
      </c>
      <c r="P794" s="17">
        <f>32</f>
        <v/>
      </c>
      <c r="Q794" s="17">
        <f>J794+L794+N794+O794-P794-M794</f>
        <v/>
      </c>
    </row>
    <row r="795">
      <c r="A795" s="16" t="inlineStr">
        <is>
          <t>5.1-5.7</t>
        </is>
      </c>
      <c r="B795" s="16" t="inlineStr">
        <is>
          <t>PO-128-18768193127030357</t>
        </is>
      </c>
      <c r="C795" s="16" t="inlineStr">
        <is>
          <t>Delivered</t>
        </is>
      </c>
      <c r="D795" s="16" t="inlineStr">
        <is>
          <t>128-18768297984630357</t>
        </is>
      </c>
      <c r="E795" s="16" t="inlineStr">
        <is>
          <t>Delivered</t>
        </is>
      </c>
      <c r="F795" s="16" t="inlineStr">
        <is>
          <t>LV54W25</t>
        </is>
      </c>
      <c r="G795" s="16" t="inlineStr">
        <is>
          <t>TIANLAI Lámpara Ventilador E27 2 en 1, Silenciosa, LED Alta Luminosidad 180°, Instalación Rápida, Ahorro Energético para Dormitorio y Interiores Pequeños</t>
        </is>
      </c>
      <c r="H795" s="16" t="inlineStr">
        <is>
          <t>1 Pieza</t>
        </is>
      </c>
      <c r="I795" s="16" t="n">
        <v>2</v>
      </c>
      <c r="J795" s="17" t="n">
        <v>157</v>
      </c>
      <c r="K795" s="17" t="n">
        <v>191.4</v>
      </c>
      <c r="L795" s="17" t="n">
        <v>25.86</v>
      </c>
      <c r="M795" s="17" t="n">
        <v>0</v>
      </c>
      <c r="N795" s="17">
        <f>K795*0.08+L795*0.08</f>
        <v/>
      </c>
      <c r="O795" s="17">
        <f>-(K795*0.025+L795*0.025)</f>
        <v/>
      </c>
      <c r="P795" s="17">
        <f>32</f>
        <v/>
      </c>
      <c r="Q795" s="17">
        <f>J795+L795+N795+O795-P795-M795</f>
        <v/>
      </c>
    </row>
    <row r="796">
      <c r="A796" s="16" t="inlineStr">
        <is>
          <t>5.1-5.7</t>
        </is>
      </c>
      <c r="B796" s="16" t="inlineStr">
        <is>
          <t>PO-128-18978965658233197</t>
        </is>
      </c>
      <c r="C796" s="16" t="inlineStr">
        <is>
          <t>Delivered</t>
        </is>
      </c>
      <c r="D796" s="16" t="inlineStr">
        <is>
          <t>128-18978934200953197</t>
        </is>
      </c>
      <c r="E796" s="16" t="inlineStr">
        <is>
          <t>Delivered</t>
        </is>
      </c>
      <c r="F796" s="16" t="inlineStr">
        <is>
          <t>LV54W25</t>
        </is>
      </c>
      <c r="G796" s="16" t="inlineStr">
        <is>
          <t>TIANLAI Lámpara Ventilador E27 2 en 1, Silenciosa, LED Alta Luminosidad 180°, Instalación Rápida, Ahorro Energético para Dormitorio y Interiores Pequeños</t>
        </is>
      </c>
      <c r="H796" s="16" t="inlineStr">
        <is>
          <t>1 Pieza</t>
        </is>
      </c>
      <c r="I796" s="16" t="n">
        <v>3</v>
      </c>
      <c r="J796" s="17" t="n">
        <v>235.5</v>
      </c>
      <c r="K796" s="17" t="n">
        <v>175.95</v>
      </c>
      <c r="L796" s="17" t="n">
        <v>0</v>
      </c>
      <c r="M796" s="17" t="n">
        <v>0</v>
      </c>
      <c r="N796" s="17">
        <f>K796*0.08+L796*0.08</f>
        <v/>
      </c>
      <c r="O796" s="17">
        <f>-(K796*0.025+L796*0.025)</f>
        <v/>
      </c>
      <c r="P796" s="17">
        <f>32</f>
        <v/>
      </c>
      <c r="Q796" s="17">
        <f>J796+L796+N796+O796-P796-M796</f>
        <v/>
      </c>
    </row>
    <row r="797">
      <c r="A797" s="16" t="inlineStr">
        <is>
          <t>5.1-5.7</t>
        </is>
      </c>
      <c r="B797" s="16" t="inlineStr">
        <is>
          <t>PO-128-18768288451190357</t>
        </is>
      </c>
      <c r="C797" s="16" t="inlineStr">
        <is>
          <t>Delivered</t>
        </is>
      </c>
      <c r="D797" s="16" t="inlineStr">
        <is>
          <t>128-18768309422710357</t>
        </is>
      </c>
      <c r="E797" s="16" t="inlineStr">
        <is>
          <t>Delivered</t>
        </is>
      </c>
      <c r="F797" s="16" t="inlineStr">
        <is>
          <t>LV54W25</t>
        </is>
      </c>
      <c r="G797" s="16" t="inlineStr">
        <is>
          <t>TIANLAI Lámpara Ventilador E27 2 en 1, Silenciosa, LED Alta Luminosidad 180°, Instalación Rápida, Ahorro Energético para Dormitorio y Interiores Pequeños</t>
        </is>
      </c>
      <c r="H797" s="16" t="inlineStr">
        <is>
          <t>1 Pieza</t>
        </is>
      </c>
      <c r="I797" s="16" t="n">
        <v>1</v>
      </c>
      <c r="J797" s="17" t="n">
        <v>78.5</v>
      </c>
      <c r="K797" s="17" t="n">
        <v>39.2</v>
      </c>
      <c r="L797" s="17" t="n">
        <v>25.86</v>
      </c>
      <c r="M797" s="17" t="n">
        <v>0</v>
      </c>
      <c r="N797" s="17">
        <f>K797*0.08+L797*0.08</f>
        <v/>
      </c>
      <c r="O797" s="17">
        <f>-(K797*0.025+L797*0.025)</f>
        <v/>
      </c>
      <c r="P797" s="17">
        <f>32</f>
        <v/>
      </c>
      <c r="Q797" s="17">
        <f>J797+L797+N797+O797-P797-M797</f>
        <v/>
      </c>
    </row>
    <row r="798">
      <c r="A798" s="16" t="inlineStr">
        <is>
          <t>5.1-5.7</t>
        </is>
      </c>
      <c r="B798" s="16" t="inlineStr">
        <is>
          <t>PO-128-19143455775352089</t>
        </is>
      </c>
      <c r="C798" s="16" t="inlineStr">
        <is>
          <t>Delivered</t>
        </is>
      </c>
      <c r="D798" s="16" t="inlineStr">
        <is>
          <t>128-19143413832312089</t>
        </is>
      </c>
      <c r="E798" s="16" t="inlineStr">
        <is>
          <t>Delivered</t>
        </is>
      </c>
      <c r="F798" s="16" t="inlineStr">
        <is>
          <t>LV64W25</t>
        </is>
      </c>
      <c r="G7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798" s="16" t="inlineStr">
        <is>
          <t>Blanco</t>
        </is>
      </c>
      <c r="I798" s="16" t="n">
        <v>1</v>
      </c>
      <c r="J798" s="17" t="n">
        <v>120</v>
      </c>
      <c r="K798" s="17" t="n">
        <v>43.07</v>
      </c>
      <c r="L798" s="17" t="n">
        <v>25.86</v>
      </c>
      <c r="M798" s="17" t="n">
        <v>0</v>
      </c>
      <c r="N798" s="17">
        <f>K798*0.08+L798*0.08</f>
        <v/>
      </c>
      <c r="O798" s="17">
        <f>-(K798*0.025+L798*0.025)</f>
        <v/>
      </c>
      <c r="P798" s="17">
        <f>32</f>
        <v/>
      </c>
      <c r="Q798" s="17">
        <f>J798+L798+N798+O798-P798-M798</f>
        <v/>
      </c>
    </row>
    <row r="799">
      <c r="A799" s="16" t="inlineStr">
        <is>
          <t>5.1-5.7</t>
        </is>
      </c>
      <c r="B799" s="16" t="inlineStr">
        <is>
          <t>PO-128-19219936748152785</t>
        </is>
      </c>
      <c r="C799" s="16" t="inlineStr">
        <is>
          <t>Delivered</t>
        </is>
      </c>
      <c r="D799" s="16" t="inlineStr">
        <is>
          <t>128-19219894805112785</t>
        </is>
      </c>
      <c r="E799" s="16" t="inlineStr">
        <is>
          <t>Delivered</t>
        </is>
      </c>
      <c r="F799" s="16" t="inlineStr">
        <is>
          <t>KTS-2031</t>
        </is>
      </c>
      <c r="G799" s="16" t="inlineStr">
        <is>
          <t>Bocina inalámbrica de 3 pulgadas con linterna multifuncional y panel solar integrado.Altavoz Portátil con Linterna LED 4 Modos, Radio FM, Bluetooth, Carga Solar, Ideal para Apagones, Emergencias, Campo y Exteriores</t>
        </is>
      </c>
      <c r="H799" s="16" t="inlineStr">
        <is>
          <t>NEGRO</t>
        </is>
      </c>
      <c r="I799" s="16" t="n">
        <v>4</v>
      </c>
      <c r="J799" s="17" t="n">
        <v>252.6</v>
      </c>
      <c r="K799" s="17" t="n">
        <v>289.52</v>
      </c>
      <c r="L799" s="17" t="n">
        <v>0</v>
      </c>
      <c r="M799" s="17" t="n">
        <v>0</v>
      </c>
      <c r="N799" s="17">
        <f>K799*0.08+L799*0.08</f>
        <v/>
      </c>
      <c r="O799" s="17">
        <f>-(K799*0.025+L799*0.025)</f>
        <v/>
      </c>
      <c r="P799" s="17">
        <f>32</f>
        <v/>
      </c>
      <c r="Q799" s="17">
        <f>J799+L799+N799+O799-P799-M799</f>
        <v/>
      </c>
    </row>
    <row r="800">
      <c r="A800" s="16" t="inlineStr">
        <is>
          <t>5.1-5.7</t>
        </is>
      </c>
      <c r="B800" s="16" t="inlineStr">
        <is>
          <t>PO-128-18716067144311626</t>
        </is>
      </c>
      <c r="C800" s="16" t="inlineStr">
        <is>
          <t>Delivered</t>
        </is>
      </c>
      <c r="D800" s="16" t="inlineStr">
        <is>
          <t>128-18716109087351626</t>
        </is>
      </c>
      <c r="E800" s="16" t="inlineStr">
        <is>
          <t>Delivered</t>
        </is>
      </c>
      <c r="F800" s="16" t="inlineStr">
        <is>
          <t>BSC04</t>
        </is>
      </c>
      <c r="G800" s="16" t="inlineStr">
        <is>
          <t>TIANLAI Báscula Digital BSC04/BSC07, Alta Precisión, Fácil Operación, Ligera y Portátil, Función Tara, Unidad Dual oz/g, Ideal para Cocina, Control de Porciones, Sellos y Objetos Pequeños, Uso en Hogar y Viaje</t>
        </is>
      </c>
      <c r="H800" s="16" t="inlineStr">
        <is>
          <t>5g/White</t>
        </is>
      </c>
      <c r="I800" s="16" t="n">
        <v>1</v>
      </c>
      <c r="J800" s="17" t="n">
        <v>57.2</v>
      </c>
      <c r="K800" s="17" t="n">
        <v>73.48999999999999</v>
      </c>
      <c r="L800" s="17" t="n">
        <v>25.86</v>
      </c>
      <c r="M800" s="17" t="n">
        <v>0</v>
      </c>
      <c r="N800" s="17">
        <f>K800*0.08+L800*0.08</f>
        <v/>
      </c>
      <c r="O800" s="17">
        <f>-(K800*0.025+L800*0.025)</f>
        <v/>
      </c>
      <c r="P800" s="17">
        <f>32</f>
        <v/>
      </c>
      <c r="Q800" s="17">
        <f>J800+L800+N800+O800-P800-M800</f>
        <v/>
      </c>
    </row>
    <row r="801">
      <c r="A801" s="16" t="inlineStr">
        <is>
          <t>5.1-5.7</t>
        </is>
      </c>
      <c r="B801" s="16" t="inlineStr">
        <is>
          <t>PO-128-18864400906870678</t>
        </is>
      </c>
      <c r="C801" s="16" t="inlineStr">
        <is>
          <t>Delivered</t>
        </is>
      </c>
      <c r="D801" s="16" t="inlineStr">
        <is>
          <t>128-18864453335670678</t>
        </is>
      </c>
      <c r="E801" s="16" t="inlineStr">
        <is>
          <t>Delivered</t>
        </is>
      </c>
      <c r="F801" s="16" t="inlineStr">
        <is>
          <t>LV64W25</t>
        </is>
      </c>
      <c r="G8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01" s="16" t="inlineStr">
        <is>
          <t>Blanco</t>
        </is>
      </c>
      <c r="I801" s="16" t="n">
        <v>2</v>
      </c>
      <c r="J801" s="17" t="n">
        <v>240</v>
      </c>
      <c r="K801" s="17" t="n">
        <v>251.66</v>
      </c>
      <c r="L801" s="17" t="n">
        <v>0</v>
      </c>
      <c r="M801" s="17" t="n">
        <v>0</v>
      </c>
      <c r="N801" s="17">
        <f>K801*0.08+L801*0.08</f>
        <v/>
      </c>
      <c r="O801" s="17">
        <f>-(K801*0.025+L801*0.025)</f>
        <v/>
      </c>
      <c r="P801" s="17">
        <f>32</f>
        <v/>
      </c>
      <c r="Q801" s="17">
        <f>J801+L801+N801+O801-P801-M801</f>
        <v/>
      </c>
    </row>
    <row r="802">
      <c r="A802" s="16" t="inlineStr">
        <is>
          <t>5.1-5.7</t>
        </is>
      </c>
      <c r="B802" s="16" t="inlineStr">
        <is>
          <t>PO-128-19059621212793674</t>
        </is>
      </c>
      <c r="C802" s="16" t="inlineStr">
        <is>
          <t>Delivered</t>
        </is>
      </c>
      <c r="D802" s="16" t="inlineStr">
        <is>
          <t>128-19059642184313674</t>
        </is>
      </c>
      <c r="E802" s="16" t="inlineStr">
        <is>
          <t>Delivered</t>
        </is>
      </c>
      <c r="F802" s="16" t="inlineStr">
        <is>
          <t>LV64W25</t>
        </is>
      </c>
      <c r="G8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02" s="16" t="inlineStr">
        <is>
          <t>Blanco</t>
        </is>
      </c>
      <c r="I802" s="16" t="n">
        <v>2</v>
      </c>
      <c r="J802" s="17" t="n">
        <v>240</v>
      </c>
      <c r="K802" s="17" t="n">
        <v>212.99</v>
      </c>
      <c r="L802" s="17" t="n">
        <v>0</v>
      </c>
      <c r="M802" s="17" t="n">
        <v>0</v>
      </c>
      <c r="N802" s="17">
        <f>K802*0.08+L802*0.08</f>
        <v/>
      </c>
      <c r="O802" s="17">
        <f>-(K802*0.025+L802*0.025)</f>
        <v/>
      </c>
      <c r="P802" s="17">
        <f>32</f>
        <v/>
      </c>
      <c r="Q802" s="17">
        <f>J802+L802+N802+O802-P802-M802</f>
        <v/>
      </c>
    </row>
    <row r="803">
      <c r="A803" s="16" t="inlineStr">
        <is>
          <t>5.1-5.7</t>
        </is>
      </c>
      <c r="B803" s="16" t="inlineStr">
        <is>
          <t>PO-128-19158151567992961</t>
        </is>
      </c>
      <c r="C803" s="16" t="inlineStr">
        <is>
          <t>Delivered</t>
        </is>
      </c>
      <c r="D803" s="16" t="inlineStr">
        <is>
          <t>128-19158193511032961</t>
        </is>
      </c>
      <c r="E803" s="16" t="inlineStr">
        <is>
          <t>Delivered</t>
        </is>
      </c>
      <c r="F803" s="16" t="inlineStr">
        <is>
          <t>LV54W25</t>
        </is>
      </c>
      <c r="G803" s="16" t="inlineStr">
        <is>
          <t>TIANLAI Lámpara Ventilador E27 2 en 1, Silenciosa, LED Alta Luminosidad 180°, Instalación Rápida, Ahorro Energético para Dormitorio y Interiores Pequeños</t>
        </is>
      </c>
      <c r="H803" s="16" t="inlineStr">
        <is>
          <t>1 Pieza</t>
        </is>
      </c>
      <c r="I803" s="16" t="n">
        <v>3</v>
      </c>
      <c r="J803" s="17" t="n">
        <v>235.5</v>
      </c>
      <c r="K803" s="17" t="n">
        <v>246.9</v>
      </c>
      <c r="L803" s="17" t="n">
        <v>0</v>
      </c>
      <c r="M803" s="17" t="n">
        <v>0</v>
      </c>
      <c r="N803" s="17">
        <f>K803*0.08+L803*0.08</f>
        <v/>
      </c>
      <c r="O803" s="17">
        <f>-(K803*0.025+L803*0.025)</f>
        <v/>
      </c>
      <c r="P803" s="17">
        <f>32</f>
        <v/>
      </c>
      <c r="Q803" s="17">
        <f>J803+L803+N803+O803-P803-M803</f>
        <v/>
      </c>
    </row>
    <row r="804">
      <c r="A804" s="16" t="inlineStr">
        <is>
          <t>5.1-5.7</t>
        </is>
      </c>
      <c r="B804" s="16" t="inlineStr">
        <is>
          <t>PO-128-19078631127672475</t>
        </is>
      </c>
      <c r="C804" s="16" t="inlineStr">
        <is>
          <t>Delivered</t>
        </is>
      </c>
      <c r="D804" s="16" t="inlineStr">
        <is>
          <t>128-19078651116152475</t>
        </is>
      </c>
      <c r="E804" s="16" t="inlineStr">
        <is>
          <t>Delivered</t>
        </is>
      </c>
      <c r="F804" s="16" t="inlineStr">
        <is>
          <t>LV64W25</t>
        </is>
      </c>
      <c r="G8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04" s="16" t="inlineStr">
        <is>
          <t>Blanco</t>
        </is>
      </c>
      <c r="I804" s="16" t="n">
        <v>1</v>
      </c>
      <c r="J804" s="17" t="n">
        <v>120</v>
      </c>
      <c r="K804" s="17" t="n">
        <v>138.27</v>
      </c>
      <c r="L804" s="17" t="n">
        <v>25.86</v>
      </c>
      <c r="M804" s="17" t="n">
        <v>0</v>
      </c>
      <c r="N804" s="17">
        <f>K804*0.08+L804*0.08</f>
        <v/>
      </c>
      <c r="O804" s="17">
        <f>-(K804*0.025+L804*0.025)</f>
        <v/>
      </c>
      <c r="P804" s="17">
        <f>32</f>
        <v/>
      </c>
      <c r="Q804" s="17">
        <f>J804+L804+N804+O804-P804-M804</f>
        <v/>
      </c>
    </row>
    <row r="805">
      <c r="A805" s="16" t="inlineStr">
        <is>
          <t>5.1-5.7</t>
        </is>
      </c>
      <c r="B805" s="16" t="inlineStr">
        <is>
          <t>PO-128-19138110956152054</t>
        </is>
      </c>
      <c r="C805" s="16" t="inlineStr">
        <is>
          <t>Delivered</t>
        </is>
      </c>
      <c r="D805" s="16" t="inlineStr">
        <is>
          <t>128-19138270863992054</t>
        </is>
      </c>
      <c r="E805" s="16" t="inlineStr">
        <is>
          <t>Delivered</t>
        </is>
      </c>
      <c r="F805" s="16" t="inlineStr">
        <is>
          <t>LV64W25</t>
        </is>
      </c>
      <c r="G8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05" s="16" t="inlineStr">
        <is>
          <t>Blanco</t>
        </is>
      </c>
      <c r="I805" s="16" t="n">
        <v>3</v>
      </c>
      <c r="J805" s="17" t="n">
        <v>360</v>
      </c>
      <c r="K805" s="17" t="n">
        <v>302.01</v>
      </c>
      <c r="L805" s="17" t="n">
        <v>0</v>
      </c>
      <c r="M805" s="17" t="n">
        <v>0</v>
      </c>
      <c r="N805" s="17">
        <f>K805*0.08+L805*0.08</f>
        <v/>
      </c>
      <c r="O805" s="17">
        <f>-(K805*0.025+L805*0.025)</f>
        <v/>
      </c>
      <c r="P805" s="17">
        <f>32</f>
        <v/>
      </c>
      <c r="Q805" s="17">
        <f>J805+L805+N805+O805-P805-M805</f>
        <v/>
      </c>
    </row>
    <row r="806">
      <c r="A806" s="16" t="inlineStr">
        <is>
          <t>5.1-5.7</t>
        </is>
      </c>
      <c r="B806" s="16" t="inlineStr">
        <is>
          <t>PO-128-19061368382073664</t>
        </is>
      </c>
      <c r="C806" s="16" t="inlineStr">
        <is>
          <t>Delivered</t>
        </is>
      </c>
      <c r="D806" s="16" t="inlineStr">
        <is>
          <t>128-19061420810873664</t>
        </is>
      </c>
      <c r="E806" s="16" t="inlineStr">
        <is>
          <t>Delivered</t>
        </is>
      </c>
      <c r="F806" s="16" t="inlineStr">
        <is>
          <t>LV54W25</t>
        </is>
      </c>
      <c r="G806" s="16" t="inlineStr">
        <is>
          <t>TIANLAI Lámpara Ventilador E27 2 en 1, Silenciosa, LED Alta Luminosidad 180°, Instalación Rápida, Ahorro Energético para Dormitorio y Interiores Pequeños</t>
        </is>
      </c>
      <c r="H806" s="16" t="inlineStr">
        <is>
          <t>1 Pieza</t>
        </is>
      </c>
      <c r="I806" s="16" t="n">
        <v>2</v>
      </c>
      <c r="J806" s="17" t="n">
        <v>157</v>
      </c>
      <c r="K806" s="17" t="n">
        <v>191.4</v>
      </c>
      <c r="L806" s="17" t="n">
        <v>25.86</v>
      </c>
      <c r="M806" s="17" t="n">
        <v>0</v>
      </c>
      <c r="N806" s="17">
        <f>K806*0.08+L806*0.08</f>
        <v/>
      </c>
      <c r="O806" s="17">
        <f>-(K806*0.025+L806*0.025)</f>
        <v/>
      </c>
      <c r="P806" s="17">
        <f>32</f>
        <v/>
      </c>
      <c r="Q806" s="17">
        <f>J806+L806+N806+O806-P806-M806</f>
        <v/>
      </c>
    </row>
    <row r="807">
      <c r="A807" s="16" t="inlineStr">
        <is>
          <t>5.1-5.7</t>
        </is>
      </c>
      <c r="B807" s="16" t="inlineStr">
        <is>
          <t>PO-128-18983863511673998</t>
        </is>
      </c>
      <c r="C807" s="16" t="inlineStr">
        <is>
          <t>Delivered</t>
        </is>
      </c>
      <c r="D807" s="16" t="inlineStr">
        <is>
          <t>128-18983918561913998</t>
        </is>
      </c>
      <c r="E807" s="16" t="inlineStr">
        <is>
          <t>Delivered</t>
        </is>
      </c>
      <c r="F807" s="16" t="inlineStr">
        <is>
          <t>BG-115-B</t>
        </is>
      </c>
      <c r="G807" s="16" t="inlineStr">
        <is>
          <t>LINK BITS Audífonos Inalámbricos con Luces Multicolor, Recargables y en Adorable Forma de Orejas de Gato - Conecta a Celulares y PCs, Tiene Radio FM, Tarjeta TF y AUX - 7 Horas de Reproducción, Plegables y Perfectos para Trabajo, Juegos y Estudio</t>
        </is>
      </c>
      <c r="H807" s="16" t="inlineStr">
        <is>
          <t>blanco</t>
        </is>
      </c>
      <c r="I807" s="16" t="n">
        <v>1</v>
      </c>
      <c r="J807" s="17" t="n">
        <v>75</v>
      </c>
      <c r="K807" s="17" t="n">
        <v>85.72</v>
      </c>
      <c r="L807" s="17" t="n">
        <v>25.86</v>
      </c>
      <c r="M807" s="17" t="n">
        <v>0</v>
      </c>
      <c r="N807" s="17">
        <f>K807*0.08+L807*0.08</f>
        <v/>
      </c>
      <c r="O807" s="17">
        <f>-(K807*0.025+L807*0.025)</f>
        <v/>
      </c>
      <c r="P807" s="17">
        <f>32</f>
        <v/>
      </c>
      <c r="Q807" s="17">
        <f>J807+L807+N807+O807-P807-M807</f>
        <v/>
      </c>
    </row>
    <row r="808">
      <c r="A808" s="16" t="inlineStr">
        <is>
          <t>5.1-5.7</t>
        </is>
      </c>
      <c r="B808" s="16" t="inlineStr">
        <is>
          <t>PO-128-18938185626233438</t>
        </is>
      </c>
      <c r="C808" s="16" t="inlineStr">
        <is>
          <t>Delivered</t>
        </is>
      </c>
      <c r="D808" s="16" t="inlineStr">
        <is>
          <t>128-18938164654713438</t>
        </is>
      </c>
      <c r="E808" s="16" t="inlineStr">
        <is>
          <t>Delivered</t>
        </is>
      </c>
      <c r="F808" s="16" t="inlineStr">
        <is>
          <t>LV54W25</t>
        </is>
      </c>
      <c r="G808" s="16" t="inlineStr">
        <is>
          <t>TIANLAI Lámpara Ventilador E27 2 en 1, Silenciosa, LED Alta Luminosidad 180°, Instalación Rápida, Ahorro Energético para Dormitorio y Interiores Pequeños</t>
        </is>
      </c>
      <c r="H808" s="16" t="inlineStr">
        <is>
          <t>1 Pieza</t>
        </is>
      </c>
      <c r="I808" s="16" t="n">
        <v>3</v>
      </c>
      <c r="J808" s="17" t="n">
        <v>235.5</v>
      </c>
      <c r="K808" s="17" t="n">
        <v>189.36</v>
      </c>
      <c r="L808" s="17" t="n">
        <v>0</v>
      </c>
      <c r="M808" s="17" t="n">
        <v>0</v>
      </c>
      <c r="N808" s="17">
        <f>K808*0.08+L808*0.08</f>
        <v/>
      </c>
      <c r="O808" s="17">
        <f>-(K808*0.025+L808*0.025)</f>
        <v/>
      </c>
      <c r="P808" s="17">
        <f>32</f>
        <v/>
      </c>
      <c r="Q808" s="17">
        <f>J808+L808+N808+O808-P808-M808</f>
        <v/>
      </c>
    </row>
    <row r="809">
      <c r="A809" s="16" t="inlineStr">
        <is>
          <t>5.1-5.7</t>
        </is>
      </c>
      <c r="B809" s="16" t="inlineStr">
        <is>
          <t>PO-128-18808060918390118</t>
        </is>
      </c>
      <c r="C809" s="16" t="inlineStr">
        <is>
          <t>Delivered</t>
        </is>
      </c>
      <c r="D809" s="16" t="inlineStr">
        <is>
          <t>128-18808018975350118</t>
        </is>
      </c>
      <c r="E809" s="16" t="inlineStr">
        <is>
          <t>Delivered</t>
        </is>
      </c>
      <c r="F809" s="16" t="inlineStr">
        <is>
          <t>LV64W25</t>
        </is>
      </c>
      <c r="G8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09" s="16" t="inlineStr">
        <is>
          <t>Blanco</t>
        </is>
      </c>
      <c r="I809" s="16" t="n">
        <v>2</v>
      </c>
      <c r="J809" s="17" t="n">
        <v>240</v>
      </c>
      <c r="K809" s="17" t="n">
        <v>276.54</v>
      </c>
      <c r="L809" s="17" t="n">
        <v>0</v>
      </c>
      <c r="M809" s="17" t="n">
        <v>0</v>
      </c>
      <c r="N809" s="17">
        <f>K809*0.08+L809*0.08</f>
        <v/>
      </c>
      <c r="O809" s="17">
        <f>-(K809*0.025+L809*0.025)</f>
        <v/>
      </c>
      <c r="P809" s="17">
        <f>32</f>
        <v/>
      </c>
      <c r="Q809" s="17">
        <f>J809+L809+N809+O809-P809-M809</f>
        <v/>
      </c>
    </row>
    <row r="810">
      <c r="A810" s="16" t="inlineStr">
        <is>
          <t>5.1-5.7</t>
        </is>
      </c>
      <c r="B810" s="16" t="inlineStr">
        <is>
          <t>PO-128-18671825582711826</t>
        </is>
      </c>
      <c r="C810" s="16" t="inlineStr">
        <is>
          <t>Delivered</t>
        </is>
      </c>
      <c r="D810" s="16" t="inlineStr">
        <is>
          <t>128-18671783639671826</t>
        </is>
      </c>
      <c r="E810" s="16" t="inlineStr">
        <is>
          <t>Delivered</t>
        </is>
      </c>
      <c r="F810" s="16" t="inlineStr">
        <is>
          <t>LV54W25</t>
        </is>
      </c>
      <c r="G810" s="16" t="inlineStr">
        <is>
          <t>TIANLAI Lámpara Ventilador E27 2 en 1, Silenciosa, LED Alta Luminosidad 180°, Instalación Rápida, Ahorro Energético para Dormitorio y Interiores Pequeños</t>
        </is>
      </c>
      <c r="H810" s="16" t="inlineStr">
        <is>
          <t>1 Pieza</t>
        </is>
      </c>
      <c r="I810" s="16" t="n">
        <v>3</v>
      </c>
      <c r="J810" s="17" t="n">
        <v>235.5</v>
      </c>
      <c r="K810" s="17" t="n">
        <v>287.1</v>
      </c>
      <c r="L810" s="17" t="n">
        <v>0</v>
      </c>
      <c r="M810" s="17" t="n">
        <v>0</v>
      </c>
      <c r="N810" s="17">
        <f>K810*0.08+L810*0.08</f>
        <v/>
      </c>
      <c r="O810" s="17">
        <f>-(K810*0.025+L810*0.025)</f>
        <v/>
      </c>
      <c r="P810" s="17">
        <f>32</f>
        <v/>
      </c>
      <c r="Q810" s="17">
        <f>J810+L810+N810+O810-P810-M810</f>
        <v/>
      </c>
    </row>
    <row r="811">
      <c r="A811" s="16" t="inlineStr">
        <is>
          <t>5.1-5.7</t>
        </is>
      </c>
      <c r="B811" s="16" t="inlineStr">
        <is>
          <t>PO-128-18905143603833509</t>
        </is>
      </c>
      <c r="C811" s="16" t="inlineStr">
        <is>
          <t>Delivered</t>
        </is>
      </c>
      <c r="D811" s="16" t="inlineStr">
        <is>
          <t>128-18905159332473509</t>
        </is>
      </c>
      <c r="E811" s="16" t="inlineStr">
        <is>
          <t>Delivered</t>
        </is>
      </c>
      <c r="F811" s="16" t="inlineStr">
        <is>
          <t>KTS-2031</t>
        </is>
      </c>
      <c r="G811" s="16" t="inlineStr">
        <is>
          <t>Bocina inalámbrica de 3 pulgadas con linterna multifuncional y panel solar integrado.Altavoz Portátil con Linterna LED 4 Modos, Radio FM, Bluetooth, Carga Solar, Ideal para Apagones, Emergencias, Campo y Exteriores</t>
        </is>
      </c>
      <c r="H811" s="16" t="inlineStr">
        <is>
          <t>NEGRO</t>
        </is>
      </c>
      <c r="I811" s="16" t="n">
        <v>1</v>
      </c>
      <c r="J811" s="17" t="n">
        <v>63.15</v>
      </c>
      <c r="K811" s="17" t="n">
        <v>72.38</v>
      </c>
      <c r="L811" s="17" t="n">
        <v>25.86</v>
      </c>
      <c r="M811" s="17" t="n">
        <v>0</v>
      </c>
      <c r="N811" s="17">
        <f>K811*0.08+L811*0.08</f>
        <v/>
      </c>
      <c r="O811" s="17">
        <f>-(K811*0.025+L811*0.025)</f>
        <v/>
      </c>
      <c r="P811" s="17">
        <f>32</f>
        <v/>
      </c>
      <c r="Q811" s="17">
        <f>J811+L811+N811+O811-P811-M811</f>
        <v/>
      </c>
    </row>
    <row r="812">
      <c r="A812" s="16" t="inlineStr">
        <is>
          <t>5.1-5.7</t>
        </is>
      </c>
      <c r="B812" s="16" t="inlineStr">
        <is>
          <t>PO-128-18881247263350515</t>
        </is>
      </c>
      <c r="C812" s="16" t="inlineStr">
        <is>
          <t>Delivered</t>
        </is>
      </c>
      <c r="D812" s="16" t="inlineStr">
        <is>
          <t>128-18881330166390515</t>
        </is>
      </c>
      <c r="E812" s="16" t="inlineStr">
        <is>
          <t>Delivered</t>
        </is>
      </c>
      <c r="F812" s="16" t="inlineStr">
        <is>
          <t>LV54W25</t>
        </is>
      </c>
      <c r="G812" s="16" t="inlineStr">
        <is>
          <t>TIANLAI Lámpara Ventilador E27 2 en 1, Silenciosa, LED Alta Luminosidad 180°, Instalación Rápida, Ahorro Energético para Dormitorio y Interiores Pequeños</t>
        </is>
      </c>
      <c r="H812" s="16" t="inlineStr">
        <is>
          <t>1 Pieza</t>
        </is>
      </c>
      <c r="I812" s="16" t="n">
        <v>3</v>
      </c>
      <c r="J812" s="17" t="n">
        <v>235.5</v>
      </c>
      <c r="K812" s="17" t="n">
        <v>246.9</v>
      </c>
      <c r="L812" s="17" t="n">
        <v>0</v>
      </c>
      <c r="M812" s="17" t="n">
        <v>0</v>
      </c>
      <c r="N812" s="17">
        <f>K812*0.08+L812*0.08</f>
        <v/>
      </c>
      <c r="O812" s="17">
        <f>-(K812*0.025+L812*0.025)</f>
        <v/>
      </c>
      <c r="P812" s="17">
        <f>32</f>
        <v/>
      </c>
      <c r="Q812" s="17">
        <f>J812+L812+N812+O812-P812-M812</f>
        <v/>
      </c>
    </row>
    <row r="813">
      <c r="A813" s="16" t="inlineStr">
        <is>
          <t>5.1-5.7</t>
        </is>
      </c>
      <c r="B813" s="16" t="inlineStr">
        <is>
          <t>PO-128-19004996639354064</t>
        </is>
      </c>
      <c r="C813" s="16" t="inlineStr">
        <is>
          <t>Delivered</t>
        </is>
      </c>
      <c r="D813" s="16" t="inlineStr">
        <is>
          <t>128-19004949453434064</t>
        </is>
      </c>
      <c r="E813" s="16" t="inlineStr">
        <is>
          <t>Delivered</t>
        </is>
      </c>
      <c r="F813" s="16" t="inlineStr">
        <is>
          <t>LV64W25</t>
        </is>
      </c>
      <c r="G8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13" s="16" t="inlineStr">
        <is>
          <t>Blanco</t>
        </is>
      </c>
      <c r="I813" s="16" t="n">
        <v>1</v>
      </c>
      <c r="J813" s="17" t="n">
        <v>120</v>
      </c>
      <c r="K813" s="17" t="n">
        <v>138.27</v>
      </c>
      <c r="L813" s="17" t="n">
        <v>25.86</v>
      </c>
      <c r="M813" s="17" t="n">
        <v>0</v>
      </c>
      <c r="N813" s="17">
        <f>K813*0.08+L813*0.08</f>
        <v/>
      </c>
      <c r="O813" s="17">
        <f>-(K813*0.025+L813*0.025)</f>
        <v/>
      </c>
      <c r="P813" s="17">
        <f>32</f>
        <v/>
      </c>
      <c r="Q813" s="17">
        <f>J813+L813+N813+O813-P813-M813</f>
        <v/>
      </c>
    </row>
    <row r="814">
      <c r="A814" s="16" t="inlineStr">
        <is>
          <t>5.1-5.7</t>
        </is>
      </c>
      <c r="B814" s="16" t="inlineStr">
        <is>
          <t>PO-128-18710943355511595</t>
        </is>
      </c>
      <c r="C814" s="16" t="inlineStr">
        <is>
          <t>Delivered</t>
        </is>
      </c>
      <c r="D814" s="16" t="inlineStr">
        <is>
          <t>128-18710901412471595</t>
        </is>
      </c>
      <c r="E814" s="16" t="inlineStr">
        <is>
          <t>Delivered</t>
        </is>
      </c>
      <c r="F814" s="16" t="inlineStr">
        <is>
          <t>LV64W25</t>
        </is>
      </c>
      <c r="G8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14" s="16" t="inlineStr">
        <is>
          <t>Blanco</t>
        </is>
      </c>
      <c r="I814" s="16" t="n">
        <v>2</v>
      </c>
      <c r="J814" s="17" t="n">
        <v>240</v>
      </c>
      <c r="K814" s="17" t="n">
        <v>233.44</v>
      </c>
      <c r="L814" s="17" t="n">
        <v>0</v>
      </c>
      <c r="M814" s="17" t="n">
        <v>0</v>
      </c>
      <c r="N814" s="17">
        <f>K814*0.08+L814*0.08</f>
        <v/>
      </c>
      <c r="O814" s="17">
        <f>-(K814*0.025+L814*0.025)</f>
        <v/>
      </c>
      <c r="P814" s="17">
        <f>32</f>
        <v/>
      </c>
      <c r="Q814" s="17">
        <f>J814+L814+N814+O814-P814-M814</f>
        <v/>
      </c>
    </row>
    <row r="815">
      <c r="A815" s="16" t="inlineStr">
        <is>
          <t>5.1-5.7</t>
        </is>
      </c>
      <c r="B815" s="16" t="inlineStr">
        <is>
          <t>PO-128-18891817513590578</t>
        </is>
      </c>
      <c r="C815" s="16" t="inlineStr">
        <is>
          <t>Delivered</t>
        </is>
      </c>
      <c r="D815" s="16" t="inlineStr">
        <is>
          <t>128-18891899433590578</t>
        </is>
      </c>
      <c r="E815" s="16" t="inlineStr">
        <is>
          <t>Delivered</t>
        </is>
      </c>
      <c r="F815" s="16" t="inlineStr">
        <is>
          <t>LV64W25</t>
        </is>
      </c>
      <c r="G8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15" s="16" t="inlineStr">
        <is>
          <t>Blanco</t>
        </is>
      </c>
      <c r="I815" s="16" t="n">
        <v>2</v>
      </c>
      <c r="J815" s="17" t="n">
        <v>240</v>
      </c>
      <c r="K815" s="17" t="n">
        <v>221.24</v>
      </c>
      <c r="L815" s="17" t="n">
        <v>0</v>
      </c>
      <c r="M815" s="17" t="n">
        <v>0</v>
      </c>
      <c r="N815" s="17">
        <f>K815*0.08+L815*0.08</f>
        <v/>
      </c>
      <c r="O815" s="17">
        <f>-(K815*0.025+L815*0.025)</f>
        <v/>
      </c>
      <c r="P815" s="17">
        <f>32</f>
        <v/>
      </c>
      <c r="Q815" s="17">
        <f>J815+L815+N815+O815-P815-M815</f>
        <v/>
      </c>
    </row>
    <row r="816">
      <c r="A816" s="16" t="inlineStr">
        <is>
          <t>5.1-5.7</t>
        </is>
      </c>
      <c r="B816" s="16" t="inlineStr">
        <is>
          <t>PO-128-18659137331832031</t>
        </is>
      </c>
      <c r="C816" s="16" t="inlineStr">
        <is>
          <t>Delivered</t>
        </is>
      </c>
      <c r="D816" s="16" t="inlineStr">
        <is>
          <t>128-18659242189432031</t>
        </is>
      </c>
      <c r="E816" s="16" t="inlineStr">
        <is>
          <t>Delivered</t>
        </is>
      </c>
      <c r="F816" s="16" t="inlineStr">
        <is>
          <t>LV54W25</t>
        </is>
      </c>
      <c r="G816" s="16" t="inlineStr">
        <is>
          <t>TIANLAI Lámpara Ventilador E27 2 en 1, Silenciosa, LED Alta Luminosidad 180°, Instalación Rápida, Ahorro Energético para Dormitorio y Interiores Pequeños</t>
        </is>
      </c>
      <c r="H816" s="16" t="inlineStr">
        <is>
          <t>1 Pieza</t>
        </is>
      </c>
      <c r="I816" s="16" t="n">
        <v>2</v>
      </c>
      <c r="J816" s="17" t="n">
        <v>157</v>
      </c>
      <c r="K816" s="17" t="n">
        <v>139.92</v>
      </c>
      <c r="L816" s="17" t="n">
        <v>25.86</v>
      </c>
      <c r="M816" s="17" t="n">
        <v>0</v>
      </c>
      <c r="N816" s="17">
        <f>K816*0.08+L816*0.08</f>
        <v/>
      </c>
      <c r="O816" s="17">
        <f>-(K816*0.025+L816*0.025)</f>
        <v/>
      </c>
      <c r="P816" s="17">
        <f>32</f>
        <v/>
      </c>
      <c r="Q816" s="17">
        <f>J816+L816+N816+O816-P816-M816</f>
        <v/>
      </c>
    </row>
    <row r="817">
      <c r="A817" s="16" t="inlineStr">
        <is>
          <t>5.1-5.7</t>
        </is>
      </c>
      <c r="B817" s="16" t="inlineStr">
        <is>
          <t>PO-128-18868752958070716</t>
        </is>
      </c>
      <c r="C817" s="16" t="inlineStr">
        <is>
          <t>Delivered</t>
        </is>
      </c>
      <c r="D817" s="16" t="inlineStr">
        <is>
          <t>128-18868726743670716</t>
        </is>
      </c>
      <c r="E817" s="16" t="inlineStr">
        <is>
          <t>Delivered</t>
        </is>
      </c>
      <c r="F817" s="16" t="inlineStr">
        <is>
          <t>VB349T</t>
        </is>
      </c>
      <c r="G817" s="16" t="inlineStr">
        <is>
          <t>LINKBITS Altavoz Portátil de Doble Altavoz - 3 Pulgadas, Sonido HD, Emparejamiento Rápido de Bluetooth, Conectividad TWS, Reproducción Multimodo (Micro SD/USB/Radio FM) - Perfecto para Oficina, Viajes y Espacios Pequeños</t>
        </is>
      </c>
      <c r="H817" s="16" t="inlineStr">
        <is>
          <t>NEGRO</t>
        </is>
      </c>
      <c r="I817" s="16" t="n">
        <v>3</v>
      </c>
      <c r="J817" s="17" t="n">
        <v>237</v>
      </c>
      <c r="K817" s="17" t="n">
        <v>221.52</v>
      </c>
      <c r="L817" s="17" t="n">
        <v>0</v>
      </c>
      <c r="M817" s="17" t="n">
        <v>0</v>
      </c>
      <c r="N817" s="17">
        <f>K817*0.08+L817*0.08</f>
        <v/>
      </c>
      <c r="O817" s="17">
        <f>-(K817*0.025+L817*0.025)</f>
        <v/>
      </c>
      <c r="P817" s="17">
        <f>32</f>
        <v/>
      </c>
      <c r="Q817" s="17">
        <f>J817+L817+N817+O817-P817-M817</f>
        <v/>
      </c>
    </row>
    <row r="818">
      <c r="A818" s="16" t="inlineStr">
        <is>
          <t>5.1-5.7</t>
        </is>
      </c>
      <c r="B818" s="16" t="inlineStr">
        <is>
          <t>PO-128-19031889019513712</t>
        </is>
      </c>
      <c r="C818" s="16" t="inlineStr">
        <is>
          <t>Delivered</t>
        </is>
      </c>
      <c r="D818" s="16" t="inlineStr">
        <is>
          <t>128-19031891640953712</t>
        </is>
      </c>
      <c r="E818" s="16" t="inlineStr">
        <is>
          <t>Delivered</t>
        </is>
      </c>
      <c r="F818" s="16" t="inlineStr">
        <is>
          <t>LV54W25</t>
        </is>
      </c>
      <c r="G818" s="16" t="inlineStr">
        <is>
          <t>TIANLAI Lámpara Ventilador E27 2 en 1, Silenciosa, LED Alta Luminosidad 180°, Instalación Rápida, Ahorro Energético para Dormitorio y Interiores Pequeños</t>
        </is>
      </c>
      <c r="H818" s="16" t="inlineStr">
        <is>
          <t>1 Pieza</t>
        </is>
      </c>
      <c r="I818" s="16" t="n">
        <v>3</v>
      </c>
      <c r="J818" s="17" t="n">
        <v>235.5</v>
      </c>
      <c r="K818" s="17" t="n">
        <v>246.9</v>
      </c>
      <c r="L818" s="17" t="n">
        <v>0</v>
      </c>
      <c r="M818" s="17" t="n">
        <v>0</v>
      </c>
      <c r="N818" s="17">
        <f>K818*0.08+L818*0.08</f>
        <v/>
      </c>
      <c r="O818" s="17">
        <f>-(K818*0.025+L818*0.025)</f>
        <v/>
      </c>
      <c r="P818" s="17">
        <f>32</f>
        <v/>
      </c>
      <c r="Q818" s="17">
        <f>J818+L818+N818+O818-P818-M818</f>
        <v/>
      </c>
    </row>
    <row r="819">
      <c r="A819" s="16" t="inlineStr">
        <is>
          <t>5.1-5.7</t>
        </is>
      </c>
      <c r="B819" s="16" t="inlineStr">
        <is>
          <t>PO-128-18710793308791595</t>
        </is>
      </c>
      <c r="C819" s="16" t="inlineStr">
        <is>
          <t>Delivered</t>
        </is>
      </c>
      <c r="D819" s="16" t="inlineStr">
        <is>
          <t>128-18710953216631595</t>
        </is>
      </c>
      <c r="E819" s="16" t="inlineStr">
        <is>
          <t>Delivered</t>
        </is>
      </c>
      <c r="F819" s="16" t="inlineStr">
        <is>
          <t>LV64W25</t>
        </is>
      </c>
      <c r="G8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19" s="16" t="inlineStr">
        <is>
          <t>Blanco</t>
        </is>
      </c>
      <c r="I819" s="16" t="n">
        <v>1</v>
      </c>
      <c r="J819" s="17" t="n">
        <v>120</v>
      </c>
      <c r="K819" s="17" t="n">
        <v>96.8</v>
      </c>
      <c r="L819" s="17" t="n">
        <v>25.86</v>
      </c>
      <c r="M819" s="17" t="n">
        <v>0</v>
      </c>
      <c r="N819" s="17">
        <f>K819*0.08+L819*0.08</f>
        <v/>
      </c>
      <c r="O819" s="17">
        <f>-(K819*0.025+L819*0.025)</f>
        <v/>
      </c>
      <c r="P819" s="17">
        <f>32</f>
        <v/>
      </c>
      <c r="Q819" s="17">
        <f>J819+L819+N819+O819-P819-M819</f>
        <v/>
      </c>
    </row>
    <row r="820">
      <c r="A820" s="16" t="inlineStr">
        <is>
          <t>5.1-5.7</t>
        </is>
      </c>
      <c r="B820" s="16" t="inlineStr">
        <is>
          <t>PO-128-18674883820151872</t>
        </is>
      </c>
      <c r="C820" s="16" t="inlineStr">
        <is>
          <t>Delivered</t>
        </is>
      </c>
      <c r="D820" s="16" t="inlineStr">
        <is>
          <t>128-18674841877111872</t>
        </is>
      </c>
      <c r="E820" s="16" t="inlineStr">
        <is>
          <t>Delivered</t>
        </is>
      </c>
      <c r="F820" s="16" t="inlineStr">
        <is>
          <t>LV64W25</t>
        </is>
      </c>
      <c r="G8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20" s="16" t="inlineStr">
        <is>
          <t>Blanco</t>
        </is>
      </c>
      <c r="I820" s="16" t="n">
        <v>1</v>
      </c>
      <c r="J820" s="17" t="n">
        <v>120</v>
      </c>
      <c r="K820" s="17" t="n">
        <v>138.27</v>
      </c>
      <c r="L820" s="17" t="n">
        <v>25.86</v>
      </c>
      <c r="M820" s="17" t="n">
        <v>0</v>
      </c>
      <c r="N820" s="17">
        <f>K820*0.08+L820*0.08</f>
        <v/>
      </c>
      <c r="O820" s="17">
        <f>-(K820*0.025+L820*0.025)</f>
        <v/>
      </c>
      <c r="P820" s="17">
        <f>32</f>
        <v/>
      </c>
      <c r="Q820" s="17">
        <f>J820+L820+N820+O820-P820-M820</f>
        <v/>
      </c>
    </row>
    <row r="821">
      <c r="A821" s="16" t="inlineStr">
        <is>
          <t>5.1-5.7</t>
        </is>
      </c>
      <c r="B821" s="16" t="inlineStr">
        <is>
          <t>PO-128-18861420565110696</t>
        </is>
      </c>
      <c r="C821" s="16" t="inlineStr">
        <is>
          <t>Delivered</t>
        </is>
      </c>
      <c r="D821" s="16" t="inlineStr">
        <is>
          <t>128-18861431050870696</t>
        </is>
      </c>
      <c r="E821" s="16" t="inlineStr">
        <is>
          <t>Delivered</t>
        </is>
      </c>
      <c r="F821" s="16" t="inlineStr">
        <is>
          <t>LV54W25</t>
        </is>
      </c>
      <c r="G821" s="16" t="inlineStr">
        <is>
          <t>TIANLAI Lámpara Ventilador E27 2 en 1, Silenciosa, LED Alta Luminosidad 180°, Instalación Rápida, Ahorro Energético para Dormitorio y Interiores Pequeños</t>
        </is>
      </c>
      <c r="H821" s="16" t="inlineStr">
        <is>
          <t>1 Pieza</t>
        </is>
      </c>
      <c r="I821" s="16" t="n">
        <v>3</v>
      </c>
      <c r="J821" s="17" t="n">
        <v>235.5</v>
      </c>
      <c r="K821" s="17" t="n">
        <v>246.9</v>
      </c>
      <c r="L821" s="17" t="n">
        <v>0</v>
      </c>
      <c r="M821" s="17" t="n">
        <v>0</v>
      </c>
      <c r="N821" s="17">
        <f>K821*0.08+L821*0.08</f>
        <v/>
      </c>
      <c r="O821" s="17">
        <f>-(K821*0.025+L821*0.025)</f>
        <v/>
      </c>
      <c r="P821" s="17">
        <f>32</f>
        <v/>
      </c>
      <c r="Q821" s="17">
        <f>J821+L821+N821+O821-P821-M821</f>
        <v/>
      </c>
    </row>
    <row r="822">
      <c r="A822" s="16" t="inlineStr">
        <is>
          <t>5.1-5.7</t>
        </is>
      </c>
      <c r="B822" s="16" t="inlineStr">
        <is>
          <t>PO-128-18693724150391697</t>
        </is>
      </c>
      <c r="C822" s="16" t="inlineStr">
        <is>
          <t>Delivered</t>
        </is>
      </c>
      <c r="D822" s="16" t="inlineStr">
        <is>
          <t>128-18693726771831697</t>
        </is>
      </c>
      <c r="E822" s="16" t="inlineStr">
        <is>
          <t>Delivered</t>
        </is>
      </c>
      <c r="F822" s="16" t="inlineStr">
        <is>
          <t>LV64W25</t>
        </is>
      </c>
      <c r="G8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22" s="16" t="inlineStr">
        <is>
          <t>Blanco</t>
        </is>
      </c>
      <c r="I822" s="16" t="n">
        <v>2</v>
      </c>
      <c r="J822" s="17" t="n">
        <v>240</v>
      </c>
      <c r="K822" s="17" t="n">
        <v>226.83</v>
      </c>
      <c r="L822" s="17" t="n">
        <v>0</v>
      </c>
      <c r="M822" s="17" t="n">
        <v>0</v>
      </c>
      <c r="N822" s="17">
        <f>K822*0.08+L822*0.08</f>
        <v/>
      </c>
      <c r="O822" s="17">
        <f>-(K822*0.025+L822*0.025)</f>
        <v/>
      </c>
      <c r="P822" s="17">
        <f>32</f>
        <v/>
      </c>
      <c r="Q822" s="17">
        <f>J822+L822+N822+O822-P822-M822</f>
        <v/>
      </c>
    </row>
    <row r="823">
      <c r="A823" s="16" t="inlineStr">
        <is>
          <t>5.1-5.7</t>
        </is>
      </c>
      <c r="B823" s="16" t="inlineStr">
        <is>
          <t>PO-128-18695133256311753</t>
        </is>
      </c>
      <c r="C823" s="16" t="inlineStr">
        <is>
          <t>Delivered</t>
        </is>
      </c>
      <c r="D823" s="16" t="inlineStr">
        <is>
          <t>128-18695075584631753</t>
        </is>
      </c>
      <c r="E823" s="16" t="inlineStr">
        <is>
          <t>Delivered</t>
        </is>
      </c>
      <c r="F823" s="16" t="inlineStr">
        <is>
          <t>B03W10-10PZS</t>
        </is>
      </c>
      <c r="G82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823" s="16" t="inlineStr">
        <is>
          <t>B03W10</t>
        </is>
      </c>
      <c r="I823" s="16" t="n">
        <v>1</v>
      </c>
      <c r="J823" s="17" t="n">
        <v>66</v>
      </c>
      <c r="K823" s="17" t="n">
        <v>73.26000000000001</v>
      </c>
      <c r="L823" s="17" t="n">
        <v>25.86</v>
      </c>
      <c r="M823" s="17" t="n">
        <v>0</v>
      </c>
      <c r="N823" s="17">
        <f>K823*0.08+L823*0.08</f>
        <v/>
      </c>
      <c r="O823" s="17">
        <f>-(K823*0.025+L823*0.025)</f>
        <v/>
      </c>
      <c r="P823" s="17">
        <f>32</f>
        <v/>
      </c>
      <c r="Q823" s="17">
        <f>J823+L823+N823+O823-P823-M823</f>
        <v/>
      </c>
    </row>
    <row r="824">
      <c r="A824" s="16" t="inlineStr">
        <is>
          <t>5.1-5.7</t>
        </is>
      </c>
      <c r="B824" s="16" t="inlineStr">
        <is>
          <t>PO-128-19126603582072253</t>
        </is>
      </c>
      <c r="C824" s="16" t="inlineStr">
        <is>
          <t>Delivered</t>
        </is>
      </c>
      <c r="D824" s="16" t="inlineStr">
        <is>
          <t>128-19126624553592253</t>
        </is>
      </c>
      <c r="E824" s="16" t="inlineStr">
        <is>
          <t>Delivered</t>
        </is>
      </c>
      <c r="F824" s="16" t="inlineStr">
        <is>
          <t>LV64W25</t>
        </is>
      </c>
      <c r="G8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24" s="16" t="inlineStr">
        <is>
          <t>Blanco</t>
        </is>
      </c>
      <c r="I824" s="16" t="n">
        <v>1</v>
      </c>
      <c r="J824" s="17" t="n">
        <v>120</v>
      </c>
      <c r="K824" s="17" t="n">
        <v>138.27</v>
      </c>
      <c r="L824" s="17" t="n">
        <v>25.86</v>
      </c>
      <c r="M824" s="17" t="n">
        <v>0</v>
      </c>
      <c r="N824" s="17">
        <f>K824*0.08+L824*0.08</f>
        <v/>
      </c>
      <c r="O824" s="17">
        <f>-(K824*0.025+L824*0.025)</f>
        <v/>
      </c>
      <c r="P824" s="17">
        <f>32</f>
        <v/>
      </c>
      <c r="Q824" s="17">
        <f>J824+L824+N824+O824-P824-M824</f>
        <v/>
      </c>
    </row>
    <row r="825">
      <c r="A825" s="16" t="inlineStr">
        <is>
          <t>5.1-5.7</t>
        </is>
      </c>
      <c r="B825" s="16" t="inlineStr">
        <is>
          <t>PO-128-18716703437431622</t>
        </is>
      </c>
      <c r="C825" s="16" t="inlineStr">
        <is>
          <t>Delivered</t>
        </is>
      </c>
      <c r="D825" s="16" t="inlineStr">
        <is>
          <t>128-18716724408951622</t>
        </is>
      </c>
      <c r="E825" s="16" t="inlineStr">
        <is>
          <t>Delivered</t>
        </is>
      </c>
      <c r="F825" s="16" t="inlineStr">
        <is>
          <t>LV64W25</t>
        </is>
      </c>
      <c r="G8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25" s="16" t="inlineStr">
        <is>
          <t>Blanco</t>
        </is>
      </c>
      <c r="I825" s="16" t="n">
        <v>2</v>
      </c>
      <c r="J825" s="17" t="n">
        <v>240</v>
      </c>
      <c r="K825" s="17" t="n">
        <v>276.54</v>
      </c>
      <c r="L825" s="17" t="n">
        <v>0</v>
      </c>
      <c r="M825" s="17" t="n">
        <v>0</v>
      </c>
      <c r="N825" s="17">
        <f>K825*0.08+L825*0.08</f>
        <v/>
      </c>
      <c r="O825" s="17">
        <f>-(K825*0.025+L825*0.025)</f>
        <v/>
      </c>
      <c r="P825" s="17">
        <f>32</f>
        <v/>
      </c>
      <c r="Q825" s="17">
        <f>J825+L825+N825+O825-P825-M825</f>
        <v/>
      </c>
    </row>
    <row r="826">
      <c r="A826" s="16" t="inlineStr">
        <is>
          <t>5.1-5.7</t>
        </is>
      </c>
      <c r="B826" s="16" t="inlineStr">
        <is>
          <t>PO-128-19137642424952059</t>
        </is>
      </c>
      <c r="C826" s="16" t="inlineStr">
        <is>
          <t>Delivered</t>
        </is>
      </c>
      <c r="D826" s="16" t="inlineStr">
        <is>
          <t>128-19137616210552059</t>
        </is>
      </c>
      <c r="E826" s="16" t="inlineStr">
        <is>
          <t>Delivered</t>
        </is>
      </c>
      <c r="F826" s="16" t="inlineStr">
        <is>
          <t>TL1412N17C</t>
        </is>
      </c>
      <c r="G826" s="16" t="inlineStr">
        <is>
          <t>Linkbits, Soporte de Pared Fijo para TV y Monitor de 14"-43", Ultra Delgado 2.3cm, Fuerte Capacidad de Peso de 25KG, Fácil Instalación con Accesorios Completos</t>
        </is>
      </c>
      <c r="H826" s="16" t="inlineStr">
        <is>
          <t>NEGRO</t>
        </is>
      </c>
      <c r="I826" s="16" t="n">
        <v>1</v>
      </c>
      <c r="J826" s="17" t="n">
        <v>36.5</v>
      </c>
      <c r="K826" s="17" t="n">
        <v>48.21</v>
      </c>
      <c r="L826" s="17" t="n">
        <v>25.86</v>
      </c>
      <c r="M826" s="17" t="n">
        <v>0</v>
      </c>
      <c r="N826" s="17">
        <f>K826*0.08+L826*0.08</f>
        <v/>
      </c>
      <c r="O826" s="17">
        <f>-(K826*0.025+L826*0.025)</f>
        <v/>
      </c>
      <c r="P826" s="17">
        <f>32</f>
        <v/>
      </c>
      <c r="Q826" s="17">
        <f>J826+L826+N826+O826-P826-M826</f>
        <v/>
      </c>
    </row>
    <row r="827">
      <c r="A827" s="16" t="inlineStr">
        <is>
          <t>5.1-5.7</t>
        </is>
      </c>
      <c r="B827" s="16" t="inlineStr">
        <is>
          <t>PO-128-19003752766074073</t>
        </is>
      </c>
      <c r="C827" s="16" t="inlineStr">
        <is>
          <t>Delivered</t>
        </is>
      </c>
      <c r="D827" s="16" t="inlineStr">
        <is>
          <t>128-19003857623674073</t>
        </is>
      </c>
      <c r="E827" s="16" t="inlineStr">
        <is>
          <t>Delivered</t>
        </is>
      </c>
      <c r="F827" s="16" t="inlineStr">
        <is>
          <t>TLCD08-16P</t>
        </is>
      </c>
      <c r="G8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27" s="16" t="inlineStr">
        <is>
          <t>color aleatorio/pantalla de 16 pulgadas</t>
        </is>
      </c>
      <c r="I827" s="16" t="n">
        <v>3</v>
      </c>
      <c r="J827" s="17" t="n">
        <v>184.5</v>
      </c>
      <c r="K827" s="17" t="n">
        <v>159.6</v>
      </c>
      <c r="L827" s="17" t="n">
        <v>25.86</v>
      </c>
      <c r="M827" s="17" t="n">
        <v>0</v>
      </c>
      <c r="N827" s="17">
        <f>K827*0.08+L827*0.08</f>
        <v/>
      </c>
      <c r="O827" s="17">
        <f>-(K827*0.025+L827*0.025)</f>
        <v/>
      </c>
      <c r="P827" s="17">
        <f>32</f>
        <v/>
      </c>
      <c r="Q827" s="17">
        <f>J827+L827+N827+O827-P827-M827</f>
        <v/>
      </c>
    </row>
    <row r="828">
      <c r="A828" s="16" t="inlineStr">
        <is>
          <t>5.1-5.7</t>
        </is>
      </c>
      <c r="B828" s="16" t="inlineStr">
        <is>
          <t>PO-128-19025241600633945</t>
        </is>
      </c>
      <c r="C828" s="16" t="inlineStr">
        <is>
          <t>Delivered</t>
        </is>
      </c>
      <c r="D828" s="16" t="inlineStr">
        <is>
          <t>128-19025283543673945</t>
        </is>
      </c>
      <c r="E828" s="16" t="inlineStr">
        <is>
          <t>Delivered</t>
        </is>
      </c>
      <c r="F828" s="16" t="inlineStr">
        <is>
          <t>BG-115-B</t>
        </is>
      </c>
      <c r="G828" s="16" t="inlineStr">
        <is>
          <t>LINK BITS Audífonos Inalámbricos con Luces Multicolor, Recargables y en Adorable Forma de Orejas de Gato - Conecta a Celulares y PCs, Tiene Radio FM, Tarjeta TF y AUX - 7 Horas de Reproducción, Plegables y Perfectos para Trabajo, Juegos y Estudio</t>
        </is>
      </c>
      <c r="H828" s="16" t="inlineStr">
        <is>
          <t>blanco</t>
        </is>
      </c>
      <c r="I828" s="16" t="n">
        <v>1</v>
      </c>
      <c r="J828" s="17" t="n">
        <v>75</v>
      </c>
      <c r="K828" s="17" t="n">
        <v>25.38</v>
      </c>
      <c r="L828" s="17" t="n">
        <v>25.86</v>
      </c>
      <c r="M828" s="17" t="n">
        <v>0</v>
      </c>
      <c r="N828" s="17">
        <f>K828*0.08+L828*0.08</f>
        <v/>
      </c>
      <c r="O828" s="17">
        <f>-(K828*0.025+L828*0.025)</f>
        <v/>
      </c>
      <c r="P828" s="17">
        <f>32</f>
        <v/>
      </c>
      <c r="Q828" s="17">
        <f>J828+L828+N828+O828-P828-M828</f>
        <v/>
      </c>
    </row>
    <row r="829">
      <c r="A829" s="16" t="inlineStr">
        <is>
          <t>5.1-5.7</t>
        </is>
      </c>
      <c r="B829" s="16" t="inlineStr">
        <is>
          <t>PO-128-19226278861432619</t>
        </is>
      </c>
      <c r="C829" s="16" t="inlineStr">
        <is>
          <t>Delivered</t>
        </is>
      </c>
      <c r="D829" s="16" t="inlineStr">
        <is>
          <t>128-19226347018872619</t>
        </is>
      </c>
      <c r="E829" s="16" t="inlineStr">
        <is>
          <t>Delivered</t>
        </is>
      </c>
      <c r="F829" s="16" t="inlineStr">
        <is>
          <t>LV54W25</t>
        </is>
      </c>
      <c r="G829" s="16" t="inlineStr">
        <is>
          <t>TIANLAI Lámpara Ventilador E27 2 en 1, Silenciosa, LED Alta Luminosidad 180°, Instalación Rápida, Ahorro Energético para Dormitorio y Interiores Pequeños</t>
        </is>
      </c>
      <c r="H829" s="16" t="inlineStr">
        <is>
          <t>1 Pieza</t>
        </is>
      </c>
      <c r="I829" s="16" t="n">
        <v>1</v>
      </c>
      <c r="J829" s="17" t="n">
        <v>78.5</v>
      </c>
      <c r="K829" s="17" t="n">
        <v>82.3</v>
      </c>
      <c r="L829" s="17" t="n">
        <v>25.86</v>
      </c>
      <c r="M829" s="17" t="n">
        <v>0</v>
      </c>
      <c r="N829" s="17">
        <f>K829*0.08+L829*0.08</f>
        <v/>
      </c>
      <c r="O829" s="17">
        <f>-(K829*0.025+L829*0.025)</f>
        <v/>
      </c>
      <c r="P829" s="17">
        <f>32</f>
        <v/>
      </c>
      <c r="Q829" s="17">
        <f>J829+L829+N829+O829-P829-M829</f>
        <v/>
      </c>
    </row>
    <row r="830">
      <c r="A830" s="16" t="inlineStr">
        <is>
          <t>5.1-5.7</t>
        </is>
      </c>
      <c r="B830" s="16" t="inlineStr">
        <is>
          <t>PO-128-18680523541111902</t>
        </is>
      </c>
      <c r="C830" s="16" t="inlineStr">
        <is>
          <t>Delivered</t>
        </is>
      </c>
      <c r="D830" s="16" t="inlineStr">
        <is>
          <t>128-18680575969911902</t>
        </is>
      </c>
      <c r="E830" s="16" t="inlineStr">
        <is>
          <t>Delivered</t>
        </is>
      </c>
      <c r="F830" s="16" t="inlineStr">
        <is>
          <t>LV64W25</t>
        </is>
      </c>
      <c r="G8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0" s="16" t="inlineStr">
        <is>
          <t>Blanco</t>
        </is>
      </c>
      <c r="I830" s="16" t="n">
        <v>2</v>
      </c>
      <c r="J830" s="17" t="n">
        <v>240</v>
      </c>
      <c r="K830" s="17" t="n">
        <v>208.56</v>
      </c>
      <c r="L830" s="17" t="n">
        <v>0</v>
      </c>
      <c r="M830" s="17" t="n">
        <v>0</v>
      </c>
      <c r="N830" s="17">
        <f>K830*0.08+L830*0.08</f>
        <v/>
      </c>
      <c r="O830" s="17">
        <f>-(K830*0.025+L830*0.025)</f>
        <v/>
      </c>
      <c r="P830" s="17">
        <f>32</f>
        <v/>
      </c>
      <c r="Q830" s="17">
        <f>J830+L830+N830+O830-P830-M830</f>
        <v/>
      </c>
    </row>
    <row r="831">
      <c r="A831" s="16" t="inlineStr">
        <is>
          <t>5.1-5.7</t>
        </is>
      </c>
      <c r="B831" s="16" t="inlineStr">
        <is>
          <t>PO-128-18841212150390816</t>
        </is>
      </c>
      <c r="C831" s="16" t="inlineStr">
        <is>
          <t>Delivered</t>
        </is>
      </c>
      <c r="D831" s="16" t="inlineStr">
        <is>
          <t>128-18841170207350816</t>
        </is>
      </c>
      <c r="E831" s="16" t="inlineStr">
        <is>
          <t>Delivered</t>
        </is>
      </c>
      <c r="F831" s="16" t="inlineStr">
        <is>
          <t>LV64W25</t>
        </is>
      </c>
      <c r="G8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1" s="16" t="inlineStr">
        <is>
          <t>Blanco</t>
        </is>
      </c>
      <c r="I831" s="16" t="n">
        <v>1</v>
      </c>
      <c r="J831" s="17" t="n">
        <v>120</v>
      </c>
      <c r="K831" s="17" t="n">
        <v>138.27</v>
      </c>
      <c r="L831" s="17" t="n">
        <v>25.86</v>
      </c>
      <c r="M831" s="17" t="n">
        <v>0</v>
      </c>
      <c r="N831" s="17">
        <f>K831*0.08+L831*0.08</f>
        <v/>
      </c>
      <c r="O831" s="17">
        <f>-(K831*0.025+L831*0.025)</f>
        <v/>
      </c>
      <c r="P831" s="17">
        <f>32</f>
        <v/>
      </c>
      <c r="Q831" s="17">
        <f>J831+L831+N831+O831-P831-M831</f>
        <v/>
      </c>
    </row>
    <row r="832">
      <c r="A832" s="16" t="inlineStr">
        <is>
          <t>5.1-5.7</t>
        </is>
      </c>
      <c r="B832" s="16" t="inlineStr">
        <is>
          <t>PO-128-18819623096950947</t>
        </is>
      </c>
      <c r="C832" s="16" t="inlineStr">
        <is>
          <t>Delivered</t>
        </is>
      </c>
      <c r="D832" s="16" t="inlineStr">
        <is>
          <t>128-18819644068470947</t>
        </is>
      </c>
      <c r="E832" s="16" t="inlineStr">
        <is>
          <t>Delivered</t>
        </is>
      </c>
      <c r="F832" s="16" t="inlineStr">
        <is>
          <t>LV64W25</t>
        </is>
      </c>
      <c r="G8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2" s="16" t="inlineStr">
        <is>
          <t>Blanco</t>
        </is>
      </c>
      <c r="I832" s="16" t="n">
        <v>2</v>
      </c>
      <c r="J832" s="17" t="n">
        <v>240</v>
      </c>
      <c r="K832" s="17" t="n">
        <v>251.66</v>
      </c>
      <c r="L832" s="17" t="n">
        <v>0</v>
      </c>
      <c r="M832" s="17" t="n">
        <v>0</v>
      </c>
      <c r="N832" s="17">
        <f>K832*0.08+L832*0.08</f>
        <v/>
      </c>
      <c r="O832" s="17">
        <f>-(K832*0.025+L832*0.025)</f>
        <v/>
      </c>
      <c r="P832" s="17">
        <f>32</f>
        <v/>
      </c>
      <c r="Q832" s="17">
        <f>J832+L832+N832+O832-P832-M832</f>
        <v/>
      </c>
    </row>
    <row r="833">
      <c r="A833" s="16" t="inlineStr">
        <is>
          <t>5.1-5.7</t>
        </is>
      </c>
      <c r="B833" s="16" t="inlineStr">
        <is>
          <t>PO-128-18765612257910373</t>
        </is>
      </c>
      <c r="C833" s="16" t="inlineStr">
        <is>
          <t>Delivered</t>
        </is>
      </c>
      <c r="D833" s="16" t="inlineStr">
        <is>
          <t>128-18765634540150373</t>
        </is>
      </c>
      <c r="E833" s="16" t="inlineStr">
        <is>
          <t>Delivered</t>
        </is>
      </c>
      <c r="F833" s="16" t="inlineStr">
        <is>
          <t>LV64W25</t>
        </is>
      </c>
      <c r="G8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3" s="16" t="inlineStr">
        <is>
          <t>Blanco</t>
        </is>
      </c>
      <c r="I833" s="16" t="n">
        <v>1</v>
      </c>
      <c r="J833" s="17" t="n">
        <v>120</v>
      </c>
      <c r="K833" s="17" t="n">
        <v>94.26000000000001</v>
      </c>
      <c r="L833" s="17" t="n">
        <v>25.86</v>
      </c>
      <c r="M833" s="17" t="n">
        <v>0</v>
      </c>
      <c r="N833" s="17">
        <f>K833*0.08+L833*0.08</f>
        <v/>
      </c>
      <c r="O833" s="17">
        <f>-(K833*0.025+L833*0.025)</f>
        <v/>
      </c>
      <c r="P833" s="17">
        <f>32</f>
        <v/>
      </c>
      <c r="Q833" s="17">
        <f>J833+L833+N833+O833-P833-M833</f>
        <v/>
      </c>
    </row>
    <row r="834">
      <c r="A834" s="16" t="inlineStr">
        <is>
          <t>5.1-5.7</t>
        </is>
      </c>
      <c r="B834" s="16" t="inlineStr">
        <is>
          <t>PO-128-18708153948791547</t>
        </is>
      </c>
      <c r="C834" s="16" t="inlineStr">
        <is>
          <t>Delivered</t>
        </is>
      </c>
      <c r="D834" s="16" t="inlineStr">
        <is>
          <t>128-18708195891831547</t>
        </is>
      </c>
      <c r="E834" s="16" t="inlineStr">
        <is>
          <t>Delivered</t>
        </is>
      </c>
      <c r="F834" s="16" t="inlineStr">
        <is>
          <t>LV64W25</t>
        </is>
      </c>
      <c r="G8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4" s="16" t="inlineStr">
        <is>
          <t>Blanco</t>
        </is>
      </c>
      <c r="I834" s="16" t="n">
        <v>2</v>
      </c>
      <c r="J834" s="17" t="n">
        <v>240</v>
      </c>
      <c r="K834" s="17" t="n">
        <v>251.66</v>
      </c>
      <c r="L834" s="17" t="n">
        <v>0</v>
      </c>
      <c r="M834" s="17" t="n">
        <v>0</v>
      </c>
      <c r="N834" s="17">
        <f>K834*0.08+L834*0.08</f>
        <v/>
      </c>
      <c r="O834" s="17">
        <f>-(K834*0.025+L834*0.025)</f>
        <v/>
      </c>
      <c r="P834" s="17">
        <f>32</f>
        <v/>
      </c>
      <c r="Q834" s="17">
        <f>J834+L834+N834+O834-P834-M834</f>
        <v/>
      </c>
    </row>
    <row r="835">
      <c r="A835" s="16" t="inlineStr">
        <is>
          <t>5.1-5.7</t>
        </is>
      </c>
      <c r="B835" s="16" t="inlineStr">
        <is>
          <t>PO-128-18635106632311151</t>
        </is>
      </c>
      <c r="C835" s="16" t="inlineStr">
        <is>
          <t>Delivered</t>
        </is>
      </c>
      <c r="D835" s="16" t="inlineStr">
        <is>
          <t>128-18635085660791151</t>
        </is>
      </c>
      <c r="E835" s="16" t="inlineStr">
        <is>
          <t>Delivered</t>
        </is>
      </c>
      <c r="F835" s="16" t="inlineStr">
        <is>
          <t>LV64W25</t>
        </is>
      </c>
      <c r="G8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5" s="16" t="inlineStr">
        <is>
          <t>Blanco</t>
        </is>
      </c>
      <c r="I835" s="16" t="n">
        <v>2</v>
      </c>
      <c r="J835" s="17" t="n">
        <v>240</v>
      </c>
      <c r="K835" s="17" t="n">
        <v>251.66</v>
      </c>
      <c r="L835" s="17" t="n">
        <v>0</v>
      </c>
      <c r="M835" s="17" t="n">
        <v>0</v>
      </c>
      <c r="N835" s="17">
        <f>K835*0.08+L835*0.08</f>
        <v/>
      </c>
      <c r="O835" s="17">
        <f>-(K835*0.025+L835*0.025)</f>
        <v/>
      </c>
      <c r="P835" s="17">
        <f>32</f>
        <v/>
      </c>
      <c r="Q835" s="17">
        <f>J835+L835+N835+O835-P835-M835</f>
        <v/>
      </c>
    </row>
    <row r="836">
      <c r="A836" s="16" t="inlineStr">
        <is>
          <t>5.1-5.7</t>
        </is>
      </c>
      <c r="B836" s="16" t="inlineStr">
        <is>
          <t>PO-128-18607003300471188</t>
        </is>
      </c>
      <c r="C836" s="16" t="inlineStr">
        <is>
          <t>Delivered</t>
        </is>
      </c>
      <c r="D836" s="16" t="inlineStr">
        <is>
          <t>128-18607022305911188</t>
        </is>
      </c>
      <c r="E836" s="16" t="inlineStr">
        <is>
          <t>Delivered</t>
        </is>
      </c>
      <c r="F836" s="16" t="inlineStr">
        <is>
          <t>TL2663N18C</t>
        </is>
      </c>
      <c r="G836" s="16" t="inlineStr">
        <is>
          <t>Linkbits，Soporte de pared fijo para televisores de 26"-63", Ultra-Delgado Compatible con VESA 400x400mm, Capacidad de Peso Fuerte de 25KG, Instalación Fácil Sin Electricidad</t>
        </is>
      </c>
      <c r="H836" s="16" t="inlineStr">
        <is>
          <t>NEGRO</t>
        </is>
      </c>
      <c r="I836" s="16" t="n">
        <v>1</v>
      </c>
      <c r="J836" s="17" t="n">
        <v>48.5</v>
      </c>
      <c r="K836" s="17" t="n">
        <v>63.48</v>
      </c>
      <c r="L836" s="17" t="n">
        <v>25.86</v>
      </c>
      <c r="M836" s="17" t="n">
        <v>0</v>
      </c>
      <c r="N836" s="17">
        <f>K836*0.08+L836*0.08</f>
        <v/>
      </c>
      <c r="O836" s="17">
        <f>-(K836*0.025+L836*0.025)</f>
        <v/>
      </c>
      <c r="P836" s="17">
        <f>32</f>
        <v/>
      </c>
      <c r="Q836" s="17">
        <f>J836+L836+N836+O836-P836-M836</f>
        <v/>
      </c>
    </row>
    <row r="837">
      <c r="A837" s="16" t="inlineStr">
        <is>
          <t>5.1-5.7</t>
        </is>
      </c>
      <c r="B837" s="16" t="inlineStr">
        <is>
          <t>PO-128-18877465784950536</t>
        </is>
      </c>
      <c r="C837" s="16" t="inlineStr">
        <is>
          <t>Delivered</t>
        </is>
      </c>
      <c r="D837" s="16" t="inlineStr">
        <is>
          <t>128-18877507727990536</t>
        </is>
      </c>
      <c r="E837" s="16" t="inlineStr">
        <is>
          <t>Delivered</t>
        </is>
      </c>
      <c r="F837" s="16" t="inlineStr">
        <is>
          <t>LV54W25</t>
        </is>
      </c>
      <c r="G837" s="16" t="inlineStr">
        <is>
          <t>TIANLAI Lámpara Ventilador E27 2 en 1, Silenciosa, LED Alta Luminosidad 180°, Instalación Rápida, Ahorro Energético para Dormitorio y Interiores Pequeños</t>
        </is>
      </c>
      <c r="H837" s="16" t="inlineStr">
        <is>
          <t>1 Pieza</t>
        </is>
      </c>
      <c r="I837" s="16" t="n">
        <v>1</v>
      </c>
      <c r="J837" s="17" t="n">
        <v>78.5</v>
      </c>
      <c r="K837" s="17" t="n">
        <v>76.56</v>
      </c>
      <c r="L837" s="17" t="n">
        <v>25.86</v>
      </c>
      <c r="M837" s="17" t="n">
        <v>0</v>
      </c>
      <c r="N837" s="17">
        <f>K837*0.08+L837*0.08</f>
        <v/>
      </c>
      <c r="O837" s="17">
        <f>-(K837*0.025+L837*0.025)</f>
        <v/>
      </c>
      <c r="P837" s="17">
        <f>32</f>
        <v/>
      </c>
      <c r="Q837" s="17">
        <f>J837+L837+N837+O837-P837-M837</f>
        <v/>
      </c>
    </row>
    <row r="838">
      <c r="A838" s="16" t="inlineStr">
        <is>
          <t>5.1-5.7</t>
        </is>
      </c>
      <c r="B838" s="16" t="inlineStr">
        <is>
          <t>PO-128-19184273961592869</t>
        </is>
      </c>
      <c r="C838" s="16" t="inlineStr">
        <is>
          <t>Delivered</t>
        </is>
      </c>
      <c r="D838" s="16" t="inlineStr">
        <is>
          <t>128-19184378819192869</t>
        </is>
      </c>
      <c r="E838" s="16" t="inlineStr">
        <is>
          <t>Delivered</t>
        </is>
      </c>
      <c r="F838" s="16" t="inlineStr">
        <is>
          <t>LV64W25</t>
        </is>
      </c>
      <c r="G8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8" s="16" t="inlineStr">
        <is>
          <t>Blanco</t>
        </is>
      </c>
      <c r="I838" s="16" t="n">
        <v>2</v>
      </c>
      <c r="J838" s="17" t="n">
        <v>240</v>
      </c>
      <c r="K838" s="17" t="n">
        <v>190.34</v>
      </c>
      <c r="L838" s="17" t="n">
        <v>0</v>
      </c>
      <c r="M838" s="17" t="n">
        <v>1.36</v>
      </c>
      <c r="N838" s="17">
        <f>K838*0.08+L838*0.08</f>
        <v/>
      </c>
      <c r="O838" s="17">
        <f>-(K838*0.025+L838*0.025)</f>
        <v/>
      </c>
      <c r="P838" s="17">
        <f>32</f>
        <v/>
      </c>
      <c r="Q838" s="17">
        <f>J838+L838+N838+O838-P838-M838</f>
        <v/>
      </c>
    </row>
    <row r="839">
      <c r="A839" s="16" t="inlineStr">
        <is>
          <t>5.1-5.7</t>
        </is>
      </c>
      <c r="B839" s="16" t="inlineStr">
        <is>
          <t>PO-128-18719381770871606</t>
        </is>
      </c>
      <c r="C839" s="16" t="inlineStr">
        <is>
          <t>Delivered</t>
        </is>
      </c>
      <c r="D839" s="16" t="inlineStr">
        <is>
          <t>128-18719486628471606</t>
        </is>
      </c>
      <c r="E839" s="16" t="inlineStr">
        <is>
          <t>Delivered</t>
        </is>
      </c>
      <c r="F839" s="16" t="inlineStr">
        <is>
          <t>LV64W25</t>
        </is>
      </c>
      <c r="G8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39" s="16" t="inlineStr">
        <is>
          <t>Blanco</t>
        </is>
      </c>
      <c r="I839" s="16" t="n">
        <v>2</v>
      </c>
      <c r="J839" s="17" t="n">
        <v>240</v>
      </c>
      <c r="K839" s="17" t="n">
        <v>276.54</v>
      </c>
      <c r="L839" s="17" t="n">
        <v>0</v>
      </c>
      <c r="M839" s="17" t="n">
        <v>0</v>
      </c>
      <c r="N839" s="17">
        <f>K839*0.08+L839*0.08</f>
        <v/>
      </c>
      <c r="O839" s="17">
        <f>-(K839*0.025+L839*0.025)</f>
        <v/>
      </c>
      <c r="P839" s="17">
        <f>32</f>
        <v/>
      </c>
      <c r="Q839" s="17">
        <f>J839+L839+N839+O839-P839-M839</f>
        <v/>
      </c>
    </row>
    <row r="840">
      <c r="A840" s="16" t="inlineStr">
        <is>
          <t>5.1-5.7</t>
        </is>
      </c>
      <c r="B840" s="16" t="inlineStr">
        <is>
          <t>PO-128-18722383401591652</t>
        </is>
      </c>
      <c r="C840" s="16" t="inlineStr">
        <is>
          <t>Delivered</t>
        </is>
      </c>
      <c r="D840" s="16" t="inlineStr">
        <is>
          <t>128-18722519716471652</t>
        </is>
      </c>
      <c r="E840" s="16" t="inlineStr">
        <is>
          <t>Delivered</t>
        </is>
      </c>
      <c r="F840" s="16" t="inlineStr">
        <is>
          <t>LV64W25</t>
        </is>
      </c>
      <c r="G8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40" s="16" t="inlineStr">
        <is>
          <t>Blanco</t>
        </is>
      </c>
      <c r="I840" s="16" t="n">
        <v>1</v>
      </c>
      <c r="J840" s="17" t="n">
        <v>120</v>
      </c>
      <c r="K840" s="17" t="n">
        <v>125.83</v>
      </c>
      <c r="L840" s="17" t="n">
        <v>25.86</v>
      </c>
      <c r="M840" s="17" t="n">
        <v>0</v>
      </c>
      <c r="N840" s="17">
        <f>K840*0.08+L840*0.08</f>
        <v/>
      </c>
      <c r="O840" s="17">
        <f>-(K840*0.025+L840*0.025)</f>
        <v/>
      </c>
      <c r="P840" s="17">
        <f>32</f>
        <v/>
      </c>
      <c r="Q840" s="17">
        <f>J840+L840+N840+O840-P840-M840</f>
        <v/>
      </c>
    </row>
    <row r="841">
      <c r="A841" s="16" t="inlineStr">
        <is>
          <t>5.1-5.7</t>
        </is>
      </c>
      <c r="B841" s="16" t="inlineStr">
        <is>
          <t>PO-128-19191302718072891</t>
        </is>
      </c>
      <c r="C841" s="16" t="inlineStr">
        <is>
          <t>Delivered</t>
        </is>
      </c>
      <c r="D841" s="16" t="inlineStr">
        <is>
          <t>128-19191439032952891</t>
        </is>
      </c>
      <c r="E841" s="16" t="inlineStr">
        <is>
          <t>Delivered</t>
        </is>
      </c>
      <c r="F841" s="16" t="inlineStr">
        <is>
          <t>LV54W25</t>
        </is>
      </c>
      <c r="G841" s="16" t="inlineStr">
        <is>
          <t>TIANLAI Lámpara Ventilador E27 2 en 1, Silenciosa, LED Alta Luminosidad 180°, Instalación Rápida, Ahorro Energético para Dormitorio y Interiores Pequeños</t>
        </is>
      </c>
      <c r="H841" s="16" t="inlineStr">
        <is>
          <t>1 Pieza</t>
        </is>
      </c>
      <c r="I841" s="16" t="n">
        <v>2</v>
      </c>
      <c r="J841" s="17" t="n">
        <v>157</v>
      </c>
      <c r="K841" s="17" t="n">
        <v>133.92</v>
      </c>
      <c r="L841" s="17" t="n">
        <v>0</v>
      </c>
      <c r="M841" s="17" t="n">
        <v>0</v>
      </c>
      <c r="N841" s="17">
        <f>K841*0.08+L841*0.08</f>
        <v/>
      </c>
      <c r="O841" s="17">
        <f>-(K841*0.025+L841*0.025)</f>
        <v/>
      </c>
      <c r="P841" s="17">
        <f>32</f>
        <v/>
      </c>
      <c r="Q841" s="17">
        <f>J841+L841+N841+O841-P841-M841</f>
        <v/>
      </c>
    </row>
    <row r="842">
      <c r="A842" s="16" t="inlineStr">
        <is>
          <t>5.1-5.7</t>
        </is>
      </c>
      <c r="B842" s="16" t="inlineStr">
        <is>
          <t>PO-128-19191302718072891</t>
        </is>
      </c>
      <c r="C842" s="16" t="inlineStr">
        <is>
          <t>Delivered</t>
        </is>
      </c>
      <c r="D842" s="16" t="inlineStr">
        <is>
          <t>128-19191397089912891</t>
        </is>
      </c>
      <c r="E842" s="16" t="inlineStr">
        <is>
          <t>Delivered</t>
        </is>
      </c>
      <c r="F842" s="16" t="inlineStr">
        <is>
          <t>LV64W25</t>
        </is>
      </c>
      <c r="G8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42" s="16" t="inlineStr">
        <is>
          <t>Blanco</t>
        </is>
      </c>
      <c r="I842" s="16" t="n">
        <v>2</v>
      </c>
      <c r="J842" s="17" t="n">
        <v>240</v>
      </c>
      <c r="K842" s="17" t="n">
        <v>204.75</v>
      </c>
      <c r="L842" s="17" t="n">
        <v>0</v>
      </c>
      <c r="M842" s="17" t="n">
        <v>0</v>
      </c>
      <c r="N842" s="17">
        <f>K842*0.08+L842*0.08</f>
        <v/>
      </c>
      <c r="O842" s="17">
        <f>-(K842*0.025+L842*0.025)</f>
        <v/>
      </c>
      <c r="P842" s="17">
        <f>32</f>
        <v/>
      </c>
      <c r="Q842" s="17">
        <f>J842+L842+N842+O842-P842-M842</f>
        <v/>
      </c>
    </row>
    <row r="843">
      <c r="A843" s="16" t="inlineStr">
        <is>
          <t>5.1-5.7</t>
        </is>
      </c>
      <c r="B843" s="16" t="inlineStr">
        <is>
          <t>PO-128-18565174917751503</t>
        </is>
      </c>
      <c r="C843" s="16" t="inlineStr">
        <is>
          <t>Delivered</t>
        </is>
      </c>
      <c r="D843" s="16" t="inlineStr">
        <is>
          <t>128-18565227346551503</t>
        </is>
      </c>
      <c r="E843" s="16" t="inlineStr">
        <is>
          <t>Delivered</t>
        </is>
      </c>
      <c r="F843" s="16" t="inlineStr">
        <is>
          <t>LV54W25</t>
        </is>
      </c>
      <c r="G843" s="16" t="inlineStr">
        <is>
          <t>TIANLAI Lámpara Ventilador E27 2 en 1, Silenciosa, LED Alta Luminosidad 180°, Instalación Rápida, Ahorro Energético para Dormitorio y Interiores Pequeños</t>
        </is>
      </c>
      <c r="H843" s="16" t="inlineStr">
        <is>
          <t>1 Pieza</t>
        </is>
      </c>
      <c r="I843" s="16" t="n">
        <v>1</v>
      </c>
      <c r="J843" s="17" t="n">
        <v>78.5</v>
      </c>
      <c r="K843" s="17" t="n">
        <v>95.7</v>
      </c>
      <c r="L843" s="17" t="n">
        <v>25.86</v>
      </c>
      <c r="M843" s="17" t="n">
        <v>0</v>
      </c>
      <c r="N843" s="17">
        <f>K843*0.08+L843*0.08</f>
        <v/>
      </c>
      <c r="O843" s="17">
        <f>-(K843*0.025+L843*0.025)</f>
        <v/>
      </c>
      <c r="P843" s="17">
        <f>32</f>
        <v/>
      </c>
      <c r="Q843" s="17">
        <f>J843+L843+N843+O843-P843-M843</f>
        <v/>
      </c>
    </row>
    <row r="844">
      <c r="A844" s="16" t="inlineStr">
        <is>
          <t>5.1-5.7</t>
        </is>
      </c>
      <c r="B844" s="16" t="inlineStr">
        <is>
          <t>PO-128-18797767486070053</t>
        </is>
      </c>
      <c r="C844" s="16" t="inlineStr">
        <is>
          <t>Delivered</t>
        </is>
      </c>
      <c r="D844" s="16" t="inlineStr">
        <is>
          <t>128-18797746514550053</t>
        </is>
      </c>
      <c r="E844" s="16" t="inlineStr">
        <is>
          <t>Delivered</t>
        </is>
      </c>
      <c r="F844" s="16" t="inlineStr">
        <is>
          <t>TL1455N20B</t>
        </is>
      </c>
      <c r="G844" s="16" t="inlineStr">
        <is>
          <t>LINK BITS Soporte para TV 14 A 55 Pulgadas, Base para TV Pantalla Articulado Inclinable y Giratorio, MAX VESA 400×400 mm, Soporta hasta 18kg (Acero Reforzado)</t>
        </is>
      </c>
      <c r="H844" s="16" t="inlineStr">
        <is>
          <t>TL1455N20B</t>
        </is>
      </c>
      <c r="I844" s="16" t="n">
        <v>1</v>
      </c>
      <c r="J844" s="17" t="n">
        <v>72</v>
      </c>
      <c r="K844" s="17" t="n">
        <v>94.83</v>
      </c>
      <c r="L844" s="17" t="n">
        <v>25.86</v>
      </c>
      <c r="M844" s="17" t="n">
        <v>0</v>
      </c>
      <c r="N844" s="17">
        <f>K844*0.08+L844*0.08</f>
        <v/>
      </c>
      <c r="O844" s="17">
        <f>-(K844*0.025+L844*0.025)</f>
        <v/>
      </c>
      <c r="P844" s="17">
        <f>32</f>
        <v/>
      </c>
      <c r="Q844" s="17">
        <f>J844+L844+N844+O844-P844-M844</f>
        <v/>
      </c>
    </row>
    <row r="845">
      <c r="A845" s="16" t="inlineStr">
        <is>
          <t>5.1-5.7</t>
        </is>
      </c>
      <c r="B845" s="16" t="inlineStr">
        <is>
          <t>PO-128-18694390938231757</t>
        </is>
      </c>
      <c r="C845" s="16" t="inlineStr">
        <is>
          <t>Delivered</t>
        </is>
      </c>
      <c r="D845" s="16" t="inlineStr">
        <is>
          <t>128-18694368983671757</t>
        </is>
      </c>
      <c r="E845" s="16" t="inlineStr">
        <is>
          <t>Delivered</t>
        </is>
      </c>
      <c r="F845" s="16" t="inlineStr">
        <is>
          <t>LV54W25</t>
        </is>
      </c>
      <c r="G845" s="16" t="inlineStr">
        <is>
          <t>TIANLAI Lámpara Ventilador E27 2 en 1, Silenciosa, LED Alta Luminosidad 180°, Instalación Rápida, Ahorro Energético para Dormitorio y Interiores Pequeños</t>
        </is>
      </c>
      <c r="H845" s="16" t="inlineStr">
        <is>
          <t>1 Pieza</t>
        </is>
      </c>
      <c r="I845" s="16" t="n">
        <v>1</v>
      </c>
      <c r="J845" s="17" t="n">
        <v>78.5</v>
      </c>
      <c r="K845" s="17" t="n">
        <v>82.3</v>
      </c>
      <c r="L845" s="17" t="n">
        <v>25.86</v>
      </c>
      <c r="M845" s="17" t="n">
        <v>0</v>
      </c>
      <c r="N845" s="17">
        <f>K845*0.08+L845*0.08</f>
        <v/>
      </c>
      <c r="O845" s="17">
        <f>-(K845*0.025+L845*0.025)</f>
        <v/>
      </c>
      <c r="P845" s="17">
        <f>32</f>
        <v/>
      </c>
      <c r="Q845" s="17">
        <f>J845+L845+N845+O845-P845-M845</f>
        <v/>
      </c>
    </row>
    <row r="846">
      <c r="A846" s="16" t="inlineStr">
        <is>
          <t>5.1-5.7</t>
        </is>
      </c>
      <c r="B846" s="16" t="inlineStr">
        <is>
          <t>PO-128-18979123989113194</t>
        </is>
      </c>
      <c r="C846" s="16" t="inlineStr">
        <is>
          <t>Delivered</t>
        </is>
      </c>
      <c r="D846" s="16" t="inlineStr">
        <is>
          <t>128-18979165932153194</t>
        </is>
      </c>
      <c r="E846" s="16" t="inlineStr">
        <is>
          <t>Delivered</t>
        </is>
      </c>
      <c r="F846" s="16" t="inlineStr">
        <is>
          <t>TLCD06-12P-R</t>
        </is>
      </c>
      <c r="G84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46" s="16" t="inlineStr">
        <is>
          <t>ROJO/pantalla de 12 pulgadas</t>
        </is>
      </c>
      <c r="I846" s="16" t="n">
        <v>1</v>
      </c>
      <c r="J846" s="17" t="n">
        <v>32</v>
      </c>
      <c r="K846" s="17" t="n">
        <v>35.22</v>
      </c>
      <c r="L846" s="17" t="n">
        <v>25.86</v>
      </c>
      <c r="M846" s="17" t="n">
        <v>0</v>
      </c>
      <c r="N846" s="17">
        <f>K846*0.08+L846*0.08</f>
        <v/>
      </c>
      <c r="O846" s="17">
        <f>-(K846*0.025+L846*0.025)</f>
        <v/>
      </c>
      <c r="P846" s="17">
        <f>32</f>
        <v/>
      </c>
      <c r="Q846" s="17">
        <f>J846+L846+N846+O846-P846-M846</f>
        <v/>
      </c>
    </row>
    <row r="847">
      <c r="A847" s="16" t="inlineStr">
        <is>
          <t>5.1-5.7</t>
        </is>
      </c>
      <c r="B847" s="16" t="inlineStr">
        <is>
          <t>PO-128-18579972465271287</t>
        </is>
      </c>
      <c r="C847" s="16" t="inlineStr">
        <is>
          <t>Delivered</t>
        </is>
      </c>
      <c r="D847" s="16" t="inlineStr">
        <is>
          <t>128-18580014408311287</t>
        </is>
      </c>
      <c r="E847" s="16" t="inlineStr">
        <is>
          <t>Delivered</t>
        </is>
      </c>
      <c r="F847" s="16" t="inlineStr">
        <is>
          <t>TLCD02-8P</t>
        </is>
      </c>
      <c r="G84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47" s="16" t="inlineStr">
        <is>
          <t>color aleatorio/pantalla de 8.5 pulgadas</t>
        </is>
      </c>
      <c r="I847" s="16" t="n">
        <v>1</v>
      </c>
      <c r="J847" s="17" t="n">
        <v>24</v>
      </c>
      <c r="K847" s="17" t="n">
        <v>32.84</v>
      </c>
      <c r="L847" s="17" t="n">
        <v>25.86</v>
      </c>
      <c r="M847" s="17" t="n">
        <v>0</v>
      </c>
      <c r="N847" s="17">
        <f>K847*0.08+L847*0.08</f>
        <v/>
      </c>
      <c r="O847" s="17">
        <f>-(K847*0.025+L847*0.025)</f>
        <v/>
      </c>
      <c r="P847" s="17">
        <f>32</f>
        <v/>
      </c>
      <c r="Q847" s="17">
        <f>J847+L847+N847+O847-P847-M847</f>
        <v/>
      </c>
    </row>
    <row r="848">
      <c r="A848" s="16" t="inlineStr">
        <is>
          <t>5.1-5.7</t>
        </is>
      </c>
      <c r="B848" s="16" t="inlineStr">
        <is>
          <t>PO-128-18652067185272008</t>
        </is>
      </c>
      <c r="C848" s="16" t="inlineStr">
        <is>
          <t>Delivered</t>
        </is>
      </c>
      <c r="D848" s="16" t="inlineStr">
        <is>
          <t>128-18652025242232008</t>
        </is>
      </c>
      <c r="E848" s="16" t="inlineStr">
        <is>
          <t>Delivered</t>
        </is>
      </c>
      <c r="F848" s="16" t="inlineStr">
        <is>
          <t>LV64W25</t>
        </is>
      </c>
      <c r="G8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48" s="16" t="inlineStr">
        <is>
          <t>Blanco</t>
        </is>
      </c>
      <c r="I848" s="16" t="n">
        <v>1</v>
      </c>
      <c r="J848" s="17" t="n">
        <v>120</v>
      </c>
      <c r="K848" s="17" t="n">
        <v>95.17</v>
      </c>
      <c r="L848" s="17" t="n">
        <v>25.86</v>
      </c>
      <c r="M848" s="17" t="n">
        <v>0</v>
      </c>
      <c r="N848" s="17">
        <f>K848*0.08+L848*0.08</f>
        <v/>
      </c>
      <c r="O848" s="17">
        <f>-(K848*0.025+L848*0.025)</f>
        <v/>
      </c>
      <c r="P848" s="17">
        <f>32</f>
        <v/>
      </c>
      <c r="Q848" s="17">
        <f>J848+L848+N848+O848-P848-M848</f>
        <v/>
      </c>
    </row>
    <row r="849">
      <c r="A849" s="16" t="inlineStr">
        <is>
          <t>5.1-5.7</t>
        </is>
      </c>
      <c r="B849" s="16" t="inlineStr">
        <is>
          <t>PO-128-18563611259511449</t>
        </is>
      </c>
      <c r="C849" s="16" t="inlineStr">
        <is>
          <t>Delivered</t>
        </is>
      </c>
      <c r="D849" s="16" t="inlineStr">
        <is>
          <t>128-18563632231031449</t>
        </is>
      </c>
      <c r="E849" s="16" t="inlineStr">
        <is>
          <t>Delivered</t>
        </is>
      </c>
      <c r="F849" s="16" t="inlineStr">
        <is>
          <t>LV54W25</t>
        </is>
      </c>
      <c r="G849" s="16" t="inlineStr">
        <is>
          <t>TIANLAI Lámpara Ventilador E27 2 en 1, Silenciosa, LED Alta Luminosidad 180°, Instalación Rápida, Ahorro Energético para Dormitorio y Interiores Pequeños</t>
        </is>
      </c>
      <c r="H849" s="16" t="inlineStr">
        <is>
          <t>1 Pieza</t>
        </is>
      </c>
      <c r="I849" s="16" t="n">
        <v>4</v>
      </c>
      <c r="J849" s="17" t="n">
        <v>314</v>
      </c>
      <c r="K849" s="17" t="n">
        <v>354.1</v>
      </c>
      <c r="L849" s="17" t="n">
        <v>0</v>
      </c>
      <c r="M849" s="17" t="n">
        <v>0</v>
      </c>
      <c r="N849" s="17">
        <f>K849*0.08+L849*0.08</f>
        <v/>
      </c>
      <c r="O849" s="17">
        <f>-(K849*0.025+L849*0.025)</f>
        <v/>
      </c>
      <c r="P849" s="17">
        <f>32</f>
        <v/>
      </c>
      <c r="Q849" s="17">
        <f>J849+L849+N849+O849-P849-M849</f>
        <v/>
      </c>
    </row>
    <row r="850">
      <c r="A850" s="16" t="inlineStr">
        <is>
          <t>5.1-5.7</t>
        </is>
      </c>
      <c r="B850" s="16" t="inlineStr">
        <is>
          <t>PO-128-19088448440952542</t>
        </is>
      </c>
      <c r="C850" s="16" t="inlineStr">
        <is>
          <t>Delivered</t>
        </is>
      </c>
      <c r="D850" s="16" t="inlineStr">
        <is>
          <t>128-19088524462712542</t>
        </is>
      </c>
      <c r="E850" s="16" t="inlineStr">
        <is>
          <t>Delivered</t>
        </is>
      </c>
      <c r="F850" s="16" t="inlineStr">
        <is>
          <t>LV64W25</t>
        </is>
      </c>
      <c r="G8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0" s="16" t="inlineStr">
        <is>
          <t>Blanco</t>
        </is>
      </c>
      <c r="I850" s="16" t="n">
        <v>2</v>
      </c>
      <c r="J850" s="17" t="n">
        <v>240</v>
      </c>
      <c r="K850" s="17" t="n">
        <v>201.34</v>
      </c>
      <c r="L850" s="17" t="n">
        <v>0</v>
      </c>
      <c r="M850" s="17" t="n">
        <v>0</v>
      </c>
      <c r="N850" s="17">
        <f>K850*0.08+L850*0.08</f>
        <v/>
      </c>
      <c r="O850" s="17">
        <f>-(K850*0.025+L850*0.025)</f>
        <v/>
      </c>
      <c r="P850" s="17">
        <f>32</f>
        <v/>
      </c>
      <c r="Q850" s="17">
        <f>J850+L850+N850+O850-P850-M850</f>
        <v/>
      </c>
    </row>
    <row r="851">
      <c r="A851" s="16" t="inlineStr">
        <is>
          <t>5.1-5.7</t>
        </is>
      </c>
      <c r="B851" s="16" t="inlineStr">
        <is>
          <t>PO-128-18743039017590507</t>
        </is>
      </c>
      <c r="C851" s="16" t="inlineStr">
        <is>
          <t>Delivered</t>
        </is>
      </c>
      <c r="D851" s="16" t="inlineStr">
        <is>
          <t>128-18743143875190507</t>
        </is>
      </c>
      <c r="E851" s="16" t="inlineStr">
        <is>
          <t>Delivered</t>
        </is>
      </c>
      <c r="F851" s="16" t="inlineStr">
        <is>
          <t>LV64W25</t>
        </is>
      </c>
      <c r="G8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1" s="16" t="inlineStr">
        <is>
          <t>Blanco</t>
        </is>
      </c>
      <c r="I851" s="16" t="n">
        <v>2</v>
      </c>
      <c r="J851" s="17" t="n">
        <v>240</v>
      </c>
      <c r="K851" s="17" t="n">
        <v>251.66</v>
      </c>
      <c r="L851" s="17" t="n">
        <v>0</v>
      </c>
      <c r="M851" s="17" t="n">
        <v>0</v>
      </c>
      <c r="N851" s="17">
        <f>K851*0.08+L851*0.08</f>
        <v/>
      </c>
      <c r="O851" s="17">
        <f>-(K851*0.025+L851*0.025)</f>
        <v/>
      </c>
      <c r="P851" s="17">
        <f>32</f>
        <v/>
      </c>
      <c r="Q851" s="17">
        <f>J851+L851+N851+O851-P851-M851</f>
        <v/>
      </c>
    </row>
    <row r="852">
      <c r="A852" s="16" t="inlineStr">
        <is>
          <t>5.1-5.7</t>
        </is>
      </c>
      <c r="B852" s="16" t="inlineStr">
        <is>
          <t>PO-128-18812200551030927</t>
        </is>
      </c>
      <c r="C852" s="16" t="inlineStr">
        <is>
          <t>Delivered</t>
        </is>
      </c>
      <c r="D852" s="16" t="inlineStr">
        <is>
          <t>128-18812179579510927</t>
        </is>
      </c>
      <c r="E852" s="16" t="inlineStr">
        <is>
          <t>Delivered</t>
        </is>
      </c>
      <c r="F852" s="16" t="inlineStr">
        <is>
          <t>LV64W25</t>
        </is>
      </c>
      <c r="G8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2" s="16" t="inlineStr">
        <is>
          <t>Blanco</t>
        </is>
      </c>
      <c r="I852" s="16" t="n">
        <v>4</v>
      </c>
      <c r="J852" s="17" t="n">
        <v>480</v>
      </c>
      <c r="K852" s="17" t="n">
        <v>503.32</v>
      </c>
      <c r="L852" s="17" t="n">
        <v>0</v>
      </c>
      <c r="M852" s="17" t="n">
        <v>0</v>
      </c>
      <c r="N852" s="17">
        <f>K852*0.08+L852*0.08</f>
        <v/>
      </c>
      <c r="O852" s="17">
        <f>-(K852*0.025+L852*0.025)</f>
        <v/>
      </c>
      <c r="P852" s="17">
        <f>32</f>
        <v/>
      </c>
      <c r="Q852" s="17">
        <f>J852+L852+N852+O852-P852-M852</f>
        <v/>
      </c>
    </row>
    <row r="853">
      <c r="A853" s="16" t="inlineStr">
        <is>
          <t>5.1-5.7</t>
        </is>
      </c>
      <c r="B853" s="16" t="inlineStr">
        <is>
          <t>PO-128-19210276577912776</t>
        </is>
      </c>
      <c r="C853" s="16" t="inlineStr">
        <is>
          <t>Delivered</t>
        </is>
      </c>
      <c r="D853" s="16" t="inlineStr">
        <is>
          <t>128-19210381435512776</t>
        </is>
      </c>
      <c r="E853" s="16" t="inlineStr">
        <is>
          <t>Delivered</t>
        </is>
      </c>
      <c r="F853" s="16" t="inlineStr">
        <is>
          <t>BG-115-B</t>
        </is>
      </c>
      <c r="G853" s="16" t="inlineStr">
        <is>
          <t>LINK BITS Audífonos Inalámbricos con Luces Multicolor, Recargables y en Adorable Forma de Orejas de Gato - Conecta a Celulares y PCs, Tiene Radio FM, Tarjeta TF y AUX - 7 Horas de Reproducción, Plegables y Perfectos para Trabajo, Juegos y Estudio</t>
        </is>
      </c>
      <c r="H853" s="16" t="inlineStr">
        <is>
          <t>blanco</t>
        </is>
      </c>
      <c r="I853" s="16" t="n">
        <v>1</v>
      </c>
      <c r="J853" s="17" t="n">
        <v>75</v>
      </c>
      <c r="K853" s="17" t="n">
        <v>68.58</v>
      </c>
      <c r="L853" s="17" t="n">
        <v>25.86</v>
      </c>
      <c r="M853" s="17" t="n">
        <v>0</v>
      </c>
      <c r="N853" s="17">
        <f>K853*0.08+L853*0.08</f>
        <v/>
      </c>
      <c r="O853" s="17">
        <f>-(K853*0.025+L853*0.025)</f>
        <v/>
      </c>
      <c r="P853" s="17">
        <f>32</f>
        <v/>
      </c>
      <c r="Q853" s="17">
        <f>J853+L853+N853+O853-P853-M853</f>
        <v/>
      </c>
    </row>
    <row r="854">
      <c r="A854" s="16" t="inlineStr">
        <is>
          <t>5.1-5.7</t>
        </is>
      </c>
      <c r="B854" s="16" t="inlineStr">
        <is>
          <t>PO-128-19018861056633919</t>
        </is>
      </c>
      <c r="C854" s="16" t="inlineStr">
        <is>
          <t>Delivered</t>
        </is>
      </c>
      <c r="D854" s="16" t="inlineStr">
        <is>
          <t>128-19018965914233919</t>
        </is>
      </c>
      <c r="E854" s="16" t="inlineStr">
        <is>
          <t>Delivered</t>
        </is>
      </c>
      <c r="F854" s="16" t="inlineStr">
        <is>
          <t>LV64W25</t>
        </is>
      </c>
      <c r="G8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4" s="16" t="inlineStr">
        <is>
          <t>Blanco</t>
        </is>
      </c>
      <c r="I854" s="16" t="n">
        <v>6</v>
      </c>
      <c r="J854" s="17" t="n">
        <v>720</v>
      </c>
      <c r="K854" s="17" t="n">
        <v>677.4</v>
      </c>
      <c r="L854" s="17" t="n">
        <v>0</v>
      </c>
      <c r="M854" s="17" t="n">
        <v>0</v>
      </c>
      <c r="N854" s="17">
        <f>K854*0.08+L854*0.08</f>
        <v/>
      </c>
      <c r="O854" s="17">
        <f>-(K854*0.025+L854*0.025)</f>
        <v/>
      </c>
      <c r="P854" s="17">
        <f>32</f>
        <v/>
      </c>
      <c r="Q854" s="17">
        <f>J854+L854+N854+O854-P854-M854</f>
        <v/>
      </c>
    </row>
    <row r="855">
      <c r="A855" s="16" t="inlineStr">
        <is>
          <t>5.1-5.7</t>
        </is>
      </c>
      <c r="B855" s="16" t="inlineStr">
        <is>
          <t>PO-128-18654903286391993</t>
        </is>
      </c>
      <c r="C855" s="16" t="inlineStr">
        <is>
          <t>Delivered</t>
        </is>
      </c>
      <c r="D855" s="16" t="inlineStr">
        <is>
          <t>128-18654920325751993</t>
        </is>
      </c>
      <c r="E855" s="16" t="inlineStr">
        <is>
          <t>Delivered</t>
        </is>
      </c>
      <c r="F855" s="16" t="inlineStr">
        <is>
          <t>LV54W25</t>
        </is>
      </c>
      <c r="G855" s="16" t="inlineStr">
        <is>
          <t>TIANLAI Lámpara Ventilador E27 2 en 1, Silenciosa, LED Alta Luminosidad 180°, Instalación Rápida, Ahorro Energético para Dormitorio y Interiores Pequeños</t>
        </is>
      </c>
      <c r="H855" s="16" t="inlineStr">
        <is>
          <t>1 Pieza</t>
        </is>
      </c>
      <c r="I855" s="16" t="n">
        <v>3</v>
      </c>
      <c r="J855" s="17" t="n">
        <v>235.5</v>
      </c>
      <c r="K855" s="17" t="n">
        <v>236.5</v>
      </c>
      <c r="L855" s="17" t="n">
        <v>0</v>
      </c>
      <c r="M855" s="17" t="n">
        <v>0</v>
      </c>
      <c r="N855" s="17">
        <f>K855*0.08+L855*0.08</f>
        <v/>
      </c>
      <c r="O855" s="17">
        <f>-(K855*0.025+L855*0.025)</f>
        <v/>
      </c>
      <c r="P855" s="17">
        <f>32</f>
        <v/>
      </c>
      <c r="Q855" s="17">
        <f>J855+L855+N855+O855-P855-M855</f>
        <v/>
      </c>
    </row>
    <row r="856">
      <c r="A856" s="16" t="inlineStr">
        <is>
          <t>5.1-5.7</t>
        </is>
      </c>
      <c r="B856" s="16" t="inlineStr">
        <is>
          <t>PO-128-18844433818230863</t>
        </is>
      </c>
      <c r="C856" s="16" t="inlineStr">
        <is>
          <t>Delivered</t>
        </is>
      </c>
      <c r="D856" s="16" t="inlineStr">
        <is>
          <t>128-18844486247030863</t>
        </is>
      </c>
      <c r="E856" s="16" t="inlineStr">
        <is>
          <t>Delivered</t>
        </is>
      </c>
      <c r="F856" s="16" t="inlineStr">
        <is>
          <t>KTS-2031</t>
        </is>
      </c>
      <c r="G856" s="16" t="inlineStr">
        <is>
          <t>Bocina inalámbrica de 3 pulgadas con linterna multifuncional y panel solar integrado.Altavoz Portátil con Linterna LED 4 Modos, Radio FM, Bluetooth, Carga Solar, Ideal para Apagones, Emergencias, Campo y Exteriores</t>
        </is>
      </c>
      <c r="H856" s="16" t="inlineStr">
        <is>
          <t>NEGRO</t>
        </is>
      </c>
      <c r="I856" s="16" t="n">
        <v>4</v>
      </c>
      <c r="J856" s="17" t="n">
        <v>252.6</v>
      </c>
      <c r="K856" s="17" t="n">
        <v>289.52</v>
      </c>
      <c r="L856" s="17" t="n">
        <v>0</v>
      </c>
      <c r="M856" s="17" t="n">
        <v>0</v>
      </c>
      <c r="N856" s="17">
        <f>K856*0.08+L856*0.08</f>
        <v/>
      </c>
      <c r="O856" s="17">
        <f>-(K856*0.025+L856*0.025)</f>
        <v/>
      </c>
      <c r="P856" s="17">
        <f>32</f>
        <v/>
      </c>
      <c r="Q856" s="17">
        <f>J856+L856+N856+O856-P856-M856</f>
        <v/>
      </c>
    </row>
    <row r="857">
      <c r="A857" s="16" t="inlineStr">
        <is>
          <t>5.1-5.7</t>
        </is>
      </c>
      <c r="B857" s="16" t="inlineStr">
        <is>
          <t>PO-128-18842879887990806</t>
        </is>
      </c>
      <c r="C857" s="16" t="inlineStr">
        <is>
          <t>Delivered</t>
        </is>
      </c>
      <c r="D857" s="16" t="inlineStr">
        <is>
          <t>128-18842921831030806</t>
        </is>
      </c>
      <c r="E857" s="16" t="inlineStr">
        <is>
          <t>Delivered</t>
        </is>
      </c>
      <c r="F857" s="16" t="inlineStr">
        <is>
          <t>LV64W25</t>
        </is>
      </c>
      <c r="G8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57" s="16" t="inlineStr">
        <is>
          <t>Blanco</t>
        </is>
      </c>
      <c r="I857" s="16" t="n">
        <v>3</v>
      </c>
      <c r="J857" s="17" t="n">
        <v>360</v>
      </c>
      <c r="K857" s="17" t="n">
        <v>339.73</v>
      </c>
      <c r="L857" s="17" t="n">
        <v>0</v>
      </c>
      <c r="M857" s="17" t="n">
        <v>0</v>
      </c>
      <c r="N857" s="17">
        <f>K857*0.08+L857*0.08</f>
        <v/>
      </c>
      <c r="O857" s="17">
        <f>-(K857*0.025+L857*0.025)</f>
        <v/>
      </c>
      <c r="P857" s="17">
        <f>32</f>
        <v/>
      </c>
      <c r="Q857" s="17">
        <f>J857+L857+N857+O857-P857-M857</f>
        <v/>
      </c>
    </row>
    <row r="858">
      <c r="A858" s="16" t="inlineStr">
        <is>
          <t>5.1-5.7</t>
        </is>
      </c>
      <c r="B858" s="16" t="inlineStr">
        <is>
          <t>PO-128-19227305575032613</t>
        </is>
      </c>
      <c r="C858" s="16" t="inlineStr">
        <is>
          <t>Delivered</t>
        </is>
      </c>
      <c r="D858" s="16" t="inlineStr">
        <is>
          <t>128-19227326546552613</t>
        </is>
      </c>
      <c r="E858" s="16" t="inlineStr">
        <is>
          <t>Delivered</t>
        </is>
      </c>
      <c r="F858" s="16" t="inlineStr">
        <is>
          <t>TL2663N18C</t>
        </is>
      </c>
      <c r="G858" s="16" t="inlineStr">
        <is>
          <t>Linkbits，Soporte de pared fijo para televisores de 26"-63", Ultra-Delgado Compatible con VESA 400x400mm, Capacidad de Peso Fuerte de 25KG, Instalación Fácil Sin Electricidad</t>
        </is>
      </c>
      <c r="H858" s="16" t="inlineStr">
        <is>
          <t>NEGRO</t>
        </is>
      </c>
      <c r="I858" s="16" t="n">
        <v>2</v>
      </c>
      <c r="J858" s="17" t="n">
        <v>97</v>
      </c>
      <c r="K858" s="17" t="n">
        <v>126.96</v>
      </c>
      <c r="L858" s="17" t="n">
        <v>25.86</v>
      </c>
      <c r="M858" s="17" t="n">
        <v>0</v>
      </c>
      <c r="N858" s="17">
        <f>K858*0.08+L858*0.08</f>
        <v/>
      </c>
      <c r="O858" s="17">
        <f>-(K858*0.025+L858*0.025)</f>
        <v/>
      </c>
      <c r="P858" s="17">
        <f>32</f>
        <v/>
      </c>
      <c r="Q858" s="17">
        <f>J858+L858+N858+O858-P858-M858</f>
        <v/>
      </c>
    </row>
    <row r="859">
      <c r="A859" s="16" t="inlineStr">
        <is>
          <t>5.1-5.7</t>
        </is>
      </c>
      <c r="B859" s="16" t="inlineStr">
        <is>
          <t>PO-128-18936693903993449</t>
        </is>
      </c>
      <c r="C859" s="16" t="inlineStr">
        <is>
          <t>Delivered</t>
        </is>
      </c>
      <c r="D859" s="16" t="inlineStr">
        <is>
          <t>128-18936672932473449</t>
        </is>
      </c>
      <c r="E859" s="16" t="inlineStr">
        <is>
          <t>Delivered</t>
        </is>
      </c>
      <c r="F859" s="16" t="inlineStr">
        <is>
          <t>SA323T</t>
        </is>
      </c>
      <c r="G859"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859" s="16" t="inlineStr">
        <is>
          <t>AZUL/SA323T</t>
        </is>
      </c>
      <c r="I859" s="16" t="n">
        <v>1</v>
      </c>
      <c r="J859" s="17" t="n">
        <v>45</v>
      </c>
      <c r="K859" s="17" t="n">
        <v>46.92</v>
      </c>
      <c r="L859" s="17" t="n">
        <v>25.86</v>
      </c>
      <c r="M859" s="17" t="n">
        <v>0</v>
      </c>
      <c r="N859" s="17">
        <f>K859*0.08+L859*0.08</f>
        <v/>
      </c>
      <c r="O859" s="17">
        <f>-(K859*0.025+L859*0.025)</f>
        <v/>
      </c>
      <c r="P859" s="17">
        <f>32</f>
        <v/>
      </c>
      <c r="Q859" s="17">
        <f>J859+L859+N859+O859-P859-M859</f>
        <v/>
      </c>
    </row>
    <row r="860">
      <c r="A860" s="16" t="inlineStr">
        <is>
          <t>5.1-5.7</t>
        </is>
      </c>
      <c r="B860" s="16" t="inlineStr">
        <is>
          <t>PO-128-19159344743032952</t>
        </is>
      </c>
      <c r="C860" s="16" t="inlineStr">
        <is>
          <t>Delivered</t>
        </is>
      </c>
      <c r="D860" s="16" t="inlineStr">
        <is>
          <t>128-19159397171832952</t>
        </is>
      </c>
      <c r="E860" s="16" t="inlineStr">
        <is>
          <t>Delivered</t>
        </is>
      </c>
      <c r="F860" s="16" t="inlineStr">
        <is>
          <t>SA323T</t>
        </is>
      </c>
      <c r="G860"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860" s="16" t="inlineStr">
        <is>
          <t>AZUL/SA323T</t>
        </is>
      </c>
      <c r="I860" s="16" t="n">
        <v>1</v>
      </c>
      <c r="J860" s="17" t="n">
        <v>45</v>
      </c>
      <c r="K860" s="17" t="n">
        <v>43.25</v>
      </c>
      <c r="L860" s="17" t="n">
        <v>25.86</v>
      </c>
      <c r="M860" s="17" t="n">
        <v>0</v>
      </c>
      <c r="N860" s="17">
        <f>K860*0.08+L860*0.08</f>
        <v/>
      </c>
      <c r="O860" s="17">
        <f>-(K860*0.025+L860*0.025)</f>
        <v/>
      </c>
      <c r="P860" s="17">
        <f>32</f>
        <v/>
      </c>
      <c r="Q860" s="17">
        <f>J860+L860+N860+O860-P860-M860</f>
        <v/>
      </c>
    </row>
    <row r="861">
      <c r="A861" s="16" t="inlineStr">
        <is>
          <t>5.1-5.7</t>
        </is>
      </c>
      <c r="B861" s="16" t="inlineStr">
        <is>
          <t>PO-128-18807347507830122</t>
        </is>
      </c>
      <c r="C861" s="16" t="inlineStr">
        <is>
          <t>Delivered</t>
        </is>
      </c>
      <c r="D861" s="16" t="inlineStr">
        <is>
          <t>128-18807423529590122</t>
        </is>
      </c>
      <c r="E861" s="16" t="inlineStr">
        <is>
          <t>Delivered</t>
        </is>
      </c>
      <c r="F861" s="16" t="inlineStr">
        <is>
          <t>LV64W25</t>
        </is>
      </c>
      <c r="G8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61" s="16" t="inlineStr">
        <is>
          <t>Blanco</t>
        </is>
      </c>
      <c r="I861" s="16" t="n">
        <v>2</v>
      </c>
      <c r="J861" s="17" t="n">
        <v>240</v>
      </c>
      <c r="K861" s="17" t="n">
        <v>251.66</v>
      </c>
      <c r="L861" s="17" t="n">
        <v>0</v>
      </c>
      <c r="M861" s="17" t="n">
        <v>0</v>
      </c>
      <c r="N861" s="17">
        <f>K861*0.08+L861*0.08</f>
        <v/>
      </c>
      <c r="O861" s="17">
        <f>-(K861*0.025+L861*0.025)</f>
        <v/>
      </c>
      <c r="P861" s="17">
        <f>32</f>
        <v/>
      </c>
      <c r="Q861" s="17">
        <f>J861+L861+N861+O861-P861-M861</f>
        <v/>
      </c>
    </row>
    <row r="862">
      <c r="A862" s="16" t="inlineStr">
        <is>
          <t>5.1-5.7</t>
        </is>
      </c>
      <c r="B862" s="16" t="inlineStr">
        <is>
          <t>PO-128-19228476682872604</t>
        </is>
      </c>
      <c r="C862" s="16" t="inlineStr">
        <is>
          <t>Delivered</t>
        </is>
      </c>
      <c r="D862" s="16" t="inlineStr">
        <is>
          <t>128-19228455711352604</t>
        </is>
      </c>
      <c r="E862" s="16" t="inlineStr">
        <is>
          <t>Delivered</t>
        </is>
      </c>
      <c r="F862" s="16" t="inlineStr">
        <is>
          <t>TL2663N18C</t>
        </is>
      </c>
      <c r="G862" s="16" t="inlineStr">
        <is>
          <t>Linkbits，Soporte de pared fijo para televisores de 26"-63", Ultra-Delgado Compatible con VESA 400x400mm, Capacidad de Peso Fuerte de 25KG, Instalación Fácil Sin Electricidad</t>
        </is>
      </c>
      <c r="H862" s="16" t="inlineStr">
        <is>
          <t>NEGRO</t>
        </is>
      </c>
      <c r="I862" s="16" t="n">
        <v>5</v>
      </c>
      <c r="J862" s="17" t="n">
        <v>277.5</v>
      </c>
      <c r="K862" s="17" t="n">
        <v>352.4</v>
      </c>
      <c r="L862" s="17" t="n">
        <v>0</v>
      </c>
      <c r="M862" s="17" t="n">
        <v>0</v>
      </c>
      <c r="N862" s="17">
        <f>K862*0.08+L862*0.08</f>
        <v/>
      </c>
      <c r="O862" s="17">
        <f>-(K862*0.025+L862*0.025)</f>
        <v/>
      </c>
      <c r="P862" s="17">
        <f>32</f>
        <v/>
      </c>
      <c r="Q862" s="17">
        <f>J862+L862+N862+O862-P862-M862</f>
        <v/>
      </c>
    </row>
    <row r="863">
      <c r="A863" s="16" t="inlineStr">
        <is>
          <t>5.1-5.7</t>
        </is>
      </c>
      <c r="B863" s="16" t="inlineStr">
        <is>
          <t>PO-128-18624497203831084</t>
        </is>
      </c>
      <c r="C863" s="16" t="inlineStr">
        <is>
          <t>Delivered</t>
        </is>
      </c>
      <c r="D863" s="16" t="inlineStr">
        <is>
          <t>128-18624518175351084</t>
        </is>
      </c>
      <c r="E863" s="16" t="inlineStr">
        <is>
          <t>Delivered</t>
        </is>
      </c>
      <c r="F863" s="16" t="inlineStr">
        <is>
          <t>LV64W25</t>
        </is>
      </c>
      <c r="G8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63" s="16" t="inlineStr">
        <is>
          <t>Blanco</t>
        </is>
      </c>
      <c r="I863" s="16" t="n">
        <v>2</v>
      </c>
      <c r="J863" s="17" t="n">
        <v>246</v>
      </c>
      <c r="K863" s="17" t="n">
        <v>257.12</v>
      </c>
      <c r="L863" s="17" t="n">
        <v>0</v>
      </c>
      <c r="M863" s="17" t="n">
        <v>0</v>
      </c>
      <c r="N863" s="17">
        <f>K863*0.08+L863*0.08</f>
        <v/>
      </c>
      <c r="O863" s="17">
        <f>-(K863*0.025+L863*0.025)</f>
        <v/>
      </c>
      <c r="P863" s="17">
        <f>32</f>
        <v/>
      </c>
      <c r="Q863" s="17">
        <f>J863+L863+N863+O863-P863-M863</f>
        <v/>
      </c>
    </row>
    <row r="864">
      <c r="A864" s="16" t="inlineStr">
        <is>
          <t>5.1-5.7</t>
        </is>
      </c>
      <c r="B864" s="16" t="inlineStr">
        <is>
          <t>PO-128-19144876954232142</t>
        </is>
      </c>
      <c r="C864" s="16" t="inlineStr">
        <is>
          <t>Delivered</t>
        </is>
      </c>
      <c r="D864" s="16" t="inlineStr">
        <is>
          <t>128-19144918897272142</t>
        </is>
      </c>
      <c r="E864" s="16" t="inlineStr">
        <is>
          <t>Delivered</t>
        </is>
      </c>
      <c r="F864" s="16" t="inlineStr">
        <is>
          <t>TLCD06-12P-R</t>
        </is>
      </c>
      <c r="G86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64" s="16" t="inlineStr">
        <is>
          <t>ROJO/pantalla de 12 pulgadas</t>
        </is>
      </c>
      <c r="I864" s="16" t="n">
        <v>1</v>
      </c>
      <c r="J864" s="17" t="n">
        <v>35</v>
      </c>
      <c r="K864" s="17" t="n">
        <v>47.02</v>
      </c>
      <c r="L864" s="17" t="n">
        <v>25.86</v>
      </c>
      <c r="M864" s="17" t="n">
        <v>3.01</v>
      </c>
      <c r="N864" s="17">
        <f>K864*0.08+L864*0.08</f>
        <v/>
      </c>
      <c r="O864" s="17">
        <f>-(K864*0.025+L864*0.025)</f>
        <v/>
      </c>
      <c r="P864" s="17">
        <f>32</f>
        <v/>
      </c>
      <c r="Q864" s="17">
        <f>J864+L864+N864+O864-P864-M864</f>
        <v/>
      </c>
    </row>
    <row r="865">
      <c r="A865" s="16" t="inlineStr">
        <is>
          <t>5.1-5.7</t>
        </is>
      </c>
      <c r="B865" s="16" t="inlineStr">
        <is>
          <t>PO-128-18774058599030128</t>
        </is>
      </c>
      <c r="C865" s="16" t="inlineStr">
        <is>
          <t>Delivered</t>
        </is>
      </c>
      <c r="D865" s="16" t="inlineStr">
        <is>
          <t>128-18774069084790128</t>
        </is>
      </c>
      <c r="E865" s="16" t="inlineStr">
        <is>
          <t>Delivered</t>
        </is>
      </c>
      <c r="F865" s="16" t="inlineStr">
        <is>
          <t>LV54W25</t>
        </is>
      </c>
      <c r="G865" s="16" t="inlineStr">
        <is>
          <t>TIANLAI Lámpara Ventilador E27 2 en 1, Silenciosa, LED Alta Luminosidad 180°, Instalación Rápida, Ahorro Energético para Dormitorio y Interiores Pequeños</t>
        </is>
      </c>
      <c r="H865" s="16" t="inlineStr">
        <is>
          <t>1 Pieza</t>
        </is>
      </c>
      <c r="I865" s="16" t="n">
        <v>1</v>
      </c>
      <c r="J865" s="17" t="n">
        <v>79.5</v>
      </c>
      <c r="K865" s="17" t="n">
        <v>83.48</v>
      </c>
      <c r="L865" s="17" t="n">
        <v>25.86</v>
      </c>
      <c r="M865" s="17" t="n">
        <v>0</v>
      </c>
      <c r="N865" s="17">
        <f>K865*0.08+L865*0.08</f>
        <v/>
      </c>
      <c r="O865" s="17">
        <f>-(K865*0.025+L865*0.025)</f>
        <v/>
      </c>
      <c r="P865" s="17">
        <f>32</f>
        <v/>
      </c>
      <c r="Q865" s="17">
        <f>J865+L865+N865+O865-P865-M865</f>
        <v/>
      </c>
    </row>
    <row r="866">
      <c r="A866" s="16" t="inlineStr">
        <is>
          <t>5.1-5.7</t>
        </is>
      </c>
      <c r="B866" s="16" t="inlineStr">
        <is>
          <t>PO-128-19144791675512081</t>
        </is>
      </c>
      <c r="C866" s="16" t="inlineStr">
        <is>
          <t>Delivered</t>
        </is>
      </c>
      <c r="D866" s="16" t="inlineStr">
        <is>
          <t>128-19144749732472081</t>
        </is>
      </c>
      <c r="E866" s="16" t="inlineStr">
        <is>
          <t>Delivered</t>
        </is>
      </c>
      <c r="F866" s="16" t="inlineStr">
        <is>
          <t>BG-115-B</t>
        </is>
      </c>
      <c r="G866" s="16" t="inlineStr">
        <is>
          <t>LINK BITS Audífonos Inalámbricos con Luces Multicolor, Recargables y en Adorable Forma de Orejas de Gato - Conecta a Celulares y PCs, Tiene Radio FM, Tarjeta TF y AUX - 7 Horas de Reproducción, Plegables y Perfectos para Trabajo, Juegos y Estudio</t>
        </is>
      </c>
      <c r="H866" s="16" t="inlineStr">
        <is>
          <t>blanco</t>
        </is>
      </c>
      <c r="I866" s="16" t="n">
        <v>1</v>
      </c>
      <c r="J866" s="17" t="n">
        <v>76</v>
      </c>
      <c r="K866" s="17" t="n">
        <v>86.72</v>
      </c>
      <c r="L866" s="17" t="n">
        <v>25.86</v>
      </c>
      <c r="M866" s="17" t="n">
        <v>0</v>
      </c>
      <c r="N866" s="17">
        <f>K866*0.08+L866*0.08</f>
        <v/>
      </c>
      <c r="O866" s="17">
        <f>-(K866*0.025+L866*0.025)</f>
        <v/>
      </c>
      <c r="P866" s="17">
        <f>32</f>
        <v/>
      </c>
      <c r="Q866" s="17">
        <f>J866+L866+N866+O866-P866-M866</f>
        <v/>
      </c>
    </row>
    <row r="867">
      <c r="A867" s="16" t="inlineStr">
        <is>
          <t>5.1-5.7</t>
        </is>
      </c>
      <c r="B867" s="16" t="inlineStr">
        <is>
          <t>PO-128-18585059881591321</t>
        </is>
      </c>
      <c r="C867" s="16" t="inlineStr">
        <is>
          <t>Delivered</t>
        </is>
      </c>
      <c r="D867" s="16" t="inlineStr">
        <is>
          <t>128-18585112310391321</t>
        </is>
      </c>
      <c r="E867" s="16" t="inlineStr">
        <is>
          <t>Delivered</t>
        </is>
      </c>
      <c r="F867" s="16" t="inlineStr">
        <is>
          <t>LV64W25</t>
        </is>
      </c>
      <c r="G8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67" s="16" t="inlineStr">
        <is>
          <t>Blanco</t>
        </is>
      </c>
      <c r="I867" s="16" t="n">
        <v>1</v>
      </c>
      <c r="J867" s="17" t="n">
        <v>123</v>
      </c>
      <c r="K867" s="17" t="n">
        <v>141.27</v>
      </c>
      <c r="L867" s="17" t="n">
        <v>25.86</v>
      </c>
      <c r="M867" s="17" t="n">
        <v>0</v>
      </c>
      <c r="N867" s="17">
        <f>K867*0.08+L867*0.08</f>
        <v/>
      </c>
      <c r="O867" s="17">
        <f>-(K867*0.025+L867*0.025)</f>
        <v/>
      </c>
      <c r="P867" s="17">
        <f>32</f>
        <v/>
      </c>
      <c r="Q867" s="17">
        <f>J867+L867+N867+O867-P867-M867</f>
        <v/>
      </c>
    </row>
    <row r="868">
      <c r="A868" s="16" t="inlineStr">
        <is>
          <t>5.1-5.7</t>
        </is>
      </c>
      <c r="B868" s="16" t="inlineStr">
        <is>
          <t>PO-128-18697604301431736</t>
        </is>
      </c>
      <c r="C868" s="16" t="inlineStr">
        <is>
          <t>Delivered</t>
        </is>
      </c>
      <c r="D868" s="16" t="inlineStr">
        <is>
          <t>128-18697583329911736</t>
        </is>
      </c>
      <c r="E868" s="16" t="inlineStr">
        <is>
          <t>Delivered</t>
        </is>
      </c>
      <c r="F868" s="16" t="inlineStr">
        <is>
          <t>LV54W25</t>
        </is>
      </c>
      <c r="G868" s="16" t="inlineStr">
        <is>
          <t>TIANLAI Lámpara Ventilador E27 2 en 1, Silenciosa, LED Alta Luminosidad 180°, Instalación Rápida, Ahorro Energético para Dormitorio y Interiores Pequeños</t>
        </is>
      </c>
      <c r="H868" s="16" t="inlineStr">
        <is>
          <t>1 Pieza</t>
        </is>
      </c>
      <c r="I868" s="16" t="n">
        <v>3</v>
      </c>
      <c r="J868" s="17" t="n">
        <v>238.5</v>
      </c>
      <c r="K868" s="17" t="n">
        <v>249.51</v>
      </c>
      <c r="L868" s="17" t="n">
        <v>0</v>
      </c>
      <c r="M868" s="17" t="n">
        <v>0</v>
      </c>
      <c r="N868" s="17">
        <f>K868*0.08+L868*0.08</f>
        <v/>
      </c>
      <c r="O868" s="17">
        <f>-(K868*0.025+L868*0.025)</f>
        <v/>
      </c>
      <c r="P868" s="17">
        <f>32</f>
        <v/>
      </c>
      <c r="Q868" s="17">
        <f>J868+L868+N868+O868-P868-M868</f>
        <v/>
      </c>
    </row>
    <row r="869">
      <c r="A869" s="16" t="inlineStr">
        <is>
          <t>5.1-5.7</t>
        </is>
      </c>
      <c r="B869" s="16" t="inlineStr">
        <is>
          <t>PO-128-18889923625590590</t>
        </is>
      </c>
      <c r="C869" s="16" t="inlineStr">
        <is>
          <t>Delivered</t>
        </is>
      </c>
      <c r="D869" s="16" t="inlineStr">
        <is>
          <t>128-18889949839990590</t>
        </is>
      </c>
      <c r="E869" s="16" t="inlineStr">
        <is>
          <t>Delivered</t>
        </is>
      </c>
      <c r="F869" s="16" t="inlineStr">
        <is>
          <t>LV64W25</t>
        </is>
      </c>
      <c r="G8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69" s="16" t="inlineStr">
        <is>
          <t>Blanco</t>
        </is>
      </c>
      <c r="I869" s="16" t="n">
        <v>1</v>
      </c>
      <c r="J869" s="17" t="n">
        <v>123</v>
      </c>
      <c r="K869" s="17" t="n">
        <v>125.07</v>
      </c>
      <c r="L869" s="17" t="n">
        <v>25.86</v>
      </c>
      <c r="M869" s="17" t="n">
        <v>0</v>
      </c>
      <c r="N869" s="17">
        <f>K869*0.08+L869*0.08</f>
        <v/>
      </c>
      <c r="O869" s="17">
        <f>-(K869*0.025+L869*0.025)</f>
        <v/>
      </c>
      <c r="P869" s="17">
        <f>32</f>
        <v/>
      </c>
      <c r="Q869" s="17">
        <f>J869+L869+N869+O869-P869-M869</f>
        <v/>
      </c>
    </row>
    <row r="870">
      <c r="A870" s="16" t="inlineStr">
        <is>
          <t>5.1-5.7</t>
        </is>
      </c>
      <c r="B870" s="16" t="inlineStr">
        <is>
          <t>PO-128-18705507236471563</t>
        </is>
      </c>
      <c r="C870" s="16" t="inlineStr">
        <is>
          <t>Delivered</t>
        </is>
      </c>
      <c r="D870" s="16" t="inlineStr">
        <is>
          <t>128-18705587190391563</t>
        </is>
      </c>
      <c r="E870" s="16" t="inlineStr">
        <is>
          <t>Delivered</t>
        </is>
      </c>
      <c r="F870" s="16" t="inlineStr">
        <is>
          <t>LV64W25</t>
        </is>
      </c>
      <c r="G8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70" s="16" t="inlineStr">
        <is>
          <t>Blanco</t>
        </is>
      </c>
      <c r="I870" s="16" t="n">
        <v>1</v>
      </c>
      <c r="J870" s="17" t="n">
        <v>123</v>
      </c>
      <c r="K870" s="17" t="n">
        <v>128.56</v>
      </c>
      <c r="L870" s="17" t="n">
        <v>25.86</v>
      </c>
      <c r="M870" s="17" t="n">
        <v>0</v>
      </c>
      <c r="N870" s="17">
        <f>K870*0.08+L870*0.08</f>
        <v/>
      </c>
      <c r="O870" s="17">
        <f>-(K870*0.025+L870*0.025)</f>
        <v/>
      </c>
      <c r="P870" s="17">
        <f>32</f>
        <v/>
      </c>
      <c r="Q870" s="17">
        <f>J870+L870+N870+O870-P870-M870</f>
        <v/>
      </c>
    </row>
    <row r="871">
      <c r="A871" s="16" t="inlineStr">
        <is>
          <t>5.1-5.7</t>
        </is>
      </c>
      <c r="B871" s="16" t="inlineStr">
        <is>
          <t>PO-128-19040392551033791</t>
        </is>
      </c>
      <c r="C871" s="16" t="inlineStr">
        <is>
          <t>Delivered</t>
        </is>
      </c>
      <c r="D871" s="16" t="inlineStr">
        <is>
          <t>128-19040444979833791</t>
        </is>
      </c>
      <c r="E871" s="16" t="inlineStr">
        <is>
          <t>Delivered</t>
        </is>
      </c>
      <c r="F871" s="16" t="inlineStr">
        <is>
          <t>LV54W25</t>
        </is>
      </c>
      <c r="G871" s="16" t="inlineStr">
        <is>
          <t>TIANLAI Lámpara Ventilador E27 2 en 1, Silenciosa, LED Alta Luminosidad 180°, Instalación Rápida, Ahorro Energético para Dormitorio y Interiores Pequeños</t>
        </is>
      </c>
      <c r="H871" s="16" t="inlineStr">
        <is>
          <t>1 Pieza</t>
        </is>
      </c>
      <c r="I871" s="16" t="n">
        <v>1</v>
      </c>
      <c r="J871" s="17" t="n">
        <v>79.5</v>
      </c>
      <c r="K871" s="17" t="n">
        <v>83.17</v>
      </c>
      <c r="L871" s="17" t="n">
        <v>25.86</v>
      </c>
      <c r="M871" s="17" t="n">
        <v>0.86</v>
      </c>
      <c r="N871" s="17">
        <f>K871*0.08+L871*0.08</f>
        <v/>
      </c>
      <c r="O871" s="17">
        <f>-(K871*0.025+L871*0.025)</f>
        <v/>
      </c>
      <c r="P871" s="17">
        <f>32</f>
        <v/>
      </c>
      <c r="Q871" s="17">
        <f>J871+L871+N871+O871-P871-M871</f>
        <v/>
      </c>
    </row>
    <row r="872">
      <c r="A872" s="16" t="inlineStr">
        <is>
          <t>5.1-5.7</t>
        </is>
      </c>
      <c r="B872" s="16" t="inlineStr">
        <is>
          <t>PO-128-19144676332152081</t>
        </is>
      </c>
      <c r="C872" s="16" t="inlineStr">
        <is>
          <t>Delivered</t>
        </is>
      </c>
      <c r="D872" s="16" t="inlineStr">
        <is>
          <t>128-19144697303672081</t>
        </is>
      </c>
      <c r="E872" s="16" t="inlineStr">
        <is>
          <t>Delivered</t>
        </is>
      </c>
      <c r="F872" s="16" t="inlineStr">
        <is>
          <t>TLCD06-12P-R</t>
        </is>
      </c>
      <c r="G87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72" s="16" t="inlineStr">
        <is>
          <t>ROJO/pantalla de 12 pulgadas</t>
        </is>
      </c>
      <c r="I872" s="16" t="n">
        <v>1</v>
      </c>
      <c r="J872" s="17" t="n">
        <v>35</v>
      </c>
      <c r="K872" s="17" t="n">
        <v>47.02</v>
      </c>
      <c r="L872" s="17" t="n">
        <v>25.86</v>
      </c>
      <c r="M872" s="17" t="n">
        <v>0</v>
      </c>
      <c r="N872" s="17">
        <f>K872*0.08+L872*0.08</f>
        <v/>
      </c>
      <c r="O872" s="17">
        <f>-(K872*0.025+L872*0.025)</f>
        <v/>
      </c>
      <c r="P872" s="17">
        <f>32</f>
        <v/>
      </c>
      <c r="Q872" s="17">
        <f>J872+L872+N872+O872-P872-M872</f>
        <v/>
      </c>
    </row>
    <row r="873">
      <c r="A873" s="16" t="inlineStr">
        <is>
          <t>5.1-5.7</t>
        </is>
      </c>
      <c r="B873" s="16" t="inlineStr">
        <is>
          <t>PO-128-19241279119992656</t>
        </is>
      </c>
      <c r="C873" s="16" t="inlineStr">
        <is>
          <t>Delivered</t>
        </is>
      </c>
      <c r="D873" s="16" t="inlineStr">
        <is>
          <t>128-19241237176952656</t>
        </is>
      </c>
      <c r="E873" s="16" t="inlineStr">
        <is>
          <t>Delivered</t>
        </is>
      </c>
      <c r="F873" s="16" t="inlineStr">
        <is>
          <t>LV64W25</t>
        </is>
      </c>
      <c r="G8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73" s="16" t="inlineStr">
        <is>
          <t>Blanco</t>
        </is>
      </c>
      <c r="I873" s="16" t="n">
        <v>1</v>
      </c>
      <c r="J873" s="17" t="n">
        <v>123</v>
      </c>
      <c r="K873" s="17" t="n">
        <v>141.27</v>
      </c>
      <c r="L873" s="17" t="n">
        <v>0</v>
      </c>
      <c r="M873" s="17" t="n">
        <v>141.27</v>
      </c>
      <c r="N873" s="17">
        <f>K873*0.08+L873*0.08</f>
        <v/>
      </c>
      <c r="O873" s="17">
        <f>-(K873*0.025+L873*0.025)</f>
        <v/>
      </c>
      <c r="P873" s="17">
        <f>32</f>
        <v/>
      </c>
      <c r="Q873" s="17">
        <f>J873+L873+N873+O873-P873-M873</f>
        <v/>
      </c>
    </row>
    <row r="874">
      <c r="A874" s="16" t="inlineStr">
        <is>
          <t>5.1-5.7</t>
        </is>
      </c>
      <c r="B874" s="16" t="inlineStr">
        <is>
          <t>PO-128-18905474089593507</t>
        </is>
      </c>
      <c r="C874" s="16" t="inlineStr">
        <is>
          <t>Delivered</t>
        </is>
      </c>
      <c r="D874" s="16" t="inlineStr">
        <is>
          <t>128-18905426903673507</t>
        </is>
      </c>
      <c r="E874" s="16" t="inlineStr">
        <is>
          <t>Delivered</t>
        </is>
      </c>
      <c r="F874" s="16" t="inlineStr">
        <is>
          <t>BSC04</t>
        </is>
      </c>
      <c r="G874" s="16" t="inlineStr">
        <is>
          <t>TIANLAI Báscula Digital BSC04/BSC07, Alta Precisión, Fácil Operación, Ligera y Portátil, Función Tara, Unidad Dual oz/g, Ideal para Cocina, Control de Porciones, Sellos y Objetos Pequeños, Uso en Hogar y Viaje</t>
        </is>
      </c>
      <c r="H874" s="16" t="inlineStr">
        <is>
          <t>5g/White</t>
        </is>
      </c>
      <c r="I874" s="16" t="n">
        <v>1</v>
      </c>
      <c r="J874" s="17" t="n">
        <v>57.2</v>
      </c>
      <c r="K874" s="17" t="n">
        <v>52.71</v>
      </c>
      <c r="L874" s="17" t="n">
        <v>25.86</v>
      </c>
      <c r="M874" s="17" t="n">
        <v>0</v>
      </c>
      <c r="N874" s="17">
        <f>K874*0.08+L874*0.08</f>
        <v/>
      </c>
      <c r="O874" s="17">
        <f>-(K874*0.025+L874*0.025)</f>
        <v/>
      </c>
      <c r="P874" s="17">
        <f>32</f>
        <v/>
      </c>
      <c r="Q874" s="17">
        <f>J874+L874+N874+O874-P874-M874</f>
        <v/>
      </c>
    </row>
    <row r="875">
      <c r="A875" s="16" t="inlineStr">
        <is>
          <t>5.1-5.7</t>
        </is>
      </c>
      <c r="B875" s="16" t="inlineStr">
        <is>
          <t>PO-128-19155028163192146</t>
        </is>
      </c>
      <c r="C875" s="16" t="inlineStr">
        <is>
          <t>Delivered</t>
        </is>
      </c>
      <c r="D875" s="16" t="inlineStr">
        <is>
          <t>128-19154986220152146</t>
        </is>
      </c>
      <c r="E875" s="16" t="inlineStr">
        <is>
          <t>Delivered</t>
        </is>
      </c>
      <c r="F875" s="16" t="inlineStr">
        <is>
          <t>SA323T</t>
        </is>
      </c>
      <c r="G875"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875" s="16" t="inlineStr">
        <is>
          <t>AZUL/SA323T</t>
        </is>
      </c>
      <c r="I875" s="16" t="n">
        <v>1</v>
      </c>
      <c r="J875" s="17" t="n">
        <v>47</v>
      </c>
      <c r="K875" s="17" t="n">
        <v>56.06</v>
      </c>
      <c r="L875" s="17" t="n">
        <v>25.86</v>
      </c>
      <c r="M875" s="17" t="n">
        <v>0</v>
      </c>
      <c r="N875" s="17">
        <f>K875*0.08+L875*0.08</f>
        <v/>
      </c>
      <c r="O875" s="17">
        <f>-(K875*0.025+L875*0.025)</f>
        <v/>
      </c>
      <c r="P875" s="17">
        <f>32</f>
        <v/>
      </c>
      <c r="Q875" s="17">
        <f>J875+L875+N875+O875-P875-M875</f>
        <v/>
      </c>
    </row>
    <row r="876">
      <c r="A876" s="16" t="inlineStr">
        <is>
          <t>5.1-5.7</t>
        </is>
      </c>
      <c r="B876" s="16" t="inlineStr">
        <is>
          <t>PO-128-18792971930230016</t>
        </is>
      </c>
      <c r="C876" s="16" t="inlineStr">
        <is>
          <t>Delivered</t>
        </is>
      </c>
      <c r="D876" s="16" t="inlineStr">
        <is>
          <t>128-18792929987190016</t>
        </is>
      </c>
      <c r="E876" s="16" t="inlineStr">
        <is>
          <t>Delivered</t>
        </is>
      </c>
      <c r="F876" s="16" t="inlineStr">
        <is>
          <t>LV64W25</t>
        </is>
      </c>
      <c r="G8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76" s="16" t="inlineStr">
        <is>
          <t>Blanco</t>
        </is>
      </c>
      <c r="I876" s="16" t="n">
        <v>3</v>
      </c>
      <c r="J876" s="17" t="n">
        <v>369</v>
      </c>
      <c r="K876" s="17" t="n">
        <v>308.54</v>
      </c>
      <c r="L876" s="17" t="n">
        <v>0</v>
      </c>
      <c r="M876" s="17" t="n">
        <v>0</v>
      </c>
      <c r="N876" s="17">
        <f>K876*0.08+L876*0.08</f>
        <v/>
      </c>
      <c r="O876" s="17">
        <f>-(K876*0.025+L876*0.025)</f>
        <v/>
      </c>
      <c r="P876" s="17">
        <f>32</f>
        <v/>
      </c>
      <c r="Q876" s="17">
        <f>J876+L876+N876+O876-P876-M876</f>
        <v/>
      </c>
    </row>
    <row r="877">
      <c r="A877" s="16" t="inlineStr">
        <is>
          <t>5.1-5.7</t>
        </is>
      </c>
      <c r="B877" s="16" t="inlineStr">
        <is>
          <t>PO-128-18986651372153983</t>
        </is>
      </c>
      <c r="C877" s="16" t="inlineStr">
        <is>
          <t>Delivered</t>
        </is>
      </c>
      <c r="D877" s="16" t="inlineStr">
        <is>
          <t>128-18986689383033983</t>
        </is>
      </c>
      <c r="E877" s="16" t="inlineStr">
        <is>
          <t>Delivered</t>
        </is>
      </c>
      <c r="F877" s="16" t="inlineStr">
        <is>
          <t>LV64W25</t>
        </is>
      </c>
      <c r="G8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77" s="16" t="inlineStr">
        <is>
          <t>Blanco</t>
        </is>
      </c>
      <c r="I877" s="16" t="n">
        <v>1</v>
      </c>
      <c r="J877" s="17" t="n">
        <v>123</v>
      </c>
      <c r="K877" s="17" t="n">
        <v>109.28</v>
      </c>
      <c r="L877" s="17" t="n">
        <v>25.86</v>
      </c>
      <c r="M877" s="17" t="n">
        <v>2.33</v>
      </c>
      <c r="N877" s="17">
        <f>K877*0.08+L877*0.08</f>
        <v/>
      </c>
      <c r="O877" s="17">
        <f>-(K877*0.025+L877*0.025)</f>
        <v/>
      </c>
      <c r="P877" s="17">
        <f>32</f>
        <v/>
      </c>
      <c r="Q877" s="17">
        <f>J877+L877+N877+O877-P877-M877</f>
        <v/>
      </c>
    </row>
    <row r="878">
      <c r="A878" s="16" t="inlineStr">
        <is>
          <t>5.1-5.7</t>
        </is>
      </c>
      <c r="B878" s="16" t="inlineStr">
        <is>
          <t>PO-128-18742987213430506</t>
        </is>
      </c>
      <c r="C878" s="16" t="inlineStr">
        <is>
          <t>Delivered</t>
        </is>
      </c>
      <c r="D878" s="16" t="inlineStr">
        <is>
          <t>128-18742966241910506</t>
        </is>
      </c>
      <c r="E878" s="16" t="inlineStr">
        <is>
          <t>Delivered</t>
        </is>
      </c>
      <c r="F878" s="16" t="inlineStr">
        <is>
          <t>LV54W25</t>
        </is>
      </c>
      <c r="G878" s="16" t="inlineStr">
        <is>
          <t>TIANLAI Lámpara Ventilador E27 2 en 1, Silenciosa, LED Alta Luminosidad 180°, Instalación Rápida, Ahorro Energético para Dormitorio y Interiores Pequeños</t>
        </is>
      </c>
      <c r="H878" s="16" t="inlineStr">
        <is>
          <t>1 Pieza</t>
        </is>
      </c>
      <c r="I878" s="16" t="n">
        <v>1</v>
      </c>
      <c r="J878" s="17" t="n">
        <v>79.5</v>
      </c>
      <c r="K878" s="17" t="n">
        <v>96.7</v>
      </c>
      <c r="L878" s="17" t="n">
        <v>25.86</v>
      </c>
      <c r="M878" s="17" t="n">
        <v>0</v>
      </c>
      <c r="N878" s="17">
        <f>K878*0.08+L878*0.08</f>
        <v/>
      </c>
      <c r="O878" s="17">
        <f>-(K878*0.025+L878*0.025)</f>
        <v/>
      </c>
      <c r="P878" s="17">
        <f>32</f>
        <v/>
      </c>
      <c r="Q878" s="17">
        <f>J878+L878+N878+O878-P878-M878</f>
        <v/>
      </c>
    </row>
    <row r="879">
      <c r="A879" s="16" t="inlineStr">
        <is>
          <t>5.1-5.7</t>
        </is>
      </c>
      <c r="B879" s="16" t="inlineStr">
        <is>
          <t>PO-128-19018492150393921</t>
        </is>
      </c>
      <c r="C879" s="16" t="inlineStr">
        <is>
          <t>Delivered</t>
        </is>
      </c>
      <c r="D879" s="16" t="inlineStr">
        <is>
          <t>128-19018507879033921</t>
        </is>
      </c>
      <c r="E879" s="16" t="inlineStr">
        <is>
          <t>Delivered</t>
        </is>
      </c>
      <c r="F879" s="16" t="inlineStr">
        <is>
          <t>VB349T</t>
        </is>
      </c>
      <c r="G879" s="16" t="inlineStr">
        <is>
          <t>LINKBITS Altavoz Portátil de Doble Altavoz - 3 Pulgadas, Sonido HD, Emparejamiento Rápido de Bluetooth, Conectividad TWS, Reproducción Multimodo (Micro SD/USB/Radio FM) - Perfecto para Oficina, Viajes y Espacios Pequeños</t>
        </is>
      </c>
      <c r="H879" s="16" t="inlineStr">
        <is>
          <t>NEGRO</t>
        </is>
      </c>
      <c r="I879" s="16" t="n">
        <v>1</v>
      </c>
      <c r="J879" s="17" t="n">
        <v>81</v>
      </c>
      <c r="K879" s="17" t="n">
        <v>66.06999999999999</v>
      </c>
      <c r="L879" s="17" t="n">
        <v>25.86</v>
      </c>
      <c r="M879" s="17" t="n">
        <v>0</v>
      </c>
      <c r="N879" s="17">
        <f>K879*0.08+L879*0.08</f>
        <v/>
      </c>
      <c r="O879" s="17">
        <f>-(K879*0.025+L879*0.025)</f>
        <v/>
      </c>
      <c r="P879" s="17">
        <f>32</f>
        <v/>
      </c>
      <c r="Q879" s="17">
        <f>J879+L879+N879+O879-P879-M879</f>
        <v/>
      </c>
    </row>
    <row r="880">
      <c r="A880" s="16" t="inlineStr">
        <is>
          <t>5.1-5.7</t>
        </is>
      </c>
      <c r="B880" s="16" t="inlineStr">
        <is>
          <t>PO-128-18913389998713522</t>
        </is>
      </c>
      <c r="C880" s="16" t="inlineStr">
        <is>
          <t>Delivered</t>
        </is>
      </c>
      <c r="D880" s="16" t="inlineStr">
        <is>
          <t>128-18913442427513522</t>
        </is>
      </c>
      <c r="E880" s="16" t="inlineStr">
        <is>
          <t>Delivered</t>
        </is>
      </c>
      <c r="F880" s="16" t="inlineStr">
        <is>
          <t>LV54W25</t>
        </is>
      </c>
      <c r="G880" s="16" t="inlineStr">
        <is>
          <t>TIANLAI Lámpara Ventilador E27 2 en 1, Silenciosa, LED Alta Luminosidad 180°, Instalación Rápida, Ahorro Energético para Dormitorio y Interiores Pequeños</t>
        </is>
      </c>
      <c r="H880" s="16" t="inlineStr">
        <is>
          <t>1 Pieza</t>
        </is>
      </c>
      <c r="I880" s="16" t="n">
        <v>1</v>
      </c>
      <c r="J880" s="17" t="n">
        <v>79.5</v>
      </c>
      <c r="K880" s="17" t="n">
        <v>40.07</v>
      </c>
      <c r="L880" s="17" t="n">
        <v>25.86</v>
      </c>
      <c r="M880" s="17" t="n">
        <v>0</v>
      </c>
      <c r="N880" s="17">
        <f>K880*0.08+L880*0.08</f>
        <v/>
      </c>
      <c r="O880" s="17">
        <f>-(K880*0.025+L880*0.025)</f>
        <v/>
      </c>
      <c r="P880" s="17">
        <f>32</f>
        <v/>
      </c>
      <c r="Q880" s="17">
        <f>J880+L880+N880+O880-P880-M880</f>
        <v/>
      </c>
    </row>
    <row r="881">
      <c r="A881" s="16" t="inlineStr">
        <is>
          <t>5.1-5.7</t>
        </is>
      </c>
      <c r="B881" s="16" t="inlineStr">
        <is>
          <t>PO-128-18941947372153224</t>
        </is>
      </c>
      <c r="C881" s="16" t="inlineStr">
        <is>
          <t>Delivered</t>
        </is>
      </c>
      <c r="D881" s="16" t="inlineStr">
        <is>
          <t>128-18941905429113224</t>
        </is>
      </c>
      <c r="E881" s="16" t="inlineStr">
        <is>
          <t>Delivered</t>
        </is>
      </c>
      <c r="F881" s="16" t="inlineStr">
        <is>
          <t>BSC07</t>
        </is>
      </c>
      <c r="G881" s="16" t="inlineStr">
        <is>
          <t>TIANLAI Báscula Digital BSC04/BSC07, Alta Precisión, Fácil Operación, Ligera y Portátil, Función Tara, Unidad Dual oz/g, Ideal para Cocina, Control de Porciones, Sellos y Objetos Pequeños, Uso en Hogar y Viaje</t>
        </is>
      </c>
      <c r="H881" s="16" t="inlineStr">
        <is>
          <t>1g/White</t>
        </is>
      </c>
      <c r="I881" s="16" t="n">
        <v>1</v>
      </c>
      <c r="J881" s="17" t="n">
        <v>35</v>
      </c>
      <c r="K881" s="17" t="n">
        <v>4.11</v>
      </c>
      <c r="L881" s="17" t="n">
        <v>25.86</v>
      </c>
      <c r="M881" s="17" t="n">
        <v>0</v>
      </c>
      <c r="N881" s="17">
        <f>K881*0.08+L881*0.08</f>
        <v/>
      </c>
      <c r="O881" s="17">
        <f>-(K881*0.025+L881*0.025)</f>
        <v/>
      </c>
      <c r="P881" s="17">
        <f>32</f>
        <v/>
      </c>
      <c r="Q881" s="17">
        <f>J881+L881+N881+O881-P881-M881</f>
        <v/>
      </c>
    </row>
    <row r="882">
      <c r="A882" s="16" t="inlineStr">
        <is>
          <t>5.1-5.7</t>
        </is>
      </c>
      <c r="B882" s="16" t="inlineStr">
        <is>
          <t>PO-128-18691908495991706</t>
        </is>
      </c>
      <c r="C882" s="16" t="inlineStr">
        <is>
          <t>Delivered</t>
        </is>
      </c>
      <c r="D882" s="16" t="inlineStr">
        <is>
          <t>128-18691866552951706</t>
        </is>
      </c>
      <c r="E882" s="16" t="inlineStr">
        <is>
          <t>Delivered</t>
        </is>
      </c>
      <c r="F882" s="16" t="inlineStr">
        <is>
          <t>LV64W25</t>
        </is>
      </c>
      <c r="G8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2" s="16" t="inlineStr">
        <is>
          <t>Blanco</t>
        </is>
      </c>
      <c r="I882" s="16" t="n">
        <v>5</v>
      </c>
      <c r="J882" s="17" t="n">
        <v>615</v>
      </c>
      <c r="K882" s="17" t="n">
        <v>449.96</v>
      </c>
      <c r="L882" s="17" t="n">
        <v>0</v>
      </c>
      <c r="M882" s="17" t="n">
        <v>11.2</v>
      </c>
      <c r="N882" s="17">
        <f>K882*0.08+L882*0.08</f>
        <v/>
      </c>
      <c r="O882" s="17">
        <f>-(K882*0.025+L882*0.025)</f>
        <v/>
      </c>
      <c r="P882" s="17">
        <f>32</f>
        <v/>
      </c>
      <c r="Q882" s="17">
        <f>J882+L882+N882+O882-P882-M882</f>
        <v/>
      </c>
    </row>
    <row r="883">
      <c r="A883" s="16" t="inlineStr">
        <is>
          <t>5.1-5.7</t>
        </is>
      </c>
      <c r="B883" s="16" t="inlineStr">
        <is>
          <t>PO-128-19170097971833016</t>
        </is>
      </c>
      <c r="C883" s="16" t="inlineStr">
        <is>
          <t>Delivered</t>
        </is>
      </c>
      <c r="D883" s="16" t="inlineStr">
        <is>
          <t>128-19170118943353016</t>
        </is>
      </c>
      <c r="E883" s="16" t="inlineStr">
        <is>
          <t>Delivered</t>
        </is>
      </c>
      <c r="F883" s="16" t="inlineStr">
        <is>
          <t>LV64W25</t>
        </is>
      </c>
      <c r="G8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3" s="16" t="inlineStr">
        <is>
          <t>Blanco</t>
        </is>
      </c>
      <c r="I883" s="16" t="n">
        <v>1</v>
      </c>
      <c r="J883" s="17" t="n">
        <v>123</v>
      </c>
      <c r="K883" s="17" t="n">
        <v>98.17</v>
      </c>
      <c r="L883" s="17" t="n">
        <v>25.86</v>
      </c>
      <c r="M883" s="17" t="n">
        <v>0</v>
      </c>
      <c r="N883" s="17">
        <f>K883*0.08+L883*0.08</f>
        <v/>
      </c>
      <c r="O883" s="17">
        <f>-(K883*0.025+L883*0.025)</f>
        <v/>
      </c>
      <c r="P883" s="17">
        <f>32</f>
        <v/>
      </c>
      <c r="Q883" s="17">
        <f>J883+L883+N883+O883-P883-M883</f>
        <v/>
      </c>
    </row>
    <row r="884">
      <c r="A884" s="16" t="inlineStr">
        <is>
          <t>5.1-5.7</t>
        </is>
      </c>
      <c r="B884" s="16" t="inlineStr">
        <is>
          <t>PO-128-18863479706230685</t>
        </is>
      </c>
      <c r="C884" s="16" t="inlineStr">
        <is>
          <t>Delivered</t>
        </is>
      </c>
      <c r="D884" s="16" t="inlineStr">
        <is>
          <t>128-18863490191990685</t>
        </is>
      </c>
      <c r="E884" s="16" t="inlineStr">
        <is>
          <t>Delivered</t>
        </is>
      </c>
      <c r="F884" s="16" t="inlineStr">
        <is>
          <t>LV64W25</t>
        </is>
      </c>
      <c r="G8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4" s="16" t="inlineStr">
        <is>
          <t>Blanco</t>
        </is>
      </c>
      <c r="I884" s="16" t="n">
        <v>1</v>
      </c>
      <c r="J884" s="17" t="n">
        <v>123</v>
      </c>
      <c r="K884" s="17" t="n">
        <v>105.95</v>
      </c>
      <c r="L884" s="17" t="n">
        <v>25.86</v>
      </c>
      <c r="M884" s="17" t="n">
        <v>0</v>
      </c>
      <c r="N884" s="17">
        <f>K884*0.08+L884*0.08</f>
        <v/>
      </c>
      <c r="O884" s="17">
        <f>-(K884*0.025+L884*0.025)</f>
        <v/>
      </c>
      <c r="P884" s="17">
        <f>32</f>
        <v/>
      </c>
      <c r="Q884" s="17">
        <f>J884+L884+N884+O884-P884-M884</f>
        <v/>
      </c>
    </row>
    <row r="885">
      <c r="A885" s="16" t="inlineStr">
        <is>
          <t>5.1-5.7</t>
        </is>
      </c>
      <c r="B885" s="16" t="inlineStr">
        <is>
          <t>PO-128-18778117130870168</t>
        </is>
      </c>
      <c r="C885" s="16" t="inlineStr">
        <is>
          <t>Delivered</t>
        </is>
      </c>
      <c r="D885" s="16" t="inlineStr">
        <is>
          <t>128-18778101402230168</t>
        </is>
      </c>
      <c r="E885" s="16" t="inlineStr">
        <is>
          <t>Delivered</t>
        </is>
      </c>
      <c r="F885" s="16" t="inlineStr">
        <is>
          <t>LV64W25</t>
        </is>
      </c>
      <c r="G8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5" s="16" t="inlineStr">
        <is>
          <t>Blanco</t>
        </is>
      </c>
      <c r="I885" s="16" t="n">
        <v>1</v>
      </c>
      <c r="J885" s="17" t="n">
        <v>123</v>
      </c>
      <c r="K885" s="17" t="n">
        <v>105.95</v>
      </c>
      <c r="L885" s="17" t="n">
        <v>25.86</v>
      </c>
      <c r="M885" s="17" t="n">
        <v>0</v>
      </c>
      <c r="N885" s="17">
        <f>K885*0.08+L885*0.08</f>
        <v/>
      </c>
      <c r="O885" s="17">
        <f>-(K885*0.025+L885*0.025)</f>
        <v/>
      </c>
      <c r="P885" s="17">
        <f>32</f>
        <v/>
      </c>
      <c r="Q885" s="17">
        <f>J885+L885+N885+O885-P885-M885</f>
        <v/>
      </c>
    </row>
    <row r="886">
      <c r="A886" s="16" t="inlineStr">
        <is>
          <t>5.1-5.7</t>
        </is>
      </c>
      <c r="B886" s="16" t="inlineStr">
        <is>
          <t>PO-128-19029693645433727</t>
        </is>
      </c>
      <c r="C886" s="16" t="inlineStr">
        <is>
          <t>Delivered</t>
        </is>
      </c>
      <c r="D886" s="16" t="inlineStr">
        <is>
          <t>128-19029651702393727</t>
        </is>
      </c>
      <c r="E886" s="16" t="inlineStr">
        <is>
          <t>Delivered</t>
        </is>
      </c>
      <c r="F886" s="16" t="inlineStr">
        <is>
          <t>LV64W25</t>
        </is>
      </c>
      <c r="G8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6" s="16" t="inlineStr">
        <is>
          <t>Blanco</t>
        </is>
      </c>
      <c r="I886" s="16" t="n">
        <v>1</v>
      </c>
      <c r="J886" s="17" t="n">
        <v>123</v>
      </c>
      <c r="K886" s="17" t="n">
        <v>141.27</v>
      </c>
      <c r="L886" s="17" t="n">
        <v>25.86</v>
      </c>
      <c r="M886" s="17" t="n">
        <v>0</v>
      </c>
      <c r="N886" s="17">
        <f>K886*0.08+L886*0.08</f>
        <v/>
      </c>
      <c r="O886" s="17">
        <f>-(K886*0.025+L886*0.025)</f>
        <v/>
      </c>
      <c r="P886" s="17">
        <f>32</f>
        <v/>
      </c>
      <c r="Q886" s="17">
        <f>J886+L886+N886+O886-P886-M886</f>
        <v/>
      </c>
    </row>
    <row r="887">
      <c r="A887" s="16" t="inlineStr">
        <is>
          <t>5.1-5.7</t>
        </is>
      </c>
      <c r="B887" s="16" t="inlineStr">
        <is>
          <t>PO-128-19180262185592829</t>
        </is>
      </c>
      <c r="C887" s="16" t="inlineStr">
        <is>
          <t>Delivered</t>
        </is>
      </c>
      <c r="D887" s="16" t="inlineStr">
        <is>
          <t>128-19180304128632829</t>
        </is>
      </c>
      <c r="E887" s="16" t="inlineStr">
        <is>
          <t>Delivered</t>
        </is>
      </c>
      <c r="F887" s="16" t="inlineStr">
        <is>
          <t>TLCD02-8P-N</t>
        </is>
      </c>
      <c r="G88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87" s="16" t="inlineStr">
        <is>
          <t>NEGRO/pantalla de 8.5 pulgadas</t>
        </is>
      </c>
      <c r="I887" s="16" t="n">
        <v>1</v>
      </c>
      <c r="J887" s="17" t="n">
        <v>25</v>
      </c>
      <c r="K887" s="17" t="n">
        <v>30.67</v>
      </c>
      <c r="L887" s="17" t="n">
        <v>25.86</v>
      </c>
      <c r="M887" s="17" t="n">
        <v>0</v>
      </c>
      <c r="N887" s="17">
        <f>K887*0.08+L887*0.08</f>
        <v/>
      </c>
      <c r="O887" s="17">
        <f>-(K887*0.025+L887*0.025)</f>
        <v/>
      </c>
      <c r="P887" s="17">
        <f>32</f>
        <v/>
      </c>
      <c r="Q887" s="17">
        <f>J887+L887+N887+O887-P887-M887</f>
        <v/>
      </c>
    </row>
    <row r="888">
      <c r="A888" s="16" t="inlineStr">
        <is>
          <t>5.1-5.7</t>
        </is>
      </c>
      <c r="B888" s="16" t="inlineStr">
        <is>
          <t>PO-128-18737154550390476</t>
        </is>
      </c>
      <c r="C888" s="16" t="inlineStr">
        <is>
          <t>Delivered</t>
        </is>
      </c>
      <c r="D888" s="16" t="inlineStr">
        <is>
          <t>128-18737259407990476</t>
        </is>
      </c>
      <c r="E888" s="16" t="inlineStr">
        <is>
          <t>Delivered</t>
        </is>
      </c>
      <c r="F888" s="16" t="inlineStr">
        <is>
          <t>LV64W25</t>
        </is>
      </c>
      <c r="G8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88" s="16" t="inlineStr">
        <is>
          <t>Blanco</t>
        </is>
      </c>
      <c r="I888" s="16" t="n">
        <v>1</v>
      </c>
      <c r="J888" s="17" t="n">
        <v>123</v>
      </c>
      <c r="K888" s="17" t="n">
        <v>141.27</v>
      </c>
      <c r="L888" s="17" t="n">
        <v>25.86</v>
      </c>
      <c r="M888" s="17" t="n">
        <v>0</v>
      </c>
      <c r="N888" s="17">
        <f>K888*0.08+L888*0.08</f>
        <v/>
      </c>
      <c r="O888" s="17">
        <f>-(K888*0.025+L888*0.025)</f>
        <v/>
      </c>
      <c r="P888" s="17">
        <f>32</f>
        <v/>
      </c>
      <c r="Q888" s="17">
        <f>J888+L888+N888+O888-P888-M888</f>
        <v/>
      </c>
    </row>
    <row r="889">
      <c r="A889" s="16" t="inlineStr">
        <is>
          <t>5.1-5.7</t>
        </is>
      </c>
      <c r="B889" s="16" t="inlineStr">
        <is>
          <t>PO-128-19102835630712395</t>
        </is>
      </c>
      <c r="C889" s="16" t="inlineStr">
        <is>
          <t>Delivered</t>
        </is>
      </c>
      <c r="D889" s="16" t="inlineStr">
        <is>
          <t>128-19102793687672395</t>
        </is>
      </c>
      <c r="E889" s="16" t="inlineStr">
        <is>
          <t>Delivered</t>
        </is>
      </c>
      <c r="F889" s="16" t="inlineStr">
        <is>
          <t>LV54W25</t>
        </is>
      </c>
      <c r="G889" s="16" t="inlineStr">
        <is>
          <t>TIANLAI Lámpara Ventilador E27 2 en 1, Silenciosa, LED Alta Luminosidad 180°, Instalación Rápida, Ahorro Energético para Dormitorio y Interiores Pequeños</t>
        </is>
      </c>
      <c r="H889" s="16" t="inlineStr">
        <is>
          <t>1 Pieza</t>
        </is>
      </c>
      <c r="I889" s="16" t="n">
        <v>3</v>
      </c>
      <c r="J889" s="17" t="n">
        <v>238.5</v>
      </c>
      <c r="K889" s="17" t="n">
        <v>199.61</v>
      </c>
      <c r="L889" s="17" t="n">
        <v>0</v>
      </c>
      <c r="M889" s="17" t="n">
        <v>0</v>
      </c>
      <c r="N889" s="17">
        <f>K889*0.08+L889*0.08</f>
        <v/>
      </c>
      <c r="O889" s="17">
        <f>-(K889*0.025+L889*0.025)</f>
        <v/>
      </c>
      <c r="P889" s="17">
        <f>32</f>
        <v/>
      </c>
      <c r="Q889" s="17">
        <f>J889+L889+N889+O889-P889-M889</f>
        <v/>
      </c>
    </row>
    <row r="890">
      <c r="A890" s="16" t="inlineStr">
        <is>
          <t>5.1-5.7</t>
        </is>
      </c>
      <c r="B890" s="16" t="inlineStr">
        <is>
          <t>PO-128-19006359399033864</t>
        </is>
      </c>
      <c r="C890" s="16" t="inlineStr">
        <is>
          <t>Delivered</t>
        </is>
      </c>
      <c r="D890" s="16" t="inlineStr">
        <is>
          <t>128-19006380370553864</t>
        </is>
      </c>
      <c r="E890" s="16" t="inlineStr">
        <is>
          <t>Delivered</t>
        </is>
      </c>
      <c r="F890" s="16" t="inlineStr">
        <is>
          <t>LV64W25</t>
        </is>
      </c>
      <c r="G8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0" s="16" t="inlineStr">
        <is>
          <t>Blanco</t>
        </is>
      </c>
      <c r="I890" s="16" t="n">
        <v>1</v>
      </c>
      <c r="J890" s="17" t="n">
        <v>123</v>
      </c>
      <c r="K890" s="17" t="n">
        <v>128.56</v>
      </c>
      <c r="L890" s="17" t="n">
        <v>25.86</v>
      </c>
      <c r="M890" s="17" t="n">
        <v>0</v>
      </c>
      <c r="N890" s="17">
        <f>K890*0.08+L890*0.08</f>
        <v/>
      </c>
      <c r="O890" s="17">
        <f>-(K890*0.025+L890*0.025)</f>
        <v/>
      </c>
      <c r="P890" s="17">
        <f>32</f>
        <v/>
      </c>
      <c r="Q890" s="17">
        <f>J890+L890+N890+O890-P890-M890</f>
        <v/>
      </c>
    </row>
    <row r="891">
      <c r="A891" s="16" t="inlineStr">
        <is>
          <t>5.1-5.7</t>
        </is>
      </c>
      <c r="B891" s="16" t="inlineStr">
        <is>
          <t>PO-128-18897577851510608</t>
        </is>
      </c>
      <c r="C891" s="16" t="inlineStr">
        <is>
          <t>Delivered</t>
        </is>
      </c>
      <c r="D891" s="16" t="inlineStr">
        <is>
          <t>128-18897546394230608</t>
        </is>
      </c>
      <c r="E891" s="16" t="inlineStr">
        <is>
          <t>Delivered</t>
        </is>
      </c>
      <c r="F891" s="16" t="inlineStr">
        <is>
          <t>LV64W25</t>
        </is>
      </c>
      <c r="G8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1" s="16" t="inlineStr">
        <is>
          <t>Blanco</t>
        </is>
      </c>
      <c r="I891" s="16" t="n">
        <v>2</v>
      </c>
      <c r="J891" s="17" t="n">
        <v>246</v>
      </c>
      <c r="K891" s="17" t="n">
        <v>203.44</v>
      </c>
      <c r="L891" s="17" t="n">
        <v>0</v>
      </c>
      <c r="M891" s="17" t="n">
        <v>4.32</v>
      </c>
      <c r="N891" s="17">
        <f>K891*0.08+L891*0.08</f>
        <v/>
      </c>
      <c r="O891" s="17">
        <f>-(K891*0.025+L891*0.025)</f>
        <v/>
      </c>
      <c r="P891" s="17">
        <f>32</f>
        <v/>
      </c>
      <c r="Q891" s="17">
        <f>J891+L891+N891+O891-P891-M891</f>
        <v/>
      </c>
    </row>
    <row r="892">
      <c r="A892" s="16" t="inlineStr">
        <is>
          <t>5.1-5.7</t>
        </is>
      </c>
      <c r="B892" s="16" t="inlineStr">
        <is>
          <t>PO-128-18565228073591503</t>
        </is>
      </c>
      <c r="C892" s="16" t="inlineStr">
        <is>
          <t>Delivered</t>
        </is>
      </c>
      <c r="D892" s="16" t="inlineStr">
        <is>
          <t>128-18565270016631503</t>
        </is>
      </c>
      <c r="E892" s="16" t="inlineStr">
        <is>
          <t>Delivered</t>
        </is>
      </c>
      <c r="F892" s="16" t="inlineStr">
        <is>
          <t>LV54W25</t>
        </is>
      </c>
      <c r="G892" s="16" t="inlineStr">
        <is>
          <t>TIANLAI Lámpara Ventilador E27 2 en 1, Silenciosa, LED Alta Luminosidad 180°, Instalación Rápida, Ahorro Energético para Dormitorio y Interiores Pequeños</t>
        </is>
      </c>
      <c r="H892" s="16" t="inlineStr">
        <is>
          <t>1 Pieza</t>
        </is>
      </c>
      <c r="I892" s="16" t="n">
        <v>1</v>
      </c>
      <c r="J892" s="17" t="n">
        <v>79.5</v>
      </c>
      <c r="K892" s="17" t="n">
        <v>83.17</v>
      </c>
      <c r="L892" s="17" t="n">
        <v>25.86</v>
      </c>
      <c r="M892" s="17" t="n">
        <v>0</v>
      </c>
      <c r="N892" s="17">
        <f>K892*0.08+L892*0.08</f>
        <v/>
      </c>
      <c r="O892" s="17">
        <f>-(K892*0.025+L892*0.025)</f>
        <v/>
      </c>
      <c r="P892" s="17">
        <f>32</f>
        <v/>
      </c>
      <c r="Q892" s="17">
        <f>J892+L892+N892+O892-P892-M892</f>
        <v/>
      </c>
    </row>
    <row r="893">
      <c r="A893" s="16" t="inlineStr">
        <is>
          <t>5.1-5.7</t>
        </is>
      </c>
      <c r="B893" s="16" t="inlineStr">
        <is>
          <t>PO-128-18783282985590203</t>
        </is>
      </c>
      <c r="C893" s="16" t="inlineStr">
        <is>
          <t>Delivered</t>
        </is>
      </c>
      <c r="D893" s="16" t="inlineStr">
        <is>
          <t>128-18783335414390203</t>
        </is>
      </c>
      <c r="E893" s="16" t="inlineStr">
        <is>
          <t>Delivered</t>
        </is>
      </c>
      <c r="F893" s="16" t="inlineStr">
        <is>
          <t>LV64W25</t>
        </is>
      </c>
      <c r="G8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3" s="16" t="inlineStr">
        <is>
          <t>Blanco</t>
        </is>
      </c>
      <c r="I893" s="16" t="n">
        <v>1</v>
      </c>
      <c r="J893" s="17" t="n">
        <v>123</v>
      </c>
      <c r="K893" s="17" t="n">
        <v>128.56</v>
      </c>
      <c r="L893" s="17" t="n">
        <v>25.86</v>
      </c>
      <c r="M893" s="17" t="n">
        <v>0</v>
      </c>
      <c r="N893" s="17">
        <f>K893*0.08+L893*0.08</f>
        <v/>
      </c>
      <c r="O893" s="17">
        <f>-(K893*0.025+L893*0.025)</f>
        <v/>
      </c>
      <c r="P893" s="17">
        <f>32</f>
        <v/>
      </c>
      <c r="Q893" s="17">
        <f>J893+L893+N893+O893-P893-M893</f>
        <v/>
      </c>
    </row>
    <row r="894">
      <c r="A894" s="16" t="inlineStr">
        <is>
          <t>5.1-5.7</t>
        </is>
      </c>
      <c r="B894" s="16" t="inlineStr">
        <is>
          <t>PO-128-18841403392630817</t>
        </is>
      </c>
      <c r="C894" s="16" t="inlineStr">
        <is>
          <t>Delivered</t>
        </is>
      </c>
      <c r="D894" s="16" t="inlineStr">
        <is>
          <t>128-18841479414390817</t>
        </is>
      </c>
      <c r="E894" s="16" t="inlineStr">
        <is>
          <t>Delivered</t>
        </is>
      </c>
      <c r="F894" s="16" t="inlineStr">
        <is>
          <t>LV54W25</t>
        </is>
      </c>
      <c r="G894" s="16" t="inlineStr">
        <is>
          <t>TIANLAI Lámpara Ventilador E27 2 en 1, Silenciosa, LED Alta Luminosidad 180°, Instalación Rápida, Ahorro Energético para Dormitorio y Interiores Pequeños</t>
        </is>
      </c>
      <c r="H894" s="16" t="inlineStr">
        <is>
          <t>1 Pieza</t>
        </is>
      </c>
      <c r="I894" s="16" t="n">
        <v>1</v>
      </c>
      <c r="J894" s="17" t="n">
        <v>79.5</v>
      </c>
      <c r="K894" s="17" t="n">
        <v>31.45</v>
      </c>
      <c r="L894" s="17" t="n">
        <v>25.86</v>
      </c>
      <c r="M894" s="17" t="n">
        <v>0</v>
      </c>
      <c r="N894" s="17">
        <f>K894*0.08+L894*0.08</f>
        <v/>
      </c>
      <c r="O894" s="17">
        <f>-(K894*0.025+L894*0.025)</f>
        <v/>
      </c>
      <c r="P894" s="17">
        <f>32</f>
        <v/>
      </c>
      <c r="Q894" s="17">
        <f>J894+L894+N894+O894-P894-M894</f>
        <v/>
      </c>
    </row>
    <row r="895">
      <c r="A895" s="16" t="inlineStr">
        <is>
          <t>5.1-5.7</t>
        </is>
      </c>
      <c r="B895" s="16" t="inlineStr">
        <is>
          <t>PO-128-19153632164472154</t>
        </is>
      </c>
      <c r="C895" s="16" t="inlineStr">
        <is>
          <t>Delivered</t>
        </is>
      </c>
      <c r="D895" s="16" t="inlineStr">
        <is>
          <t>128-19153700321912154</t>
        </is>
      </c>
      <c r="E895" s="16" t="inlineStr">
        <is>
          <t>Delivered</t>
        </is>
      </c>
      <c r="F895" s="16" t="inlineStr">
        <is>
          <t>LV64W25</t>
        </is>
      </c>
      <c r="G8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5" s="16" t="inlineStr">
        <is>
          <t>Blanco</t>
        </is>
      </c>
      <c r="I895" s="16" t="n">
        <v>3</v>
      </c>
      <c r="J895" s="17" t="n">
        <v>369</v>
      </c>
      <c r="K895" s="17" t="n">
        <v>308.54</v>
      </c>
      <c r="L895" s="17" t="n">
        <v>0</v>
      </c>
      <c r="M895" s="17" t="n">
        <v>0</v>
      </c>
      <c r="N895" s="17">
        <f>K895*0.08+L895*0.08</f>
        <v/>
      </c>
      <c r="O895" s="17">
        <f>-(K895*0.025+L895*0.025)</f>
        <v/>
      </c>
      <c r="P895" s="17">
        <f>32</f>
        <v/>
      </c>
      <c r="Q895" s="17">
        <f>J895+L895+N895+O895-P895-M895</f>
        <v/>
      </c>
    </row>
    <row r="896">
      <c r="A896" s="16" t="inlineStr">
        <is>
          <t>5.1-5.7</t>
        </is>
      </c>
      <c r="B896" s="16" t="inlineStr">
        <is>
          <t>PO-128-18768743588470352</t>
        </is>
      </c>
      <c r="C896" s="16" t="inlineStr">
        <is>
          <t>Delivered</t>
        </is>
      </c>
      <c r="D896" s="16" t="inlineStr">
        <is>
          <t>128-18768701645430352</t>
        </is>
      </c>
      <c r="E896" s="16" t="inlineStr">
        <is>
          <t>Delivered</t>
        </is>
      </c>
      <c r="F896" s="16" t="inlineStr">
        <is>
          <t>TL2663N18C</t>
        </is>
      </c>
      <c r="G896" s="16" t="inlineStr">
        <is>
          <t>Linkbits，Soporte de pared fijo para televisores de 26"-63", Ultra-Delgado Compatible con VESA 400x400mm, Capacidad de Peso Fuerte de 25KG, Instalación Fácil Sin Electricidad</t>
        </is>
      </c>
      <c r="H896" s="16" t="inlineStr">
        <is>
          <t>NEGRO</t>
        </is>
      </c>
      <c r="I896" s="16" t="n">
        <v>1</v>
      </c>
      <c r="J896" s="17" t="n">
        <v>55.5</v>
      </c>
      <c r="K896" s="17" t="n">
        <v>70.48</v>
      </c>
      <c r="L896" s="17" t="n">
        <v>25.86</v>
      </c>
      <c r="M896" s="17" t="n">
        <v>0</v>
      </c>
      <c r="N896" s="17">
        <f>K896*0.08+L896*0.08</f>
        <v/>
      </c>
      <c r="O896" s="17">
        <f>-(K896*0.025+L896*0.025)</f>
        <v/>
      </c>
      <c r="P896" s="17">
        <f>32</f>
        <v/>
      </c>
      <c r="Q896" s="17">
        <f>J896+L896+N896+O896-P896-M896</f>
        <v/>
      </c>
    </row>
    <row r="897">
      <c r="A897" s="16" t="inlineStr">
        <is>
          <t>5.1-5.7</t>
        </is>
      </c>
      <c r="B897" s="16" t="inlineStr">
        <is>
          <t>PO-128-18793181645430014</t>
        </is>
      </c>
      <c r="C897" s="16" t="inlineStr">
        <is>
          <t>Delivered</t>
        </is>
      </c>
      <c r="D897" s="16" t="inlineStr">
        <is>
          <t>128-18793317960310014</t>
        </is>
      </c>
      <c r="E897" s="16" t="inlineStr">
        <is>
          <t>Delivered</t>
        </is>
      </c>
      <c r="F897" s="16" t="inlineStr">
        <is>
          <t>LV64W25</t>
        </is>
      </c>
      <c r="G8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897" s="16" t="inlineStr">
        <is>
          <t>Blanco</t>
        </is>
      </c>
      <c r="I897" s="16" t="n">
        <v>2</v>
      </c>
      <c r="J897" s="17" t="n">
        <v>246</v>
      </c>
      <c r="K897" s="17" t="n">
        <v>257.12</v>
      </c>
      <c r="L897" s="17" t="n">
        <v>0</v>
      </c>
      <c r="M897" s="17" t="n">
        <v>0</v>
      </c>
      <c r="N897" s="17">
        <f>K897*0.08+L897*0.08</f>
        <v/>
      </c>
      <c r="O897" s="17">
        <f>-(K897*0.025+L897*0.025)</f>
        <v/>
      </c>
      <c r="P897" s="17">
        <f>32</f>
        <v/>
      </c>
      <c r="Q897" s="17">
        <f>J897+L897+N897+O897-P897-M897</f>
        <v/>
      </c>
    </row>
    <row r="898">
      <c r="A898" s="16" t="inlineStr">
        <is>
          <t>5.1-5.7</t>
        </is>
      </c>
      <c r="B898" s="16" t="inlineStr">
        <is>
          <t>PO-128-18649213409911963</t>
        </is>
      </c>
      <c r="C898" s="16" t="inlineStr">
        <is>
          <t>Delivered</t>
        </is>
      </c>
      <c r="D898" s="16" t="inlineStr">
        <is>
          <t>128-18649171466871963</t>
        </is>
      </c>
      <c r="E898" s="16" t="inlineStr">
        <is>
          <t>Delivered</t>
        </is>
      </c>
      <c r="F898" s="16" t="inlineStr">
        <is>
          <t>LV54W25</t>
        </is>
      </c>
      <c r="G898" s="16" t="inlineStr">
        <is>
          <t>TIANLAI Lámpara Ventilador E27 2 en 1, Silenciosa, LED Alta Luminosidad 180°, Instalación Rápida, Ahorro Energético para Dormitorio y Interiores Pequeños</t>
        </is>
      </c>
      <c r="H898" s="16" t="inlineStr">
        <is>
          <t>1 Pieza</t>
        </is>
      </c>
      <c r="I898" s="16" t="n">
        <v>3</v>
      </c>
      <c r="J898" s="17" t="n">
        <v>238.5</v>
      </c>
      <c r="K898" s="17" t="n">
        <v>199.61</v>
      </c>
      <c r="L898" s="17" t="n">
        <v>0</v>
      </c>
      <c r="M898" s="17" t="n">
        <v>0</v>
      </c>
      <c r="N898" s="17">
        <f>K898*0.08+L898*0.08</f>
        <v/>
      </c>
      <c r="O898" s="17">
        <f>-(K898*0.025+L898*0.025)</f>
        <v/>
      </c>
      <c r="P898" s="17">
        <f>32</f>
        <v/>
      </c>
      <c r="Q898" s="17">
        <f>J898+L898+N898+O898-P898-M898</f>
        <v/>
      </c>
    </row>
    <row r="899">
      <c r="A899" s="16" t="inlineStr">
        <is>
          <t>5.1-5.7</t>
        </is>
      </c>
      <c r="B899" s="16" t="inlineStr">
        <is>
          <t>PO-128-19041954622073780</t>
        </is>
      </c>
      <c r="C899" s="16" t="inlineStr">
        <is>
          <t>Delivered</t>
        </is>
      </c>
      <c r="D899" s="16" t="inlineStr">
        <is>
          <t>128-19041912679033780</t>
        </is>
      </c>
      <c r="E899" s="16" t="inlineStr">
        <is>
          <t>Delivered</t>
        </is>
      </c>
      <c r="F899" s="16" t="inlineStr">
        <is>
          <t>TLCD06-12P-R</t>
        </is>
      </c>
      <c r="G89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899" s="16" t="inlineStr">
        <is>
          <t>ROJO/pantalla de 12 pulgadas</t>
        </is>
      </c>
      <c r="I899" s="16" t="n">
        <v>1</v>
      </c>
      <c r="J899" s="17" t="n">
        <v>35</v>
      </c>
      <c r="K899" s="17" t="n">
        <v>39.97</v>
      </c>
      <c r="L899" s="17" t="n">
        <v>25.86</v>
      </c>
      <c r="M899" s="17" t="n">
        <v>0</v>
      </c>
      <c r="N899" s="17">
        <f>K899*0.08+L899*0.08</f>
        <v/>
      </c>
      <c r="O899" s="17">
        <f>-(K899*0.025+L899*0.025)</f>
        <v/>
      </c>
      <c r="P899" s="17">
        <f>32</f>
        <v/>
      </c>
      <c r="Q899" s="17">
        <f>J899+L899+N899+O899-P899-M899</f>
        <v/>
      </c>
    </row>
    <row r="900">
      <c r="A900" s="16" t="inlineStr">
        <is>
          <t>5.1-5.7</t>
        </is>
      </c>
      <c r="B900" s="16" t="inlineStr">
        <is>
          <t>PO-128-18965337795193084</t>
        </is>
      </c>
      <c r="C900" s="16" t="inlineStr">
        <is>
          <t>Delivered</t>
        </is>
      </c>
      <c r="D900" s="16" t="inlineStr">
        <is>
          <t>128-18965358766713084</t>
        </is>
      </c>
      <c r="E900" s="16" t="inlineStr">
        <is>
          <t>Delivered</t>
        </is>
      </c>
      <c r="F900" s="16" t="inlineStr">
        <is>
          <t>LV54W25</t>
        </is>
      </c>
      <c r="G900" s="16" t="inlineStr">
        <is>
          <t>TIANLAI Lámpara Ventilador E27 2 en 1, Silenciosa, LED Alta Luminosidad 180°, Instalación Rápida, Ahorro Energético para Dormitorio y Interiores Pequeños</t>
        </is>
      </c>
      <c r="H900" s="16" t="inlineStr">
        <is>
          <t>1 Pieza</t>
        </is>
      </c>
      <c r="I900" s="16" t="n">
        <v>1</v>
      </c>
      <c r="J900" s="17" t="n">
        <v>79.5</v>
      </c>
      <c r="K900" s="17" t="n">
        <v>83.17</v>
      </c>
      <c r="L900" s="17" t="n">
        <v>25.86</v>
      </c>
      <c r="M900" s="17" t="n">
        <v>0</v>
      </c>
      <c r="N900" s="17">
        <f>K900*0.08+L900*0.08</f>
        <v/>
      </c>
      <c r="O900" s="17">
        <f>-(K900*0.025+L900*0.025)</f>
        <v/>
      </c>
      <c r="P900" s="17">
        <f>32</f>
        <v/>
      </c>
      <c r="Q900" s="17">
        <f>J900+L900+N900+O900-P900-M900</f>
        <v/>
      </c>
    </row>
    <row r="901">
      <c r="A901" s="16" t="inlineStr">
        <is>
          <t>5.1-5.7</t>
        </is>
      </c>
      <c r="B901" s="16" t="inlineStr">
        <is>
          <t>PO-128-18750969457270266</t>
        </is>
      </c>
      <c r="C901" s="16" t="inlineStr">
        <is>
          <t>Delivered</t>
        </is>
      </c>
      <c r="D901" s="16" t="inlineStr">
        <is>
          <t>128-18750917028470266</t>
        </is>
      </c>
      <c r="E901" s="16" t="inlineStr">
        <is>
          <t>Delivered</t>
        </is>
      </c>
      <c r="F901" s="16" t="inlineStr">
        <is>
          <t>LV54W25</t>
        </is>
      </c>
      <c r="G901" s="16" t="inlineStr">
        <is>
          <t>TIANLAI Lámpara Ventilador E27 2 en 1, Silenciosa, LED Alta Luminosidad 180°, Instalación Rápida, Ahorro Energético para Dormitorio y Interiores Pequeños</t>
        </is>
      </c>
      <c r="H901" s="16" t="inlineStr">
        <is>
          <t>1 Pieza</t>
        </is>
      </c>
      <c r="I901" s="16" t="n">
        <v>1</v>
      </c>
      <c r="J901" s="17" t="n">
        <v>79.5</v>
      </c>
      <c r="K901" s="17" t="n">
        <v>75.09999999999999</v>
      </c>
      <c r="L901" s="17" t="n">
        <v>25.86</v>
      </c>
      <c r="M901" s="17" t="n">
        <v>0</v>
      </c>
      <c r="N901" s="17">
        <f>K901*0.08+L901*0.08</f>
        <v/>
      </c>
      <c r="O901" s="17">
        <f>-(K901*0.025+L901*0.025)</f>
        <v/>
      </c>
      <c r="P901" s="17">
        <f>32</f>
        <v/>
      </c>
      <c r="Q901" s="17">
        <f>J901+L901+N901+O901-P901-M901</f>
        <v/>
      </c>
    </row>
    <row r="902">
      <c r="A902" s="16" t="inlineStr">
        <is>
          <t>5.1-5.7</t>
        </is>
      </c>
      <c r="B902" s="16" t="inlineStr">
        <is>
          <t>PO-128-19051474729593597</t>
        </is>
      </c>
      <c r="C902" s="16" t="inlineStr">
        <is>
          <t>Delivered</t>
        </is>
      </c>
      <c r="D902" s="16" t="inlineStr">
        <is>
          <t>128-19051495701113597</t>
        </is>
      </c>
      <c r="E902" s="16" t="inlineStr">
        <is>
          <t>Delivered</t>
        </is>
      </c>
      <c r="F902" s="16" t="inlineStr">
        <is>
          <t>LV64W25</t>
        </is>
      </c>
      <c r="G9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02" s="16" t="inlineStr">
        <is>
          <t>Blanco</t>
        </is>
      </c>
      <c r="I902" s="16" t="n">
        <v>1</v>
      </c>
      <c r="J902" s="17" t="n">
        <v>123</v>
      </c>
      <c r="K902" s="17" t="n">
        <v>102.85</v>
      </c>
      <c r="L902" s="17" t="n">
        <v>25.86</v>
      </c>
      <c r="M902" s="17" t="n">
        <v>0</v>
      </c>
      <c r="N902" s="17">
        <f>K902*0.08+L902*0.08</f>
        <v/>
      </c>
      <c r="O902" s="17">
        <f>-(K902*0.025+L902*0.025)</f>
        <v/>
      </c>
      <c r="P902" s="17">
        <f>32</f>
        <v/>
      </c>
      <c r="Q902" s="17">
        <f>J902+L902+N902+O902-P902-M902</f>
        <v/>
      </c>
    </row>
    <row r="903">
      <c r="A903" s="16" t="inlineStr">
        <is>
          <t>5.1-5.7</t>
        </is>
      </c>
      <c r="B903" s="16" t="inlineStr">
        <is>
          <t>PO-128-18992835400314008</t>
        </is>
      </c>
      <c r="C903" s="16" t="inlineStr">
        <is>
          <t>Delivered</t>
        </is>
      </c>
      <c r="D903" s="16" t="inlineStr">
        <is>
          <t>128-18992971715194008</t>
        </is>
      </c>
      <c r="E903" s="16" t="inlineStr">
        <is>
          <t>Delivered</t>
        </is>
      </c>
      <c r="F903" s="16" t="inlineStr">
        <is>
          <t>LV54W25</t>
        </is>
      </c>
      <c r="G903" s="16" t="inlineStr">
        <is>
          <t>TIANLAI Lámpara Ventilador E27 2 en 1, Silenciosa, LED Alta Luminosidad 180°, Instalación Rápida, Ahorro Energético para Dormitorio y Interiores Pequeños</t>
        </is>
      </c>
      <c r="H903" s="16" t="inlineStr">
        <is>
          <t>1 Pieza</t>
        </is>
      </c>
      <c r="I903" s="16" t="n">
        <v>2</v>
      </c>
      <c r="J903" s="17" t="n">
        <v>159</v>
      </c>
      <c r="K903" s="17" t="n">
        <v>193.4</v>
      </c>
      <c r="L903" s="17" t="n">
        <v>25.86</v>
      </c>
      <c r="M903" s="17" t="n">
        <v>0</v>
      </c>
      <c r="N903" s="17">
        <f>K903*0.08+L903*0.08</f>
        <v/>
      </c>
      <c r="O903" s="17">
        <f>-(K903*0.025+L903*0.025)</f>
        <v/>
      </c>
      <c r="P903" s="17">
        <f>32</f>
        <v/>
      </c>
      <c r="Q903" s="17">
        <f>J903+L903+N903+O903-P903-M903</f>
        <v/>
      </c>
    </row>
    <row r="904">
      <c r="A904" s="16" t="inlineStr">
        <is>
          <t>5.1-5.7</t>
        </is>
      </c>
      <c r="B904" s="16" t="inlineStr">
        <is>
          <t>PO-128-19204383242872749</t>
        </is>
      </c>
      <c r="C904" s="16" t="inlineStr">
        <is>
          <t>Delivered</t>
        </is>
      </c>
      <c r="D904" s="16" t="inlineStr">
        <is>
          <t>128-19204535286392749</t>
        </is>
      </c>
      <c r="E904" s="16" t="inlineStr">
        <is>
          <t>Delivered</t>
        </is>
      </c>
      <c r="F904" s="16" t="inlineStr">
        <is>
          <t>LV54W25</t>
        </is>
      </c>
      <c r="G904" s="16" t="inlineStr">
        <is>
          <t>TIANLAI Lámpara Ventilador E27 2 en 1, Silenciosa, LED Alta Luminosidad 180°, Instalación Rápida, Ahorro Energético para Dormitorio y Interiores Pequeños</t>
        </is>
      </c>
      <c r="H904" s="16" t="inlineStr">
        <is>
          <t>1 Pieza</t>
        </is>
      </c>
      <c r="I904" s="16" t="n">
        <v>3</v>
      </c>
      <c r="J904" s="17" t="n">
        <v>238.5</v>
      </c>
      <c r="K904" s="17" t="n">
        <v>189.17</v>
      </c>
      <c r="L904" s="17" t="n">
        <v>0</v>
      </c>
      <c r="M904" s="17" t="n">
        <v>0</v>
      </c>
      <c r="N904" s="17">
        <f>K904*0.08+L904*0.08</f>
        <v/>
      </c>
      <c r="O904" s="17">
        <f>-(K904*0.025+L904*0.025)</f>
        <v/>
      </c>
      <c r="P904" s="17">
        <f>32</f>
        <v/>
      </c>
      <c r="Q904" s="17">
        <f>J904+L904+N904+O904-P904-M904</f>
        <v/>
      </c>
    </row>
    <row r="905">
      <c r="A905" s="16" t="inlineStr">
        <is>
          <t>5.1-5.7</t>
        </is>
      </c>
      <c r="B905" s="16" t="inlineStr">
        <is>
          <t>PO-128-19087663329912549</t>
        </is>
      </c>
      <c r="C905" s="16" t="inlineStr">
        <is>
          <t>Delivered</t>
        </is>
      </c>
      <c r="D905" s="16" t="inlineStr">
        <is>
          <t>128-19087652844152549</t>
        </is>
      </c>
      <c r="E905" s="16" t="inlineStr">
        <is>
          <t>Delivered</t>
        </is>
      </c>
      <c r="F905" s="16" t="inlineStr">
        <is>
          <t>BG-115-B</t>
        </is>
      </c>
      <c r="G905" s="16" t="inlineStr">
        <is>
          <t>LINK BITS Audífonos Inalámbricos con Luces Multicolor, Recargables y en Adorable Forma de Orejas de Gato - Conecta a Celulares y PCs, Tiene Radio FM, Tarjeta TF y AUX - 7 Horas de Reproducción, Plegables y Perfectos para Trabajo, Juegos y Estudio</t>
        </is>
      </c>
      <c r="H905" s="16" t="inlineStr">
        <is>
          <t>blanco</t>
        </is>
      </c>
      <c r="I905" s="16" t="n">
        <v>1</v>
      </c>
      <c r="J905" s="17" t="n">
        <v>76</v>
      </c>
      <c r="K905" s="17" t="n">
        <v>69.38</v>
      </c>
      <c r="L905" s="17" t="n">
        <v>25.86</v>
      </c>
      <c r="M905" s="17" t="n">
        <v>0</v>
      </c>
      <c r="N905" s="17">
        <f>K905*0.08+L905*0.08</f>
        <v/>
      </c>
      <c r="O905" s="17">
        <f>-(K905*0.025+L905*0.025)</f>
        <v/>
      </c>
      <c r="P905" s="17">
        <f>32</f>
        <v/>
      </c>
      <c r="Q905" s="17">
        <f>J905+L905+N905+O905-P905-M905</f>
        <v/>
      </c>
    </row>
    <row r="906">
      <c r="A906" s="16" t="inlineStr">
        <is>
          <t>5.1-5.7</t>
        </is>
      </c>
      <c r="B906" s="16" t="inlineStr">
        <is>
          <t>PO-128-18889752556150593</t>
        </is>
      </c>
      <c r="C906" s="16" t="inlineStr">
        <is>
          <t>Delivered</t>
        </is>
      </c>
      <c r="D906" s="16" t="inlineStr">
        <is>
          <t>128-18889773527670593</t>
        </is>
      </c>
      <c r="E906" s="16" t="inlineStr">
        <is>
          <t>Delivered</t>
        </is>
      </c>
      <c r="F906" s="16" t="inlineStr">
        <is>
          <t>LV54W25</t>
        </is>
      </c>
      <c r="G906" s="16" t="inlineStr">
        <is>
          <t>TIANLAI Lámpara Ventilador E27 2 en 1, Silenciosa, LED Alta Luminosidad 180°, Instalación Rápida, Ahorro Energético para Dormitorio y Interiores Pequeños</t>
        </is>
      </c>
      <c r="H906" s="16" t="inlineStr">
        <is>
          <t>1 Pieza</t>
        </is>
      </c>
      <c r="I906" s="16" t="n">
        <v>1</v>
      </c>
      <c r="J906" s="17" t="n">
        <v>79.5</v>
      </c>
      <c r="K906" s="17" t="n">
        <v>83.17</v>
      </c>
      <c r="L906" s="17" t="n">
        <v>25.86</v>
      </c>
      <c r="M906" s="17" t="n">
        <v>0</v>
      </c>
      <c r="N906" s="17">
        <f>K906*0.08+L906*0.08</f>
        <v/>
      </c>
      <c r="O906" s="17">
        <f>-(K906*0.025+L906*0.025)</f>
        <v/>
      </c>
      <c r="P906" s="17">
        <f>32</f>
        <v/>
      </c>
      <c r="Q906" s="17">
        <f>J906+L906+N906+O906-P906-M906</f>
        <v/>
      </c>
    </row>
    <row r="907">
      <c r="A907" s="16" t="inlineStr">
        <is>
          <t>5.1-5.7</t>
        </is>
      </c>
      <c r="B907" s="16" t="inlineStr">
        <is>
          <t>PO-128-18884505610870558</t>
        </is>
      </c>
      <c r="C907" s="16" t="inlineStr">
        <is>
          <t>Delivered</t>
        </is>
      </c>
      <c r="D907" s="16" t="inlineStr">
        <is>
          <t>128-18884547553910558</t>
        </is>
      </c>
      <c r="E907" s="16" t="inlineStr">
        <is>
          <t>Delivered</t>
        </is>
      </c>
      <c r="F907" s="16" t="inlineStr">
        <is>
          <t>LV64W25</t>
        </is>
      </c>
      <c r="G9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07" s="16" t="inlineStr">
        <is>
          <t>Blanco</t>
        </is>
      </c>
      <c r="I907" s="16" t="n">
        <v>2</v>
      </c>
      <c r="J907" s="17" t="n">
        <v>246</v>
      </c>
      <c r="K907" s="17" t="n">
        <v>257.12</v>
      </c>
      <c r="L907" s="17" t="n">
        <v>0</v>
      </c>
      <c r="M907" s="17" t="n">
        <v>0</v>
      </c>
      <c r="N907" s="17">
        <f>K907*0.08+L907*0.08</f>
        <v/>
      </c>
      <c r="O907" s="17">
        <f>-(K907*0.025+L907*0.025)</f>
        <v/>
      </c>
      <c r="P907" s="17">
        <f>32</f>
        <v/>
      </c>
      <c r="Q907" s="17">
        <f>J907+L907+N907+O907-P907-M907</f>
        <v/>
      </c>
    </row>
    <row r="908">
      <c r="A908" s="16" t="inlineStr">
        <is>
          <t>5.1-5.7</t>
        </is>
      </c>
      <c r="B908" s="16" t="inlineStr">
        <is>
          <t>PO-128-18857390101110656</t>
        </is>
      </c>
      <c r="C908" s="16" t="inlineStr">
        <is>
          <t>Delivered</t>
        </is>
      </c>
      <c r="D908" s="16" t="inlineStr">
        <is>
          <t>128-18857348158070656</t>
        </is>
      </c>
      <c r="E908" s="16" t="inlineStr">
        <is>
          <t>Delivered</t>
        </is>
      </c>
      <c r="F908" s="16" t="inlineStr">
        <is>
          <t>LV64W25</t>
        </is>
      </c>
      <c r="G9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08" s="16" t="inlineStr">
        <is>
          <t>Blanco</t>
        </is>
      </c>
      <c r="I908" s="16" t="n">
        <v>2</v>
      </c>
      <c r="J908" s="17" t="n">
        <v>246</v>
      </c>
      <c r="K908" s="17" t="n">
        <v>257.12</v>
      </c>
      <c r="L908" s="17" t="n">
        <v>0</v>
      </c>
      <c r="M908" s="17" t="n">
        <v>0</v>
      </c>
      <c r="N908" s="17">
        <f>K908*0.08+L908*0.08</f>
        <v/>
      </c>
      <c r="O908" s="17">
        <f>-(K908*0.025+L908*0.025)</f>
        <v/>
      </c>
      <c r="P908" s="17">
        <f>32</f>
        <v/>
      </c>
      <c r="Q908" s="17">
        <f>J908+L908+N908+O908-P908-M908</f>
        <v/>
      </c>
    </row>
    <row r="909">
      <c r="A909" s="16" t="inlineStr">
        <is>
          <t>5.1-5.7</t>
        </is>
      </c>
      <c r="B909" s="16" t="inlineStr">
        <is>
          <t>PO-128-19064605901433711</t>
        </is>
      </c>
      <c r="C909" s="16" t="inlineStr">
        <is>
          <t>Delivered</t>
        </is>
      </c>
      <c r="D909" s="16" t="inlineStr">
        <is>
          <t>128-19064563958393711</t>
        </is>
      </c>
      <c r="E909" s="16" t="inlineStr">
        <is>
          <t>Delivered</t>
        </is>
      </c>
      <c r="F909" s="16" t="inlineStr">
        <is>
          <t>LV54W25</t>
        </is>
      </c>
      <c r="G909" s="16" t="inlineStr">
        <is>
          <t>TIANLAI Lámpara Ventilador E27 2 en 1, Silenciosa, LED Alta Luminosidad 180°, Instalación Rápida, Ahorro Energético para Dormitorio y Interiores Pequeños</t>
        </is>
      </c>
      <c r="H909" s="16" t="inlineStr">
        <is>
          <t>1 Pieza</t>
        </is>
      </c>
      <c r="I909" s="16" t="n">
        <v>2</v>
      </c>
      <c r="J909" s="17" t="n">
        <v>159</v>
      </c>
      <c r="K909" s="17" t="n">
        <v>166.34</v>
      </c>
      <c r="L909" s="17" t="n">
        <v>25.86</v>
      </c>
      <c r="M909" s="17" t="n">
        <v>0</v>
      </c>
      <c r="N909" s="17">
        <f>K909*0.08+L909*0.08</f>
        <v/>
      </c>
      <c r="O909" s="17">
        <f>-(K909*0.025+L909*0.025)</f>
        <v/>
      </c>
      <c r="P909" s="17">
        <f>32</f>
        <v/>
      </c>
      <c r="Q909" s="17">
        <f>J909+L909+N909+O909-P909-M909</f>
        <v/>
      </c>
    </row>
    <row r="910">
      <c r="A910" s="16" t="inlineStr">
        <is>
          <t>5.1-5.7</t>
        </is>
      </c>
      <c r="B910" s="16" t="inlineStr">
        <is>
          <t>PO-128-19175902730873047</t>
        </is>
      </c>
      <c r="C910" s="16" t="inlineStr">
        <is>
          <t>Delivered</t>
        </is>
      </c>
      <c r="D910" s="16" t="inlineStr">
        <is>
          <t>128-19175928945273047</t>
        </is>
      </c>
      <c r="E910" s="16" t="inlineStr">
        <is>
          <t>Delivered</t>
        </is>
      </c>
      <c r="F910" s="16" t="inlineStr">
        <is>
          <t>LV54W25</t>
        </is>
      </c>
      <c r="G910" s="16" t="inlineStr">
        <is>
          <t>TIANLAI Lámpara Ventilador E27 2 en 1, Silenciosa, LED Alta Luminosidad 180°, Instalación Rápida, Ahorro Energético para Dormitorio y Interiores Pequeños</t>
        </is>
      </c>
      <c r="H910" s="16" t="inlineStr">
        <is>
          <t>1 Pieza</t>
        </is>
      </c>
      <c r="I910" s="16" t="n">
        <v>1</v>
      </c>
      <c r="J910" s="17" t="n">
        <v>79.5</v>
      </c>
      <c r="K910" s="17" t="n">
        <v>96.7</v>
      </c>
      <c r="L910" s="17" t="n">
        <v>25.86</v>
      </c>
      <c r="M910" s="17" t="n">
        <v>0</v>
      </c>
      <c r="N910" s="17">
        <f>K910*0.08+L910*0.08</f>
        <v/>
      </c>
      <c r="O910" s="17">
        <f>-(K910*0.025+L910*0.025)</f>
        <v/>
      </c>
      <c r="P910" s="17">
        <f>32</f>
        <v/>
      </c>
      <c r="Q910" s="17">
        <f>J910+L910+N910+O910-P910-M910</f>
        <v/>
      </c>
    </row>
    <row r="911">
      <c r="A911" s="16" t="inlineStr">
        <is>
          <t>5.1-5.7</t>
        </is>
      </c>
      <c r="B911" s="16" t="inlineStr">
        <is>
          <t>PO-128-18679588311671909</t>
        </is>
      </c>
      <c r="C911" s="16" t="inlineStr">
        <is>
          <t>Delivered</t>
        </is>
      </c>
      <c r="D911" s="16" t="inlineStr">
        <is>
          <t>128-18679664333431909</t>
        </is>
      </c>
      <c r="E911" s="16" t="inlineStr">
        <is>
          <t>Delivered</t>
        </is>
      </c>
      <c r="F911" s="16" t="inlineStr">
        <is>
          <t>LV54W25</t>
        </is>
      </c>
      <c r="G911" s="16" t="inlineStr">
        <is>
          <t>TIANLAI Lámpara Ventilador E27 2 en 1, Silenciosa, LED Alta Luminosidad 180°, Instalación Rápida, Ahorro Energético para Dormitorio y Interiores Pequeños</t>
        </is>
      </c>
      <c r="H911" s="16" t="inlineStr">
        <is>
          <t>1 Pieza</t>
        </is>
      </c>
      <c r="I911" s="16" t="n">
        <v>1</v>
      </c>
      <c r="J911" s="17" t="n">
        <v>79.5</v>
      </c>
      <c r="K911" s="17" t="n">
        <v>83.17</v>
      </c>
      <c r="L911" s="17" t="n">
        <v>25.86</v>
      </c>
      <c r="M911" s="17" t="n">
        <v>0</v>
      </c>
      <c r="N911" s="17">
        <f>K911*0.08+L911*0.08</f>
        <v/>
      </c>
      <c r="O911" s="17">
        <f>-(K911*0.025+L911*0.025)</f>
        <v/>
      </c>
      <c r="P911" s="17">
        <f>32</f>
        <v/>
      </c>
      <c r="Q911" s="17">
        <f>J911+L911+N911+O911-P911-M911</f>
        <v/>
      </c>
    </row>
    <row r="912">
      <c r="A912" s="16" t="inlineStr">
        <is>
          <t>5.1-5.7</t>
        </is>
      </c>
      <c r="B912" s="16" t="inlineStr">
        <is>
          <t>PO-128-19177231329912847</t>
        </is>
      </c>
      <c r="C912" s="16" t="inlineStr">
        <is>
          <t>Delivered</t>
        </is>
      </c>
      <c r="D912" s="16" t="inlineStr">
        <is>
          <t>128-19177336187512847</t>
        </is>
      </c>
      <c r="E912" s="16" t="inlineStr">
        <is>
          <t>Delivered</t>
        </is>
      </c>
      <c r="F912" s="16" t="inlineStr">
        <is>
          <t>LV64W25</t>
        </is>
      </c>
      <c r="G9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12" s="16" t="inlineStr">
        <is>
          <t>Blanco</t>
        </is>
      </c>
      <c r="I912" s="16" t="n">
        <v>4</v>
      </c>
      <c r="J912" s="17" t="n">
        <v>492</v>
      </c>
      <c r="K912" s="17" t="n">
        <v>436.64</v>
      </c>
      <c r="L912" s="17" t="n">
        <v>0</v>
      </c>
      <c r="M912" s="17" t="n">
        <v>0</v>
      </c>
      <c r="N912" s="17">
        <f>K912*0.08+L912*0.08</f>
        <v/>
      </c>
      <c r="O912" s="17">
        <f>-(K912*0.025+L912*0.025)</f>
        <v/>
      </c>
      <c r="P912" s="17">
        <f>32</f>
        <v/>
      </c>
      <c r="Q912" s="17">
        <f>J912+L912+N912+O912-P912-M912</f>
        <v/>
      </c>
    </row>
    <row r="913">
      <c r="A913" s="16" t="inlineStr">
        <is>
          <t>5.1-5.7</t>
        </is>
      </c>
      <c r="B913" s="16" t="inlineStr">
        <is>
          <t>PO-128-19110412780152412</t>
        </is>
      </c>
      <c r="C913" s="16" t="inlineStr">
        <is>
          <t>Delivered</t>
        </is>
      </c>
      <c r="D913" s="16" t="inlineStr">
        <is>
          <t>128-19110370837112412</t>
        </is>
      </c>
      <c r="E913" s="16" t="inlineStr">
        <is>
          <t>Delivered</t>
        </is>
      </c>
      <c r="F913" s="16" t="inlineStr">
        <is>
          <t>LV64W25</t>
        </is>
      </c>
      <c r="G9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13" s="16" t="inlineStr">
        <is>
          <t>Blanco</t>
        </is>
      </c>
      <c r="I913" s="16" t="n">
        <v>1</v>
      </c>
      <c r="J913" s="17" t="n">
        <v>123</v>
      </c>
      <c r="K913" s="17" t="n">
        <v>85.45999999999999</v>
      </c>
      <c r="L913" s="17" t="n">
        <v>25.86</v>
      </c>
      <c r="M913" s="17" t="n">
        <v>0</v>
      </c>
      <c r="N913" s="17">
        <f>K913*0.08+L913*0.08</f>
        <v/>
      </c>
      <c r="O913" s="17">
        <f>-(K913*0.025+L913*0.025)</f>
        <v/>
      </c>
      <c r="P913" s="17">
        <f>32</f>
        <v/>
      </c>
      <c r="Q913" s="17">
        <f>J913+L913+N913+O913-P913-M913</f>
        <v/>
      </c>
    </row>
    <row r="914">
      <c r="A914" s="16" t="inlineStr">
        <is>
          <t>5.1-5.7</t>
        </is>
      </c>
      <c r="B914" s="16" t="inlineStr">
        <is>
          <t>PO-128-18741305948790452</t>
        </is>
      </c>
      <c r="C914" s="16" t="inlineStr">
        <is>
          <t>Delivered</t>
        </is>
      </c>
      <c r="D914" s="16" t="inlineStr">
        <is>
          <t>128-18741322988150452</t>
        </is>
      </c>
      <c r="E914" s="16" t="inlineStr">
        <is>
          <t>Delivered</t>
        </is>
      </c>
      <c r="F914" s="16" t="inlineStr">
        <is>
          <t>TLCD08-16P</t>
        </is>
      </c>
      <c r="G91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914" s="16" t="inlineStr">
        <is>
          <t>color aleatorio/pantalla de 16 pulgadas</t>
        </is>
      </c>
      <c r="I914" s="16" t="n">
        <v>1</v>
      </c>
      <c r="J914" s="17" t="n">
        <v>62</v>
      </c>
      <c r="K914" s="17" t="n">
        <v>69.25</v>
      </c>
      <c r="L914" s="17" t="n">
        <v>25.86</v>
      </c>
      <c r="M914" s="17" t="n">
        <v>0</v>
      </c>
      <c r="N914" s="17">
        <f>K914*0.08+L914*0.08</f>
        <v/>
      </c>
      <c r="O914" s="17">
        <f>-(K914*0.025+L914*0.025)</f>
        <v/>
      </c>
      <c r="P914" s="17">
        <f>32</f>
        <v/>
      </c>
      <c r="Q914" s="17">
        <f>J914+L914+N914+O914-P914-M914</f>
        <v/>
      </c>
    </row>
    <row r="915">
      <c r="A915" s="16" t="inlineStr">
        <is>
          <t>5.1-5.7</t>
        </is>
      </c>
      <c r="B915" s="16" t="inlineStr">
        <is>
          <t>PO-128-18831057459831007</t>
        </is>
      </c>
      <c r="C915" s="16" t="inlineStr">
        <is>
          <t>Delivered</t>
        </is>
      </c>
      <c r="D915" s="16" t="inlineStr">
        <is>
          <t>128-18831015516791007</t>
        </is>
      </c>
      <c r="E915" s="16" t="inlineStr">
        <is>
          <t>Delivered</t>
        </is>
      </c>
      <c r="F915" s="16" t="inlineStr">
        <is>
          <t>LV54W25</t>
        </is>
      </c>
      <c r="G915" s="16" t="inlineStr">
        <is>
          <t>TIANLAI Lámpara Ventilador E27 2 en 1, Silenciosa, LED Alta Luminosidad 180°, Instalación Rápida, Ahorro Energético para Dormitorio y Interiores Pequeños</t>
        </is>
      </c>
      <c r="H915" s="16" t="inlineStr">
        <is>
          <t>1 Pieza</t>
        </is>
      </c>
      <c r="I915" s="16" t="n">
        <v>1</v>
      </c>
      <c r="J915" s="17" t="n">
        <v>79.5</v>
      </c>
      <c r="K915" s="17" t="n">
        <v>83.17</v>
      </c>
      <c r="L915" s="17" t="n">
        <v>25.86</v>
      </c>
      <c r="M915" s="17" t="n">
        <v>0</v>
      </c>
      <c r="N915" s="17">
        <f>K915*0.08+L915*0.08</f>
        <v/>
      </c>
      <c r="O915" s="17">
        <f>-(K915*0.025+L915*0.025)</f>
        <v/>
      </c>
      <c r="P915" s="17">
        <f>32</f>
        <v/>
      </c>
      <c r="Q915" s="17">
        <f>J915+L915+N915+O915-P915-M915</f>
        <v/>
      </c>
    </row>
    <row r="916">
      <c r="A916" s="16" t="inlineStr">
        <is>
          <t>5.1-5.7</t>
        </is>
      </c>
      <c r="B916" s="16" t="inlineStr">
        <is>
          <t>PO-128-19016781240953930</t>
        </is>
      </c>
      <c r="C916" s="16" t="inlineStr">
        <is>
          <t>Delivered</t>
        </is>
      </c>
      <c r="D916" s="16" t="inlineStr">
        <is>
          <t>128-19016739297913930</t>
        </is>
      </c>
      <c r="E916" s="16" t="inlineStr">
        <is>
          <t>Delivered</t>
        </is>
      </c>
      <c r="F916" s="16" t="inlineStr">
        <is>
          <t>LV54W25</t>
        </is>
      </c>
      <c r="G916" s="16" t="inlineStr">
        <is>
          <t>TIANLAI Lámpara Ventilador E27 2 en 1, Silenciosa, LED Alta Luminosidad 180°, Instalación Rápida, Ahorro Energético para Dormitorio y Interiores Pequeños</t>
        </is>
      </c>
      <c r="H916" s="16" t="inlineStr">
        <is>
          <t>1 Pieza</t>
        </is>
      </c>
      <c r="I916" s="16" t="n">
        <v>1</v>
      </c>
      <c r="J916" s="17" t="n">
        <v>79.5</v>
      </c>
      <c r="K916" s="17" t="n">
        <v>0.41</v>
      </c>
      <c r="L916" s="17" t="n">
        <v>25.86</v>
      </c>
      <c r="M916" s="17" t="n">
        <v>0</v>
      </c>
      <c r="N916" s="17">
        <f>K916*0.08+L916*0.08</f>
        <v/>
      </c>
      <c r="O916" s="17">
        <f>-(K916*0.025+L916*0.025)</f>
        <v/>
      </c>
      <c r="P916" s="17">
        <f>32</f>
        <v/>
      </c>
      <c r="Q916" s="17">
        <f>J916+L916+N916+O916-P916-M916</f>
        <v/>
      </c>
    </row>
    <row r="917">
      <c r="A917" s="16" t="inlineStr">
        <is>
          <t>5.1-5.7</t>
        </is>
      </c>
      <c r="B917" s="16" t="inlineStr">
        <is>
          <t>PO-128-19080757095032524</t>
        </is>
      </c>
      <c r="C917" s="16" t="inlineStr">
        <is>
          <t>Delivered</t>
        </is>
      </c>
      <c r="D917" s="16" t="inlineStr">
        <is>
          <t>128-19080778066552524</t>
        </is>
      </c>
      <c r="E917" s="16" t="inlineStr">
        <is>
          <t>Delivered</t>
        </is>
      </c>
      <c r="F917" s="16" t="inlineStr">
        <is>
          <t>KTS-2031</t>
        </is>
      </c>
      <c r="G917" s="16" t="inlineStr">
        <is>
          <t>Bocina inalámbrica de 3 pulgadas con linterna multifuncional y panel solar integrado.Altavoz Portátil con Linterna LED 4 Modos, Radio FM, Bluetooth, Carga Solar, Ideal para Apagones, Emergencias, Campo y Exteriores</t>
        </is>
      </c>
      <c r="H917" s="16" t="inlineStr">
        <is>
          <t>NEGRO</t>
        </is>
      </c>
      <c r="I917" s="16" t="n">
        <v>1</v>
      </c>
      <c r="J917" s="17" t="n">
        <v>75</v>
      </c>
      <c r="K917" s="17" t="n">
        <v>87.41</v>
      </c>
      <c r="L917" s="17" t="n">
        <v>25.86</v>
      </c>
      <c r="M917" s="17" t="n">
        <v>0</v>
      </c>
      <c r="N917" s="17">
        <f>K917*0.08+L917*0.08</f>
        <v/>
      </c>
      <c r="O917" s="17">
        <f>-(K917*0.025+L917*0.025)</f>
        <v/>
      </c>
      <c r="P917" s="17">
        <f>32</f>
        <v/>
      </c>
      <c r="Q917" s="17">
        <f>J917+L917+N917+O917-P917-M917</f>
        <v/>
      </c>
    </row>
    <row r="918">
      <c r="A918" s="16" t="inlineStr">
        <is>
          <t>5.1-5.7</t>
        </is>
      </c>
      <c r="B918" s="16" t="inlineStr">
        <is>
          <t>PO-128-19072596050552447</t>
        </is>
      </c>
      <c r="C918" s="16" t="inlineStr">
        <is>
          <t>Delivered</t>
        </is>
      </c>
      <c r="D918" s="16" t="inlineStr">
        <is>
          <t>128-19072664207992447</t>
        </is>
      </c>
      <c r="E918" s="16" t="inlineStr">
        <is>
          <t>Delivered</t>
        </is>
      </c>
      <c r="F918" s="16" t="inlineStr">
        <is>
          <t>LV54W25</t>
        </is>
      </c>
      <c r="G918" s="16" t="inlineStr">
        <is>
          <t>TIANLAI Lámpara Ventilador E27 2 en 1, Silenciosa, LED Alta Luminosidad 180°, Instalación Rápida, Ahorro Energético para Dormitorio y Interiores Pequeños</t>
        </is>
      </c>
      <c r="H918" s="16" t="inlineStr">
        <is>
          <t>1 Pieza</t>
        </is>
      </c>
      <c r="I918" s="16" t="n">
        <v>1</v>
      </c>
      <c r="J918" s="17" t="n">
        <v>79.5</v>
      </c>
      <c r="K918" s="17" t="n">
        <v>96.7</v>
      </c>
      <c r="L918" s="17" t="n">
        <v>25.86</v>
      </c>
      <c r="M918" s="17" t="n">
        <v>0</v>
      </c>
      <c r="N918" s="17">
        <f>K918*0.08+L918*0.08</f>
        <v/>
      </c>
      <c r="O918" s="17">
        <f>-(K918*0.025+L918*0.025)</f>
        <v/>
      </c>
      <c r="P918" s="17">
        <f>32</f>
        <v/>
      </c>
      <c r="Q918" s="17">
        <f>J918+L918+N918+O918-P918-M918</f>
        <v/>
      </c>
    </row>
    <row r="919">
      <c r="A919" s="16" t="inlineStr">
        <is>
          <t>5.1-5.7</t>
        </is>
      </c>
      <c r="B919" s="16" t="inlineStr">
        <is>
          <t>PO-128-18903325594233518</t>
        </is>
      </c>
      <c r="C919" s="16" t="inlineStr">
        <is>
          <t>Delivered</t>
        </is>
      </c>
      <c r="D919" s="16" t="inlineStr">
        <is>
          <t>128-18903378023033518</t>
        </is>
      </c>
      <c r="E919" s="16" t="inlineStr">
        <is>
          <t>Delivered</t>
        </is>
      </c>
      <c r="F919" s="16" t="inlineStr">
        <is>
          <t>LV54W25</t>
        </is>
      </c>
      <c r="G919" s="16" t="inlineStr">
        <is>
          <t>TIANLAI Lámpara Ventilador E27 2 en 1, Silenciosa, LED Alta Luminosidad 180°, Instalación Rápida, Ahorro Energético para Dormitorio y Interiores Pequeños</t>
        </is>
      </c>
      <c r="H919" s="16" t="inlineStr">
        <is>
          <t>1 Pieza</t>
        </is>
      </c>
      <c r="I919" s="16" t="n">
        <v>3</v>
      </c>
      <c r="J919" s="17" t="n">
        <v>238.5</v>
      </c>
      <c r="K919" s="17" t="n">
        <v>199.61</v>
      </c>
      <c r="L919" s="17" t="n">
        <v>0</v>
      </c>
      <c r="M919" s="17" t="n">
        <v>0</v>
      </c>
      <c r="N919" s="17">
        <f>K919*0.08+L919*0.08</f>
        <v/>
      </c>
      <c r="O919" s="17">
        <f>-(K919*0.025+L919*0.025)</f>
        <v/>
      </c>
      <c r="P919" s="17">
        <f>32</f>
        <v/>
      </c>
      <c r="Q919" s="17">
        <f>J919+L919+N919+O919-P919-M919</f>
        <v/>
      </c>
    </row>
    <row r="920">
      <c r="A920" s="16" t="inlineStr">
        <is>
          <t>5.1-5.7</t>
        </is>
      </c>
      <c r="B920" s="16" t="inlineStr">
        <is>
          <t>PO-128-19225306389112561</t>
        </is>
      </c>
      <c r="C920" s="16" t="inlineStr">
        <is>
          <t>Delivered</t>
        </is>
      </c>
      <c r="D920" s="16" t="inlineStr">
        <is>
          <t>128-19225264446072561</t>
        </is>
      </c>
      <c r="E920" s="16" t="inlineStr">
        <is>
          <t>Delivered</t>
        </is>
      </c>
      <c r="F920" s="16" t="inlineStr">
        <is>
          <t>LV64W25</t>
        </is>
      </c>
      <c r="G9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20" s="16" t="inlineStr">
        <is>
          <t>Blanco</t>
        </is>
      </c>
      <c r="I920" s="16" t="n">
        <v>1</v>
      </c>
      <c r="J920" s="17" t="n">
        <v>123</v>
      </c>
      <c r="K920" s="17" t="n">
        <v>128.56</v>
      </c>
      <c r="L920" s="17" t="n">
        <v>25.86</v>
      </c>
      <c r="M920" s="17" t="n">
        <v>0</v>
      </c>
      <c r="N920" s="17">
        <f>K920*0.08+L920*0.08</f>
        <v/>
      </c>
      <c r="O920" s="17">
        <f>-(K920*0.025+L920*0.025)</f>
        <v/>
      </c>
      <c r="P920" s="17">
        <f>32</f>
        <v/>
      </c>
      <c r="Q920" s="17">
        <f>J920+L920+N920+O920-P920-M920</f>
        <v/>
      </c>
    </row>
    <row r="921">
      <c r="A921" s="16" t="inlineStr">
        <is>
          <t>5.1-5.7</t>
        </is>
      </c>
      <c r="B921" s="16" t="inlineStr">
        <is>
          <t>PO-128-18798098094710051</t>
        </is>
      </c>
      <c r="C921" s="16" t="inlineStr">
        <is>
          <t>Delivered</t>
        </is>
      </c>
      <c r="D921" s="16" t="inlineStr">
        <is>
          <t>128-18798056151670051</t>
        </is>
      </c>
      <c r="E921" s="16" t="inlineStr">
        <is>
          <t>Delivered</t>
        </is>
      </c>
      <c r="F921" s="16" t="inlineStr">
        <is>
          <t>LV64W25</t>
        </is>
      </c>
      <c r="G9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21" s="16" t="inlineStr">
        <is>
          <t>Blanco</t>
        </is>
      </c>
      <c r="I921" s="16" t="n">
        <v>2</v>
      </c>
      <c r="J921" s="17" t="n">
        <v>246</v>
      </c>
      <c r="K921" s="17" t="n">
        <v>257.12</v>
      </c>
      <c r="L921" s="17" t="n">
        <v>0</v>
      </c>
      <c r="M921" s="17" t="n">
        <v>0</v>
      </c>
      <c r="N921" s="17">
        <f>K921*0.08+L921*0.08</f>
        <v/>
      </c>
      <c r="O921" s="17">
        <f>-(K921*0.025+L921*0.025)</f>
        <v/>
      </c>
      <c r="P921" s="17">
        <f>32</f>
        <v/>
      </c>
      <c r="Q921" s="17">
        <f>J921+L921+N921+O921-P921-M921</f>
        <v/>
      </c>
    </row>
    <row r="922">
      <c r="A922" s="16" t="inlineStr">
        <is>
          <t>5.1-5.7</t>
        </is>
      </c>
      <c r="B922" s="16" t="inlineStr">
        <is>
          <t>PO-128-18928066826873370</t>
        </is>
      </c>
      <c r="C922" s="16" t="inlineStr">
        <is>
          <t>Delivered</t>
        </is>
      </c>
      <c r="D922" s="16" t="inlineStr">
        <is>
          <t>128-18928203141753370</t>
        </is>
      </c>
      <c r="E922" s="16" t="inlineStr">
        <is>
          <t>Delivered</t>
        </is>
      </c>
      <c r="F922" s="16" t="inlineStr">
        <is>
          <t>LV54W25</t>
        </is>
      </c>
      <c r="G922" s="16" t="inlineStr">
        <is>
          <t>TIANLAI Lámpara Ventilador E27 2 en 1, Silenciosa, LED Alta Luminosidad 180°, Instalación Rápida, Ahorro Energético para Dormitorio y Interiores Pequeños</t>
        </is>
      </c>
      <c r="H922" s="16" t="inlineStr">
        <is>
          <t>1 Pieza</t>
        </is>
      </c>
      <c r="I922" s="16" t="n">
        <v>3</v>
      </c>
      <c r="J922" s="17" t="n">
        <v>238.5</v>
      </c>
      <c r="K922" s="17" t="n">
        <v>290.1</v>
      </c>
      <c r="L922" s="17" t="n">
        <v>0</v>
      </c>
      <c r="M922" s="17" t="n">
        <v>0</v>
      </c>
      <c r="N922" s="17">
        <f>K922*0.08+L922*0.08</f>
        <v/>
      </c>
      <c r="O922" s="17">
        <f>-(K922*0.025+L922*0.025)</f>
        <v/>
      </c>
      <c r="P922" s="17">
        <f>32</f>
        <v/>
      </c>
      <c r="Q922" s="17">
        <f>J922+L922+N922+O922-P922-M922</f>
        <v/>
      </c>
    </row>
    <row r="923">
      <c r="A923" s="16" t="inlineStr">
        <is>
          <t>5.1-5.7</t>
        </is>
      </c>
      <c r="B923" s="16" t="inlineStr">
        <is>
          <t>PO-128-19085911614072558</t>
        </is>
      </c>
      <c r="C923" s="16" t="inlineStr">
        <is>
          <t>Delivered</t>
        </is>
      </c>
      <c r="D923" s="16" t="inlineStr">
        <is>
          <t>128-19085869671032558</t>
        </is>
      </c>
      <c r="E923" s="16" t="inlineStr">
        <is>
          <t>Delivered</t>
        </is>
      </c>
      <c r="F923" s="16" t="inlineStr">
        <is>
          <t>LV64W25</t>
        </is>
      </c>
      <c r="G9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23" s="16" t="inlineStr">
        <is>
          <t>Blanco</t>
        </is>
      </c>
      <c r="I923" s="16" t="n">
        <v>4</v>
      </c>
      <c r="J923" s="17" t="n">
        <v>492</v>
      </c>
      <c r="K923" s="17" t="n">
        <v>514.24</v>
      </c>
      <c r="L923" s="17" t="n">
        <v>0</v>
      </c>
      <c r="M923" s="17" t="n">
        <v>0</v>
      </c>
      <c r="N923" s="17">
        <f>K923*0.08+L923*0.08</f>
        <v/>
      </c>
      <c r="O923" s="17">
        <f>-(K923*0.025+L923*0.025)</f>
        <v/>
      </c>
      <c r="P923" s="17">
        <f>32</f>
        <v/>
      </c>
      <c r="Q923" s="17">
        <f>J923+L923+N923+O923-P923-M923</f>
        <v/>
      </c>
    </row>
    <row r="924">
      <c r="A924" s="16" t="inlineStr">
        <is>
          <t>5.1-5.7</t>
        </is>
      </c>
      <c r="B924" s="16" t="inlineStr">
        <is>
          <t>PO-128-19108818350712423</t>
        </is>
      </c>
      <c r="C924" s="16" t="inlineStr">
        <is>
          <t>Delivered</t>
        </is>
      </c>
      <c r="D924" s="16" t="inlineStr">
        <is>
          <t>128-19108792136312423</t>
        </is>
      </c>
      <c r="E924" s="16" t="inlineStr">
        <is>
          <t>Delivered</t>
        </is>
      </c>
      <c r="F924" s="16" t="inlineStr">
        <is>
          <t>BSC04</t>
        </is>
      </c>
      <c r="G924" s="16" t="inlineStr">
        <is>
          <t>TIANLAI Báscula Digital BSC04/BSC07, Alta Precisión, Fácil Operación, Ligera y Portátil, Función Tara, Unidad Dual oz/g, Ideal para Cocina, Control de Porciones, Sellos y Objetos Pequeños, Uso en Hogar y Viaje</t>
        </is>
      </c>
      <c r="H924" s="16" t="inlineStr">
        <is>
          <t>5g/White</t>
        </is>
      </c>
      <c r="I924" s="16" t="n">
        <v>1</v>
      </c>
      <c r="J924" s="17" t="n">
        <v>57.2</v>
      </c>
      <c r="K924" s="17" t="n">
        <v>62.46</v>
      </c>
      <c r="L924" s="17" t="n">
        <v>25.86</v>
      </c>
      <c r="M924" s="17" t="n">
        <v>0</v>
      </c>
      <c r="N924" s="17">
        <f>K924*0.08+L924*0.08</f>
        <v/>
      </c>
      <c r="O924" s="17">
        <f>-(K924*0.025+L924*0.025)</f>
        <v/>
      </c>
      <c r="P924" s="17">
        <f>32</f>
        <v/>
      </c>
      <c r="Q924" s="17">
        <f>J924+L924+N924+O924-P924-M924</f>
        <v/>
      </c>
    </row>
    <row r="925">
      <c r="A925" s="16" t="inlineStr">
        <is>
          <t>5.1-5.7</t>
        </is>
      </c>
      <c r="B925" s="16" t="inlineStr">
        <is>
          <t>PO-128-19145873664632136</t>
        </is>
      </c>
      <c r="C925" s="16" t="inlineStr">
        <is>
          <t>Delivered</t>
        </is>
      </c>
      <c r="D925" s="16" t="inlineStr">
        <is>
          <t>128-19145857935992136</t>
        </is>
      </c>
      <c r="E925" s="16" t="inlineStr">
        <is>
          <t>Delivered</t>
        </is>
      </c>
      <c r="F925" s="16" t="inlineStr">
        <is>
          <t>TL2663N18C</t>
        </is>
      </c>
      <c r="G925" s="16" t="inlineStr">
        <is>
          <t>Linkbits，Soporte de pared fijo para televisores de 26"-63", Ultra-Delgado Compatible con VESA 400x400mm, Capacidad de Peso Fuerte de 25KG, Instalación Fácil Sin Electricidad</t>
        </is>
      </c>
      <c r="H925" s="16" t="inlineStr">
        <is>
          <t>NEGRO</t>
        </is>
      </c>
      <c r="I925" s="16" t="n">
        <v>1</v>
      </c>
      <c r="J925" s="17" t="n">
        <v>55.5</v>
      </c>
      <c r="K925" s="17" t="n">
        <v>70.48</v>
      </c>
      <c r="L925" s="17" t="n">
        <v>25.86</v>
      </c>
      <c r="M925" s="17" t="n">
        <v>0</v>
      </c>
      <c r="N925" s="17">
        <f>K925*0.08+L925*0.08</f>
        <v/>
      </c>
      <c r="O925" s="17">
        <f>-(K925*0.025+L925*0.025)</f>
        <v/>
      </c>
      <c r="P925" s="17">
        <f>32</f>
        <v/>
      </c>
      <c r="Q925" s="17">
        <f>J925+L925+N925+O925-P925-M925</f>
        <v/>
      </c>
    </row>
    <row r="926">
      <c r="A926" s="16" t="inlineStr">
        <is>
          <t>5.1-5.7</t>
        </is>
      </c>
      <c r="B926" s="16" t="inlineStr">
        <is>
          <t>PO-128-19086060350072559</t>
        </is>
      </c>
      <c r="C926" s="16" t="inlineStr">
        <is>
          <t>Delivered</t>
        </is>
      </c>
      <c r="D926" s="16" t="inlineStr">
        <is>
          <t>128-19086018407032559</t>
        </is>
      </c>
      <c r="E926" s="16" t="inlineStr">
        <is>
          <t>Delivered</t>
        </is>
      </c>
      <c r="F926" s="16" t="inlineStr">
        <is>
          <t>TLCD06-12P-R</t>
        </is>
      </c>
      <c r="G92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926" s="16" t="inlineStr">
        <is>
          <t>ROJO/pantalla de 12 pulgadas</t>
        </is>
      </c>
      <c r="I926" s="16" t="n">
        <v>3</v>
      </c>
      <c r="J926" s="17" t="n">
        <v>105</v>
      </c>
      <c r="K926" s="17" t="n">
        <v>107.93</v>
      </c>
      <c r="L926" s="17" t="n">
        <v>25.86</v>
      </c>
      <c r="M926" s="17" t="n">
        <v>0</v>
      </c>
      <c r="N926" s="17">
        <f>K926*0.08+L926*0.08</f>
        <v/>
      </c>
      <c r="O926" s="17">
        <f>-(K926*0.025+L926*0.025)</f>
        <v/>
      </c>
      <c r="P926" s="17">
        <f>32</f>
        <v/>
      </c>
      <c r="Q926" s="17">
        <f>J926+L926+N926+O926-P926-M926</f>
        <v/>
      </c>
    </row>
    <row r="927">
      <c r="A927" s="16" t="inlineStr">
        <is>
          <t>5.1-5.7</t>
        </is>
      </c>
      <c r="B927" s="16" t="inlineStr">
        <is>
          <t>PO-128-19167182848633035</t>
        </is>
      </c>
      <c r="C927" s="16" t="inlineStr">
        <is>
          <t>Delivered</t>
        </is>
      </c>
      <c r="D927" s="16" t="inlineStr">
        <is>
          <t>128-19167193334393035</t>
        </is>
      </c>
      <c r="E927" s="16" t="inlineStr">
        <is>
          <t>Delivered</t>
        </is>
      </c>
      <c r="F927" s="16" t="inlineStr">
        <is>
          <t>MB-174-G</t>
        </is>
      </c>
      <c r="G927" s="16" t="inlineStr">
        <is>
          <t>LINK BITS MB-174 Mini Bocina Bluetooth Soporte para Celular Integrado TWS Luz Ambiental 5W 80dB Sonido Claro Carga TYPE-C Material ABS Portátil Ideal como Regalo para Hogar Oficina Exterior Picnic</t>
        </is>
      </c>
      <c r="H927" s="16" t="inlineStr">
        <is>
          <t>GRIS</t>
        </is>
      </c>
      <c r="I927" s="16" t="n">
        <v>1</v>
      </c>
      <c r="J927" s="17" t="n">
        <v>93.8</v>
      </c>
      <c r="K927" s="17" t="n">
        <v>111.85</v>
      </c>
      <c r="L927" s="17" t="n">
        <v>25.86</v>
      </c>
      <c r="M927" s="17" t="n">
        <v>0</v>
      </c>
      <c r="N927" s="17">
        <f>K927*0.08+L927*0.08</f>
        <v/>
      </c>
      <c r="O927" s="17">
        <f>-(K927*0.025+L927*0.025)</f>
        <v/>
      </c>
      <c r="P927" s="17">
        <f>32</f>
        <v/>
      </c>
      <c r="Q927" s="17">
        <f>J927+L927+N927+O927-P927-M927</f>
        <v/>
      </c>
    </row>
    <row r="928">
      <c r="A928" s="16" t="inlineStr">
        <is>
          <t>5.1-5.7</t>
        </is>
      </c>
      <c r="B928" s="16" t="inlineStr">
        <is>
          <t>PO-128-19031485911673714</t>
        </is>
      </c>
      <c r="C928" s="16" t="inlineStr">
        <is>
          <t>Delivered</t>
        </is>
      </c>
      <c r="D928" s="16" t="inlineStr">
        <is>
          <t>128-19031464940153714</t>
        </is>
      </c>
      <c r="E928" s="16" t="inlineStr">
        <is>
          <t>Delivered</t>
        </is>
      </c>
      <c r="F928" s="16" t="inlineStr">
        <is>
          <t>BSC07</t>
        </is>
      </c>
      <c r="G928" s="16" t="inlineStr">
        <is>
          <t>TIANLAI Báscula Digital BSC04/BSC07, Alta Precisión, Fácil Operación, Ligera y Portátil, Función Tara, Unidad Dual oz/g, Ideal para Cocina, Control de Porciones, Sellos y Objetos Pequeños, Uso en Hogar y Viaje</t>
        </is>
      </c>
      <c r="H928" s="16" t="inlineStr">
        <is>
          <t>1g/White</t>
        </is>
      </c>
      <c r="I928" s="16" t="n">
        <v>1</v>
      </c>
      <c r="J928" s="17" t="n">
        <v>35</v>
      </c>
      <c r="K928" s="17" t="n">
        <v>47.21</v>
      </c>
      <c r="L928" s="17" t="n">
        <v>25.86</v>
      </c>
      <c r="M928" s="17" t="n">
        <v>0</v>
      </c>
      <c r="N928" s="17">
        <f>K928*0.08+L928*0.08</f>
        <v/>
      </c>
      <c r="O928" s="17">
        <f>-(K928*0.025+L928*0.025)</f>
        <v/>
      </c>
      <c r="P928" s="17">
        <f>32</f>
        <v/>
      </c>
      <c r="Q928" s="17">
        <f>J928+L928+N928+O928-P928-M928</f>
        <v/>
      </c>
    </row>
    <row r="929">
      <c r="A929" s="16" t="inlineStr">
        <is>
          <t>5.1-5.7</t>
        </is>
      </c>
      <c r="B929" s="16" t="inlineStr">
        <is>
          <t>PO-128-18702980414071768</t>
        </is>
      </c>
      <c r="C929" s="16" t="inlineStr">
        <is>
          <t>Delivered</t>
        </is>
      </c>
      <c r="D929" s="16" t="inlineStr">
        <is>
          <t>128-18702959442551768</t>
        </is>
      </c>
      <c r="E929" s="16" t="inlineStr">
        <is>
          <t>Delivered</t>
        </is>
      </c>
      <c r="F929" s="16" t="inlineStr">
        <is>
          <t>TL1412N17C</t>
        </is>
      </c>
      <c r="G929" s="16" t="inlineStr">
        <is>
          <t>Linkbits, Soporte de Pared Fijo para TV y Monitor de 14"-43", Ultra Delgado 2.3cm, Fuerte Capacidad de Peso de 25KG, Fácil Instalación con Accesorios Completos</t>
        </is>
      </c>
      <c r="H929" s="16" t="inlineStr">
        <is>
          <t>NEGRO</t>
        </is>
      </c>
      <c r="I929" s="16" t="n">
        <v>1</v>
      </c>
      <c r="J929" s="17" t="n">
        <v>36.84</v>
      </c>
      <c r="K929" s="17" t="n">
        <v>48.54</v>
      </c>
      <c r="L929" s="17" t="n">
        <v>25.86</v>
      </c>
      <c r="M929" s="17" t="n">
        <v>0</v>
      </c>
      <c r="N929" s="17">
        <f>K929*0.08+L929*0.08</f>
        <v/>
      </c>
      <c r="O929" s="17">
        <f>-(K929*0.025+L929*0.025)</f>
        <v/>
      </c>
      <c r="P929" s="17">
        <f>32</f>
        <v/>
      </c>
      <c r="Q929" s="17">
        <f>J929+L929+N929+O929-P929-M929</f>
        <v/>
      </c>
    </row>
    <row r="930">
      <c r="A930" s="16" t="inlineStr">
        <is>
          <t>5.1-5.7</t>
        </is>
      </c>
      <c r="B930" s="16" t="inlineStr">
        <is>
          <t>PO-128-18761421220470332</t>
        </is>
      </c>
      <c r="C930" s="16" t="inlineStr">
        <is>
          <t>Delivered</t>
        </is>
      </c>
      <c r="D930" s="16" t="inlineStr">
        <is>
          <t>128-18761379277430332</t>
        </is>
      </c>
      <c r="E930" s="16" t="inlineStr">
        <is>
          <t>Delivered</t>
        </is>
      </c>
      <c r="F930" s="16" t="inlineStr">
        <is>
          <t>LV64W25</t>
        </is>
      </c>
      <c r="G9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0" s="16" t="inlineStr">
        <is>
          <t>Blanco</t>
        </is>
      </c>
      <c r="I930" s="16" t="n">
        <v>1</v>
      </c>
      <c r="J930" s="17" t="n">
        <v>123</v>
      </c>
      <c r="K930" s="17" t="n">
        <v>128.56</v>
      </c>
      <c r="L930" s="17" t="n">
        <v>25.86</v>
      </c>
      <c r="M930" s="17" t="n">
        <v>0</v>
      </c>
      <c r="N930" s="17">
        <f>K930*0.08+L930*0.08</f>
        <v/>
      </c>
      <c r="O930" s="17">
        <f>-(K930*0.025+L930*0.025)</f>
        <v/>
      </c>
      <c r="P930" s="17">
        <f>32</f>
        <v/>
      </c>
      <c r="Q930" s="17">
        <f>J930+L930+N930+O930-P930-M930</f>
        <v/>
      </c>
    </row>
    <row r="931">
      <c r="A931" s="16" t="inlineStr">
        <is>
          <t>5.1-5.7</t>
        </is>
      </c>
      <c r="B931" s="16" t="inlineStr">
        <is>
          <t>PO-128-18623684219511027</t>
        </is>
      </c>
      <c r="C931" s="16" t="inlineStr">
        <is>
          <t>Delivered</t>
        </is>
      </c>
      <c r="D931" s="16" t="inlineStr">
        <is>
          <t>128-18623642276471027</t>
        </is>
      </c>
      <c r="E931" s="16" t="inlineStr">
        <is>
          <t>Delivered</t>
        </is>
      </c>
      <c r="F931" s="16" t="inlineStr">
        <is>
          <t>LV64W25</t>
        </is>
      </c>
      <c r="G9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1" s="16" t="inlineStr">
        <is>
          <t>Blanco</t>
        </is>
      </c>
      <c r="I931" s="16" t="n">
        <v>1</v>
      </c>
      <c r="J931" s="17" t="n">
        <v>123</v>
      </c>
      <c r="K931" s="17" t="n">
        <v>42.35</v>
      </c>
      <c r="L931" s="17" t="n">
        <v>25.86</v>
      </c>
      <c r="M931" s="17" t="n">
        <v>0</v>
      </c>
      <c r="N931" s="17">
        <f>K931*0.08+L931*0.08</f>
        <v/>
      </c>
      <c r="O931" s="17">
        <f>-(K931*0.025+L931*0.025)</f>
        <v/>
      </c>
      <c r="P931" s="17">
        <f>32</f>
        <v/>
      </c>
      <c r="Q931" s="17">
        <f>J931+L931+N931+O931-P931-M931</f>
        <v/>
      </c>
    </row>
    <row r="932">
      <c r="A932" s="16" t="inlineStr">
        <is>
          <t>5.1-5.7</t>
        </is>
      </c>
      <c r="B932" s="16" t="inlineStr">
        <is>
          <t>PO-128-18618892227191055</t>
        </is>
      </c>
      <c r="C932" s="16" t="inlineStr">
        <is>
          <t>Delivered</t>
        </is>
      </c>
      <c r="D932" s="16" t="inlineStr">
        <is>
          <t>128-18618881741431055</t>
        </is>
      </c>
      <c r="E932" s="16" t="inlineStr">
        <is>
          <t>Delivered</t>
        </is>
      </c>
      <c r="F932" s="16" t="inlineStr">
        <is>
          <t>LV64W25</t>
        </is>
      </c>
      <c r="G9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2" s="16" t="inlineStr">
        <is>
          <t>Blanco</t>
        </is>
      </c>
      <c r="I932" s="16" t="n">
        <v>1</v>
      </c>
      <c r="J932" s="17" t="n">
        <v>123</v>
      </c>
      <c r="K932" s="17" t="n">
        <v>141.27</v>
      </c>
      <c r="L932" s="17" t="n">
        <v>25.86</v>
      </c>
      <c r="M932" s="17" t="n">
        <v>0</v>
      </c>
      <c r="N932" s="17">
        <f>K932*0.08+L932*0.08</f>
        <v/>
      </c>
      <c r="O932" s="17">
        <f>-(K932*0.025+L932*0.025)</f>
        <v/>
      </c>
      <c r="P932" s="17">
        <f>32</f>
        <v/>
      </c>
      <c r="Q932" s="17">
        <f>J932+L932+N932+O932-P932-M932</f>
        <v/>
      </c>
    </row>
    <row r="933">
      <c r="A933" s="16" t="inlineStr">
        <is>
          <t>5.1-5.7</t>
        </is>
      </c>
      <c r="B933" s="16" t="inlineStr">
        <is>
          <t>PO-128-08078370642552440</t>
        </is>
      </c>
      <c r="C933" s="16" t="inlineStr">
        <is>
          <t>Delivered</t>
        </is>
      </c>
      <c r="D933" s="16" t="inlineStr">
        <is>
          <t>128-08078328699512440</t>
        </is>
      </c>
      <c r="E933" s="16" t="inlineStr">
        <is>
          <t>Delivered</t>
        </is>
      </c>
      <c r="F933" s="16" t="inlineStr">
        <is>
          <t>LV64W25</t>
        </is>
      </c>
      <c r="G9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3" s="16" t="inlineStr">
        <is>
          <t>Blanco</t>
        </is>
      </c>
      <c r="I933" s="16" t="n">
        <v>4</v>
      </c>
      <c r="J933" s="17" t="n">
        <v>492</v>
      </c>
      <c r="K933" s="17" t="n">
        <v>514.24</v>
      </c>
      <c r="L933" s="17" t="n">
        <v>0</v>
      </c>
      <c r="M933" s="17" t="n">
        <v>0</v>
      </c>
      <c r="N933" s="17">
        <f>K933*0.08+L933*0.08</f>
        <v/>
      </c>
      <c r="O933" s="17">
        <f>-(K933*0.025+L933*0.025)</f>
        <v/>
      </c>
      <c r="P933" s="17">
        <f>32</f>
        <v/>
      </c>
      <c r="Q933" s="17">
        <f>J933+L933+N933+O933-P933-M933</f>
        <v/>
      </c>
    </row>
    <row r="934">
      <c r="A934" s="16" t="inlineStr">
        <is>
          <t>5.1-5.7</t>
        </is>
      </c>
      <c r="B934" s="16" t="inlineStr">
        <is>
          <t>PO-128-08230125886072561</t>
        </is>
      </c>
      <c r="C934" s="16" t="inlineStr">
        <is>
          <t>Delivered</t>
        </is>
      </c>
      <c r="D934" s="16" t="inlineStr">
        <is>
          <t>128-08230094428792561</t>
        </is>
      </c>
      <c r="E934" s="16" t="inlineStr">
        <is>
          <t>Delivered</t>
        </is>
      </c>
      <c r="F934" s="16" t="inlineStr">
        <is>
          <t>KTS-1936</t>
        </is>
      </c>
      <c r="G934" s="16" t="inlineStr">
        <is>
          <t>Espejo con Luz para Makeup，Espejo con Luz LED y Bocina Bluetooth，Espejo para Maquillaje con Aumentos y Luces LED de Intensidad Ajustable，Lente de Aumento 10X+Reproductor TF+ TWS，espejo de portátil y para estudiantes, oficina, dormitorio, mejor regalo</t>
        </is>
      </c>
      <c r="H934" s="16" t="inlineStr">
        <is>
          <t>BLANCO</t>
        </is>
      </c>
      <c r="I934" s="16" t="n">
        <v>1</v>
      </c>
      <c r="J934" s="17" t="n">
        <v>217.75</v>
      </c>
      <c r="K934" s="17" t="n">
        <v>245.59</v>
      </c>
      <c r="L934" s="17" t="n">
        <v>25.86</v>
      </c>
      <c r="M934" s="17" t="n">
        <v>0</v>
      </c>
      <c r="N934" s="17">
        <f>K934*0.08+L934*0.08</f>
        <v/>
      </c>
      <c r="O934" s="17">
        <f>-(K934*0.025+L934*0.025)</f>
        <v/>
      </c>
      <c r="P934" s="17">
        <f>32</f>
        <v/>
      </c>
      <c r="Q934" s="17">
        <f>J934+L934+N934+O934-P934-M934</f>
        <v/>
      </c>
    </row>
    <row r="935">
      <c r="A935" s="16" t="inlineStr">
        <is>
          <t>5.1-5.7</t>
        </is>
      </c>
      <c r="B935" s="16" t="inlineStr">
        <is>
          <t>PO-128-07738721526390432</t>
        </is>
      </c>
      <c r="C935" s="16" t="inlineStr">
        <is>
          <t>Delivered</t>
        </is>
      </c>
      <c r="D935" s="16" t="inlineStr">
        <is>
          <t>128-07738732012150432</t>
        </is>
      </c>
      <c r="E935" s="16" t="inlineStr">
        <is>
          <t>Delivered</t>
        </is>
      </c>
      <c r="F935" s="16" t="inlineStr">
        <is>
          <t>LV64W25</t>
        </is>
      </c>
      <c r="G9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5" s="16" t="inlineStr">
        <is>
          <t>Blanco</t>
        </is>
      </c>
      <c r="I935" s="16" t="n">
        <v>1</v>
      </c>
      <c r="J935" s="17" t="n">
        <v>123</v>
      </c>
      <c r="K935" s="17" t="n">
        <v>117.4</v>
      </c>
      <c r="L935" s="17" t="n">
        <v>25.86</v>
      </c>
      <c r="M935" s="17" t="n">
        <v>0</v>
      </c>
      <c r="N935" s="17">
        <f>K935*0.08+L935*0.08</f>
        <v/>
      </c>
      <c r="O935" s="17">
        <f>-(K935*0.025+L935*0.025)</f>
        <v/>
      </c>
      <c r="P935" s="17">
        <f>32</f>
        <v/>
      </c>
      <c r="Q935" s="17">
        <f>J935+L935+N935+O935-P935-M935</f>
        <v/>
      </c>
    </row>
    <row r="936">
      <c r="A936" s="16" t="inlineStr">
        <is>
          <t>5.1-5.7</t>
        </is>
      </c>
      <c r="B936" s="16" t="inlineStr">
        <is>
          <t>PO-128-07816358011510099</t>
        </is>
      </c>
      <c r="C936" s="16" t="inlineStr">
        <is>
          <t>Delivered</t>
        </is>
      </c>
      <c r="D936" s="16" t="inlineStr">
        <is>
          <t>128-07816352768630099</t>
        </is>
      </c>
      <c r="E936" s="16" t="inlineStr">
        <is>
          <t>Delivered</t>
        </is>
      </c>
      <c r="F936" s="16" t="inlineStr">
        <is>
          <t>VA371T</t>
        </is>
      </c>
      <c r="G936" s="16" t="inlineStr">
        <is>
          <t>Linkbits Bocina Bluetooth Portátil 3" de Alta Gama，Hi-Res Audio y Graves Potentes，Luces LED + Soporte USB/TF/FM/TWS，Ideal para Hogar y Aire Libre</t>
        </is>
      </c>
      <c r="H936" s="16" t="inlineStr">
        <is>
          <t>VA371T</t>
        </is>
      </c>
      <c r="I936" s="16" t="n">
        <v>1</v>
      </c>
      <c r="J936" s="17" t="n">
        <v>68.87</v>
      </c>
      <c r="K936" s="17" t="n">
        <v>77.25</v>
      </c>
      <c r="L936" s="17" t="n">
        <v>25.86</v>
      </c>
      <c r="M936" s="17" t="n">
        <v>0</v>
      </c>
      <c r="N936" s="17">
        <f>K936*0.08+L936*0.08</f>
        <v/>
      </c>
      <c r="O936" s="17">
        <f>-(K936*0.025+L936*0.025)</f>
        <v/>
      </c>
      <c r="P936" s="17">
        <f>32</f>
        <v/>
      </c>
      <c r="Q936" s="17">
        <f>J936+L936+N936+O936-P936-M936</f>
        <v/>
      </c>
    </row>
    <row r="937">
      <c r="A937" s="16" t="inlineStr">
        <is>
          <t>5.1-5.7</t>
        </is>
      </c>
      <c r="B937" s="16" t="inlineStr">
        <is>
          <t>PO-128-07872011264630726</t>
        </is>
      </c>
      <c r="C937" s="16" t="inlineStr">
        <is>
          <t>Delivered</t>
        </is>
      </c>
      <c r="D937" s="16" t="inlineStr">
        <is>
          <t>128-07871969321590726</t>
        </is>
      </c>
      <c r="E937" s="16" t="inlineStr">
        <is>
          <t>Delivered</t>
        </is>
      </c>
      <c r="F937" s="16" t="inlineStr">
        <is>
          <t>LV64W25</t>
        </is>
      </c>
      <c r="G9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37" s="16" t="inlineStr">
        <is>
          <t>Blanco</t>
        </is>
      </c>
      <c r="I937" s="16" t="n">
        <v>3</v>
      </c>
      <c r="J937" s="17" t="n">
        <v>369</v>
      </c>
      <c r="K937" s="17" t="n">
        <v>308.1</v>
      </c>
      <c r="L937" s="17" t="n">
        <v>0</v>
      </c>
      <c r="M937" s="17" t="n">
        <v>0</v>
      </c>
      <c r="N937" s="17">
        <f>K937*0.08+L937*0.08</f>
        <v/>
      </c>
      <c r="O937" s="17">
        <f>-(K937*0.025+L937*0.025)</f>
        <v/>
      </c>
      <c r="P937" s="17">
        <f>32</f>
        <v/>
      </c>
      <c r="Q937" s="17">
        <f>J937+L937+N937+O937-P937-M937</f>
        <v/>
      </c>
    </row>
    <row r="938">
      <c r="A938" s="16" t="inlineStr">
        <is>
          <t>5.1-5.7</t>
        </is>
      </c>
      <c r="B938" s="16" t="inlineStr">
        <is>
          <t>PO-128-07949096909433210</t>
        </is>
      </c>
      <c r="C938" s="16" t="inlineStr">
        <is>
          <t>Delivered</t>
        </is>
      </c>
      <c r="D938" s="16" t="inlineStr">
        <is>
          <t>128-07949123123833210</t>
        </is>
      </c>
      <c r="E938" s="16" t="inlineStr">
        <is>
          <t>Delivered</t>
        </is>
      </c>
      <c r="F938" s="16" t="inlineStr">
        <is>
          <t>MB-174-N</t>
        </is>
      </c>
      <c r="G938" s="16" t="inlineStr">
        <is>
          <t>LINK BITS MB-174 Mini Bocina Bluetooth Soporte para Celular Integrado TWS Luz Ambiental 5W 80dB Sonido Claro Carga TYPE-C Material ABS Portátil Ideal como Regalo para Hogar Oficina Exterior Picnic</t>
        </is>
      </c>
      <c r="H938" s="16" t="inlineStr">
        <is>
          <t>NEGRO</t>
        </is>
      </c>
      <c r="I938" s="16" t="n">
        <v>1</v>
      </c>
      <c r="J938" s="17" t="n">
        <v>94.5</v>
      </c>
      <c r="K938" s="17" t="n">
        <v>90.05</v>
      </c>
      <c r="L938" s="17" t="n">
        <v>25.86</v>
      </c>
      <c r="M938" s="17" t="n">
        <v>0</v>
      </c>
      <c r="N938" s="17">
        <f>K938*0.08+L938*0.08</f>
        <v/>
      </c>
      <c r="O938" s="17">
        <f>-(K938*0.025+L938*0.025)</f>
        <v/>
      </c>
      <c r="P938" s="17">
        <f>32</f>
        <v/>
      </c>
      <c r="Q938" s="17">
        <f>J938+L938+N938+O938-P938-M938</f>
        <v/>
      </c>
    </row>
    <row r="939">
      <c r="A939" s="16" t="inlineStr">
        <is>
          <t>5.1-5.7</t>
        </is>
      </c>
      <c r="B939" s="16" t="inlineStr">
        <is>
          <t>PO-128-07838456955510798</t>
        </is>
      </c>
      <c r="C939" s="16" t="inlineStr">
        <is>
          <t>Delivered</t>
        </is>
      </c>
      <c r="D939" s="16" t="inlineStr">
        <is>
          <t>128-07838467441270798</t>
        </is>
      </c>
      <c r="E939" s="16" t="inlineStr">
        <is>
          <t>Delivered</t>
        </is>
      </c>
      <c r="F939" s="16" t="inlineStr">
        <is>
          <t>LV54W25</t>
        </is>
      </c>
      <c r="G939" s="16" t="inlineStr">
        <is>
          <t>TIANLAI Lámpara Ventilador E27 2 en 1, Silenciosa, LED Alta Luminosidad 180°, Instalación Rápida, Ahorro Energético para Dormitorio y Interiores Pequeños</t>
        </is>
      </c>
      <c r="H939" s="16" t="inlineStr">
        <is>
          <t>1 Pieza</t>
        </is>
      </c>
      <c r="I939" s="16" t="n">
        <v>3</v>
      </c>
      <c r="J939" s="17" t="n">
        <v>238.5</v>
      </c>
      <c r="K939" s="17" t="n">
        <v>249.51</v>
      </c>
      <c r="L939" s="17" t="n">
        <v>0</v>
      </c>
      <c r="M939" s="17" t="n">
        <v>0</v>
      </c>
      <c r="N939" s="17">
        <f>K939*0.08+L939*0.08</f>
        <v/>
      </c>
      <c r="O939" s="17">
        <f>-(K939*0.025+L939*0.025)</f>
        <v/>
      </c>
      <c r="P939" s="17">
        <f>32</f>
        <v/>
      </c>
      <c r="Q939" s="17">
        <f>J939+L939+N939+O939-P939-M939</f>
        <v/>
      </c>
    </row>
    <row r="940">
      <c r="A940" s="16" t="inlineStr">
        <is>
          <t>5.1-5.7</t>
        </is>
      </c>
      <c r="B940" s="16" t="inlineStr">
        <is>
          <t>PO-128-07611894887031188</t>
        </is>
      </c>
      <c r="C940" s="16" t="inlineStr">
        <is>
          <t>Delivered</t>
        </is>
      </c>
      <c r="D940" s="16" t="inlineStr">
        <is>
          <t>128-07611852943991188</t>
        </is>
      </c>
      <c r="E940" s="16" t="inlineStr">
        <is>
          <t>Delivered</t>
        </is>
      </c>
      <c r="F940" s="16" t="inlineStr">
        <is>
          <t>LV54W25</t>
        </is>
      </c>
      <c r="G940" s="16" t="inlineStr">
        <is>
          <t>TIANLAI Lámpara Ventilador E27 2 en 1, Silenciosa, LED Alta Luminosidad 180°, Instalación Rápida, Ahorro Energético para Dormitorio y Interiores Pequeños</t>
        </is>
      </c>
      <c r="H940" s="16" t="inlineStr">
        <is>
          <t>1 Pieza</t>
        </is>
      </c>
      <c r="I940" s="16" t="n">
        <v>1</v>
      </c>
      <c r="J940" s="17" t="n">
        <v>79.5</v>
      </c>
      <c r="K940" s="17" t="n">
        <v>96.7</v>
      </c>
      <c r="L940" s="17" t="n">
        <v>25.86</v>
      </c>
      <c r="M940" s="17" t="n">
        <v>0</v>
      </c>
      <c r="N940" s="17">
        <f>K940*0.08+L940*0.08</f>
        <v/>
      </c>
      <c r="O940" s="17">
        <f>-(K940*0.025+L940*0.025)</f>
        <v/>
      </c>
      <c r="P940" s="17">
        <f>32</f>
        <v/>
      </c>
      <c r="Q940" s="17">
        <f>J940+L940+N940+O940-P940-M940</f>
        <v/>
      </c>
    </row>
    <row r="941">
      <c r="A941" s="16" t="inlineStr">
        <is>
          <t>5.1-5.7</t>
        </is>
      </c>
      <c r="B941" s="16" t="inlineStr">
        <is>
          <t>PO-128-08243687588472670</t>
        </is>
      </c>
      <c r="C941" s="16" t="inlineStr">
        <is>
          <t>Delivered</t>
        </is>
      </c>
      <c r="D941" s="16" t="inlineStr">
        <is>
          <t>128-08243677102712670</t>
        </is>
      </c>
      <c r="E941" s="16" t="inlineStr">
        <is>
          <t>Delivered</t>
        </is>
      </c>
      <c r="F941" s="16" t="inlineStr">
        <is>
          <t>LV54W25</t>
        </is>
      </c>
      <c r="G941" s="16" t="inlineStr">
        <is>
          <t>TIANLAI Lámpara Ventilador E27 2 en 1, Silenciosa, LED Alta Luminosidad 180°, Instalación Rápida, Ahorro Energético para Dormitorio y Interiores Pequeños</t>
        </is>
      </c>
      <c r="H941" s="16" t="inlineStr">
        <is>
          <t>1 Pieza</t>
        </is>
      </c>
      <c r="I941" s="16" t="n">
        <v>4</v>
      </c>
      <c r="J941" s="17" t="n">
        <v>318</v>
      </c>
      <c r="K941" s="17" t="n">
        <v>332.68</v>
      </c>
      <c r="L941" s="17" t="n">
        <v>0</v>
      </c>
      <c r="M941" s="17" t="n">
        <v>0</v>
      </c>
      <c r="N941" s="17">
        <f>K941*0.08+L941*0.08</f>
        <v/>
      </c>
      <c r="O941" s="17">
        <f>-(K941*0.025+L941*0.025)</f>
        <v/>
      </c>
      <c r="P941" s="17">
        <f>32</f>
        <v/>
      </c>
      <c r="Q941" s="17">
        <f>J941+L941+N941+O941-P941-M941</f>
        <v/>
      </c>
    </row>
    <row r="942">
      <c r="A942" s="16" t="inlineStr">
        <is>
          <t>5.1-5.7</t>
        </is>
      </c>
      <c r="B942" s="16" t="inlineStr">
        <is>
          <t>PO-128-08024554752633912</t>
        </is>
      </c>
      <c r="C942" s="16" t="inlineStr">
        <is>
          <t>Delivered</t>
        </is>
      </c>
      <c r="D942" s="16" t="inlineStr">
        <is>
          <t>128-08024550820473912</t>
        </is>
      </c>
      <c r="E942" s="16" t="inlineStr">
        <is>
          <t>Delivered</t>
        </is>
      </c>
      <c r="F942" s="16" t="inlineStr">
        <is>
          <t>LV64W25</t>
        </is>
      </c>
      <c r="G9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2" s="16" t="inlineStr">
        <is>
          <t>Blanco</t>
        </is>
      </c>
      <c r="I942" s="16" t="n">
        <v>1</v>
      </c>
      <c r="J942" s="17" t="n">
        <v>123</v>
      </c>
      <c r="K942" s="17" t="n">
        <v>141.27</v>
      </c>
      <c r="L942" s="17" t="n">
        <v>25.86</v>
      </c>
      <c r="M942" s="17" t="n">
        <v>0</v>
      </c>
      <c r="N942" s="17">
        <f>K942*0.08+L942*0.08</f>
        <v/>
      </c>
      <c r="O942" s="17">
        <f>-(K942*0.025+L942*0.025)</f>
        <v/>
      </c>
      <c r="P942" s="17">
        <f>32</f>
        <v/>
      </c>
      <c r="Q942" s="17">
        <f>J942+L942+N942+O942-P942-M942</f>
        <v/>
      </c>
    </row>
    <row r="943">
      <c r="A943" s="16" t="inlineStr">
        <is>
          <t>5.1-5.7</t>
        </is>
      </c>
      <c r="B943" s="16" t="inlineStr">
        <is>
          <t>PO-128-07989784597113992</t>
        </is>
      </c>
      <c r="C943" s="16" t="inlineStr">
        <is>
          <t>Delivered</t>
        </is>
      </c>
      <c r="D943" s="16" t="inlineStr">
        <is>
          <t>128-07989742654073992</t>
        </is>
      </c>
      <c r="E943" s="16" t="inlineStr">
        <is>
          <t>Delivered</t>
        </is>
      </c>
      <c r="F943" s="16" t="inlineStr">
        <is>
          <t>LV64W25</t>
        </is>
      </c>
      <c r="G9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3" s="16" t="inlineStr">
        <is>
          <t>Blanco</t>
        </is>
      </c>
      <c r="I943" s="16" t="n">
        <v>1</v>
      </c>
      <c r="J943" s="17" t="n">
        <v>123</v>
      </c>
      <c r="K943" s="17" t="n">
        <v>85.45999999999999</v>
      </c>
      <c r="L943" s="17" t="n">
        <v>25.86</v>
      </c>
      <c r="M943" s="17" t="n">
        <v>0</v>
      </c>
      <c r="N943" s="17">
        <f>K943*0.08+L943*0.08</f>
        <v/>
      </c>
      <c r="O943" s="17">
        <f>-(K943*0.025+L943*0.025)</f>
        <v/>
      </c>
      <c r="P943" s="17">
        <f>32</f>
        <v/>
      </c>
      <c r="Q943" s="17">
        <f>J943+L943+N943+O943-P943-M943</f>
        <v/>
      </c>
    </row>
    <row r="944">
      <c r="A944" s="16" t="inlineStr">
        <is>
          <t>5.1-5.7</t>
        </is>
      </c>
      <c r="B944" s="16" t="inlineStr">
        <is>
          <t>PO-128-07947480463993220</t>
        </is>
      </c>
      <c r="C944" s="16" t="inlineStr">
        <is>
          <t>Delivered</t>
        </is>
      </c>
      <c r="D944" s="16" t="inlineStr">
        <is>
          <t>128-07947501435513220</t>
        </is>
      </c>
      <c r="E944" s="16" t="inlineStr">
        <is>
          <t>Delivered</t>
        </is>
      </c>
      <c r="F944" s="16" t="inlineStr">
        <is>
          <t>LV64W25</t>
        </is>
      </c>
      <c r="G9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4" s="16" t="inlineStr">
        <is>
          <t>Blanco</t>
        </is>
      </c>
      <c r="I944" s="16" t="n">
        <v>1</v>
      </c>
      <c r="J944" s="17" t="n">
        <v>123</v>
      </c>
      <c r="K944" s="17" t="n">
        <v>45.8</v>
      </c>
      <c r="L944" s="17" t="n">
        <v>25.86</v>
      </c>
      <c r="M944" s="17" t="n">
        <v>1.3</v>
      </c>
      <c r="N944" s="17">
        <f>K944*0.08+L944*0.08</f>
        <v/>
      </c>
      <c r="O944" s="17">
        <f>-(K944*0.025+L944*0.025)</f>
        <v/>
      </c>
      <c r="P944" s="17">
        <f>32</f>
        <v/>
      </c>
      <c r="Q944" s="17">
        <f>J944+L944+N944+O944-P944-M944</f>
        <v/>
      </c>
    </row>
    <row r="945">
      <c r="A945" s="16" t="inlineStr">
        <is>
          <t>5.1-5.7</t>
        </is>
      </c>
      <c r="B945" s="16" t="inlineStr">
        <is>
          <t>PO-128-07564143729271411</t>
        </is>
      </c>
      <c r="C945" s="16" t="inlineStr">
        <is>
          <t>Delivered</t>
        </is>
      </c>
      <c r="D945" s="16" t="inlineStr">
        <is>
          <t>128-07564169943671411</t>
        </is>
      </c>
      <c r="E945" s="16" t="inlineStr">
        <is>
          <t>Delivered</t>
        </is>
      </c>
      <c r="F945" s="16" t="inlineStr">
        <is>
          <t>LV64W25</t>
        </is>
      </c>
      <c r="G9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5" s="16" t="inlineStr">
        <is>
          <t>Blanco</t>
        </is>
      </c>
      <c r="I945" s="16" t="n">
        <v>1</v>
      </c>
      <c r="J945" s="17" t="n">
        <v>123</v>
      </c>
      <c r="K945" s="17" t="n">
        <v>102.84</v>
      </c>
      <c r="L945" s="17" t="n">
        <v>25.86</v>
      </c>
      <c r="M945" s="17" t="n">
        <v>2.93</v>
      </c>
      <c r="N945" s="17">
        <f>K945*0.08+L945*0.08</f>
        <v/>
      </c>
      <c r="O945" s="17">
        <f>-(K945*0.025+L945*0.025)</f>
        <v/>
      </c>
      <c r="P945" s="17">
        <f>32</f>
        <v/>
      </c>
      <c r="Q945" s="17">
        <f>J945+L945+N945+O945-P945-M945</f>
        <v/>
      </c>
    </row>
    <row r="946">
      <c r="A946" s="16" t="inlineStr">
        <is>
          <t>5.1-5.7</t>
        </is>
      </c>
      <c r="B946" s="16" t="inlineStr">
        <is>
          <t>PO-128-07947403541113220</t>
        </is>
      </c>
      <c r="C946" s="16" t="inlineStr">
        <is>
          <t>Delivered</t>
        </is>
      </c>
      <c r="D946" s="16" t="inlineStr">
        <is>
          <t>128-07947508398713220</t>
        </is>
      </c>
      <c r="E946" s="16" t="inlineStr">
        <is>
          <t>Delivered</t>
        </is>
      </c>
      <c r="F946" s="16" t="inlineStr">
        <is>
          <t>LV64W25</t>
        </is>
      </c>
      <c r="G9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6" s="16" t="inlineStr">
        <is>
          <t>Blanco</t>
        </is>
      </c>
      <c r="I946" s="16" t="n">
        <v>1</v>
      </c>
      <c r="J946" s="17" t="n">
        <v>123</v>
      </c>
      <c r="K946" s="17" t="n">
        <v>45.8</v>
      </c>
      <c r="L946" s="17" t="n">
        <v>25.86</v>
      </c>
      <c r="M946" s="17" t="n">
        <v>1.3</v>
      </c>
      <c r="N946" s="17">
        <f>K946*0.08+L946*0.08</f>
        <v/>
      </c>
      <c r="O946" s="17">
        <f>-(K946*0.025+L946*0.025)</f>
        <v/>
      </c>
      <c r="P946" s="17">
        <f>32</f>
        <v/>
      </c>
      <c r="Q946" s="17">
        <f>J946+L946+N946+O946-P946-M946</f>
        <v/>
      </c>
    </row>
    <row r="947">
      <c r="A947" s="16" t="inlineStr">
        <is>
          <t>5.1-5.7</t>
        </is>
      </c>
      <c r="B947" s="16" t="inlineStr">
        <is>
          <t>PO-128-07640029717111148</t>
        </is>
      </c>
      <c r="C947" s="16" t="inlineStr">
        <is>
          <t>Delivered</t>
        </is>
      </c>
      <c r="D947" s="16" t="inlineStr">
        <is>
          <t>128-07640050688631148</t>
        </is>
      </c>
      <c r="E947" s="16" t="inlineStr">
        <is>
          <t>Delivered</t>
        </is>
      </c>
      <c r="F947" s="16" t="inlineStr">
        <is>
          <t>LV54W25</t>
        </is>
      </c>
      <c r="G947" s="16" t="inlineStr">
        <is>
          <t>TIANLAI Lámpara Ventilador E27 2 en 1, Silenciosa, LED Alta Luminosidad 180°, Instalación Rápida, Ahorro Energético para Dormitorio y Interiores Pequeños</t>
        </is>
      </c>
      <c r="H947" s="16" t="inlineStr">
        <is>
          <t>1 Pieza</t>
        </is>
      </c>
      <c r="I947" s="16" t="n">
        <v>1</v>
      </c>
      <c r="J947" s="17" t="n">
        <v>79.5</v>
      </c>
      <c r="K947" s="17" t="n">
        <v>96.7</v>
      </c>
      <c r="L947" s="17" t="n">
        <v>25.86</v>
      </c>
      <c r="M947" s="17" t="n">
        <v>0</v>
      </c>
      <c r="N947" s="17">
        <f>K947*0.08+L947*0.08</f>
        <v/>
      </c>
      <c r="O947" s="17">
        <f>-(K947*0.025+L947*0.025)</f>
        <v/>
      </c>
      <c r="P947" s="17">
        <f>32</f>
        <v/>
      </c>
      <c r="Q947" s="17">
        <f>J947+L947+N947+O947-P947-M947</f>
        <v/>
      </c>
    </row>
    <row r="948">
      <c r="A948" s="16" t="inlineStr">
        <is>
          <t>5.1-5.7</t>
        </is>
      </c>
      <c r="B948" s="16" t="inlineStr">
        <is>
          <t>PO-128-07865204716150702</t>
        </is>
      </c>
      <c r="C948" s="16" t="inlineStr">
        <is>
          <t>Delivered</t>
        </is>
      </c>
      <c r="D948" s="16" t="inlineStr">
        <is>
          <t>128-07865246659190702</t>
        </is>
      </c>
      <c r="E948" s="16" t="inlineStr">
        <is>
          <t>Delivered</t>
        </is>
      </c>
      <c r="F948" s="16" t="inlineStr">
        <is>
          <t>KTS-2031</t>
        </is>
      </c>
      <c r="G948" s="16" t="inlineStr">
        <is>
          <t>Bocina inalámbrica de 3 pulgadas con linterna multifuncional y panel solar integrado.Altavoz Portátil con Linterna LED 4 Modos, Radio FM, Bluetooth, Carga Solar, Ideal para Apagones, Emergencias, Campo y Exteriores</t>
        </is>
      </c>
      <c r="H948" s="16" t="inlineStr">
        <is>
          <t>NEGRO</t>
        </is>
      </c>
      <c r="I948" s="16" t="n">
        <v>1</v>
      </c>
      <c r="J948" s="17" t="n">
        <v>75</v>
      </c>
      <c r="K948" s="17" t="n">
        <v>87.41</v>
      </c>
      <c r="L948" s="17" t="n">
        <v>25.86</v>
      </c>
      <c r="M948" s="17" t="n">
        <v>0</v>
      </c>
      <c r="N948" s="17">
        <f>K948*0.08+L948*0.08</f>
        <v/>
      </c>
      <c r="O948" s="17">
        <f>-(K948*0.025+L948*0.025)</f>
        <v/>
      </c>
      <c r="P948" s="17">
        <f>32</f>
        <v/>
      </c>
      <c r="Q948" s="17">
        <f>J948+L948+N948+O948-P948-M948</f>
        <v/>
      </c>
    </row>
    <row r="949">
      <c r="A949" s="16" t="inlineStr">
        <is>
          <t>5.1-5.7</t>
        </is>
      </c>
      <c r="B949" s="16" t="inlineStr">
        <is>
          <t>PO-128-07995296215674025</t>
        </is>
      </c>
      <c r="C949" s="16" t="inlineStr">
        <is>
          <t>Delivered</t>
        </is>
      </c>
      <c r="D949" s="16" t="inlineStr">
        <is>
          <t>128-07995317187194025</t>
        </is>
      </c>
      <c r="E949" s="16" t="inlineStr">
        <is>
          <t>Delivered</t>
        </is>
      </c>
      <c r="F949" s="16" t="inlineStr">
        <is>
          <t>LV64W25</t>
        </is>
      </c>
      <c r="G9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49" s="16" t="inlineStr">
        <is>
          <t>Blanco</t>
        </is>
      </c>
      <c r="I949" s="16" t="n">
        <v>2</v>
      </c>
      <c r="J949" s="17" t="n">
        <v>246</v>
      </c>
      <c r="K949" s="17" t="n">
        <v>257.12</v>
      </c>
      <c r="L949" s="17" t="n">
        <v>0</v>
      </c>
      <c r="M949" s="17" t="n">
        <v>0</v>
      </c>
      <c r="N949" s="17">
        <f>K949*0.08+L949*0.08</f>
        <v/>
      </c>
      <c r="O949" s="17">
        <f>-(K949*0.025+L949*0.025)</f>
        <v/>
      </c>
      <c r="P949" s="17">
        <f>32</f>
        <v/>
      </c>
      <c r="Q949" s="17">
        <f>J949+L949+N949+O949-P949-M949</f>
        <v/>
      </c>
    </row>
    <row r="950">
      <c r="A950" s="16" t="inlineStr">
        <is>
          <t>5.1-5.7</t>
        </is>
      </c>
      <c r="B950" s="16" t="inlineStr">
        <is>
          <t>PO-128-07892677407350602</t>
        </is>
      </c>
      <c r="C950" s="16" t="inlineStr">
        <is>
          <t>Delivered</t>
        </is>
      </c>
      <c r="D950" s="16" t="inlineStr">
        <is>
          <t>128-07892711486070602</t>
        </is>
      </c>
      <c r="E950" s="16" t="inlineStr">
        <is>
          <t>Delivered</t>
        </is>
      </c>
      <c r="F950" s="16" t="inlineStr">
        <is>
          <t>LV64W25</t>
        </is>
      </c>
      <c r="G9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50" s="16" t="inlineStr">
        <is>
          <t>Blanco</t>
        </is>
      </c>
      <c r="I950" s="16" t="n">
        <v>1</v>
      </c>
      <c r="J950" s="17" t="n">
        <v>123</v>
      </c>
      <c r="K950" s="17" t="n">
        <v>141.27</v>
      </c>
      <c r="L950" s="17" t="n">
        <v>25.86</v>
      </c>
      <c r="M950" s="17" t="n">
        <v>0</v>
      </c>
      <c r="N950" s="17">
        <f>K950*0.08+L950*0.08</f>
        <v/>
      </c>
      <c r="O950" s="17">
        <f>-(K950*0.025+L950*0.025)</f>
        <v/>
      </c>
      <c r="P950" s="17">
        <f>32</f>
        <v/>
      </c>
      <c r="Q950" s="17">
        <f>J950+L950+N950+O950-P950-M950</f>
        <v/>
      </c>
    </row>
    <row r="951">
      <c r="A951" s="16" t="inlineStr">
        <is>
          <t>5.1-5.7</t>
        </is>
      </c>
      <c r="B951" s="16" t="inlineStr">
        <is>
          <t>PO-128-07693790188151724</t>
        </is>
      </c>
      <c r="C951" s="16" t="inlineStr">
        <is>
          <t>Delivered</t>
        </is>
      </c>
      <c r="D951" s="16" t="inlineStr">
        <is>
          <t>128-07693763727991724</t>
        </is>
      </c>
      <c r="E951" s="16" t="inlineStr">
        <is>
          <t>Delivered</t>
        </is>
      </c>
      <c r="F951" s="16" t="inlineStr">
        <is>
          <t>i12-V</t>
        </is>
      </c>
      <c r="G951" s="16" t="inlineStr">
        <is>
          <t>Auriculares Inalámbricos TWS - Ideales para Usuarios Android e iPhone, Entusiastas del Deporte &amp; Música, Controles Táctiles, Audífonos Para Correr y Jugar</t>
        </is>
      </c>
      <c r="H951" s="16" t="inlineStr">
        <is>
          <t>VERDE</t>
        </is>
      </c>
      <c r="I951" s="16" t="n">
        <v>1</v>
      </c>
      <c r="J951" s="17" t="n">
        <v>45</v>
      </c>
      <c r="K951" s="17" t="n">
        <v>61.14</v>
      </c>
      <c r="L951" s="17" t="n">
        <v>25.86</v>
      </c>
      <c r="M951" s="17" t="n">
        <v>0</v>
      </c>
      <c r="N951" s="17">
        <f>K951*0.08+L951*0.08</f>
        <v/>
      </c>
      <c r="O951" s="17">
        <f>-(K951*0.025+L951*0.025)</f>
        <v/>
      </c>
      <c r="P951" s="17">
        <f>32</f>
        <v/>
      </c>
      <c r="Q951" s="17">
        <f>J951+L951+N951+O951-P951-M951</f>
        <v/>
      </c>
    </row>
    <row r="952">
      <c r="A952" s="16" t="inlineStr">
        <is>
          <t>5.1-5.7</t>
        </is>
      </c>
      <c r="B952" s="16" t="inlineStr">
        <is>
          <t>PO-128-07660007486071991</t>
        </is>
      </c>
      <c r="C952" s="16" t="inlineStr">
        <is>
          <t>Delivered</t>
        </is>
      </c>
      <c r="D952" s="16" t="inlineStr">
        <is>
          <t>128-07660028457591991</t>
        </is>
      </c>
      <c r="E952" s="16" t="inlineStr">
        <is>
          <t>Delivered</t>
        </is>
      </c>
      <c r="F952" s="16" t="inlineStr">
        <is>
          <t>LE27M10W18</t>
        </is>
      </c>
      <c r="G952" s="16" t="inlineStr">
        <is>
          <t>Lámpara LED de Techo Tianlai LE27M10W18 - Plafón E27 18W 950LM, Diseño de Cielo Estrellado, 3 Tonos de Luz Ajustables, IP20 a Prueba de Polvo para Dormitorio, Cocina, Comedor y Baño</t>
        </is>
      </c>
      <c r="H952" s="16" t="inlineStr">
        <is>
          <t>LE27M10W18</t>
        </is>
      </c>
      <c r="I952" s="16" t="n">
        <v>1</v>
      </c>
      <c r="J952" s="17" t="n">
        <v>66.5</v>
      </c>
      <c r="K952" s="17" t="n">
        <v>73.47</v>
      </c>
      <c r="L952" s="17" t="n">
        <v>25.86</v>
      </c>
      <c r="M952" s="17" t="n">
        <v>0</v>
      </c>
      <c r="N952" s="17">
        <f>K952*0.08+L952*0.08</f>
        <v/>
      </c>
      <c r="O952" s="17">
        <f>-(K952*0.025+L952*0.025)</f>
        <v/>
      </c>
      <c r="P952" s="17">
        <f>32</f>
        <v/>
      </c>
      <c r="Q952" s="17">
        <f>J952+L952+N952+O952-P952-M952</f>
        <v/>
      </c>
    </row>
    <row r="953">
      <c r="A953" s="16" t="inlineStr">
        <is>
          <t>5.1-5.7</t>
        </is>
      </c>
      <c r="B953" s="16" t="inlineStr">
        <is>
          <t>PO-128-07760313057910305</t>
        </is>
      </c>
      <c r="C953" s="16" t="inlineStr">
        <is>
          <t>Delivered</t>
        </is>
      </c>
      <c r="D953" s="16" t="inlineStr">
        <is>
          <t>128-07760407429750305</t>
        </is>
      </c>
      <c r="E953" s="16" t="inlineStr">
        <is>
          <t>Delivered</t>
        </is>
      </c>
      <c r="F953" s="16" t="inlineStr">
        <is>
          <t>LV64W25</t>
        </is>
      </c>
      <c r="G9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53" s="16" t="inlineStr">
        <is>
          <t>Blanco</t>
        </is>
      </c>
      <c r="I953" s="16" t="n">
        <v>1</v>
      </c>
      <c r="J953" s="17" t="n">
        <v>123</v>
      </c>
      <c r="K953" s="17" t="n">
        <v>128.56</v>
      </c>
      <c r="L953" s="17" t="n">
        <v>15.71</v>
      </c>
      <c r="M953" s="17" t="n">
        <v>0</v>
      </c>
      <c r="N953" s="17">
        <f>K953*0.08+L953*0.08</f>
        <v/>
      </c>
      <c r="O953" s="17">
        <f>-(K953*0.025+L953*0.025)</f>
        <v/>
      </c>
      <c r="P953" s="17">
        <f>32</f>
        <v/>
      </c>
      <c r="Q953" s="17">
        <f>J953+L953+N953+O953-P953-M953</f>
        <v/>
      </c>
    </row>
    <row r="954">
      <c r="A954" s="16" t="inlineStr">
        <is>
          <t>5.1-5.7</t>
        </is>
      </c>
      <c r="B954" s="16" t="inlineStr">
        <is>
          <t>PO-128-07760313057910305</t>
        </is>
      </c>
      <c r="C954" s="16" t="inlineStr">
        <is>
          <t>Delivered</t>
        </is>
      </c>
      <c r="D954" s="16" t="inlineStr">
        <is>
          <t>128-07760449372790305</t>
        </is>
      </c>
      <c r="E954" s="16" t="inlineStr">
        <is>
          <t>Delivered</t>
        </is>
      </c>
      <c r="F954" s="16" t="inlineStr">
        <is>
          <t>LV54W25</t>
        </is>
      </c>
      <c r="G954" s="16" t="inlineStr">
        <is>
          <t>TIANLAI Lámpara Ventilador E27 2 en 1, Silenciosa, LED Alta Luminosidad 180°, Instalación Rápida, Ahorro Energético para Dormitorio y Interiores Pequeños</t>
        </is>
      </c>
      <c r="H954" s="16" t="inlineStr">
        <is>
          <t>1 Pieza</t>
        </is>
      </c>
      <c r="I954" s="16" t="n">
        <v>1</v>
      </c>
      <c r="J954" s="17" t="n">
        <v>79.5</v>
      </c>
      <c r="K954" s="17" t="n">
        <v>83.17</v>
      </c>
      <c r="L954" s="17" t="n">
        <v>10.16</v>
      </c>
      <c r="M954" s="17" t="n">
        <v>0</v>
      </c>
      <c r="N954" s="17">
        <f>K954*0.08+L954*0.08</f>
        <v/>
      </c>
      <c r="O954" s="17">
        <f>-(K954*0.025+L954*0.025)</f>
        <v/>
      </c>
      <c r="P954" s="17">
        <f>32</f>
        <v/>
      </c>
      <c r="Q954" s="17">
        <f>J954+L954+N954+O954-P954-M954</f>
        <v/>
      </c>
    </row>
    <row r="955">
      <c r="A955" s="16" t="inlineStr">
        <is>
          <t>5.1-5.7</t>
        </is>
      </c>
      <c r="B955" s="16" t="inlineStr">
        <is>
          <t>PO-128-07763662551670349</t>
        </is>
      </c>
      <c r="C955" s="16" t="inlineStr">
        <is>
          <t>Delivered</t>
        </is>
      </c>
      <c r="D955" s="16" t="inlineStr">
        <is>
          <t>128-07763814595190349</t>
        </is>
      </c>
      <c r="E955" s="16" t="inlineStr">
        <is>
          <t>Delivered</t>
        </is>
      </c>
      <c r="F955" s="16" t="inlineStr">
        <is>
          <t>LV54W25</t>
        </is>
      </c>
      <c r="G955" s="16" t="inlineStr">
        <is>
          <t>TIANLAI Lámpara Ventilador E27 2 en 1, Silenciosa, LED Alta Luminosidad 180°, Instalación Rápida, Ahorro Energético para Dormitorio y Interiores Pequeños</t>
        </is>
      </c>
      <c r="H955" s="16" t="inlineStr">
        <is>
          <t>1 Pieza</t>
        </is>
      </c>
      <c r="I955" s="16" t="n">
        <v>1</v>
      </c>
      <c r="J955" s="17" t="n">
        <v>79.5</v>
      </c>
      <c r="K955" s="17" t="n">
        <v>83.17</v>
      </c>
      <c r="L955" s="17" t="n">
        <v>25.86</v>
      </c>
      <c r="M955" s="17" t="n">
        <v>0</v>
      </c>
      <c r="N955" s="17">
        <f>K955*0.08+L955*0.08</f>
        <v/>
      </c>
      <c r="O955" s="17">
        <f>-(K955*0.025+L955*0.025)</f>
        <v/>
      </c>
      <c r="P955" s="17">
        <f>32</f>
        <v/>
      </c>
      <c r="Q955" s="17">
        <f>J955+L955+N955+O955-P955-M955</f>
        <v/>
      </c>
    </row>
    <row r="956">
      <c r="A956" s="16" t="inlineStr">
        <is>
          <t>5.1-5.7</t>
        </is>
      </c>
      <c r="B956" s="16" t="inlineStr">
        <is>
          <t>PO-128-07852527391350842</t>
        </is>
      </c>
      <c r="C956" s="16" t="inlineStr">
        <is>
          <t>Delivered</t>
        </is>
      </c>
      <c r="D956" s="16" t="inlineStr">
        <is>
          <t>128-07852548362870842</t>
        </is>
      </c>
      <c r="E956" s="16" t="inlineStr">
        <is>
          <t>Delivered</t>
        </is>
      </c>
      <c r="F956" s="16" t="inlineStr">
        <is>
          <t>LV64W25</t>
        </is>
      </c>
      <c r="G9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56" s="16" t="inlineStr">
        <is>
          <t>Blanco</t>
        </is>
      </c>
      <c r="I956" s="16" t="n">
        <v>3</v>
      </c>
      <c r="J956" s="17" t="n">
        <v>369</v>
      </c>
      <c r="K956" s="17" t="n">
        <v>423.81</v>
      </c>
      <c r="L956" s="17" t="n">
        <v>0</v>
      </c>
      <c r="M956" s="17" t="n">
        <v>423.81</v>
      </c>
      <c r="N956" s="17">
        <f>K956*0.08+L956*0.08</f>
        <v/>
      </c>
      <c r="O956" s="17">
        <f>-(K956*0.025+L956*0.025)</f>
        <v/>
      </c>
      <c r="P956" s="17">
        <f>32</f>
        <v/>
      </c>
      <c r="Q956" s="17">
        <f>J956+L956+N956+O956-P956-M956</f>
        <v/>
      </c>
    </row>
    <row r="957">
      <c r="A957" s="16" t="inlineStr">
        <is>
          <t>5.1-5.7</t>
        </is>
      </c>
      <c r="B957" s="16" t="inlineStr">
        <is>
          <t>PO-128-07852104192630844</t>
        </is>
      </c>
      <c r="C957" s="16" t="inlineStr">
        <is>
          <t>Delivered</t>
        </is>
      </c>
      <c r="D957" s="16" t="inlineStr">
        <is>
          <t>128-07852209050230844</t>
        </is>
      </c>
      <c r="E957" s="16" t="inlineStr">
        <is>
          <t>Delivered</t>
        </is>
      </c>
      <c r="F957" s="16" t="inlineStr">
        <is>
          <t>LV54W25</t>
        </is>
      </c>
      <c r="G957" s="16" t="inlineStr">
        <is>
          <t>TIANLAI Lámpara Ventilador E27 2 en 1, Silenciosa, LED Alta Luminosidad 180°, Instalación Rápida, Ahorro Energético para Dormitorio y Interiores Pequeños</t>
        </is>
      </c>
      <c r="H957" s="16" t="inlineStr">
        <is>
          <t>1 Pieza</t>
        </is>
      </c>
      <c r="I957" s="16" t="n">
        <v>1</v>
      </c>
      <c r="J957" s="17" t="n">
        <v>79.5</v>
      </c>
      <c r="K957" s="17" t="n">
        <v>0.41</v>
      </c>
      <c r="L957" s="17" t="n">
        <v>25.86</v>
      </c>
      <c r="M957" s="17" t="n">
        <v>0</v>
      </c>
      <c r="N957" s="17">
        <f>K957*0.08+L957*0.08</f>
        <v/>
      </c>
      <c r="O957" s="17">
        <f>-(K957*0.025+L957*0.025)</f>
        <v/>
      </c>
      <c r="P957" s="17">
        <f>32</f>
        <v/>
      </c>
      <c r="Q957" s="17">
        <f>J957+L957+N957+O957-P957-M957</f>
        <v/>
      </c>
    </row>
    <row r="958">
      <c r="A958" s="16" t="inlineStr">
        <is>
          <t>5.1-5.7</t>
        </is>
      </c>
      <c r="B958" s="16" t="inlineStr">
        <is>
          <t>PO-128-08009636219514067</t>
        </is>
      </c>
      <c r="C958" s="16" t="inlineStr">
        <is>
          <t>Delivered</t>
        </is>
      </c>
      <c r="D958" s="16" t="inlineStr">
        <is>
          <t>128-08009615247994067</t>
        </is>
      </c>
      <c r="E958" s="16" t="inlineStr">
        <is>
          <t>Delivered</t>
        </is>
      </c>
      <c r="F958" s="16" t="inlineStr">
        <is>
          <t>LV54W25</t>
        </is>
      </c>
      <c r="G958" s="16" t="inlineStr">
        <is>
          <t>TIANLAI Lámpara Ventilador E27 2 en 1, Silenciosa, LED Alta Luminosidad 180°, Instalación Rápida, Ahorro Energético para Dormitorio y Interiores Pequeños</t>
        </is>
      </c>
      <c r="H958" s="16" t="inlineStr">
        <is>
          <t>1 Pieza</t>
        </is>
      </c>
      <c r="I958" s="16" t="n">
        <v>1</v>
      </c>
      <c r="J958" s="17" t="n">
        <v>79.5</v>
      </c>
      <c r="K958" s="17" t="n">
        <v>96.7</v>
      </c>
      <c r="L958" s="17" t="n">
        <v>25.86</v>
      </c>
      <c r="M958" s="17" t="n">
        <v>0</v>
      </c>
      <c r="N958" s="17">
        <f>K958*0.08+L958*0.08</f>
        <v/>
      </c>
      <c r="O958" s="17">
        <f>-(K958*0.025+L958*0.025)</f>
        <v/>
      </c>
      <c r="P958" s="17">
        <f>32</f>
        <v/>
      </c>
      <c r="Q958" s="17">
        <f>J958+L958+N958+O958-P958-M958</f>
        <v/>
      </c>
    </row>
    <row r="959">
      <c r="A959" s="16" t="inlineStr">
        <is>
          <t>5.1-5.7</t>
        </is>
      </c>
      <c r="B959" s="16" t="inlineStr">
        <is>
          <t>PO-128-07996209470074019</t>
        </is>
      </c>
      <c r="C959" s="16" t="inlineStr">
        <is>
          <t>Delivered</t>
        </is>
      </c>
      <c r="D959" s="16" t="inlineStr">
        <is>
          <t>128-07996261898874019</t>
        </is>
      </c>
      <c r="E959" s="16" t="inlineStr">
        <is>
          <t>Delivered</t>
        </is>
      </c>
      <c r="F959" s="16" t="inlineStr">
        <is>
          <t>VB349T</t>
        </is>
      </c>
      <c r="G959" s="16" t="inlineStr">
        <is>
          <t>LINKBITS Altavoz Portátil de Doble Altavoz - 3 Pulgadas, Sonido HD, Emparejamiento Rápido de Bluetooth, Conectividad TWS, Reproducción Multimodo (Micro SD/USB/Radio FM) - Perfecto para Oficina, Viajes y Espacios Pequeños</t>
        </is>
      </c>
      <c r="H959" s="16" t="inlineStr">
        <is>
          <t>NEGRO</t>
        </is>
      </c>
      <c r="I959" s="16" t="n">
        <v>1</v>
      </c>
      <c r="J959" s="17" t="n">
        <v>81</v>
      </c>
      <c r="K959" s="17" t="n">
        <v>94.26000000000001</v>
      </c>
      <c r="L959" s="17" t="n">
        <v>25.86</v>
      </c>
      <c r="M959" s="17" t="n">
        <v>0</v>
      </c>
      <c r="N959" s="17">
        <f>K959*0.08+L959*0.08</f>
        <v/>
      </c>
      <c r="O959" s="17">
        <f>-(K959*0.025+L959*0.025)</f>
        <v/>
      </c>
      <c r="P959" s="17">
        <f>32</f>
        <v/>
      </c>
      <c r="Q959" s="17">
        <f>J959+L959+N959+O959-P959-M959</f>
        <v/>
      </c>
    </row>
    <row r="960">
      <c r="A960" s="16" t="inlineStr">
        <is>
          <t>5.1-5.7</t>
        </is>
      </c>
      <c r="B960" s="16" t="inlineStr">
        <is>
          <t>PO-128-07885374597750518</t>
        </is>
      </c>
      <c r="C960" s="16" t="inlineStr">
        <is>
          <t>Delivered</t>
        </is>
      </c>
      <c r="D960" s="16" t="inlineStr">
        <is>
          <t>128-07885332654710518</t>
        </is>
      </c>
      <c r="E960" s="16" t="inlineStr">
        <is>
          <t>Delivered</t>
        </is>
      </c>
      <c r="F960" s="16" t="inlineStr">
        <is>
          <t>LV54W25</t>
        </is>
      </c>
      <c r="G960" s="16" t="inlineStr">
        <is>
          <t>TIANLAI Lámpara Ventilador E27 2 en 1, Silenciosa, LED Alta Luminosidad 180°, Instalación Rápida, Ahorro Energético para Dormitorio y Interiores Pequeños</t>
        </is>
      </c>
      <c r="H960" s="16" t="inlineStr">
        <is>
          <t>1 Pieza</t>
        </is>
      </c>
      <c r="I960" s="16" t="n">
        <v>1</v>
      </c>
      <c r="J960" s="17" t="n">
        <v>79.5</v>
      </c>
      <c r="K960" s="17" t="n">
        <v>83.17</v>
      </c>
      <c r="L960" s="17" t="n">
        <v>25.86</v>
      </c>
      <c r="M960" s="17" t="n">
        <v>0</v>
      </c>
      <c r="N960" s="17">
        <f>K960*0.08+L960*0.08</f>
        <v/>
      </c>
      <c r="O960" s="17">
        <f>-(K960*0.025+L960*0.025)</f>
        <v/>
      </c>
      <c r="P960" s="17">
        <f>32</f>
        <v/>
      </c>
      <c r="Q960" s="17">
        <f>J960+L960+N960+O960-P960-M960</f>
        <v/>
      </c>
    </row>
    <row r="961">
      <c r="A961" s="16" t="inlineStr">
        <is>
          <t>5.1-5.7</t>
        </is>
      </c>
      <c r="B961" s="16" t="inlineStr">
        <is>
          <t>PO-128-07926298665593346</t>
        </is>
      </c>
      <c r="C961" s="16" t="inlineStr">
        <is>
          <t>Delivered</t>
        </is>
      </c>
      <c r="D961" s="16" t="inlineStr">
        <is>
          <t>128-07926277694073346</t>
        </is>
      </c>
      <c r="E961" s="16" t="inlineStr">
        <is>
          <t>Delivered</t>
        </is>
      </c>
      <c r="F961" s="16" t="inlineStr">
        <is>
          <t>LV64W25</t>
        </is>
      </c>
      <c r="G9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61" s="16" t="inlineStr">
        <is>
          <t>Blanco</t>
        </is>
      </c>
      <c r="I961" s="16" t="n">
        <v>4</v>
      </c>
      <c r="J961" s="17" t="n">
        <v>492</v>
      </c>
      <c r="K961" s="17" t="n">
        <v>514.24</v>
      </c>
      <c r="L961" s="17" t="n">
        <v>0</v>
      </c>
      <c r="M961" s="17" t="n">
        <v>0</v>
      </c>
      <c r="N961" s="17">
        <f>K961*0.08+L961*0.08</f>
        <v/>
      </c>
      <c r="O961" s="17">
        <f>-(K961*0.025+L961*0.025)</f>
        <v/>
      </c>
      <c r="P961" s="17">
        <f>32</f>
        <v/>
      </c>
      <c r="Q961" s="17">
        <f>J961+L961+N961+O961-P961-M961</f>
        <v/>
      </c>
    </row>
    <row r="962">
      <c r="A962" s="16" t="inlineStr">
        <is>
          <t>5.1-5.7</t>
        </is>
      </c>
      <c r="B962" s="16" t="inlineStr">
        <is>
          <t>PO-128-07722285097591618</t>
        </is>
      </c>
      <c r="C962" s="16" t="inlineStr">
        <is>
          <t>Delivered</t>
        </is>
      </c>
      <c r="D962" s="16" t="inlineStr">
        <is>
          <t>128-07722327040631618</t>
        </is>
      </c>
      <c r="E962" s="16" t="inlineStr">
        <is>
          <t>Delivered</t>
        </is>
      </c>
      <c r="F962" s="16" t="inlineStr">
        <is>
          <t>LV64W25</t>
        </is>
      </c>
      <c r="G9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62" s="16" t="inlineStr">
        <is>
          <t>Blanco</t>
        </is>
      </c>
      <c r="I962" s="16" t="n">
        <v>1</v>
      </c>
      <c r="J962" s="17" t="n">
        <v>123</v>
      </c>
      <c r="K962" s="17" t="n">
        <v>141.27</v>
      </c>
      <c r="L962" s="17" t="n">
        <v>25.86</v>
      </c>
      <c r="M962" s="17" t="n">
        <v>0</v>
      </c>
      <c r="N962" s="17">
        <f>K962*0.08+L962*0.08</f>
        <v/>
      </c>
      <c r="O962" s="17">
        <f>-(K962*0.025+L962*0.025)</f>
        <v/>
      </c>
      <c r="P962" s="17">
        <f>32</f>
        <v/>
      </c>
      <c r="Q962" s="17">
        <f>J962+L962+N962+O962-P962-M962</f>
        <v/>
      </c>
    </row>
    <row r="963">
      <c r="A963" s="16" t="inlineStr">
        <is>
          <t>5.1-5.7</t>
        </is>
      </c>
      <c r="B963" s="16" t="inlineStr">
        <is>
          <t>PO-128-07971018394233080</t>
        </is>
      </c>
      <c r="C963" s="16" t="inlineStr">
        <is>
          <t>Delivered</t>
        </is>
      </c>
      <c r="D963" s="16" t="inlineStr">
        <is>
          <t>128-07970976451193080</t>
        </is>
      </c>
      <c r="E963" s="16" t="inlineStr">
        <is>
          <t>Delivered</t>
        </is>
      </c>
      <c r="F963" s="16" t="inlineStr">
        <is>
          <t>LV64W25</t>
        </is>
      </c>
      <c r="G9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63" s="16" t="inlineStr">
        <is>
          <t>Blanco</t>
        </is>
      </c>
      <c r="I963" s="16" t="n">
        <v>1</v>
      </c>
      <c r="J963" s="17" t="n">
        <v>123</v>
      </c>
      <c r="K963" s="17" t="n">
        <v>42.35</v>
      </c>
      <c r="L963" s="17" t="n">
        <v>25.86</v>
      </c>
      <c r="M963" s="17" t="n">
        <v>0</v>
      </c>
      <c r="N963" s="17">
        <f>K963*0.08+L963*0.08</f>
        <v/>
      </c>
      <c r="O963" s="17">
        <f>-(K963*0.025+L963*0.025)</f>
        <v/>
      </c>
      <c r="P963" s="17">
        <f>32</f>
        <v/>
      </c>
      <c r="Q963" s="17">
        <f>J963+L963+N963+O963-P963-M963</f>
        <v/>
      </c>
    </row>
    <row r="964">
      <c r="A964" s="16" t="inlineStr">
        <is>
          <t>5.1-5.7</t>
        </is>
      </c>
      <c r="B964" s="16" t="inlineStr">
        <is>
          <t>PO-128-08221174088312804</t>
        </is>
      </c>
      <c r="C964" s="16" t="inlineStr">
        <is>
          <t>Delivered</t>
        </is>
      </c>
      <c r="D964" s="16" t="inlineStr">
        <is>
          <t>128-08221333996152804</t>
        </is>
      </c>
      <c r="E964" s="16" t="inlineStr">
        <is>
          <t>Delivered</t>
        </is>
      </c>
      <c r="F964" s="16" t="inlineStr">
        <is>
          <t>LV64W25</t>
        </is>
      </c>
      <c r="G9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64" s="16" t="inlineStr">
        <is>
          <t>Blanco</t>
        </is>
      </c>
      <c r="I964" s="16" t="n">
        <v>2</v>
      </c>
      <c r="J964" s="17" t="n">
        <v>246</v>
      </c>
      <c r="K964" s="17" t="n">
        <v>257.12</v>
      </c>
      <c r="L964" s="17" t="n">
        <v>0</v>
      </c>
      <c r="M964" s="17" t="n">
        <v>7.26</v>
      </c>
      <c r="N964" s="17">
        <f>K964*0.08+L964*0.08</f>
        <v/>
      </c>
      <c r="O964" s="17">
        <f>-(K964*0.025+L964*0.025)</f>
        <v/>
      </c>
      <c r="P964" s="17">
        <f>32</f>
        <v/>
      </c>
      <c r="Q964" s="17">
        <f>J964+L964+N964+O964-P964-M964</f>
        <v/>
      </c>
    </row>
    <row r="965">
      <c r="A965" s="16" t="inlineStr">
        <is>
          <t>5.1-5.7</t>
        </is>
      </c>
      <c r="B965" s="16" t="inlineStr">
        <is>
          <t>PO-128-08074931354232460</t>
        </is>
      </c>
      <c r="C965" s="16" t="inlineStr">
        <is>
          <t>Delivered</t>
        </is>
      </c>
      <c r="D965" s="16" t="inlineStr">
        <is>
          <t>128-08074899896952460</t>
        </is>
      </c>
      <c r="E965" s="16" t="inlineStr">
        <is>
          <t>Delivered</t>
        </is>
      </c>
      <c r="F965" s="16" t="inlineStr">
        <is>
          <t>LV64W25</t>
        </is>
      </c>
      <c r="G9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65" s="16" t="inlineStr">
        <is>
          <t>Blanco</t>
        </is>
      </c>
      <c r="I965" s="16" t="n">
        <v>1</v>
      </c>
      <c r="J965" s="17" t="n">
        <v>123</v>
      </c>
      <c r="K965" s="17" t="n">
        <v>84.76000000000001</v>
      </c>
      <c r="L965" s="17" t="n">
        <v>25.86</v>
      </c>
      <c r="M965" s="17" t="n">
        <v>2.4</v>
      </c>
      <c r="N965" s="17">
        <f>K965*0.08+L965*0.08</f>
        <v/>
      </c>
      <c r="O965" s="17">
        <f>-(K965*0.025+L965*0.025)</f>
        <v/>
      </c>
      <c r="P965" s="17">
        <f>32</f>
        <v/>
      </c>
      <c r="Q965" s="17">
        <f>J965+L965+N965+O965-P965-M965</f>
        <v/>
      </c>
    </row>
    <row r="966">
      <c r="A966" s="16" t="inlineStr">
        <is>
          <t>5.1-5.7</t>
        </is>
      </c>
      <c r="B966" s="16" t="inlineStr">
        <is>
          <t>PO-128-07985358336633186</t>
        </is>
      </c>
      <c r="C966" s="16" t="inlineStr">
        <is>
          <t>Delivered</t>
        </is>
      </c>
      <c r="D966" s="16" t="inlineStr">
        <is>
          <t>128-07985337365113186</t>
        </is>
      </c>
      <c r="E966" s="16" t="inlineStr">
        <is>
          <t>Delivered</t>
        </is>
      </c>
      <c r="F966" s="16" t="inlineStr">
        <is>
          <t>TL2663N18C</t>
        </is>
      </c>
      <c r="G966" s="16" t="inlineStr">
        <is>
          <t>Linkbits，Soporte de pared fijo para televisores de 26"-63", Ultra-Delgado Compatible con VESA 400x400mm, Capacidad de Peso Fuerte de 25KG, Instalación Fácil Sin Electricidad</t>
        </is>
      </c>
      <c r="H966" s="16" t="inlineStr">
        <is>
          <t>NEGRO</t>
        </is>
      </c>
      <c r="I966" s="16" t="n">
        <v>1</v>
      </c>
      <c r="J966" s="17" t="n">
        <v>55.5</v>
      </c>
      <c r="K966" s="17" t="n">
        <v>70.48</v>
      </c>
      <c r="L966" s="17" t="n">
        <v>25.86</v>
      </c>
      <c r="M966" s="17" t="n">
        <v>0</v>
      </c>
      <c r="N966" s="17">
        <f>K966*0.08+L966*0.08</f>
        <v/>
      </c>
      <c r="O966" s="17">
        <f>-(K966*0.025+L966*0.025)</f>
        <v/>
      </c>
      <c r="P966" s="17">
        <f>32</f>
        <v/>
      </c>
      <c r="Q966" s="17">
        <f>J966+L966+N966+O966-P966-M966</f>
        <v/>
      </c>
    </row>
    <row r="967">
      <c r="A967" s="16" t="inlineStr">
        <is>
          <t>5.1-5.7</t>
        </is>
      </c>
      <c r="B967" s="16" t="inlineStr">
        <is>
          <t>PO-128-07652445973111970</t>
        </is>
      </c>
      <c r="C967" s="16" t="inlineStr">
        <is>
          <t>Delivered</t>
        </is>
      </c>
      <c r="D967" s="16" t="inlineStr">
        <is>
          <t>128-07652550830711970</t>
        </is>
      </c>
      <c r="E967" s="16" t="inlineStr">
        <is>
          <t>Delivered</t>
        </is>
      </c>
      <c r="F967" s="16" t="inlineStr">
        <is>
          <t>BG-115-B</t>
        </is>
      </c>
      <c r="G967" s="16" t="inlineStr">
        <is>
          <t>LINK BITS Audífonos Inalámbricos con Luces Multicolor, Recargables y en Adorable Forma de Orejas de Gato - Conecta a Celulares y PCs, Tiene Radio FM, Tarjeta TF y AUX - 7 Horas de Reproducción, Plegables y Perfectos para Trabajo, Juegos y Estudio</t>
        </is>
      </c>
      <c r="H967" s="16" t="inlineStr">
        <is>
          <t>blanco</t>
        </is>
      </c>
      <c r="I967" s="16" t="n">
        <v>1</v>
      </c>
      <c r="J967" s="17" t="n">
        <v>76</v>
      </c>
      <c r="K967" s="17" t="n">
        <v>26.38</v>
      </c>
      <c r="L967" s="17" t="n">
        <v>25.86</v>
      </c>
      <c r="M967" s="17" t="n">
        <v>0</v>
      </c>
      <c r="N967" s="17">
        <f>K967*0.08+L967*0.08</f>
        <v/>
      </c>
      <c r="O967" s="17">
        <f>-(K967*0.025+L967*0.025)</f>
        <v/>
      </c>
      <c r="P967" s="17">
        <f>32</f>
        <v/>
      </c>
      <c r="Q967" s="17">
        <f>J967+L967+N967+O967-P967-M967</f>
        <v/>
      </c>
    </row>
    <row r="968">
      <c r="A968" s="16" t="inlineStr">
        <is>
          <t>5.1-5.7</t>
        </is>
      </c>
      <c r="B968" s="16" t="inlineStr">
        <is>
          <t>PO-128-08181824819833041</t>
        </is>
      </c>
      <c r="C968" s="16" t="inlineStr">
        <is>
          <t>Delivered</t>
        </is>
      </c>
      <c r="D968" s="16" t="inlineStr">
        <is>
          <t>128-08181803848313041</t>
        </is>
      </c>
      <c r="E968" s="16" t="inlineStr">
        <is>
          <t>Delivered</t>
        </is>
      </c>
      <c r="F968" s="16" t="inlineStr">
        <is>
          <t>LV54W25</t>
        </is>
      </c>
      <c r="G968" s="16" t="inlineStr">
        <is>
          <t>TIANLAI Lámpara Ventilador E27 2 en 1, Silenciosa, LED Alta Luminosidad 180°, Instalación Rápida, Ahorro Energético para Dormitorio y Interiores Pequeños</t>
        </is>
      </c>
      <c r="H968" s="16" t="inlineStr">
        <is>
          <t>1 Pieza</t>
        </is>
      </c>
      <c r="I968" s="16" t="n">
        <v>1</v>
      </c>
      <c r="J968" s="17" t="n">
        <v>79.5</v>
      </c>
      <c r="K968" s="17" t="n">
        <v>21.28</v>
      </c>
      <c r="L968" s="17" t="n">
        <v>25.86</v>
      </c>
      <c r="M968" s="17" t="n">
        <v>0</v>
      </c>
      <c r="N968" s="17">
        <f>K968*0.08+L968*0.08</f>
        <v/>
      </c>
      <c r="O968" s="17">
        <f>-(K968*0.025+L968*0.025)</f>
        <v/>
      </c>
      <c r="P968" s="17">
        <f>32</f>
        <v/>
      </c>
      <c r="Q968" s="17">
        <f>J968+L968+N968+O968-P968-M968</f>
        <v/>
      </c>
    </row>
    <row r="969">
      <c r="A969" s="16" t="inlineStr">
        <is>
          <t>5.1-5.7</t>
        </is>
      </c>
      <c r="B969" s="16" t="inlineStr">
        <is>
          <t>PO-128-07783624817270164</t>
        </is>
      </c>
      <c r="C969" s="16" t="inlineStr">
        <is>
          <t>Delivered</t>
        </is>
      </c>
      <c r="D969" s="16" t="inlineStr">
        <is>
          <t>128-07783627438710164</t>
        </is>
      </c>
      <c r="E969" s="16" t="inlineStr">
        <is>
          <t>Delivered</t>
        </is>
      </c>
      <c r="F969" s="16" t="inlineStr">
        <is>
          <t>LV54W25</t>
        </is>
      </c>
      <c r="G969" s="16" t="inlineStr">
        <is>
          <t>TIANLAI Lámpara Ventilador E27 2 en 1, Silenciosa, LED Alta Luminosidad 180°, Instalación Rápida, Ahorro Energético para Dormitorio y Interiores Pequeños</t>
        </is>
      </c>
      <c r="H969" s="16" t="inlineStr">
        <is>
          <t>1 Pieza</t>
        </is>
      </c>
      <c r="I969" s="16" t="n">
        <v>1</v>
      </c>
      <c r="J969" s="17" t="n">
        <v>79.5</v>
      </c>
      <c r="K969" s="17" t="n">
        <v>92.81</v>
      </c>
      <c r="L969" s="17" t="n">
        <v>25.86</v>
      </c>
      <c r="M969" s="17" t="n">
        <v>0</v>
      </c>
      <c r="N969" s="17">
        <f>K969*0.08+L969*0.08</f>
        <v/>
      </c>
      <c r="O969" s="17">
        <f>-(K969*0.025+L969*0.025)</f>
        <v/>
      </c>
      <c r="P969" s="17">
        <f>32</f>
        <v/>
      </c>
      <c r="Q969" s="17">
        <f>J969+L969+N969+O969-P969-M969</f>
        <v/>
      </c>
    </row>
    <row r="970">
      <c r="A970" s="16" t="inlineStr">
        <is>
          <t>5.1-5.7</t>
        </is>
      </c>
      <c r="B970" s="16" t="inlineStr">
        <is>
          <t>PO-128-07615994583671228</t>
        </is>
      </c>
      <c r="C970" s="16" t="inlineStr">
        <is>
          <t>Delivered</t>
        </is>
      </c>
      <c r="D970" s="16" t="inlineStr">
        <is>
          <t>128-07615952640631228</t>
        </is>
      </c>
      <c r="E970" s="16" t="inlineStr">
        <is>
          <t>Delivered</t>
        </is>
      </c>
      <c r="F970" s="16" t="inlineStr">
        <is>
          <t>LV54W25</t>
        </is>
      </c>
      <c r="G970" s="16" t="inlineStr">
        <is>
          <t>TIANLAI Lámpara Ventilador E27 2 en 1, Silenciosa, LED Alta Luminosidad 180°, Instalación Rápida, Ahorro Energético para Dormitorio y Interiores Pequeños</t>
        </is>
      </c>
      <c r="H970" s="16" t="inlineStr">
        <is>
          <t>1 Pieza</t>
        </is>
      </c>
      <c r="I970" s="16" t="n">
        <v>3</v>
      </c>
      <c r="J970" s="17" t="n">
        <v>238.5</v>
      </c>
      <c r="K970" s="17" t="n">
        <v>199.61</v>
      </c>
      <c r="L970" s="17" t="n">
        <v>0</v>
      </c>
      <c r="M970" s="17" t="n">
        <v>0</v>
      </c>
      <c r="N970" s="17">
        <f>K970*0.08+L970*0.08</f>
        <v/>
      </c>
      <c r="O970" s="17">
        <f>-(K970*0.025+L970*0.025)</f>
        <v/>
      </c>
      <c r="P970" s="17">
        <f>32</f>
        <v/>
      </c>
      <c r="Q970" s="17">
        <f>J970+L970+N970+O970-P970-M970</f>
        <v/>
      </c>
    </row>
    <row r="971">
      <c r="A971" s="16" t="inlineStr">
        <is>
          <t>5.1-5.7</t>
        </is>
      </c>
      <c r="B971" s="16" t="inlineStr">
        <is>
          <t>PO-128-08230825728632621</t>
        </is>
      </c>
      <c r="C971" s="16" t="inlineStr">
        <is>
          <t>Delivered</t>
        </is>
      </c>
      <c r="D971" s="16" t="inlineStr">
        <is>
          <t>128-08230893886072621</t>
        </is>
      </c>
      <c r="E971" s="16" t="inlineStr">
        <is>
          <t>Delivered</t>
        </is>
      </c>
      <c r="F971" s="16" t="inlineStr">
        <is>
          <t>LV64W25</t>
        </is>
      </c>
      <c r="G9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71" s="16" t="inlineStr">
        <is>
          <t>Blanco</t>
        </is>
      </c>
      <c r="I971" s="16" t="n">
        <v>2</v>
      </c>
      <c r="J971" s="17" t="n">
        <v>246</v>
      </c>
      <c r="K971" s="17" t="n">
        <v>257.12</v>
      </c>
      <c r="L971" s="17" t="n">
        <v>0</v>
      </c>
      <c r="M971" s="17" t="n">
        <v>0</v>
      </c>
      <c r="N971" s="17">
        <f>K971*0.08+L971*0.08</f>
        <v/>
      </c>
      <c r="O971" s="17">
        <f>-(K971*0.025+L971*0.025)</f>
        <v/>
      </c>
      <c r="P971" s="17">
        <f>32</f>
        <v/>
      </c>
      <c r="Q971" s="17">
        <f>J971+L971+N971+O971-P971-M971</f>
        <v/>
      </c>
    </row>
    <row r="972">
      <c r="A972" s="16" t="inlineStr">
        <is>
          <t>5.1-5.7</t>
        </is>
      </c>
      <c r="B972" s="16" t="inlineStr">
        <is>
          <t>PO-128-08048247951993837</t>
        </is>
      </c>
      <c r="C972" s="16" t="inlineStr">
        <is>
          <t>Delivered</t>
        </is>
      </c>
      <c r="D972" s="16" t="inlineStr">
        <is>
          <t>128-08048232223353837</t>
        </is>
      </c>
      <c r="E972" s="16" t="inlineStr">
        <is>
          <t>Delivered</t>
        </is>
      </c>
      <c r="F972" s="16" t="inlineStr">
        <is>
          <t>LV64W25</t>
        </is>
      </c>
      <c r="G9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72" s="16" t="inlineStr">
        <is>
          <t>Blanco</t>
        </is>
      </c>
      <c r="I972" s="16" t="n">
        <v>1</v>
      </c>
      <c r="J972" s="17" t="n">
        <v>123</v>
      </c>
      <c r="K972" s="17" t="n">
        <v>126.45</v>
      </c>
      <c r="L972" s="17" t="n">
        <v>25.86</v>
      </c>
      <c r="M972" s="17" t="n">
        <v>0</v>
      </c>
      <c r="N972" s="17">
        <f>K972*0.08+L972*0.08</f>
        <v/>
      </c>
      <c r="O972" s="17">
        <f>-(K972*0.025+L972*0.025)</f>
        <v/>
      </c>
      <c r="P972" s="17">
        <f>32</f>
        <v/>
      </c>
      <c r="Q972" s="17">
        <f>J972+L972+N972+O972-P972-M972</f>
        <v/>
      </c>
    </row>
    <row r="973">
      <c r="A973" s="16" t="inlineStr">
        <is>
          <t>5.1-5.7</t>
        </is>
      </c>
      <c r="B973" s="16" t="inlineStr">
        <is>
          <t>PO-128-08205858878072704</t>
        </is>
      </c>
      <c r="C973" s="16" t="inlineStr">
        <is>
          <t>Delivered</t>
        </is>
      </c>
      <c r="D973" s="16" t="inlineStr">
        <is>
          <t>128-08205879849592704</t>
        </is>
      </c>
      <c r="E973" s="16" t="inlineStr">
        <is>
          <t>Delivered</t>
        </is>
      </c>
      <c r="F973" s="16" t="inlineStr">
        <is>
          <t>LV64W25</t>
        </is>
      </c>
      <c r="G9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73" s="16" t="inlineStr">
        <is>
          <t>Blanco</t>
        </is>
      </c>
      <c r="I973" s="16" t="n">
        <v>2</v>
      </c>
      <c r="J973" s="17" t="n">
        <v>246</v>
      </c>
      <c r="K973" s="17" t="n">
        <v>282.54</v>
      </c>
      <c r="L973" s="17" t="n">
        <v>0</v>
      </c>
      <c r="M973" s="17" t="n">
        <v>0</v>
      </c>
      <c r="N973" s="17">
        <f>K973*0.08+L973*0.08</f>
        <v/>
      </c>
      <c r="O973" s="17">
        <f>-(K973*0.025+L973*0.025)</f>
        <v/>
      </c>
      <c r="P973" s="17">
        <f>32</f>
        <v/>
      </c>
      <c r="Q973" s="17">
        <f>J973+L973+N973+O973-P973-M973</f>
        <v/>
      </c>
    </row>
    <row r="974">
      <c r="A974" s="16" t="inlineStr">
        <is>
          <t>5.1-5.7</t>
        </is>
      </c>
      <c r="B974" s="16" t="inlineStr">
        <is>
          <t>PO-128-07904359455353479</t>
        </is>
      </c>
      <c r="C974" s="16" t="inlineStr">
        <is>
          <t>Delivered</t>
        </is>
      </c>
      <c r="D974" s="16" t="inlineStr">
        <is>
          <t>128-07904288676473479</t>
        </is>
      </c>
      <c r="E974" s="16" t="inlineStr">
        <is>
          <t>Delivered</t>
        </is>
      </c>
      <c r="F974" s="16" t="inlineStr">
        <is>
          <t>LV54W25</t>
        </is>
      </c>
      <c r="G974" s="16" t="inlineStr">
        <is>
          <t>TIANLAI Lámpara Ventilador E27 2 en 1, Silenciosa, LED Alta Luminosidad 180°, Instalación Rápida, Ahorro Energético para Dormitorio y Interiores Pequeños</t>
        </is>
      </c>
      <c r="H974" s="16" t="inlineStr">
        <is>
          <t>1 Pieza</t>
        </is>
      </c>
      <c r="I974" s="16" t="n">
        <v>1</v>
      </c>
      <c r="J974" s="17" t="n">
        <v>79.5</v>
      </c>
      <c r="K974" s="17" t="n">
        <v>58.22</v>
      </c>
      <c r="L974" s="17" t="n">
        <v>25.86</v>
      </c>
      <c r="M974" s="17" t="n">
        <v>0</v>
      </c>
      <c r="N974" s="17">
        <f>K974*0.08+L974*0.08</f>
        <v/>
      </c>
      <c r="O974" s="17">
        <f>-(K974*0.025+L974*0.025)</f>
        <v/>
      </c>
      <c r="P974" s="17">
        <f>32</f>
        <v/>
      </c>
      <c r="Q974" s="17">
        <f>J974+L974+N974+O974-P974-M974</f>
        <v/>
      </c>
    </row>
    <row r="975">
      <c r="A975" s="16" t="inlineStr">
        <is>
          <t>5.1-5.7</t>
        </is>
      </c>
      <c r="B975" s="16" t="inlineStr">
        <is>
          <t>PO-128-08163736177272957</t>
        </is>
      </c>
      <c r="C975" s="16" t="inlineStr">
        <is>
          <t>Delivered</t>
        </is>
      </c>
      <c r="D975" s="16" t="inlineStr">
        <is>
          <t>128-08163757148792957</t>
        </is>
      </c>
      <c r="E975" s="16" t="inlineStr">
        <is>
          <t>Delivered</t>
        </is>
      </c>
      <c r="F975" s="16" t="inlineStr">
        <is>
          <t>TLCD02-8P</t>
        </is>
      </c>
      <c r="G97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975" s="16" t="inlineStr">
        <is>
          <t>color aleatorio/pantalla de 8.5 pulgadas</t>
        </is>
      </c>
      <c r="I975" s="16" t="n">
        <v>1</v>
      </c>
      <c r="J975" s="17" t="n">
        <v>25</v>
      </c>
      <c r="K975" s="17" t="n">
        <v>27.07</v>
      </c>
      <c r="L975" s="17" t="n">
        <v>25.86</v>
      </c>
      <c r="M975" s="17" t="n">
        <v>0</v>
      </c>
      <c r="N975" s="17">
        <f>K975*0.08+L975*0.08</f>
        <v/>
      </c>
      <c r="O975" s="17">
        <f>-(K975*0.025+L975*0.025)</f>
        <v/>
      </c>
      <c r="P975" s="17">
        <f>32</f>
        <v/>
      </c>
      <c r="Q975" s="17">
        <f>J975+L975+N975+O975-P975-M975</f>
        <v/>
      </c>
    </row>
    <row r="976">
      <c r="A976" s="16" t="inlineStr">
        <is>
          <t>5.1-5.7</t>
        </is>
      </c>
      <c r="B976" s="16" t="inlineStr">
        <is>
          <t>PO-128-07802459136630052</t>
        </is>
      </c>
      <c r="C976" s="16" t="inlineStr">
        <is>
          <t>Delivered</t>
        </is>
      </c>
      <c r="D976" s="16" t="inlineStr">
        <is>
          <t>128-07802493215350052</t>
        </is>
      </c>
      <c r="E976" s="16" t="inlineStr">
        <is>
          <t>Delivered</t>
        </is>
      </c>
      <c r="F976" s="16" t="inlineStr">
        <is>
          <t>SB428T</t>
        </is>
      </c>
      <c r="G976" s="16" t="inlineStr">
        <is>
          <t>LINK BITS La bocina es tu compañero ideal para reuniones en México! Equipada con 2 altavoces de 4 pulgadas y potencia 5W×2, USB y TF, funciona sin internet—perfecta para picnics, fiestas en el jardín o relajación en la terraza.</t>
        </is>
      </c>
      <c r="H976" s="16" t="inlineStr">
        <is>
          <t>SB428T</t>
        </is>
      </c>
      <c r="I976" s="16" t="n">
        <v>1</v>
      </c>
      <c r="J976" s="17" t="n">
        <v>97</v>
      </c>
      <c r="K976" s="17" t="n">
        <v>115.5</v>
      </c>
      <c r="L976" s="17" t="n">
        <v>25.86</v>
      </c>
      <c r="M976" s="17" t="n">
        <v>0</v>
      </c>
      <c r="N976" s="17">
        <f>K976*0.08+L976*0.08</f>
        <v/>
      </c>
      <c r="O976" s="17">
        <f>-(K976*0.025+L976*0.025)</f>
        <v/>
      </c>
      <c r="P976" s="17">
        <f>32</f>
        <v/>
      </c>
      <c r="Q976" s="17">
        <f>J976+L976+N976+O976-P976-M976</f>
        <v/>
      </c>
    </row>
    <row r="977">
      <c r="A977" s="16" t="inlineStr">
        <is>
          <t>5.1-5.7</t>
        </is>
      </c>
      <c r="B977" s="16" t="inlineStr">
        <is>
          <t>PO-128-08196554834552889</t>
        </is>
      </c>
      <c r="C977" s="16" t="inlineStr">
        <is>
          <t>Delivered</t>
        </is>
      </c>
      <c r="D977" s="16" t="inlineStr">
        <is>
          <t>128-08196630856312889</t>
        </is>
      </c>
      <c r="E977" s="16" t="inlineStr">
        <is>
          <t>Delivered</t>
        </is>
      </c>
      <c r="F977" s="16" t="inlineStr">
        <is>
          <t>LV54W25</t>
        </is>
      </c>
      <c r="G977" s="16" t="inlineStr">
        <is>
          <t>TIANLAI Lámpara Ventilador E27 2 en 1, Silenciosa, LED Alta Luminosidad 180°, Instalación Rápida, Ahorro Energético para Dormitorio y Interiores Pequeños</t>
        </is>
      </c>
      <c r="H977" s="16" t="inlineStr">
        <is>
          <t>1 Pieza</t>
        </is>
      </c>
      <c r="I977" s="16" t="n">
        <v>1</v>
      </c>
      <c r="J977" s="17" t="n">
        <v>79.5</v>
      </c>
      <c r="K977" s="17" t="n">
        <v>83.17</v>
      </c>
      <c r="L977" s="17" t="n">
        <v>25.86</v>
      </c>
      <c r="M977" s="17" t="n">
        <v>0</v>
      </c>
      <c r="N977" s="17">
        <f>K977*0.08+L977*0.08</f>
        <v/>
      </c>
      <c r="O977" s="17">
        <f>-(K977*0.025+L977*0.025)</f>
        <v/>
      </c>
      <c r="P977" s="17">
        <f>32</f>
        <v/>
      </c>
      <c r="Q977" s="17">
        <f>J977+L977+N977+O977-P977-M977</f>
        <v/>
      </c>
    </row>
    <row r="978">
      <c r="A978" s="16" t="inlineStr">
        <is>
          <t>5.1-5.7</t>
        </is>
      </c>
      <c r="B978" s="16" t="inlineStr">
        <is>
          <t>PO-128-07741170074230418</t>
        </is>
      </c>
      <c r="C978" s="16" t="inlineStr">
        <is>
          <t>Delivered</t>
        </is>
      </c>
      <c r="D978" s="16" t="inlineStr">
        <is>
          <t>128-07741128131190418</t>
        </is>
      </c>
      <c r="E978" s="16" t="inlineStr">
        <is>
          <t>Delivered</t>
        </is>
      </c>
      <c r="F978" s="16" t="inlineStr">
        <is>
          <t>LV54W25</t>
        </is>
      </c>
      <c r="G978" s="16" t="inlineStr">
        <is>
          <t>TIANLAI Lámpara Ventilador E27 2 en 1, Silenciosa, LED Alta Luminosidad 180°, Instalación Rápida, Ahorro Energético para Dormitorio y Interiores Pequeños</t>
        </is>
      </c>
      <c r="H978" s="16" t="inlineStr">
        <is>
          <t>1 Pieza</t>
        </is>
      </c>
      <c r="I978" s="16" t="n">
        <v>4</v>
      </c>
      <c r="J978" s="17" t="n">
        <v>318</v>
      </c>
      <c r="K978" s="17" t="n">
        <v>332.68</v>
      </c>
      <c r="L978" s="17" t="n">
        <v>0</v>
      </c>
      <c r="M978" s="17" t="n">
        <v>0</v>
      </c>
      <c r="N978" s="17">
        <f>K978*0.08+L978*0.08</f>
        <v/>
      </c>
      <c r="O978" s="17">
        <f>-(K978*0.025+L978*0.025)</f>
        <v/>
      </c>
      <c r="P978" s="17">
        <f>32</f>
        <v/>
      </c>
      <c r="Q978" s="17">
        <f>J978+L978+N978+O978-P978-M978</f>
        <v/>
      </c>
    </row>
    <row r="979">
      <c r="A979" s="16" t="inlineStr">
        <is>
          <t>5.1-5.7</t>
        </is>
      </c>
      <c r="B979" s="16" t="inlineStr">
        <is>
          <t>PO-128-08120523141752188</t>
        </is>
      </c>
      <c r="C979" s="16" t="inlineStr">
        <is>
          <t>Delivered</t>
        </is>
      </c>
      <c r="D979" s="16" t="inlineStr">
        <is>
          <t>128-08120659456632188</t>
        </is>
      </c>
      <c r="E979" s="16" t="inlineStr">
        <is>
          <t>Delivered</t>
        </is>
      </c>
      <c r="F979" s="16" t="inlineStr">
        <is>
          <t>LV54W25</t>
        </is>
      </c>
      <c r="G979" s="16" t="inlineStr">
        <is>
          <t>TIANLAI Lámpara Ventilador E27 2 en 1, Silenciosa, LED Alta Luminosidad 180°, Instalación Rápida, Ahorro Energético para Dormitorio y Interiores Pequeños</t>
        </is>
      </c>
      <c r="H979" s="16" t="inlineStr">
        <is>
          <t>1 Pieza</t>
        </is>
      </c>
      <c r="I979" s="16" t="n">
        <v>2</v>
      </c>
      <c r="J979" s="17" t="n">
        <v>159</v>
      </c>
      <c r="K979" s="17" t="n">
        <v>193.4</v>
      </c>
      <c r="L979" s="17" t="n">
        <v>25.86</v>
      </c>
      <c r="M979" s="17" t="n">
        <v>0</v>
      </c>
      <c r="N979" s="17">
        <f>K979*0.08+L979*0.08</f>
        <v/>
      </c>
      <c r="O979" s="17">
        <f>-(K979*0.025+L979*0.025)</f>
        <v/>
      </c>
      <c r="P979" s="17">
        <f>32</f>
        <v/>
      </c>
      <c r="Q979" s="17">
        <f>J979+L979+N979+O979-P979-M979</f>
        <v/>
      </c>
    </row>
    <row r="980">
      <c r="A980" s="16" t="inlineStr">
        <is>
          <t>5.1-5.7</t>
        </is>
      </c>
      <c r="B980" s="16" t="inlineStr">
        <is>
          <t>PO-128-08206995159672699</t>
        </is>
      </c>
      <c r="C980" s="16" t="inlineStr">
        <is>
          <t>Delivered</t>
        </is>
      </c>
      <c r="D980" s="16" t="inlineStr">
        <is>
          <t>128-08207078062712699</t>
        </is>
      </c>
      <c r="E980" s="16" t="inlineStr">
        <is>
          <t>Delivered</t>
        </is>
      </c>
      <c r="F980" s="16" t="inlineStr">
        <is>
          <t>LV54W25</t>
        </is>
      </c>
      <c r="G980" s="16" t="inlineStr">
        <is>
          <t>TIANLAI Lámpara Ventilador E27 2 en 1, Silenciosa, LED Alta Luminosidad 180°, Instalación Rápida, Ahorro Energético para Dormitorio y Interiores Pequeños</t>
        </is>
      </c>
      <c r="H980" s="16" t="inlineStr">
        <is>
          <t>1 Pieza</t>
        </is>
      </c>
      <c r="I980" s="16" t="n">
        <v>1</v>
      </c>
      <c r="J980" s="17" t="n">
        <v>79.5</v>
      </c>
      <c r="K980" s="17" t="n">
        <v>96.7</v>
      </c>
      <c r="L980" s="17" t="n">
        <v>25.86</v>
      </c>
      <c r="M980" s="17" t="n">
        <v>0</v>
      </c>
      <c r="N980" s="17">
        <f>K980*0.08+L980*0.08</f>
        <v/>
      </c>
      <c r="O980" s="17">
        <f>-(K980*0.025+L980*0.025)</f>
        <v/>
      </c>
      <c r="P980" s="17">
        <f>32</f>
        <v/>
      </c>
      <c r="Q980" s="17">
        <f>J980+L980+N980+O980-P980-M980</f>
        <v/>
      </c>
    </row>
    <row r="981">
      <c r="A981" s="16" t="inlineStr">
        <is>
          <t>5.1-5.7</t>
        </is>
      </c>
      <c r="B981" s="16" t="inlineStr">
        <is>
          <t>PO-128-07847247770230811</t>
        </is>
      </c>
      <c r="C981" s="16" t="inlineStr">
        <is>
          <t>Delivered</t>
        </is>
      </c>
      <c r="D981" s="16" t="inlineStr">
        <is>
          <t>128-07847268741750811</t>
        </is>
      </c>
      <c r="E981" s="16" t="inlineStr">
        <is>
          <t>Delivered</t>
        </is>
      </c>
      <c r="F981" s="16" t="inlineStr">
        <is>
          <t>LV64W25</t>
        </is>
      </c>
      <c r="G9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1" s="16" t="inlineStr">
        <is>
          <t>Blanco</t>
        </is>
      </c>
      <c r="I981" s="16" t="n">
        <v>1</v>
      </c>
      <c r="J981" s="17" t="n">
        <v>123</v>
      </c>
      <c r="K981" s="17" t="n">
        <v>141.27</v>
      </c>
      <c r="L981" s="17" t="n">
        <v>25.86</v>
      </c>
      <c r="M981" s="17" t="n">
        <v>0</v>
      </c>
      <c r="N981" s="17">
        <f>K981*0.08+L981*0.08</f>
        <v/>
      </c>
      <c r="O981" s="17">
        <f>-(K981*0.025+L981*0.025)</f>
        <v/>
      </c>
      <c r="P981" s="17">
        <f>32</f>
        <v/>
      </c>
      <c r="Q981" s="17">
        <f>J981+L981+N981+O981-P981-M981</f>
        <v/>
      </c>
    </row>
    <row r="982">
      <c r="A982" s="16" t="inlineStr">
        <is>
          <t>5.1-5.7</t>
        </is>
      </c>
      <c r="B982" s="16" t="inlineStr">
        <is>
          <t>PO-128-07649079327351926</t>
        </is>
      </c>
      <c r="C982" s="16" t="inlineStr">
        <is>
          <t>Delivered</t>
        </is>
      </c>
      <c r="D982" s="16" t="inlineStr">
        <is>
          <t>128-07649131756151926</t>
        </is>
      </c>
      <c r="E982" s="16" t="inlineStr">
        <is>
          <t>Delivered</t>
        </is>
      </c>
      <c r="F982" s="16" t="inlineStr">
        <is>
          <t>LV64W25</t>
        </is>
      </c>
      <c r="G9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2" s="16" t="inlineStr">
        <is>
          <t>Blanco</t>
        </is>
      </c>
      <c r="I982" s="16" t="n">
        <v>1</v>
      </c>
      <c r="J982" s="17" t="n">
        <v>123</v>
      </c>
      <c r="K982" s="17" t="n">
        <v>141.27</v>
      </c>
      <c r="L982" s="17" t="n">
        <v>25.86</v>
      </c>
      <c r="M982" s="17" t="n">
        <v>0</v>
      </c>
      <c r="N982" s="17">
        <f>K982*0.08+L982*0.08</f>
        <v/>
      </c>
      <c r="O982" s="17">
        <f>-(K982*0.025+L982*0.025)</f>
        <v/>
      </c>
      <c r="P982" s="17">
        <f>32</f>
        <v/>
      </c>
      <c r="Q982" s="17">
        <f>J982+L982+N982+O982-P982-M982</f>
        <v/>
      </c>
    </row>
    <row r="983">
      <c r="A983" s="16" t="inlineStr">
        <is>
          <t>5.1-5.7</t>
        </is>
      </c>
      <c r="B983" s="16" t="inlineStr">
        <is>
          <t>PO-128-07937987328633404</t>
        </is>
      </c>
      <c r="C983" s="16" t="inlineStr">
        <is>
          <t>Delivered</t>
        </is>
      </c>
      <c r="D983" s="16" t="inlineStr">
        <is>
          <t>128-07937997814393404</t>
        </is>
      </c>
      <c r="E983" s="16" t="inlineStr">
        <is>
          <t>Delivered</t>
        </is>
      </c>
      <c r="F983" s="16" t="inlineStr">
        <is>
          <t>LE27M10W18</t>
        </is>
      </c>
      <c r="G983" s="16" t="inlineStr">
        <is>
          <t>Lámpara LED de Techo Tianlai LE27M10W18 - Plafón E27 18W 950LM, Diseño de Cielo Estrellado, 3 Tonos de Luz Ajustables, IP20 a Prueba de Polvo para Dormitorio, Cocina, Comedor y Baño</t>
        </is>
      </c>
      <c r="H983" s="16" t="inlineStr">
        <is>
          <t>LE27M10W18</t>
        </is>
      </c>
      <c r="I983" s="16" t="n">
        <v>1</v>
      </c>
      <c r="J983" s="17" t="n">
        <v>66.5</v>
      </c>
      <c r="K983" s="17" t="n">
        <v>83.98</v>
      </c>
      <c r="L983" s="17" t="n">
        <v>25.86</v>
      </c>
      <c r="M983" s="17" t="n">
        <v>0</v>
      </c>
      <c r="N983" s="17">
        <f>K983*0.08+L983*0.08</f>
        <v/>
      </c>
      <c r="O983" s="17">
        <f>-(K983*0.025+L983*0.025)</f>
        <v/>
      </c>
      <c r="P983" s="17">
        <f>32</f>
        <v/>
      </c>
      <c r="Q983" s="17">
        <f>J983+L983+N983+O983-P983-M983</f>
        <v/>
      </c>
    </row>
    <row r="984">
      <c r="A984" s="16" t="inlineStr">
        <is>
          <t>5.1-5.7</t>
        </is>
      </c>
      <c r="B984" s="16" t="inlineStr">
        <is>
          <t>PO-128-07956489370233294</t>
        </is>
      </c>
      <c r="C984" s="16" t="inlineStr">
        <is>
          <t>Delivered</t>
        </is>
      </c>
      <c r="D984" s="16" t="inlineStr">
        <is>
          <t>128-07956457912953294</t>
        </is>
      </c>
      <c r="E984" s="16" t="inlineStr">
        <is>
          <t>Delivered</t>
        </is>
      </c>
      <c r="F984" s="16" t="inlineStr">
        <is>
          <t>LV64W25</t>
        </is>
      </c>
      <c r="G9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4" s="16" t="inlineStr">
        <is>
          <t>Blanco</t>
        </is>
      </c>
      <c r="I984" s="16" t="n">
        <v>1</v>
      </c>
      <c r="J984" s="17" t="n">
        <v>123</v>
      </c>
      <c r="K984" s="17" t="n">
        <v>104.38</v>
      </c>
      <c r="L984" s="17" t="n">
        <v>25.86</v>
      </c>
      <c r="M984" s="17" t="n">
        <v>0</v>
      </c>
      <c r="N984" s="17">
        <f>K984*0.08+L984*0.08</f>
        <v/>
      </c>
      <c r="O984" s="17">
        <f>-(K984*0.025+L984*0.025)</f>
        <v/>
      </c>
      <c r="P984" s="17">
        <f>32</f>
        <v/>
      </c>
      <c r="Q984" s="17">
        <f>J984+L984+N984+O984-P984-M984</f>
        <v/>
      </c>
    </row>
    <row r="985">
      <c r="A985" s="16" t="inlineStr">
        <is>
          <t>5.1-5.7</t>
        </is>
      </c>
      <c r="B985" s="16" t="inlineStr">
        <is>
          <t>PO-128-08225389824632589</t>
        </is>
      </c>
      <c r="C985" s="16" t="inlineStr">
        <is>
          <t>Delivered</t>
        </is>
      </c>
      <c r="D985" s="16" t="inlineStr">
        <is>
          <t>128-08225381960312589</t>
        </is>
      </c>
      <c r="E985" s="16" t="inlineStr">
        <is>
          <t>Delivered</t>
        </is>
      </c>
      <c r="F985" s="16" t="inlineStr">
        <is>
          <t>LV64W25</t>
        </is>
      </c>
      <c r="G9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5" s="16" t="inlineStr">
        <is>
          <t>Blanco</t>
        </is>
      </c>
      <c r="I985" s="16" t="n">
        <v>2</v>
      </c>
      <c r="J985" s="17" t="n">
        <v>246</v>
      </c>
      <c r="K985" s="17" t="n">
        <v>282.54</v>
      </c>
      <c r="L985" s="17" t="n">
        <v>0</v>
      </c>
      <c r="M985" s="17" t="n">
        <v>0</v>
      </c>
      <c r="N985" s="17">
        <f>K985*0.08+L985*0.08</f>
        <v/>
      </c>
      <c r="O985" s="17">
        <f>-(K985*0.025+L985*0.025)</f>
        <v/>
      </c>
      <c r="P985" s="17">
        <f>32</f>
        <v/>
      </c>
      <c r="Q985" s="17">
        <f>J985+L985+N985+O985-P985-M985</f>
        <v/>
      </c>
    </row>
    <row r="986">
      <c r="A986" s="16" t="inlineStr">
        <is>
          <t>5.1-5.7</t>
        </is>
      </c>
      <c r="B986" s="16" t="inlineStr">
        <is>
          <t>PO-128-07814858793590106</t>
        </is>
      </c>
      <c r="C986" s="16" t="inlineStr">
        <is>
          <t>Delivered</t>
        </is>
      </c>
      <c r="D986" s="16" t="inlineStr">
        <is>
          <t>128-07814848307830106</t>
        </is>
      </c>
      <c r="E986" s="16" t="inlineStr">
        <is>
          <t>Delivered</t>
        </is>
      </c>
      <c r="F986" s="16" t="inlineStr">
        <is>
          <t>LV64W25</t>
        </is>
      </c>
      <c r="G9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86" s="16" t="inlineStr">
        <is>
          <t>Blanco</t>
        </is>
      </c>
      <c r="I986" s="16" t="n">
        <v>1</v>
      </c>
      <c r="J986" s="17" t="n">
        <v>123</v>
      </c>
      <c r="K986" s="17" t="n">
        <v>128.56</v>
      </c>
      <c r="L986" s="17" t="n">
        <v>25.86</v>
      </c>
      <c r="M986" s="17" t="n">
        <v>0</v>
      </c>
      <c r="N986" s="17">
        <f>K986*0.08+L986*0.08</f>
        <v/>
      </c>
      <c r="O986" s="17">
        <f>-(K986*0.025+L986*0.025)</f>
        <v/>
      </c>
      <c r="P986" s="17">
        <f>32</f>
        <v/>
      </c>
      <c r="Q986" s="17">
        <f>J986+L986+N986+O986-P986-M986</f>
        <v/>
      </c>
    </row>
    <row r="987">
      <c r="A987" s="16" t="inlineStr">
        <is>
          <t>5.1-5.7</t>
        </is>
      </c>
      <c r="B987" s="16" t="inlineStr">
        <is>
          <t>PO-128-08037697362553770</t>
        </is>
      </c>
      <c r="C987" s="16" t="inlineStr">
        <is>
          <t>Delivered</t>
        </is>
      </c>
      <c r="D987" s="16" t="inlineStr">
        <is>
          <t>128-08037660662393770</t>
        </is>
      </c>
      <c r="E987" s="16" t="inlineStr">
        <is>
          <t>Delivered</t>
        </is>
      </c>
      <c r="F987" s="16" t="inlineStr">
        <is>
          <t>LV54W25</t>
        </is>
      </c>
      <c r="G987" s="16" t="inlineStr">
        <is>
          <t>TIANLAI Lámpara Ventilador E27 2 en 1, Silenciosa, LED Alta Luminosidad 180°, Instalación Rápida, Ahorro Energético para Dormitorio y Interiores Pequeños</t>
        </is>
      </c>
      <c r="H987" s="16" t="inlineStr">
        <is>
          <t>1 Pieza</t>
        </is>
      </c>
      <c r="I987" s="16" t="n">
        <v>1</v>
      </c>
      <c r="J987" s="17" t="n">
        <v>79.5</v>
      </c>
      <c r="K987" s="17" t="n">
        <v>87.04000000000001</v>
      </c>
      <c r="L987" s="17" t="n">
        <v>25.86</v>
      </c>
      <c r="M987" s="17" t="n">
        <v>0</v>
      </c>
      <c r="N987" s="17">
        <f>K987*0.08+L987*0.08</f>
        <v/>
      </c>
      <c r="O987" s="17">
        <f>-(K987*0.025+L987*0.025)</f>
        <v/>
      </c>
      <c r="P987" s="17">
        <f>32</f>
        <v/>
      </c>
      <c r="Q987" s="17">
        <f>J987+L987+N987+O987-P987-M987</f>
        <v/>
      </c>
    </row>
    <row r="988">
      <c r="A988" s="16" t="inlineStr">
        <is>
          <t>5.1-5.7</t>
        </is>
      </c>
      <c r="B988" s="16" t="inlineStr">
        <is>
          <t>PO-128-08018614958713884</t>
        </is>
      </c>
      <c r="C988" s="16" t="inlineStr">
        <is>
          <t>Delivered</t>
        </is>
      </c>
      <c r="D988" s="16" t="inlineStr">
        <is>
          <t>128-08018635930233884</t>
        </is>
      </c>
      <c r="E988" s="16" t="inlineStr">
        <is>
          <t>Delivered</t>
        </is>
      </c>
      <c r="F988" s="16" t="inlineStr">
        <is>
          <t>LV54W25</t>
        </is>
      </c>
      <c r="G988" s="16" t="inlineStr">
        <is>
          <t>TIANLAI Lámpara Ventilador E27 2 en 1, Silenciosa, LED Alta Luminosidad 180°, Instalación Rápida, Ahorro Energético para Dormitorio y Interiores Pequeños</t>
        </is>
      </c>
      <c r="H988" s="16" t="inlineStr">
        <is>
          <t>1 Pieza</t>
        </is>
      </c>
      <c r="I988" s="16" t="n">
        <v>2</v>
      </c>
      <c r="J988" s="17" t="n">
        <v>159</v>
      </c>
      <c r="K988" s="17" t="n">
        <v>166.34</v>
      </c>
      <c r="L988" s="17" t="n">
        <v>25.86</v>
      </c>
      <c r="M988" s="17" t="n">
        <v>0</v>
      </c>
      <c r="N988" s="17">
        <f>K988*0.08+L988*0.08</f>
        <v/>
      </c>
      <c r="O988" s="17">
        <f>-(K988*0.025+L988*0.025)</f>
        <v/>
      </c>
      <c r="P988" s="17">
        <f>32</f>
        <v/>
      </c>
      <c r="Q988" s="17">
        <f>J988+L988+N988+O988-P988-M988</f>
        <v/>
      </c>
    </row>
    <row r="989">
      <c r="A989" s="16" t="inlineStr">
        <is>
          <t>5.1-5.7</t>
        </is>
      </c>
      <c r="B989" s="16" t="inlineStr">
        <is>
          <t>PO-128-08148218542712089</t>
        </is>
      </c>
      <c r="C989" s="16" t="inlineStr">
        <is>
          <t>Delivered</t>
        </is>
      </c>
      <c r="D989" s="16" t="inlineStr">
        <is>
          <t>128-08148193639032089</t>
        </is>
      </c>
      <c r="E989" s="16" t="inlineStr">
        <is>
          <t>Delivered</t>
        </is>
      </c>
      <c r="F989" s="16" t="inlineStr">
        <is>
          <t>LV54W25</t>
        </is>
      </c>
      <c r="G989" s="16" t="inlineStr">
        <is>
          <t>TIANLAI Lámpara Ventilador E27 2 en 1, Silenciosa, LED Alta Luminosidad 180°, Instalación Rápida, Ahorro Energético para Dormitorio y Interiores Pequeños</t>
        </is>
      </c>
      <c r="H989" s="16" t="inlineStr">
        <is>
          <t>1 Pieza</t>
        </is>
      </c>
      <c r="I989" s="16" t="n">
        <v>1</v>
      </c>
      <c r="J989" s="17" t="n">
        <v>79.5</v>
      </c>
      <c r="K989" s="17" t="n">
        <v>96.7</v>
      </c>
      <c r="L989" s="17" t="n">
        <v>25.86</v>
      </c>
      <c r="M989" s="17" t="n">
        <v>1</v>
      </c>
      <c r="N989" s="17">
        <f>K989*0.08+L989*0.08</f>
        <v/>
      </c>
      <c r="O989" s="17">
        <f>-(K989*0.025+L989*0.025)</f>
        <v/>
      </c>
      <c r="P989" s="17">
        <f>32</f>
        <v/>
      </c>
      <c r="Q989" s="17">
        <f>J989+L989+N989+O989-P989-M989</f>
        <v/>
      </c>
    </row>
    <row r="990">
      <c r="A990" s="16" t="inlineStr">
        <is>
          <t>5.1-5.7</t>
        </is>
      </c>
      <c r="B990" s="16" t="inlineStr">
        <is>
          <t>PO-128-07946470011513226</t>
        </is>
      </c>
      <c r="C990" s="16" t="inlineStr">
        <is>
          <t>Delivered</t>
        </is>
      </c>
      <c r="D990" s="16" t="inlineStr">
        <is>
          <t>128-07946490983033226</t>
        </is>
      </c>
      <c r="E990" s="16" t="inlineStr">
        <is>
          <t>Delivered</t>
        </is>
      </c>
      <c r="F990" s="16" t="inlineStr">
        <is>
          <t>LV64W25</t>
        </is>
      </c>
      <c r="G9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90" s="16" t="inlineStr">
        <is>
          <t>Blanco</t>
        </is>
      </c>
      <c r="I990" s="16" t="n">
        <v>1</v>
      </c>
      <c r="J990" s="17" t="n">
        <v>123</v>
      </c>
      <c r="K990" s="17" t="n">
        <v>141.27</v>
      </c>
      <c r="L990" s="17" t="n">
        <v>25.86</v>
      </c>
      <c r="M990" s="17" t="n">
        <v>0</v>
      </c>
      <c r="N990" s="17">
        <f>K990*0.08+L990*0.08</f>
        <v/>
      </c>
      <c r="O990" s="17">
        <f>-(K990*0.025+L990*0.025)</f>
        <v/>
      </c>
      <c r="P990" s="17">
        <f>32</f>
        <v/>
      </c>
      <c r="Q990" s="17">
        <f>J990+L990+N990+O990-P990-M990</f>
        <v/>
      </c>
    </row>
    <row r="991">
      <c r="A991" s="16" t="inlineStr">
        <is>
          <t>5.1-5.7</t>
        </is>
      </c>
      <c r="B991" s="16" t="inlineStr">
        <is>
          <t>PO-128-07628990792311086</t>
        </is>
      </c>
      <c r="C991" s="16" t="inlineStr">
        <is>
          <t>Delivered</t>
        </is>
      </c>
      <c r="D991" s="16" t="inlineStr">
        <is>
          <t>128-07629032735351086</t>
        </is>
      </c>
      <c r="E991" s="16" t="inlineStr">
        <is>
          <t>Delivered</t>
        </is>
      </c>
      <c r="F991" s="16" t="inlineStr">
        <is>
          <t>LV64W25</t>
        </is>
      </c>
      <c r="G9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91" s="16" t="inlineStr">
        <is>
          <t>Blanco</t>
        </is>
      </c>
      <c r="I991" s="16" t="n">
        <v>2</v>
      </c>
      <c r="J991" s="17" t="n">
        <v>246</v>
      </c>
      <c r="K991" s="17" t="n">
        <v>282.54</v>
      </c>
      <c r="L991" s="17" t="n">
        <v>0</v>
      </c>
      <c r="M991" s="17" t="n">
        <v>0</v>
      </c>
      <c r="N991" s="17">
        <f>K991*0.08+L991*0.08</f>
        <v/>
      </c>
      <c r="O991" s="17">
        <f>-(K991*0.025+L991*0.025)</f>
        <v/>
      </c>
      <c r="P991" s="17">
        <f>32</f>
        <v/>
      </c>
      <c r="Q991" s="17">
        <f>J991+L991+N991+O991-P991-M991</f>
        <v/>
      </c>
    </row>
    <row r="992">
      <c r="A992" s="16" t="inlineStr">
        <is>
          <t>5.1-5.7</t>
        </is>
      </c>
      <c r="B992" s="16" t="inlineStr">
        <is>
          <t>PO-128-08146385592952098</t>
        </is>
      </c>
      <c r="C992" s="16" t="inlineStr">
        <is>
          <t>Delivered</t>
        </is>
      </c>
      <c r="D992" s="16" t="inlineStr">
        <is>
          <t>128-08146406564472098</t>
        </is>
      </c>
      <c r="E992" s="16" t="inlineStr">
        <is>
          <t>Delivered</t>
        </is>
      </c>
      <c r="F992" s="16" t="inlineStr">
        <is>
          <t>LV64W25</t>
        </is>
      </c>
      <c r="G9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92" s="16" t="inlineStr">
        <is>
          <t>Blanco</t>
        </is>
      </c>
      <c r="I992" s="16" t="n">
        <v>1</v>
      </c>
      <c r="J992" s="17" t="n">
        <v>123</v>
      </c>
      <c r="K992" s="17" t="n">
        <v>141.27</v>
      </c>
      <c r="L992" s="17" t="n">
        <v>25.86</v>
      </c>
      <c r="M992" s="17" t="n">
        <v>0</v>
      </c>
      <c r="N992" s="17">
        <f>K992*0.08+L992*0.08</f>
        <v/>
      </c>
      <c r="O992" s="17">
        <f>-(K992*0.025+L992*0.025)</f>
        <v/>
      </c>
      <c r="P992" s="17">
        <f>32</f>
        <v/>
      </c>
      <c r="Q992" s="17">
        <f>J992+L992+N992+O992-P992-M992</f>
        <v/>
      </c>
    </row>
    <row r="993">
      <c r="A993" s="16" t="inlineStr">
        <is>
          <t>5.1-5.7</t>
        </is>
      </c>
      <c r="B993" s="16" t="inlineStr">
        <is>
          <t>PO-128-07743520615030468</t>
        </is>
      </c>
      <c r="C993" s="16" t="inlineStr">
        <is>
          <t>Delivered</t>
        </is>
      </c>
      <c r="D993" s="16" t="inlineStr">
        <is>
          <t>128-07743478671990468</t>
        </is>
      </c>
      <c r="E993" s="16" t="inlineStr">
        <is>
          <t>Delivered</t>
        </is>
      </c>
      <c r="F993" s="16" t="inlineStr">
        <is>
          <t>BG-115-P</t>
        </is>
      </c>
      <c r="G993" s="16" t="inlineStr">
        <is>
          <t>LINK BITS Audífonos Inalámbricos con Luces Multicolor, Recargables y en Adorable Forma de Orejas de Gato - Conecta a Celulares y PCs, Tiene Radio FM, Tarjeta TF y AUX - 7 Horas de Reproducción, Plegables y Perfectos para Trabajo, Juegos y Estudio</t>
        </is>
      </c>
      <c r="H993" s="16" t="inlineStr">
        <is>
          <t>rosa</t>
        </is>
      </c>
      <c r="I993" s="16" t="n">
        <v>1</v>
      </c>
      <c r="J993" s="17" t="n">
        <v>76</v>
      </c>
      <c r="K993" s="17" t="n">
        <v>86.72</v>
      </c>
      <c r="L993" s="17" t="n">
        <v>25.86</v>
      </c>
      <c r="M993" s="17" t="n">
        <v>0</v>
      </c>
      <c r="N993" s="17">
        <f>K993*0.08+L993*0.08</f>
        <v/>
      </c>
      <c r="O993" s="17">
        <f>-(K993*0.025+L993*0.025)</f>
        <v/>
      </c>
      <c r="P993" s="17">
        <f>32</f>
        <v/>
      </c>
      <c r="Q993" s="17">
        <f>J993+L993+N993+O993-P993-M993</f>
        <v/>
      </c>
    </row>
    <row r="994">
      <c r="A994" s="16" t="inlineStr">
        <is>
          <t>5.1-5.7</t>
        </is>
      </c>
      <c r="B994" s="16" t="inlineStr">
        <is>
          <t>PO-128-07733890837110399</t>
        </is>
      </c>
      <c r="C994" s="16" t="inlineStr">
        <is>
          <t>Delivered</t>
        </is>
      </c>
      <c r="D994" s="16" t="inlineStr">
        <is>
          <t>128-07733943265910399</t>
        </is>
      </c>
      <c r="E994" s="16" t="inlineStr">
        <is>
          <t>Delivered</t>
        </is>
      </c>
      <c r="F994" s="16" t="inlineStr">
        <is>
          <t>LV54W25</t>
        </is>
      </c>
      <c r="G994" s="16" t="inlineStr">
        <is>
          <t>TIANLAI Lámpara Ventilador E27 2 en 1, Silenciosa, LED Alta Luminosidad 180°, Instalación Rápida, Ahorro Energético para Dormitorio y Interiores Pequeños</t>
        </is>
      </c>
      <c r="H994" s="16" t="inlineStr">
        <is>
          <t>1 Pieza</t>
        </is>
      </c>
      <c r="I994" s="16" t="n">
        <v>1</v>
      </c>
      <c r="J994" s="17" t="n">
        <v>79.5</v>
      </c>
      <c r="K994" s="17" t="n">
        <v>96.7</v>
      </c>
      <c r="L994" s="17" t="n">
        <v>25.86</v>
      </c>
      <c r="M994" s="17" t="n">
        <v>0</v>
      </c>
      <c r="N994" s="17">
        <f>K994*0.08+L994*0.08</f>
        <v/>
      </c>
      <c r="O994" s="17">
        <f>-(K994*0.025+L994*0.025)</f>
        <v/>
      </c>
      <c r="P994" s="17">
        <f>32</f>
        <v/>
      </c>
      <c r="Q994" s="17">
        <f>J994+L994+N994+O994-P994-M994</f>
        <v/>
      </c>
    </row>
    <row r="995">
      <c r="A995" s="16" t="inlineStr">
        <is>
          <t>5.1-5.7</t>
        </is>
      </c>
      <c r="B995" s="16" t="inlineStr">
        <is>
          <t>PO-128-08144036782712048</t>
        </is>
      </c>
      <c r="C995" s="16" t="inlineStr">
        <is>
          <t>Delivered</t>
        </is>
      </c>
      <c r="D995" s="16" t="inlineStr">
        <is>
          <t>128-08144057754232048</t>
        </is>
      </c>
      <c r="E995" s="16" t="inlineStr">
        <is>
          <t>Delivered</t>
        </is>
      </c>
      <c r="F995" s="16" t="inlineStr">
        <is>
          <t>LV64W25</t>
        </is>
      </c>
      <c r="G9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95" s="16" t="inlineStr">
        <is>
          <t>Blanco</t>
        </is>
      </c>
      <c r="I995" s="16" t="n">
        <v>2</v>
      </c>
      <c r="J995" s="17" t="n">
        <v>246</v>
      </c>
      <c r="K995" s="17" t="n">
        <v>257.12</v>
      </c>
      <c r="L995" s="17" t="n">
        <v>0</v>
      </c>
      <c r="M995" s="17" t="n">
        <v>0</v>
      </c>
      <c r="N995" s="17">
        <f>K995*0.08+L995*0.08</f>
        <v/>
      </c>
      <c r="O995" s="17">
        <f>-(K995*0.025+L995*0.025)</f>
        <v/>
      </c>
      <c r="P995" s="17">
        <f>32</f>
        <v/>
      </c>
      <c r="Q995" s="17">
        <f>J995+L995+N995+O995-P995-M995</f>
        <v/>
      </c>
    </row>
    <row r="996">
      <c r="A996" s="16" t="inlineStr">
        <is>
          <t>5.1-5.7</t>
        </is>
      </c>
      <c r="B996" s="16" t="inlineStr">
        <is>
          <t>PO-128-08044818872953792</t>
        </is>
      </c>
      <c r="C996" s="16" t="inlineStr">
        <is>
          <t>Delivered</t>
        </is>
      </c>
      <c r="D996" s="16" t="inlineStr">
        <is>
          <t>128-08044776929913792</t>
        </is>
      </c>
      <c r="E996" s="16" t="inlineStr">
        <is>
          <t>Delivered</t>
        </is>
      </c>
      <c r="F996" s="16" t="inlineStr">
        <is>
          <t>LE27M10W18</t>
        </is>
      </c>
      <c r="G996" s="16" t="inlineStr">
        <is>
          <t>Lámpara LED de Techo Tianlai LE27M10W18 - Plafón E27 18W 950LM, Diseño de Cielo Estrellado, 3 Tonos de Luz Ajustables, IP20 a Prueba de Polvo para Dormitorio, Cocina, Comedor y Baño</t>
        </is>
      </c>
      <c r="H996" s="16" t="inlineStr">
        <is>
          <t>LE27M10W18</t>
        </is>
      </c>
      <c r="I996" s="16" t="n">
        <v>1</v>
      </c>
      <c r="J996" s="17" t="n">
        <v>66.5</v>
      </c>
      <c r="K996" s="17" t="n">
        <v>57.79</v>
      </c>
      <c r="L996" s="17" t="n">
        <v>25.86</v>
      </c>
      <c r="M996" s="17" t="n">
        <v>0</v>
      </c>
      <c r="N996" s="17">
        <f>K996*0.08+L996*0.08</f>
        <v/>
      </c>
      <c r="O996" s="17">
        <f>-(K996*0.025+L996*0.025)</f>
        <v/>
      </c>
      <c r="P996" s="17">
        <f>32</f>
        <v/>
      </c>
      <c r="Q996" s="17">
        <f>J996+L996+N996+O996-P996-M996</f>
        <v/>
      </c>
    </row>
    <row r="997">
      <c r="A997" s="16" t="inlineStr">
        <is>
          <t>5.1-5.7</t>
        </is>
      </c>
      <c r="B997" s="16" t="inlineStr">
        <is>
          <t>PO-128-07832585390710963</t>
        </is>
      </c>
      <c r="C997" s="16" t="inlineStr">
        <is>
          <t>Delivered</t>
        </is>
      </c>
      <c r="D997" s="16" t="inlineStr">
        <is>
          <t>128-07832543447670963</t>
        </is>
      </c>
      <c r="E997" s="16" t="inlineStr">
        <is>
          <t>Delivered</t>
        </is>
      </c>
      <c r="F997" s="16" t="inlineStr">
        <is>
          <t>LV64W25</t>
        </is>
      </c>
      <c r="G9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997" s="16" t="inlineStr">
        <is>
          <t>Blanco</t>
        </is>
      </c>
      <c r="I997" s="16" t="n">
        <v>3</v>
      </c>
      <c r="J997" s="17" t="n">
        <v>369</v>
      </c>
      <c r="K997" s="17" t="n">
        <v>346.23</v>
      </c>
      <c r="L997" s="17" t="n">
        <v>0</v>
      </c>
      <c r="M997" s="17" t="n">
        <v>0</v>
      </c>
      <c r="N997" s="17">
        <f>K997*0.08+L997*0.08</f>
        <v/>
      </c>
      <c r="O997" s="17">
        <f>-(K997*0.025+L997*0.025)</f>
        <v/>
      </c>
      <c r="P997" s="17">
        <f>32</f>
        <v/>
      </c>
      <c r="Q997" s="17">
        <f>J997+L997+N997+O997-P997-M997</f>
        <v/>
      </c>
    </row>
    <row r="998">
      <c r="A998" s="16" t="inlineStr">
        <is>
          <t>5.1-5.7</t>
        </is>
      </c>
      <c r="B998" s="16" t="inlineStr">
        <is>
          <t>PO-128-08037812746873771</t>
        </is>
      </c>
      <c r="C998" s="16" t="inlineStr">
        <is>
          <t>Delivered</t>
        </is>
      </c>
      <c r="D998" s="16" t="inlineStr">
        <is>
          <t>128-08037823232633771</t>
        </is>
      </c>
      <c r="E998" s="16" t="inlineStr">
        <is>
          <t>Delivered</t>
        </is>
      </c>
      <c r="F998" s="16" t="inlineStr">
        <is>
          <t>TL1455N20B</t>
        </is>
      </c>
      <c r="G998" s="16" t="inlineStr">
        <is>
          <t>LINK BITS Soporte para TV 14 A 55 Pulgadas, Base para TV Pantalla Articulado Inclinable y Giratorio, MAX VESA 400×400 mm, Soporta hasta 18kg (Acero Reforzado)</t>
        </is>
      </c>
      <c r="H998" s="16" t="inlineStr">
        <is>
          <t>TL1455N20B</t>
        </is>
      </c>
      <c r="I998" s="16" t="n">
        <v>1</v>
      </c>
      <c r="J998" s="17" t="n">
        <v>72</v>
      </c>
      <c r="K998" s="17" t="n">
        <v>89.09999999999999</v>
      </c>
      <c r="L998" s="17" t="n">
        <v>25.86</v>
      </c>
      <c r="M998" s="17" t="n">
        <v>0</v>
      </c>
      <c r="N998" s="17">
        <f>K998*0.08+L998*0.08</f>
        <v/>
      </c>
      <c r="O998" s="17">
        <f>-(K998*0.025+L998*0.025)</f>
        <v/>
      </c>
      <c r="P998" s="17">
        <f>32</f>
        <v/>
      </c>
      <c r="Q998" s="17">
        <f>J998+L998+N998+O998-P998-M998</f>
        <v/>
      </c>
    </row>
    <row r="999">
      <c r="A999" s="16" t="inlineStr">
        <is>
          <t>5.1-5.7</t>
        </is>
      </c>
      <c r="B999" s="16" t="inlineStr">
        <is>
          <t>PO-128-07606673019511157</t>
        </is>
      </c>
      <c r="C999" s="16" t="inlineStr">
        <is>
          <t>Delivered</t>
        </is>
      </c>
      <c r="D999" s="16" t="inlineStr">
        <is>
          <t>128-07606636319351157</t>
        </is>
      </c>
      <c r="E999" s="16" t="inlineStr">
        <is>
          <t>Delivered</t>
        </is>
      </c>
      <c r="F999" s="16" t="inlineStr">
        <is>
          <t>LV54W25</t>
        </is>
      </c>
      <c r="G999" s="16" t="inlineStr">
        <is>
          <t>TIANLAI Lámpara Ventilador E27 2 en 1, Silenciosa, LED Alta Luminosidad 180°, Instalación Rápida, Ahorro Energético para Dormitorio y Interiores Pequeños</t>
        </is>
      </c>
      <c r="H999" s="16" t="inlineStr">
        <is>
          <t>1 Pieza</t>
        </is>
      </c>
      <c r="I999" s="16" t="n">
        <v>2</v>
      </c>
      <c r="J999" s="17" t="n">
        <v>159</v>
      </c>
      <c r="K999" s="17" t="n">
        <v>141.4</v>
      </c>
      <c r="L999" s="17" t="n">
        <v>25.86</v>
      </c>
      <c r="M999" s="17" t="n">
        <v>0</v>
      </c>
      <c r="N999" s="17">
        <f>K999*0.08+L999*0.08</f>
        <v/>
      </c>
      <c r="O999" s="17">
        <f>-(K999*0.025+L999*0.025)</f>
        <v/>
      </c>
      <c r="P999" s="17">
        <f>32</f>
        <v/>
      </c>
      <c r="Q999" s="17">
        <f>J999+L999+N999+O999-P999-M999</f>
        <v/>
      </c>
    </row>
    <row r="1000">
      <c r="A1000" s="16" t="inlineStr">
        <is>
          <t>5.1-5.7</t>
        </is>
      </c>
      <c r="B1000" s="16" t="inlineStr">
        <is>
          <t>PO-128-08131910994552251</t>
        </is>
      </c>
      <c r="C1000" s="16" t="inlineStr">
        <is>
          <t>Delivered</t>
        </is>
      </c>
      <c r="D1000" s="16" t="inlineStr">
        <is>
          <t>128-08131890023032251</t>
        </is>
      </c>
      <c r="E1000" s="16" t="inlineStr">
        <is>
          <t>Delivered</t>
        </is>
      </c>
      <c r="F1000" s="16" t="inlineStr">
        <is>
          <t>LV54W25</t>
        </is>
      </c>
      <c r="G1000" s="16" t="inlineStr">
        <is>
          <t>TIANLAI Lámpara Ventilador E27 2 en 1, Silenciosa, LED Alta Luminosidad 180°, Instalación Rápida, Ahorro Energético para Dormitorio y Interiores Pequeños</t>
        </is>
      </c>
      <c r="H1000" s="16" t="inlineStr">
        <is>
          <t>1 Pieza</t>
        </is>
      </c>
      <c r="I1000" s="16" t="n">
        <v>2</v>
      </c>
      <c r="J1000" s="17" t="n">
        <v>159</v>
      </c>
      <c r="K1000" s="17" t="n">
        <v>137.66</v>
      </c>
      <c r="L1000" s="17" t="n">
        <v>25.86</v>
      </c>
      <c r="M1000" s="17" t="n">
        <v>0</v>
      </c>
      <c r="N1000" s="17">
        <f>K1000*0.08+L1000*0.08</f>
        <v/>
      </c>
      <c r="O1000" s="17">
        <f>-(K1000*0.025+L1000*0.025)</f>
        <v/>
      </c>
      <c r="P1000" s="17">
        <f>32</f>
        <v/>
      </c>
      <c r="Q1000" s="17">
        <f>J1000+L1000+N1000+O1000-P1000-M1000</f>
        <v/>
      </c>
    </row>
    <row r="1001">
      <c r="A1001" s="16" t="inlineStr">
        <is>
          <t>5.1-5.7</t>
        </is>
      </c>
      <c r="B1001" s="16" t="inlineStr">
        <is>
          <t>PO-128-08124602102392228</t>
        </is>
      </c>
      <c r="C1001" s="16" t="inlineStr">
        <is>
          <t>Delivered</t>
        </is>
      </c>
      <c r="D1001" s="16" t="inlineStr">
        <is>
          <t>128-08124644045432228</t>
        </is>
      </c>
      <c r="E1001" s="16" t="inlineStr">
        <is>
          <t>Delivered</t>
        </is>
      </c>
      <c r="F1001" s="16" t="inlineStr">
        <is>
          <t>LV54W25</t>
        </is>
      </c>
      <c r="G1001" s="16" t="inlineStr">
        <is>
          <t>TIANLAI Lámpara Ventilador E27 2 en 1, Silenciosa, LED Alta Luminosidad 180°, Instalación Rápida, Ahorro Energético para Dormitorio y Interiores Pequeños</t>
        </is>
      </c>
      <c r="H1001" s="16" t="inlineStr">
        <is>
          <t>1 Pieza</t>
        </is>
      </c>
      <c r="I1001" s="16" t="n">
        <v>1</v>
      </c>
      <c r="J1001" s="17" t="n">
        <v>79.5</v>
      </c>
      <c r="K1001" s="17" t="n">
        <v>96.7</v>
      </c>
      <c r="L1001" s="17" t="n">
        <v>25.86</v>
      </c>
      <c r="M1001" s="17" t="n">
        <v>0</v>
      </c>
      <c r="N1001" s="17">
        <f>K1001*0.08+L1001*0.08</f>
        <v/>
      </c>
      <c r="O1001" s="17">
        <f>-(K1001*0.025+L1001*0.025)</f>
        <v/>
      </c>
      <c r="P1001" s="17">
        <f>32</f>
        <v/>
      </c>
      <c r="Q1001" s="17">
        <f>J1001+L1001+N1001+O1001-P1001-M1001</f>
        <v/>
      </c>
    </row>
    <row r="1002">
      <c r="A1002" s="16" t="inlineStr">
        <is>
          <t>5.1-5.7</t>
        </is>
      </c>
      <c r="B1002" s="16" t="inlineStr">
        <is>
          <t>PO-128-07644040356471124</t>
        </is>
      </c>
      <c r="C1002" s="16" t="inlineStr">
        <is>
          <t>Delivered</t>
        </is>
      </c>
      <c r="D1002" s="16" t="inlineStr">
        <is>
          <t>128-07644200264311124</t>
        </is>
      </c>
      <c r="E1002" s="16" t="inlineStr">
        <is>
          <t>Delivered</t>
        </is>
      </c>
      <c r="F1002" s="16" t="inlineStr">
        <is>
          <t>LV54W25</t>
        </is>
      </c>
      <c r="G1002" s="16" t="inlineStr">
        <is>
          <t>TIANLAI Lámpara Ventilador E27 2 en 1, Silenciosa, LED Alta Luminosidad 180°, Instalación Rápida, Ahorro Energético para Dormitorio y Interiores Pequeños</t>
        </is>
      </c>
      <c r="H1002" s="16" t="inlineStr">
        <is>
          <t>1 Pieza</t>
        </is>
      </c>
      <c r="I1002" s="16" t="n">
        <v>1</v>
      </c>
      <c r="J1002" s="17" t="n">
        <v>79.5</v>
      </c>
      <c r="K1002" s="17" t="n">
        <v>96.7</v>
      </c>
      <c r="L1002" s="17" t="n">
        <v>25.86</v>
      </c>
      <c r="M1002" s="17" t="n">
        <v>0</v>
      </c>
      <c r="N1002" s="17">
        <f>K1002*0.08+L1002*0.08</f>
        <v/>
      </c>
      <c r="O1002" s="17">
        <f>-(K1002*0.025+L1002*0.025)</f>
        <v/>
      </c>
      <c r="P1002" s="17">
        <f>32</f>
        <v/>
      </c>
      <c r="Q1002" s="17">
        <f>J1002+L1002+N1002+O1002-P1002-M1002</f>
        <v/>
      </c>
    </row>
    <row r="1003">
      <c r="A1003" s="16" t="inlineStr">
        <is>
          <t>5.1-5.7</t>
        </is>
      </c>
      <c r="B1003" s="16" t="inlineStr">
        <is>
          <t>PO-128-07701327616631745</t>
        </is>
      </c>
      <c r="C1003" s="16" t="inlineStr">
        <is>
          <t>Delivered</t>
        </is>
      </c>
      <c r="D1003" s="16" t="inlineStr">
        <is>
          <t>128-07701275187831745</t>
        </is>
      </c>
      <c r="E1003" s="16" t="inlineStr">
        <is>
          <t>Delivered</t>
        </is>
      </c>
      <c r="F1003" s="16" t="inlineStr">
        <is>
          <t>LV64W25</t>
        </is>
      </c>
      <c r="G10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3" s="16" t="inlineStr">
        <is>
          <t>Blanco</t>
        </is>
      </c>
      <c r="I1003" s="16" t="n">
        <v>1</v>
      </c>
      <c r="J1003" s="17" t="n">
        <v>123</v>
      </c>
      <c r="K1003" s="17" t="n">
        <v>128.56</v>
      </c>
      <c r="L1003" s="17" t="n">
        <v>25.86</v>
      </c>
      <c r="M1003" s="17" t="n">
        <v>0</v>
      </c>
      <c r="N1003" s="17">
        <f>K1003*0.08+L1003*0.08</f>
        <v/>
      </c>
      <c r="O1003" s="17">
        <f>-(K1003*0.025+L1003*0.025)</f>
        <v/>
      </c>
      <c r="P1003" s="17">
        <f>32</f>
        <v/>
      </c>
      <c r="Q1003" s="17">
        <f>J1003+L1003+N1003+O1003-P1003-M1003</f>
        <v/>
      </c>
    </row>
    <row r="1004">
      <c r="A1004" s="16" t="inlineStr">
        <is>
          <t>5.1-5.7</t>
        </is>
      </c>
      <c r="B1004" s="16" t="inlineStr">
        <is>
          <t>PO-128-07778364293750132</t>
        </is>
      </c>
      <c r="C1004" s="16" t="inlineStr">
        <is>
          <t>Delivered</t>
        </is>
      </c>
      <c r="D1004" s="16" t="inlineStr">
        <is>
          <t>128-07778385265270132</t>
        </is>
      </c>
      <c r="E1004" s="16" t="inlineStr">
        <is>
          <t>Delivered</t>
        </is>
      </c>
      <c r="F1004" s="16" t="inlineStr">
        <is>
          <t>LV64W25</t>
        </is>
      </c>
      <c r="G10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4" s="16" t="inlineStr">
        <is>
          <t>Blanco</t>
        </is>
      </c>
      <c r="I1004" s="16" t="n">
        <v>3</v>
      </c>
      <c r="J1004" s="17" t="n">
        <v>369</v>
      </c>
      <c r="K1004" s="17" t="n">
        <v>385.68</v>
      </c>
      <c r="L1004" s="17" t="n">
        <v>0</v>
      </c>
      <c r="M1004" s="17" t="n">
        <v>0</v>
      </c>
      <c r="N1004" s="17">
        <f>K1004*0.08+L1004*0.08</f>
        <v/>
      </c>
      <c r="O1004" s="17">
        <f>-(K1004*0.025+L1004*0.025)</f>
        <v/>
      </c>
      <c r="P1004" s="17">
        <f>32</f>
        <v/>
      </c>
      <c r="Q1004" s="17">
        <f>J1004+L1004+N1004+O1004-P1004-M1004</f>
        <v/>
      </c>
    </row>
    <row r="1005">
      <c r="A1005" s="16" t="inlineStr">
        <is>
          <t>5.1-5.7</t>
        </is>
      </c>
      <c r="B1005" s="16" t="inlineStr">
        <is>
          <t>PO-128-07770224661110372</t>
        </is>
      </c>
      <c r="C1005" s="16" t="inlineStr">
        <is>
          <t>Delivered</t>
        </is>
      </c>
      <c r="D1005" s="16" t="inlineStr">
        <is>
          <t>128-07770206311030372</t>
        </is>
      </c>
      <c r="E1005" s="16" t="inlineStr">
        <is>
          <t>Delivered</t>
        </is>
      </c>
      <c r="F1005" s="16" t="inlineStr">
        <is>
          <t>TLCD02-8P-A</t>
        </is>
      </c>
      <c r="G100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005" s="16" t="inlineStr">
        <is>
          <t>AZUL/pantalla de 8.5 pulgadas</t>
        </is>
      </c>
      <c r="I1005" s="16" t="n">
        <v>2</v>
      </c>
      <c r="J1005" s="17" t="n">
        <v>50</v>
      </c>
      <c r="K1005" s="17" t="n">
        <v>66.68000000000001</v>
      </c>
      <c r="L1005" s="17" t="n">
        <v>25.86</v>
      </c>
      <c r="M1005" s="17" t="n">
        <v>0</v>
      </c>
      <c r="N1005" s="17">
        <f>K1005*0.08+L1005*0.08</f>
        <v/>
      </c>
      <c r="O1005" s="17">
        <f>-(K1005*0.025+L1005*0.025)</f>
        <v/>
      </c>
      <c r="P1005" s="17">
        <f>32</f>
        <v/>
      </c>
      <c r="Q1005" s="17">
        <f>J1005+L1005+N1005+O1005-P1005-M1005</f>
        <v/>
      </c>
    </row>
    <row r="1006">
      <c r="A1006" s="16" t="inlineStr">
        <is>
          <t>5.1-5.7</t>
        </is>
      </c>
      <c r="B1006" s="16" t="inlineStr">
        <is>
          <t>PO-128-07686814290551894</t>
        </is>
      </c>
      <c r="C1006" s="16" t="inlineStr">
        <is>
          <t>Delivered</t>
        </is>
      </c>
      <c r="D1006" s="16" t="inlineStr">
        <is>
          <t>128-07686772347511894</t>
        </is>
      </c>
      <c r="E1006" s="16" t="inlineStr">
        <is>
          <t>Delivered</t>
        </is>
      </c>
      <c r="F1006" s="16" t="inlineStr">
        <is>
          <t>LV64W25</t>
        </is>
      </c>
      <c r="G10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6" s="16" t="inlineStr">
        <is>
          <t>Blanco</t>
        </is>
      </c>
      <c r="I1006" s="16" t="n">
        <v>1</v>
      </c>
      <c r="J1006" s="17" t="n">
        <v>123</v>
      </c>
      <c r="K1006" s="17" t="n">
        <v>128.56</v>
      </c>
      <c r="L1006" s="17" t="n">
        <v>25.86</v>
      </c>
      <c r="M1006" s="17" t="n">
        <v>0</v>
      </c>
      <c r="N1006" s="17">
        <f>K1006*0.08+L1006*0.08</f>
        <v/>
      </c>
      <c r="O1006" s="17">
        <f>-(K1006*0.025+L1006*0.025)</f>
        <v/>
      </c>
      <c r="P1006" s="17">
        <f>32</f>
        <v/>
      </c>
      <c r="Q1006" s="17">
        <f>J1006+L1006+N1006+O1006-P1006-M1006</f>
        <v/>
      </c>
    </row>
    <row r="1007">
      <c r="A1007" s="16" t="inlineStr">
        <is>
          <t>5.1-5.7</t>
        </is>
      </c>
      <c r="B1007" s="16" t="inlineStr">
        <is>
          <t>PO-128-07714443735671539</t>
        </is>
      </c>
      <c r="C1007" s="16" t="inlineStr">
        <is>
          <t>Delivered</t>
        </is>
      </c>
      <c r="D1007" s="16" t="inlineStr">
        <is>
          <t>128-07714464707191539</t>
        </is>
      </c>
      <c r="E1007" s="16" t="inlineStr">
        <is>
          <t>Delivered</t>
        </is>
      </c>
      <c r="F1007" s="16" t="inlineStr">
        <is>
          <t>LV64W25</t>
        </is>
      </c>
      <c r="G10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7" s="16" t="inlineStr">
        <is>
          <t>Blanco</t>
        </is>
      </c>
      <c r="I1007" s="16" t="n">
        <v>2</v>
      </c>
      <c r="J1007" s="17" t="n">
        <v>246</v>
      </c>
      <c r="K1007" s="17" t="n">
        <v>257.12</v>
      </c>
      <c r="L1007" s="17" t="n">
        <v>0</v>
      </c>
      <c r="M1007" s="17" t="n">
        <v>0</v>
      </c>
      <c r="N1007" s="17">
        <f>K1007*0.08+L1007*0.08</f>
        <v/>
      </c>
      <c r="O1007" s="17">
        <f>-(K1007*0.025+L1007*0.025)</f>
        <v/>
      </c>
      <c r="P1007" s="17">
        <f>32</f>
        <v/>
      </c>
      <c r="Q1007" s="17">
        <f>J1007+L1007+N1007+O1007-P1007-M1007</f>
        <v/>
      </c>
    </row>
    <row r="1008">
      <c r="A1008" s="16" t="inlineStr">
        <is>
          <t>5.1-5.7</t>
        </is>
      </c>
      <c r="B1008" s="16" t="inlineStr">
        <is>
          <t>PO-128-07586083605111342</t>
        </is>
      </c>
      <c r="C1008" s="16" t="inlineStr">
        <is>
          <t>Delivered</t>
        </is>
      </c>
      <c r="D1008" s="16" t="inlineStr">
        <is>
          <t>128-07586136033911342</t>
        </is>
      </c>
      <c r="E1008" s="16" t="inlineStr">
        <is>
          <t>Delivered</t>
        </is>
      </c>
      <c r="F1008" s="16" t="inlineStr">
        <is>
          <t>TL1455N20B</t>
        </is>
      </c>
      <c r="G1008" s="16" t="inlineStr">
        <is>
          <t>LINK BITS Soporte para TV 14 A 55 Pulgadas, Base para TV Pantalla Articulado Inclinable y Giratorio, MAX VESA 400×400 mm, Soporta hasta 18kg (Acero Reforzado)</t>
        </is>
      </c>
      <c r="H1008" s="16" t="inlineStr">
        <is>
          <t>TL1455N20B</t>
        </is>
      </c>
      <c r="I1008" s="16" t="n">
        <v>1</v>
      </c>
      <c r="J1008" s="17" t="n">
        <v>72</v>
      </c>
      <c r="K1008" s="17" t="n">
        <v>94.83</v>
      </c>
      <c r="L1008" s="17" t="n">
        <v>25.86</v>
      </c>
      <c r="M1008" s="17" t="n">
        <v>0</v>
      </c>
      <c r="N1008" s="17">
        <f>K1008*0.08+L1008*0.08</f>
        <v/>
      </c>
      <c r="O1008" s="17">
        <f>-(K1008*0.025+L1008*0.025)</f>
        <v/>
      </c>
      <c r="P1008" s="17">
        <f>32</f>
        <v/>
      </c>
      <c r="Q1008" s="17">
        <f>J1008+L1008+N1008+O1008-P1008-M1008</f>
        <v/>
      </c>
    </row>
    <row r="1009">
      <c r="A1009" s="16" t="inlineStr">
        <is>
          <t>5.1-5.7</t>
        </is>
      </c>
      <c r="B1009" s="16" t="inlineStr">
        <is>
          <t>PO-128-07571451075191495</t>
        </is>
      </c>
      <c r="C1009" s="16" t="inlineStr">
        <is>
          <t>Delivered</t>
        </is>
      </c>
      <c r="D1009" s="16" t="inlineStr">
        <is>
          <t>128-07571419617911495</t>
        </is>
      </c>
      <c r="E1009" s="16" t="inlineStr">
        <is>
          <t>Delivered</t>
        </is>
      </c>
      <c r="F1009" s="16" t="inlineStr">
        <is>
          <t>LV64W25</t>
        </is>
      </c>
      <c r="G10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09" s="16" t="inlineStr">
        <is>
          <t>Blanco</t>
        </is>
      </c>
      <c r="I1009" s="16" t="n">
        <v>1</v>
      </c>
      <c r="J1009" s="17" t="n">
        <v>123</v>
      </c>
      <c r="K1009" s="17" t="n">
        <v>128.56</v>
      </c>
      <c r="L1009" s="17" t="n">
        <v>25.86</v>
      </c>
      <c r="M1009" s="17" t="n">
        <v>0</v>
      </c>
      <c r="N1009" s="17">
        <f>K1009*0.08+L1009*0.08</f>
        <v/>
      </c>
      <c r="O1009" s="17">
        <f>-(K1009*0.025+L1009*0.025)</f>
        <v/>
      </c>
      <c r="P1009" s="17">
        <f>32</f>
        <v/>
      </c>
      <c r="Q1009" s="17">
        <f>J1009+L1009+N1009+O1009-P1009-M1009</f>
        <v/>
      </c>
    </row>
    <row r="1010">
      <c r="A1010" s="16" t="inlineStr">
        <is>
          <t>5.1-5.7</t>
        </is>
      </c>
      <c r="B1010" s="16" t="inlineStr">
        <is>
          <t>PO-128-07908095304313457</t>
        </is>
      </c>
      <c r="C1010" s="16" t="inlineStr">
        <is>
          <t>Delivered</t>
        </is>
      </c>
      <c r="D1010" s="16" t="inlineStr">
        <is>
          <t>128-07908053361273457</t>
        </is>
      </c>
      <c r="E1010" s="16" t="inlineStr">
        <is>
          <t>Delivered</t>
        </is>
      </c>
      <c r="F1010" s="16" t="inlineStr">
        <is>
          <t>LV64W25</t>
        </is>
      </c>
      <c r="G10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10" s="16" t="inlineStr">
        <is>
          <t>Blanco</t>
        </is>
      </c>
      <c r="I1010" s="16" t="n">
        <v>1</v>
      </c>
      <c r="J1010" s="17" t="n">
        <v>123</v>
      </c>
      <c r="K1010" s="17" t="n">
        <v>42.35</v>
      </c>
      <c r="L1010" s="17" t="n">
        <v>25.86</v>
      </c>
      <c r="M1010" s="17" t="n">
        <v>0</v>
      </c>
      <c r="N1010" s="17">
        <f>K1010*0.08+L1010*0.08</f>
        <v/>
      </c>
      <c r="O1010" s="17">
        <f>-(K1010*0.025+L1010*0.025)</f>
        <v/>
      </c>
      <c r="P1010" s="17">
        <f>32</f>
        <v/>
      </c>
      <c r="Q1010" s="17">
        <f>J1010+L1010+N1010+O1010-P1010-M1010</f>
        <v/>
      </c>
    </row>
    <row r="1011">
      <c r="A1011" s="16" t="inlineStr">
        <is>
          <t>5.1-5.7</t>
        </is>
      </c>
      <c r="B1011" s="16" t="inlineStr">
        <is>
          <t>PO-128-07631991880311068</t>
        </is>
      </c>
      <c r="C1011" s="16" t="inlineStr">
        <is>
          <t>Delivered</t>
        </is>
      </c>
      <c r="D1011" s="16" t="inlineStr">
        <is>
          <t>128-07632012851831068</t>
        </is>
      </c>
      <c r="E1011" s="16" t="inlineStr">
        <is>
          <t>Delivered</t>
        </is>
      </c>
      <c r="F1011" s="16" t="inlineStr">
        <is>
          <t>LV64W25</t>
        </is>
      </c>
      <c r="G10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11" s="16" t="inlineStr">
        <is>
          <t>Blanco</t>
        </is>
      </c>
      <c r="I1011" s="16" t="n">
        <v>1</v>
      </c>
      <c r="J1011" s="17" t="n">
        <v>123</v>
      </c>
      <c r="K1011" s="17" t="n">
        <v>141.27</v>
      </c>
      <c r="L1011" s="17" t="n">
        <v>25.86</v>
      </c>
      <c r="M1011" s="17" t="n">
        <v>0</v>
      </c>
      <c r="N1011" s="17">
        <f>K1011*0.08+L1011*0.08</f>
        <v/>
      </c>
      <c r="O1011" s="17">
        <f>-(K1011*0.025+L1011*0.025)</f>
        <v/>
      </c>
      <c r="P1011" s="17">
        <f>32</f>
        <v/>
      </c>
      <c r="Q1011" s="17">
        <f>J1011+L1011+N1011+O1011-P1011-M1011</f>
        <v/>
      </c>
    </row>
    <row r="1012">
      <c r="A1012" s="16" t="inlineStr">
        <is>
          <t>5.1-5.7</t>
        </is>
      </c>
      <c r="B1012" s="16" t="inlineStr">
        <is>
          <t>PO-128-08186802657912819</t>
        </is>
      </c>
      <c r="C1012" s="16" t="inlineStr">
        <is>
          <t>Delivered</t>
        </is>
      </c>
      <c r="D1012" s="16" t="inlineStr">
        <is>
          <t>128-08186907515512819</t>
        </is>
      </c>
      <c r="E1012" s="16" t="inlineStr">
        <is>
          <t>Delivered</t>
        </is>
      </c>
      <c r="F1012" s="16" t="inlineStr">
        <is>
          <t>LV64W25</t>
        </is>
      </c>
      <c r="G10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12" s="16" t="inlineStr">
        <is>
          <t>Blanco</t>
        </is>
      </c>
      <c r="I1012" s="16" t="n">
        <v>2</v>
      </c>
      <c r="J1012" s="17" t="n">
        <v>246</v>
      </c>
      <c r="K1012" s="17" t="n">
        <v>257.12</v>
      </c>
      <c r="L1012" s="17" t="n">
        <v>0</v>
      </c>
      <c r="M1012" s="17" t="n">
        <v>0</v>
      </c>
      <c r="N1012" s="17">
        <f>K1012*0.08+L1012*0.08</f>
        <v/>
      </c>
      <c r="O1012" s="17">
        <f>-(K1012*0.025+L1012*0.025)</f>
        <v/>
      </c>
      <c r="P1012" s="17">
        <f>32</f>
        <v/>
      </c>
      <c r="Q1012" s="17">
        <f>J1012+L1012+N1012+O1012-P1012-M1012</f>
        <v/>
      </c>
    </row>
    <row r="1013">
      <c r="A1013" s="16" t="inlineStr">
        <is>
          <t>5.1-5.7</t>
        </is>
      </c>
      <c r="B1013" s="16" t="inlineStr">
        <is>
          <t>PO-128-07847744256630806</t>
        </is>
      </c>
      <c r="C1013" s="16" t="inlineStr">
        <is>
          <t>Delivered</t>
        </is>
      </c>
      <c r="D1013" s="16" t="inlineStr">
        <is>
          <t>128-07847849114230806</t>
        </is>
      </c>
      <c r="E1013" s="16" t="inlineStr">
        <is>
          <t>Delivered</t>
        </is>
      </c>
      <c r="F1013" s="16" t="inlineStr">
        <is>
          <t>LV64W25</t>
        </is>
      </c>
      <c r="G10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13" s="16" t="inlineStr">
        <is>
          <t>Blanco</t>
        </is>
      </c>
      <c r="I1013" s="16" t="n">
        <v>2</v>
      </c>
      <c r="J1013" s="17" t="n">
        <v>246</v>
      </c>
      <c r="K1013" s="17" t="n">
        <v>239.44</v>
      </c>
      <c r="L1013" s="17" t="n">
        <v>0</v>
      </c>
      <c r="M1013" s="17" t="n">
        <v>0</v>
      </c>
      <c r="N1013" s="17">
        <f>K1013*0.08+L1013*0.08</f>
        <v/>
      </c>
      <c r="O1013" s="17">
        <f>-(K1013*0.025+L1013*0.025)</f>
        <v/>
      </c>
      <c r="P1013" s="17">
        <f>32</f>
        <v/>
      </c>
      <c r="Q1013" s="17">
        <f>J1013+L1013+N1013+O1013-P1013-M1013</f>
        <v/>
      </c>
    </row>
    <row r="1014">
      <c r="A1014" s="16" t="inlineStr">
        <is>
          <t>5.1-5.7</t>
        </is>
      </c>
      <c r="B1014" s="16" t="inlineStr">
        <is>
          <t>PO-128-07666453248632017</t>
        </is>
      </c>
      <c r="C1014" s="16" t="inlineStr">
        <is>
          <t>Delivered</t>
        </is>
      </c>
      <c r="D1014" s="16" t="inlineStr">
        <is>
          <t>128-07666510920312017</t>
        </is>
      </c>
      <c r="E1014" s="16" t="inlineStr">
        <is>
          <t>Delivered</t>
        </is>
      </c>
      <c r="F1014" s="16" t="inlineStr">
        <is>
          <t>LV54W25</t>
        </is>
      </c>
      <c r="G1014" s="16" t="inlineStr">
        <is>
          <t>TIANLAI Lámpara Ventilador E27 2 en 1, Silenciosa, LED Alta Luminosidad 180°, Instalación Rápida, Ahorro Energético para Dormitorio y Interiores Pequeños</t>
        </is>
      </c>
      <c r="H1014" s="16" t="inlineStr">
        <is>
          <t>1 Pieza</t>
        </is>
      </c>
      <c r="I1014" s="16" t="n">
        <v>1</v>
      </c>
      <c r="J1014" s="17" t="n">
        <v>79.5</v>
      </c>
      <c r="K1014" s="17" t="n">
        <v>96.7</v>
      </c>
      <c r="L1014" s="17" t="n">
        <v>25.86</v>
      </c>
      <c r="M1014" s="17" t="n">
        <v>0</v>
      </c>
      <c r="N1014" s="17">
        <f>K1014*0.08+L1014*0.08</f>
        <v/>
      </c>
      <c r="O1014" s="17">
        <f>-(K1014*0.025+L1014*0.025)</f>
        <v/>
      </c>
      <c r="P1014" s="17">
        <f>32</f>
        <v/>
      </c>
      <c r="Q1014" s="17">
        <f>J1014+L1014+N1014+O1014-P1014-M1014</f>
        <v/>
      </c>
    </row>
    <row r="1015">
      <c r="A1015" s="16" t="inlineStr">
        <is>
          <t>5.1-5.7</t>
        </is>
      </c>
      <c r="B1015" s="16" t="inlineStr">
        <is>
          <t>PO-128-08068174285433652</t>
        </is>
      </c>
      <c r="C1015" s="16" t="inlineStr">
        <is>
          <t>Delivered</t>
        </is>
      </c>
      <c r="D1015" s="16" t="inlineStr">
        <is>
          <t>128-08068310600313652</t>
        </is>
      </c>
      <c r="E1015" s="16" t="inlineStr">
        <is>
          <t>Delivered</t>
        </is>
      </c>
      <c r="F1015" s="16" t="inlineStr">
        <is>
          <t>SA428T</t>
        </is>
      </c>
      <c r="G1015"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1015" s="16" t="inlineStr">
        <is>
          <t>SA428T</t>
        </is>
      </c>
      <c r="I1015" s="16" t="n">
        <v>1</v>
      </c>
      <c r="J1015" s="17" t="n">
        <v>86.22</v>
      </c>
      <c r="K1015" s="17" t="n">
        <v>101.67</v>
      </c>
      <c r="L1015" s="17" t="n">
        <v>25.86</v>
      </c>
      <c r="M1015" s="17" t="n">
        <v>0</v>
      </c>
      <c r="N1015" s="17">
        <f>K1015*0.08+L1015*0.08</f>
        <v/>
      </c>
      <c r="O1015" s="17">
        <f>-(K1015*0.025+L1015*0.025)</f>
        <v/>
      </c>
      <c r="P1015" s="17">
        <f>32</f>
        <v/>
      </c>
      <c r="Q1015" s="17">
        <f>J1015+L1015+N1015+O1015-P1015-M1015</f>
        <v/>
      </c>
    </row>
    <row r="1016">
      <c r="A1016" s="16" t="inlineStr">
        <is>
          <t>5.1-5.7</t>
        </is>
      </c>
      <c r="B1016" s="16" t="inlineStr">
        <is>
          <t>PO-128-07578674063991514</t>
        </is>
      </c>
      <c r="C1016" s="16" t="inlineStr">
        <is>
          <t>Delivered</t>
        </is>
      </c>
      <c r="D1016" s="16" t="inlineStr">
        <is>
          <t>128-07578658335351514</t>
        </is>
      </c>
      <c r="E1016" s="16" t="inlineStr">
        <is>
          <t>Delivered</t>
        </is>
      </c>
      <c r="F1016" s="16" t="inlineStr">
        <is>
          <t>TL2663N18C</t>
        </is>
      </c>
      <c r="G1016" s="16" t="inlineStr">
        <is>
          <t>Linkbits，Soporte de pared fijo para televisores de 26"-63", Ultra-Delgado Compatible con VESA 400x400mm, Capacidad de Peso Fuerte de 25KG, Instalación Fácil Sin Electricidad</t>
        </is>
      </c>
      <c r="H1016" s="16" t="inlineStr">
        <is>
          <t>NEGRO</t>
        </is>
      </c>
      <c r="I1016" s="16" t="n">
        <v>1</v>
      </c>
      <c r="J1016" s="17" t="n">
        <v>55.5</v>
      </c>
      <c r="K1016" s="17" t="n">
        <v>70.48</v>
      </c>
      <c r="L1016" s="17" t="n">
        <v>25.86</v>
      </c>
      <c r="M1016" s="17" t="n">
        <v>0</v>
      </c>
      <c r="N1016" s="17">
        <f>K1016*0.08+L1016*0.08</f>
        <v/>
      </c>
      <c r="O1016" s="17">
        <f>-(K1016*0.025+L1016*0.025)</f>
        <v/>
      </c>
      <c r="P1016" s="17">
        <f>32</f>
        <v/>
      </c>
      <c r="Q1016" s="17">
        <f>J1016+L1016+N1016+O1016-P1016-M1016</f>
        <v/>
      </c>
    </row>
    <row r="1017">
      <c r="A1017" s="16" t="inlineStr">
        <is>
          <t>5.1-5.7</t>
        </is>
      </c>
      <c r="B1017" s="16" t="inlineStr">
        <is>
          <t>PO-128-08239352003192632</t>
        </is>
      </c>
      <c r="C1017" s="16" t="inlineStr">
        <is>
          <t>Delivered</t>
        </is>
      </c>
      <c r="D1017" s="16" t="inlineStr">
        <is>
          <t>128-08239393946232632</t>
        </is>
      </c>
      <c r="E1017" s="16" t="inlineStr">
        <is>
          <t>Delivered</t>
        </is>
      </c>
      <c r="F1017" s="16" t="inlineStr">
        <is>
          <t>B03W10-10PZS</t>
        </is>
      </c>
      <c r="G101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017" s="16" t="inlineStr">
        <is>
          <t>B03W10</t>
        </is>
      </c>
      <c r="I1017" s="16" t="n">
        <v>1</v>
      </c>
      <c r="J1017" s="17" t="n">
        <v>71.5</v>
      </c>
      <c r="K1017" s="17" t="n">
        <v>66.23999999999999</v>
      </c>
      <c r="L1017" s="17" t="n">
        <v>25.86</v>
      </c>
      <c r="M1017" s="17" t="n">
        <v>3.97</v>
      </c>
      <c r="N1017" s="17">
        <f>K1017*0.08+L1017*0.08</f>
        <v/>
      </c>
      <c r="O1017" s="17">
        <f>-(K1017*0.025+L1017*0.025)</f>
        <v/>
      </c>
      <c r="P1017" s="17">
        <f>32</f>
        <v/>
      </c>
      <c r="Q1017" s="17">
        <f>J1017+L1017+N1017+O1017-P1017-M1017</f>
        <v/>
      </c>
    </row>
    <row r="1018">
      <c r="A1018" s="16" t="inlineStr">
        <is>
          <t>5.1-5.7</t>
        </is>
      </c>
      <c r="B1018" s="16" t="inlineStr">
        <is>
          <t>PO-128-07575249859191534</t>
        </is>
      </c>
      <c r="C1018" s="16" t="inlineStr">
        <is>
          <t>Delivered</t>
        </is>
      </c>
      <c r="D1018" s="16" t="inlineStr">
        <is>
          <t>128-07575268864631534</t>
        </is>
      </c>
      <c r="E1018" s="16" t="inlineStr">
        <is>
          <t>Delivered</t>
        </is>
      </c>
      <c r="F1018" s="16" t="inlineStr">
        <is>
          <t>LV64W25</t>
        </is>
      </c>
      <c r="G10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18" s="16" t="inlineStr">
        <is>
          <t>Blanco</t>
        </is>
      </c>
      <c r="I1018" s="16" t="n">
        <v>1</v>
      </c>
      <c r="J1018" s="17" t="n">
        <v>123</v>
      </c>
      <c r="K1018" s="17" t="n">
        <v>128.56</v>
      </c>
      <c r="L1018" s="17" t="n">
        <v>16.1</v>
      </c>
      <c r="M1018" s="17" t="n">
        <v>0</v>
      </c>
      <c r="N1018" s="17">
        <f>K1018*0.08+L1018*0.08</f>
        <v/>
      </c>
      <c r="O1018" s="17">
        <f>-(K1018*0.025+L1018*0.025)</f>
        <v/>
      </c>
      <c r="P1018" s="17">
        <f>32</f>
        <v/>
      </c>
      <c r="Q1018" s="17">
        <f>J1018+L1018+N1018+O1018-P1018-M1018</f>
        <v/>
      </c>
    </row>
    <row r="1019">
      <c r="A1019" s="16" t="inlineStr">
        <is>
          <t>5.1-5.7</t>
        </is>
      </c>
      <c r="B1019" s="16" t="inlineStr">
        <is>
          <t>PO-128-07575249859191534</t>
        </is>
      </c>
      <c r="C1019" s="16" t="inlineStr">
        <is>
          <t>Delivered</t>
        </is>
      </c>
      <c r="D1019" s="16" t="inlineStr">
        <is>
          <t>128-07575279350391534</t>
        </is>
      </c>
      <c r="E1019" s="16" t="inlineStr">
        <is>
          <t>Delivered</t>
        </is>
      </c>
      <c r="F1019" s="16" t="inlineStr">
        <is>
          <t>B03W10-10PZS</t>
        </is>
      </c>
      <c r="G101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019" s="16" t="inlineStr">
        <is>
          <t>B03W10</t>
        </is>
      </c>
      <c r="I1019" s="16" t="n">
        <v>1</v>
      </c>
      <c r="J1019" s="17" t="n">
        <v>71.5</v>
      </c>
      <c r="K1019" s="17" t="n">
        <v>77.93000000000001</v>
      </c>
      <c r="L1019" s="17" t="n">
        <v>9.76</v>
      </c>
      <c r="M1019" s="17" t="n">
        <v>0</v>
      </c>
      <c r="N1019" s="17">
        <f>K1019*0.08+L1019*0.08</f>
        <v/>
      </c>
      <c r="O1019" s="17">
        <f>-(K1019*0.025+L1019*0.025)</f>
        <v/>
      </c>
      <c r="P1019" s="17">
        <f>32</f>
        <v/>
      </c>
      <c r="Q1019" s="17">
        <f>J1019+L1019+N1019+O1019-P1019-M1019</f>
        <v/>
      </c>
    </row>
    <row r="1020">
      <c r="A1020" s="16" t="inlineStr">
        <is>
          <t>5.1-5.7</t>
        </is>
      </c>
      <c r="B1020" s="16" t="inlineStr">
        <is>
          <t>PO-128-07846153001590816</t>
        </is>
      </c>
      <c r="C1020" s="16" t="inlineStr">
        <is>
          <t>Delivered</t>
        </is>
      </c>
      <c r="D1020" s="16" t="inlineStr">
        <is>
          <t>128-07846173973110816</t>
        </is>
      </c>
      <c r="E1020" s="16" t="inlineStr">
        <is>
          <t>Delivered</t>
        </is>
      </c>
      <c r="F1020" s="16" t="inlineStr">
        <is>
          <t>LV54W25</t>
        </is>
      </c>
      <c r="G1020" s="16" t="inlineStr">
        <is>
          <t>TIANLAI Lámpara Ventilador E27 2 en 1, Silenciosa, LED Alta Luminosidad 180°, Instalación Rápida, Ahorro Energético para Dormitorio y Interiores Pequeños</t>
        </is>
      </c>
      <c r="H1020" s="16" t="inlineStr">
        <is>
          <t>1 Pieza</t>
        </is>
      </c>
      <c r="I1020" s="16" t="n">
        <v>3</v>
      </c>
      <c r="J1020" s="17" t="n">
        <v>238.5</v>
      </c>
      <c r="K1020" s="17" t="n">
        <v>290.1</v>
      </c>
      <c r="L1020" s="17" t="n">
        <v>0</v>
      </c>
      <c r="M1020" s="17" t="n">
        <v>0</v>
      </c>
      <c r="N1020" s="17">
        <f>K1020*0.08+L1020*0.08</f>
        <v/>
      </c>
      <c r="O1020" s="17">
        <f>-(K1020*0.025+L1020*0.025)</f>
        <v/>
      </c>
      <c r="P1020" s="17">
        <f>32</f>
        <v/>
      </c>
      <c r="Q1020" s="17">
        <f>J1020+L1020+N1020+O1020-P1020-M1020</f>
        <v/>
      </c>
    </row>
    <row r="1021">
      <c r="A1021" s="16" t="inlineStr">
        <is>
          <t>5.1-5.7</t>
        </is>
      </c>
      <c r="B1021" s="16" t="inlineStr">
        <is>
          <t>PO-128-07815350692470105</t>
        </is>
      </c>
      <c r="C1021" s="16" t="inlineStr">
        <is>
          <t>Delivered</t>
        </is>
      </c>
      <c r="D1021" s="16" t="inlineStr">
        <is>
          <t>128-07815403121270105</t>
        </is>
      </c>
      <c r="E1021" s="16" t="inlineStr">
        <is>
          <t>Delivered</t>
        </is>
      </c>
      <c r="F1021" s="16" t="inlineStr">
        <is>
          <t>LV64W25</t>
        </is>
      </c>
      <c r="G10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1" s="16" t="inlineStr">
        <is>
          <t>Blanco</t>
        </is>
      </c>
      <c r="I1021" s="16" t="n">
        <v>2</v>
      </c>
      <c r="J1021" s="17" t="n">
        <v>246</v>
      </c>
      <c r="K1021" s="17" t="n">
        <v>205.68</v>
      </c>
      <c r="L1021" s="17" t="n">
        <v>0</v>
      </c>
      <c r="M1021" s="17" t="n">
        <v>5.86</v>
      </c>
      <c r="N1021" s="17">
        <f>K1021*0.08+L1021*0.08</f>
        <v/>
      </c>
      <c r="O1021" s="17">
        <f>-(K1021*0.025+L1021*0.025)</f>
        <v/>
      </c>
      <c r="P1021" s="17">
        <f>32</f>
        <v/>
      </c>
      <c r="Q1021" s="17">
        <f>J1021+L1021+N1021+O1021-P1021-M1021</f>
        <v/>
      </c>
    </row>
    <row r="1022">
      <c r="A1022" s="16" t="inlineStr">
        <is>
          <t>5.1-5.7</t>
        </is>
      </c>
      <c r="B1022" s="16" t="inlineStr">
        <is>
          <t>PO-128-07731728538230410</t>
        </is>
      </c>
      <c r="C1022" s="16" t="inlineStr">
        <is>
          <t>Delivered</t>
        </is>
      </c>
      <c r="D1022" s="16" t="inlineStr">
        <is>
          <t>128-07731749509750410</t>
        </is>
      </c>
      <c r="E1022" s="16" t="inlineStr">
        <is>
          <t>Delivered</t>
        </is>
      </c>
      <c r="F1022" s="16" t="inlineStr">
        <is>
          <t>LV64W25</t>
        </is>
      </c>
      <c r="G10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2" s="16" t="inlineStr">
        <is>
          <t>Blanco</t>
        </is>
      </c>
      <c r="I1022" s="16" t="n">
        <v>5</v>
      </c>
      <c r="J1022" s="17" t="n">
        <v>615</v>
      </c>
      <c r="K1022" s="17" t="n">
        <v>642.8</v>
      </c>
      <c r="L1022" s="17" t="n">
        <v>0</v>
      </c>
      <c r="M1022" s="17" t="n">
        <v>0</v>
      </c>
      <c r="N1022" s="17">
        <f>K1022*0.08+L1022*0.08</f>
        <v/>
      </c>
      <c r="O1022" s="17">
        <f>-(K1022*0.025+L1022*0.025)</f>
        <v/>
      </c>
      <c r="P1022" s="17">
        <f>32</f>
        <v/>
      </c>
      <c r="Q1022" s="17">
        <f>J1022+L1022+N1022+O1022-P1022-M1022</f>
        <v/>
      </c>
    </row>
    <row r="1023">
      <c r="A1023" s="16" t="inlineStr">
        <is>
          <t>5.1-5.7</t>
        </is>
      </c>
      <c r="B1023" s="16" t="inlineStr">
        <is>
          <t>PO-128-08162362122872965</t>
        </is>
      </c>
      <c r="C1023" s="16" t="inlineStr">
        <is>
          <t>Delivered</t>
        </is>
      </c>
      <c r="D1023" s="16" t="inlineStr">
        <is>
          <t>128-08162341151352965</t>
        </is>
      </c>
      <c r="E1023" s="16" t="inlineStr">
        <is>
          <t>Delivered</t>
        </is>
      </c>
      <c r="F1023" s="16" t="inlineStr">
        <is>
          <t>LV64W25</t>
        </is>
      </c>
      <c r="G10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3" s="16" t="inlineStr">
        <is>
          <t>Blanco</t>
        </is>
      </c>
      <c r="I1023" s="16" t="n">
        <v>1</v>
      </c>
      <c r="J1023" s="17" t="n">
        <v>123</v>
      </c>
      <c r="K1023" s="17" t="n">
        <v>141.27</v>
      </c>
      <c r="L1023" s="17" t="n">
        <v>25.86</v>
      </c>
      <c r="M1023" s="17" t="n">
        <v>0</v>
      </c>
      <c r="N1023" s="17">
        <f>K1023*0.08+L1023*0.08</f>
        <v/>
      </c>
      <c r="O1023" s="17">
        <f>-(K1023*0.025+L1023*0.025)</f>
        <v/>
      </c>
      <c r="P1023" s="17">
        <f>32</f>
        <v/>
      </c>
      <c r="Q1023" s="17">
        <f>J1023+L1023+N1023+O1023-P1023-M1023</f>
        <v/>
      </c>
    </row>
    <row r="1024">
      <c r="A1024" s="16" t="inlineStr">
        <is>
          <t>5.1-5.7</t>
        </is>
      </c>
      <c r="B1024" s="16" t="inlineStr">
        <is>
          <t>PO-128-07993983826553969</t>
        </is>
      </c>
      <c r="C1024" s="16" t="inlineStr">
        <is>
          <t>Delivered</t>
        </is>
      </c>
      <c r="D1024" s="16" t="inlineStr">
        <is>
          <t>128-07993941883513969</t>
        </is>
      </c>
      <c r="E1024" s="16" t="inlineStr">
        <is>
          <t>Delivered</t>
        </is>
      </c>
      <c r="F1024" s="16" t="inlineStr">
        <is>
          <t>LV64W25</t>
        </is>
      </c>
      <c r="G10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4" s="16" t="inlineStr">
        <is>
          <t>Blanco</t>
        </is>
      </c>
      <c r="I1024" s="16" t="n">
        <v>2</v>
      </c>
      <c r="J1024" s="17" t="n">
        <v>246</v>
      </c>
      <c r="K1024" s="17" t="n">
        <v>214.02</v>
      </c>
      <c r="L1024" s="17" t="n">
        <v>0</v>
      </c>
      <c r="M1024" s="17" t="n">
        <v>0</v>
      </c>
      <c r="N1024" s="17">
        <f>K1024*0.08+L1024*0.08</f>
        <v/>
      </c>
      <c r="O1024" s="17">
        <f>-(K1024*0.025+L1024*0.025)</f>
        <v/>
      </c>
      <c r="P1024" s="17">
        <f>32</f>
        <v/>
      </c>
      <c r="Q1024" s="17">
        <f>J1024+L1024+N1024+O1024-P1024-M1024</f>
        <v/>
      </c>
    </row>
    <row r="1025">
      <c r="A1025" s="16" t="inlineStr">
        <is>
          <t>5.1-5.7</t>
        </is>
      </c>
      <c r="B1025" s="16" t="inlineStr">
        <is>
          <t>PO-128-08176070093433011</t>
        </is>
      </c>
      <c r="C1025" s="16" t="inlineStr">
        <is>
          <t>Delivered</t>
        </is>
      </c>
      <c r="D1025" s="16" t="inlineStr">
        <is>
          <t>128-08176174951033011</t>
        </is>
      </c>
      <c r="E1025" s="16" t="inlineStr">
        <is>
          <t>Delivered</t>
        </is>
      </c>
      <c r="F1025" s="16" t="inlineStr">
        <is>
          <t>TL1412N17C</t>
        </is>
      </c>
      <c r="G1025" s="16" t="inlineStr">
        <is>
          <t>Linkbits, Soporte de Pared Fijo para TV y Monitor de 14"-43", Ultra Delgado 2.3cm, Fuerte Capacidad de Peso de 25KG, Fácil Instalación con Accesorios Completos</t>
        </is>
      </c>
      <c r="H1025" s="16" t="inlineStr">
        <is>
          <t>NEGRO</t>
        </is>
      </c>
      <c r="I1025" s="16" t="n">
        <v>1</v>
      </c>
      <c r="J1025" s="17" t="n">
        <v>36.84</v>
      </c>
      <c r="K1025" s="17" t="n">
        <v>48.54</v>
      </c>
      <c r="L1025" s="17" t="n">
        <v>25.86</v>
      </c>
      <c r="M1025" s="17" t="n">
        <v>0.33</v>
      </c>
      <c r="N1025" s="17">
        <f>K1025*0.08+L1025*0.08</f>
        <v/>
      </c>
      <c r="O1025" s="17">
        <f>-(K1025*0.025+L1025*0.025)</f>
        <v/>
      </c>
      <c r="P1025" s="17">
        <f>32</f>
        <v/>
      </c>
      <c r="Q1025" s="17">
        <f>J1025+L1025+N1025+O1025-P1025-M1025</f>
        <v/>
      </c>
    </row>
    <row r="1026">
      <c r="A1026" s="16" t="inlineStr">
        <is>
          <t>5.1-5.7</t>
        </is>
      </c>
      <c r="B1026" s="16" t="inlineStr">
        <is>
          <t>PO-128-07701214976631744</t>
        </is>
      </c>
      <c r="C1026" s="16" t="inlineStr">
        <is>
          <t>Delivered</t>
        </is>
      </c>
      <c r="D1026" s="16" t="inlineStr">
        <is>
          <t>128-07701173033591744</t>
        </is>
      </c>
      <c r="E1026" s="16" t="inlineStr">
        <is>
          <t>Delivered</t>
        </is>
      </c>
      <c r="F1026" s="16" t="inlineStr">
        <is>
          <t>LV54W25</t>
        </is>
      </c>
      <c r="G1026" s="16" t="inlineStr">
        <is>
          <t>TIANLAI Lámpara Ventilador E27 2 en 1, Silenciosa, LED Alta Luminosidad 180°, Instalación Rápida, Ahorro Energético para Dormitorio y Interiores Pequeños</t>
        </is>
      </c>
      <c r="H1026" s="16" t="inlineStr">
        <is>
          <t>1 Pieza</t>
        </is>
      </c>
      <c r="I1026" s="16" t="n">
        <v>1</v>
      </c>
      <c r="J1026" s="17" t="n">
        <v>79.5</v>
      </c>
      <c r="K1026" s="17" t="n">
        <v>0.41</v>
      </c>
      <c r="L1026" s="17" t="n">
        <v>25.86</v>
      </c>
      <c r="M1026" s="17" t="n">
        <v>0</v>
      </c>
      <c r="N1026" s="17">
        <f>K1026*0.08+L1026*0.08</f>
        <v/>
      </c>
      <c r="O1026" s="17">
        <f>-(K1026*0.025+L1026*0.025)</f>
        <v/>
      </c>
      <c r="P1026" s="17">
        <f>32</f>
        <v/>
      </c>
      <c r="Q1026" s="17">
        <f>J1026+L1026+N1026+O1026-P1026-M1026</f>
        <v/>
      </c>
    </row>
    <row r="1027">
      <c r="A1027" s="16" t="inlineStr">
        <is>
          <t>5.1-5.7</t>
        </is>
      </c>
      <c r="B1027" s="16" t="inlineStr">
        <is>
          <t>PO-128-08172092426873035</t>
        </is>
      </c>
      <c r="C1027" s="16" t="inlineStr">
        <is>
          <t>Delivered</t>
        </is>
      </c>
      <c r="D1027" s="16" t="inlineStr">
        <is>
          <t>128-08172134369913035</t>
        </is>
      </c>
      <c r="E1027" s="16" t="inlineStr">
        <is>
          <t>Delivered</t>
        </is>
      </c>
      <c r="F1027" s="16" t="inlineStr">
        <is>
          <t>LV54W25</t>
        </is>
      </c>
      <c r="G1027" s="16" t="inlineStr">
        <is>
          <t>TIANLAI Lámpara Ventilador E27 2 en 1, Silenciosa, LED Alta Luminosidad 180°, Instalación Rápida, Ahorro Energético para Dormitorio y Interiores Pequeños</t>
        </is>
      </c>
      <c r="H1027" s="16" t="inlineStr">
        <is>
          <t>1 Pieza</t>
        </is>
      </c>
      <c r="I1027" s="16" t="n">
        <v>2</v>
      </c>
      <c r="J1027" s="17" t="n">
        <v>159</v>
      </c>
      <c r="K1027" s="17" t="n">
        <v>166.34</v>
      </c>
      <c r="L1027" s="17" t="n">
        <v>25.86</v>
      </c>
      <c r="M1027" s="17" t="n">
        <v>0</v>
      </c>
      <c r="N1027" s="17">
        <f>K1027*0.08+L1027*0.08</f>
        <v/>
      </c>
      <c r="O1027" s="17">
        <f>-(K1027*0.025+L1027*0.025)</f>
        <v/>
      </c>
      <c r="P1027" s="17">
        <f>32</f>
        <v/>
      </c>
      <c r="Q1027" s="17">
        <f>J1027+L1027+N1027+O1027-P1027-M1027</f>
        <v/>
      </c>
    </row>
    <row r="1028">
      <c r="A1028" s="16" t="inlineStr">
        <is>
          <t>5.1-5.7</t>
        </is>
      </c>
      <c r="B1028" s="16" t="inlineStr">
        <is>
          <t>PO-128-07937115351673410</t>
        </is>
      </c>
      <c r="C1028" s="16" t="inlineStr">
        <is>
          <t>Delivered</t>
        </is>
      </c>
      <c r="D1028" s="16" t="inlineStr">
        <is>
          <t>128-07937073408633410</t>
        </is>
      </c>
      <c r="E1028" s="16" t="inlineStr">
        <is>
          <t>Delivered</t>
        </is>
      </c>
      <c r="F1028" s="16" t="inlineStr">
        <is>
          <t>LV64W25</t>
        </is>
      </c>
      <c r="G10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28" s="16" t="inlineStr">
        <is>
          <t>Blanco</t>
        </is>
      </c>
      <c r="I1028" s="16" t="n">
        <v>1</v>
      </c>
      <c r="J1028" s="17" t="n">
        <v>123</v>
      </c>
      <c r="K1028" s="17" t="n">
        <v>58.51</v>
      </c>
      <c r="L1028" s="17" t="n">
        <v>25.86</v>
      </c>
      <c r="M1028" s="17" t="n">
        <v>0</v>
      </c>
      <c r="N1028" s="17">
        <f>K1028*0.08+L1028*0.08</f>
        <v/>
      </c>
      <c r="O1028" s="17">
        <f>-(K1028*0.025+L1028*0.025)</f>
        <v/>
      </c>
      <c r="P1028" s="17">
        <f>32</f>
        <v/>
      </c>
      <c r="Q1028" s="17">
        <f>J1028+L1028+N1028+O1028-P1028-M1028</f>
        <v/>
      </c>
    </row>
    <row r="1029">
      <c r="A1029" s="16" t="inlineStr">
        <is>
          <t>5.1-5.7</t>
        </is>
      </c>
      <c r="B1029" s="16" t="inlineStr">
        <is>
          <t>PO-128-07779690056310188</t>
        </is>
      </c>
      <c r="C1029" s="16" t="inlineStr">
        <is>
          <t>Delivered</t>
        </is>
      </c>
      <c r="D1029" s="16" t="inlineStr">
        <is>
          <t>128-07779742485110188</t>
        </is>
      </c>
      <c r="E1029" s="16" t="inlineStr">
        <is>
          <t>Delivered</t>
        </is>
      </c>
      <c r="F1029" s="16" t="inlineStr">
        <is>
          <t>KTS-1936</t>
        </is>
      </c>
      <c r="G1029" s="16" t="inlineStr">
        <is>
          <t>Espejo con Luz para Makeup，Espejo con Luz LED y Bocina Bluetooth，Espejo para Maquillaje con Aumentos y Luces LED de Intensidad Ajustable，Lente de Aumento 10X+Reproductor TF+ TWS，espejo de portátil y para estudiantes, oficina, dormitorio, mejor regalo</t>
        </is>
      </c>
      <c r="H1029" s="16" t="inlineStr">
        <is>
          <t>BLANCO</t>
        </is>
      </c>
      <c r="I1029" s="16" t="n">
        <v>1</v>
      </c>
      <c r="J1029" s="17" t="n">
        <v>217.75</v>
      </c>
      <c r="K1029" s="17" t="n">
        <v>245.59</v>
      </c>
      <c r="L1029" s="17" t="n">
        <v>25.86</v>
      </c>
      <c r="M1029" s="17" t="n">
        <v>16.74</v>
      </c>
      <c r="N1029" s="17">
        <f>K1029*0.08+L1029*0.08</f>
        <v/>
      </c>
      <c r="O1029" s="17">
        <f>-(K1029*0.025+L1029*0.025)</f>
        <v/>
      </c>
      <c r="P1029" s="17">
        <f>32</f>
        <v/>
      </c>
      <c r="Q1029" s="17">
        <f>J1029+L1029+N1029+O1029-P1029-M1029</f>
        <v/>
      </c>
    </row>
    <row r="1030">
      <c r="A1030" s="16" t="inlineStr">
        <is>
          <t>5.1-5.7</t>
        </is>
      </c>
      <c r="B1030" s="16" t="inlineStr">
        <is>
          <t>PO-128-07872722883190723</t>
        </is>
      </c>
      <c r="C1030" s="16" t="inlineStr">
        <is>
          <t>Delivered</t>
        </is>
      </c>
      <c r="D1030" s="16" t="inlineStr">
        <is>
          <t>128-07872859198070723</t>
        </is>
      </c>
      <c r="E1030" s="16" t="inlineStr">
        <is>
          <t>Delivered</t>
        </is>
      </c>
      <c r="F1030" s="16" t="inlineStr">
        <is>
          <t>VB349T</t>
        </is>
      </c>
      <c r="G1030" s="16" t="inlineStr">
        <is>
          <t>LINKBITS Altavoz Portátil de Doble Altavoz - 3 Pulgadas, Sonido HD, Emparejamiento Rápido de Bluetooth, Conectividad TWS, Reproducción Multimodo (Micro SD/USB/Radio FM) - Perfecto para Oficina, Viajes y Espacios Pequeños</t>
        </is>
      </c>
      <c r="H1030" s="16" t="inlineStr">
        <is>
          <t>NEGRO</t>
        </is>
      </c>
      <c r="I1030" s="16" t="n">
        <v>1</v>
      </c>
      <c r="J1030" s="17" t="n">
        <v>81</v>
      </c>
      <c r="K1030" s="17" t="n">
        <v>94.26000000000001</v>
      </c>
      <c r="L1030" s="17" t="n">
        <v>25.86</v>
      </c>
      <c r="M1030" s="17" t="n">
        <v>2</v>
      </c>
      <c r="N1030" s="17">
        <f>K1030*0.08+L1030*0.08</f>
        <v/>
      </c>
      <c r="O1030" s="17">
        <f>-(K1030*0.025+L1030*0.025)</f>
        <v/>
      </c>
      <c r="P1030" s="17">
        <f>32</f>
        <v/>
      </c>
      <c r="Q1030" s="17">
        <f>J1030+L1030+N1030+O1030-P1030-M1030</f>
        <v/>
      </c>
    </row>
    <row r="1031">
      <c r="A1031" s="16" t="inlineStr">
        <is>
          <t>5.1-5.7</t>
        </is>
      </c>
      <c r="B1031" s="16" t="inlineStr">
        <is>
          <t>PO-128-07586508237431341</t>
        </is>
      </c>
      <c r="C1031" s="16" t="inlineStr">
        <is>
          <t>Delivered</t>
        </is>
      </c>
      <c r="D1031" s="16" t="inlineStr">
        <is>
          <t>128-07586497751671341</t>
        </is>
      </c>
      <c r="E1031" s="16" t="inlineStr">
        <is>
          <t>Delivered</t>
        </is>
      </c>
      <c r="F1031" s="16" t="inlineStr">
        <is>
          <t>LV64W25</t>
        </is>
      </c>
      <c r="G10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31" s="16" t="inlineStr">
        <is>
          <t>Blanco</t>
        </is>
      </c>
      <c r="I1031" s="16" t="n">
        <v>2</v>
      </c>
      <c r="J1031" s="17" t="n">
        <v>246</v>
      </c>
      <c r="K1031" s="17" t="n">
        <v>218.88</v>
      </c>
      <c r="L1031" s="17" t="n">
        <v>0</v>
      </c>
      <c r="M1031" s="17" t="n">
        <v>0</v>
      </c>
      <c r="N1031" s="17">
        <f>K1031*0.08+L1031*0.08</f>
        <v/>
      </c>
      <c r="O1031" s="17">
        <f>-(K1031*0.025+L1031*0.025)</f>
        <v/>
      </c>
      <c r="P1031" s="17">
        <f>32</f>
        <v/>
      </c>
      <c r="Q1031" s="17">
        <f>J1031+L1031+N1031+O1031-P1031-M1031</f>
        <v/>
      </c>
    </row>
    <row r="1032">
      <c r="A1032" s="16" t="inlineStr">
        <is>
          <t>5.1-5.7</t>
        </is>
      </c>
      <c r="B1032" s="16" t="inlineStr">
        <is>
          <t>PO-128-07665272689272022</t>
        </is>
      </c>
      <c r="C1032" s="16" t="inlineStr">
        <is>
          <t>Delivered</t>
        </is>
      </c>
      <c r="D1032" s="16" t="inlineStr">
        <is>
          <t>128-07665325118072022</t>
        </is>
      </c>
      <c r="E1032" s="16" t="inlineStr">
        <is>
          <t>Delivered</t>
        </is>
      </c>
      <c r="F1032" s="16" t="inlineStr">
        <is>
          <t>LV54W25</t>
        </is>
      </c>
      <c r="G1032" s="16" t="inlineStr">
        <is>
          <t>TIANLAI Lámpara Ventilador E27 2 en 1, Silenciosa, LED Alta Luminosidad 180°, Instalación Rápida, Ahorro Energético para Dormitorio y Interiores Pequeños</t>
        </is>
      </c>
      <c r="H1032" s="16" t="inlineStr">
        <is>
          <t>1 Pieza</t>
        </is>
      </c>
      <c r="I1032" s="16" t="n">
        <v>1</v>
      </c>
      <c r="J1032" s="17" t="n">
        <v>79.5</v>
      </c>
      <c r="K1032" s="17" t="n">
        <v>0.41</v>
      </c>
      <c r="L1032" s="17" t="n">
        <v>25.86</v>
      </c>
      <c r="M1032" s="17" t="n">
        <v>0</v>
      </c>
      <c r="N1032" s="17">
        <f>K1032*0.08+L1032*0.08</f>
        <v/>
      </c>
      <c r="O1032" s="17">
        <f>-(K1032*0.025+L1032*0.025)</f>
        <v/>
      </c>
      <c r="P1032" s="17">
        <f>32</f>
        <v/>
      </c>
      <c r="Q1032" s="17">
        <f>J1032+L1032+N1032+O1032-P1032-M1032</f>
        <v/>
      </c>
    </row>
    <row r="1033">
      <c r="A1033" s="16" t="inlineStr">
        <is>
          <t>5.1-5.7</t>
        </is>
      </c>
      <c r="B1033" s="16" t="inlineStr">
        <is>
          <t>PO-128-08127041690232214</t>
        </is>
      </c>
      <c r="C1033" s="16" t="inlineStr">
        <is>
          <t>Delivered</t>
        </is>
      </c>
      <c r="D1033" s="16" t="inlineStr">
        <is>
          <t>128-08126999747192214</t>
        </is>
      </c>
      <c r="E1033" s="16" t="inlineStr">
        <is>
          <t>Delivered</t>
        </is>
      </c>
      <c r="F1033" s="16" t="inlineStr">
        <is>
          <t>LV64W25</t>
        </is>
      </c>
      <c r="G10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33" s="16" t="inlineStr">
        <is>
          <t>Blanco</t>
        </is>
      </c>
      <c r="I1033" s="16" t="n">
        <v>2</v>
      </c>
      <c r="J1033" s="17" t="n">
        <v>246</v>
      </c>
      <c r="K1033" s="17" t="n">
        <v>84.7</v>
      </c>
      <c r="L1033" s="17" t="n">
        <v>0</v>
      </c>
      <c r="M1033" s="17" t="n">
        <v>0</v>
      </c>
      <c r="N1033" s="17">
        <f>K1033*0.08+L1033*0.08</f>
        <v/>
      </c>
      <c r="O1033" s="17">
        <f>-(K1033*0.025+L1033*0.025)</f>
        <v/>
      </c>
      <c r="P1033" s="17">
        <f>32</f>
        <v/>
      </c>
      <c r="Q1033" s="17">
        <f>J1033+L1033+N1033+O1033-P1033-M1033</f>
        <v/>
      </c>
    </row>
    <row r="1034">
      <c r="A1034" s="16" t="inlineStr">
        <is>
          <t>5.1-5.7</t>
        </is>
      </c>
      <c r="B1034" s="16" t="inlineStr">
        <is>
          <t>PO-128-08181334610553042</t>
        </is>
      </c>
      <c r="C1034" s="16" t="inlineStr">
        <is>
          <t>Delivered</t>
        </is>
      </c>
      <c r="D1034" s="16" t="inlineStr">
        <is>
          <t>128-08181255967353042</t>
        </is>
      </c>
      <c r="E1034" s="16" t="inlineStr">
        <is>
          <t>Delivered</t>
        </is>
      </c>
      <c r="F1034" s="16" t="inlineStr">
        <is>
          <t>BSC07</t>
        </is>
      </c>
      <c r="G1034" s="16" t="inlineStr">
        <is>
          <t>TIANLAI Báscula Digital BSC04/BSC07, Alta Precisión, Fácil Operación, Ligera y Portátil, Función Tara, Unidad Dual oz/g, Ideal para Cocina, Control de Porciones, Sellos y Objetos Pequeños, Uso en Hogar y Viaje</t>
        </is>
      </c>
      <c r="H1034" s="16" t="inlineStr">
        <is>
          <t>1g/White</t>
        </is>
      </c>
      <c r="I1034" s="16" t="n">
        <v>1</v>
      </c>
      <c r="J1034" s="17" t="n">
        <v>35</v>
      </c>
      <c r="K1034" s="17" t="n">
        <v>47.21</v>
      </c>
      <c r="L1034" s="17" t="n">
        <v>25.86</v>
      </c>
      <c r="M1034" s="17" t="n">
        <v>0</v>
      </c>
      <c r="N1034" s="17">
        <f>K1034*0.08+L1034*0.08</f>
        <v/>
      </c>
      <c r="O1034" s="17">
        <f>-(K1034*0.025+L1034*0.025)</f>
        <v/>
      </c>
      <c r="P1034" s="17">
        <f>32</f>
        <v/>
      </c>
      <c r="Q1034" s="17">
        <f>J1034+L1034+N1034+O1034-P1034-M1034</f>
        <v/>
      </c>
    </row>
    <row r="1035">
      <c r="A1035" s="16" t="inlineStr">
        <is>
          <t>5.1-5.7</t>
        </is>
      </c>
      <c r="B1035" s="16" t="inlineStr">
        <is>
          <t>PO-128-07668174684791815</t>
        </is>
      </c>
      <c r="C1035" s="16" t="inlineStr">
        <is>
          <t>Delivered</t>
        </is>
      </c>
      <c r="D1035" s="16" t="inlineStr">
        <is>
          <t>128-07668132741751815</t>
        </is>
      </c>
      <c r="E1035" s="16" t="inlineStr">
        <is>
          <t>Delivered</t>
        </is>
      </c>
      <c r="F1035" s="16" t="inlineStr">
        <is>
          <t>LV64W25</t>
        </is>
      </c>
      <c r="G10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35" s="16" t="inlineStr">
        <is>
          <t>Blanco</t>
        </is>
      </c>
      <c r="I1035" s="16" t="n">
        <v>1</v>
      </c>
      <c r="J1035" s="17" t="n">
        <v>123</v>
      </c>
      <c r="K1035" s="17" t="n">
        <v>64.28</v>
      </c>
      <c r="L1035" s="17" t="n">
        <v>25.86</v>
      </c>
      <c r="M1035" s="17" t="n">
        <v>0</v>
      </c>
      <c r="N1035" s="17">
        <f>K1035*0.08+L1035*0.08</f>
        <v/>
      </c>
      <c r="O1035" s="17">
        <f>-(K1035*0.025+L1035*0.025)</f>
        <v/>
      </c>
      <c r="P1035" s="17">
        <f>32</f>
        <v/>
      </c>
      <c r="Q1035" s="17">
        <f>J1035+L1035+N1035+O1035-P1035-M1035</f>
        <v/>
      </c>
    </row>
    <row r="1036">
      <c r="A1036" s="16" t="inlineStr">
        <is>
          <t>5.1-5.7</t>
        </is>
      </c>
      <c r="B1036" s="16" t="inlineStr">
        <is>
          <t>PO-128-07742808269430472</t>
        </is>
      </c>
      <c r="C1036" s="16" t="inlineStr">
        <is>
          <t>Delivered</t>
        </is>
      </c>
      <c r="D1036" s="16" t="inlineStr">
        <is>
          <t>128-07742787297910472</t>
        </is>
      </c>
      <c r="E1036" s="16" t="inlineStr">
        <is>
          <t>Delivered</t>
        </is>
      </c>
      <c r="F1036" s="16" t="inlineStr">
        <is>
          <t>LV54W25</t>
        </is>
      </c>
      <c r="G1036" s="16" t="inlineStr">
        <is>
          <t>TIANLAI Lámpara Ventilador E27 2 en 1, Silenciosa, LED Alta Luminosidad 180°, Instalación Rápida, Ahorro Energético para Dormitorio y Interiores Pequeños</t>
        </is>
      </c>
      <c r="H1036" s="16" t="inlineStr">
        <is>
          <t>1 Pieza</t>
        </is>
      </c>
      <c r="I1036" s="16" t="n">
        <v>1</v>
      </c>
      <c r="J1036" s="17" t="n">
        <v>79.5</v>
      </c>
      <c r="K1036" s="17" t="n">
        <v>96.7</v>
      </c>
      <c r="L1036" s="17" t="n">
        <v>25.86</v>
      </c>
      <c r="M1036" s="17" t="n">
        <v>0</v>
      </c>
      <c r="N1036" s="17">
        <f>K1036*0.08+L1036*0.08</f>
        <v/>
      </c>
      <c r="O1036" s="17">
        <f>-(K1036*0.025+L1036*0.025)</f>
        <v/>
      </c>
      <c r="P1036" s="17">
        <f>32</f>
        <v/>
      </c>
      <c r="Q1036" s="17">
        <f>J1036+L1036+N1036+O1036-P1036-M1036</f>
        <v/>
      </c>
    </row>
    <row r="1037">
      <c r="A1037" s="16" t="inlineStr">
        <is>
          <t>5.1-5.7</t>
        </is>
      </c>
      <c r="B1037" s="16" t="inlineStr">
        <is>
          <t>PO-128-07783442954870166</t>
        </is>
      </c>
      <c r="C1037" s="16" t="inlineStr">
        <is>
          <t>Delivered</t>
        </is>
      </c>
      <c r="D1037" s="16" t="inlineStr">
        <is>
          <t>128-07783401011830166</t>
        </is>
      </c>
      <c r="E1037" s="16" t="inlineStr">
        <is>
          <t>Delivered</t>
        </is>
      </c>
      <c r="F1037" s="16" t="inlineStr">
        <is>
          <t>SB428T</t>
        </is>
      </c>
      <c r="G1037" s="16" t="inlineStr">
        <is>
          <t>LINK BITS La bocina es tu compañero ideal para reuniones en México! Equipada con 2 altavoces de 4 pulgadas y potencia 5W×2, USB y TF, funciona sin internet—perfecta para picnics, fiestas en el jardín o relajación en la terraza.</t>
        </is>
      </c>
      <c r="H1037" s="16" t="inlineStr">
        <is>
          <t>SB428T</t>
        </is>
      </c>
      <c r="I1037" s="16" t="n">
        <v>1</v>
      </c>
      <c r="J1037" s="17" t="n">
        <v>97</v>
      </c>
      <c r="K1037" s="17" t="n">
        <v>32.74</v>
      </c>
      <c r="L1037" s="17" t="n">
        <v>25.86</v>
      </c>
      <c r="M1037" s="17" t="n">
        <v>0</v>
      </c>
      <c r="N1037" s="17">
        <f>K1037*0.08+L1037*0.08</f>
        <v/>
      </c>
      <c r="O1037" s="17">
        <f>-(K1037*0.025+L1037*0.025)</f>
        <v/>
      </c>
      <c r="P1037" s="17">
        <f>32</f>
        <v/>
      </c>
      <c r="Q1037" s="17">
        <f>J1037+L1037+N1037+O1037-P1037-M1037</f>
        <v/>
      </c>
    </row>
    <row r="1038">
      <c r="A1038" s="16" t="inlineStr">
        <is>
          <t>5.1-5.7</t>
        </is>
      </c>
      <c r="B1038" s="16" t="inlineStr">
        <is>
          <t>PO-128-07728018166391648</t>
        </is>
      </c>
      <c r="C1038" s="16" t="inlineStr">
        <is>
          <t>Delivered</t>
        </is>
      </c>
      <c r="D1038" s="16" t="inlineStr">
        <is>
          <t>128-07728070595191648</t>
        </is>
      </c>
      <c r="E1038" s="16" t="inlineStr">
        <is>
          <t>Delivered</t>
        </is>
      </c>
      <c r="F1038" s="16" t="inlineStr">
        <is>
          <t>LV54W25</t>
        </is>
      </c>
      <c r="G1038" s="16" t="inlineStr">
        <is>
          <t>TIANLAI Lámpara Ventilador E27 2 en 1, Silenciosa, LED Alta Luminosidad 180°, Instalación Rápida, Ahorro Energético para Dormitorio y Interiores Pequeños</t>
        </is>
      </c>
      <c r="H1038" s="16" t="inlineStr">
        <is>
          <t>1 Pieza</t>
        </is>
      </c>
      <c r="I1038" s="16" t="n">
        <v>1</v>
      </c>
      <c r="J1038" s="17" t="n">
        <v>79.5</v>
      </c>
      <c r="K1038" s="17" t="n">
        <v>82.2</v>
      </c>
      <c r="L1038" s="17" t="n">
        <v>25.86</v>
      </c>
      <c r="M1038" s="17" t="n">
        <v>0</v>
      </c>
      <c r="N1038" s="17">
        <f>K1038*0.08+L1038*0.08</f>
        <v/>
      </c>
      <c r="O1038" s="17">
        <f>-(K1038*0.025+L1038*0.025)</f>
        <v/>
      </c>
      <c r="P1038" s="17">
        <f>32</f>
        <v/>
      </c>
      <c r="Q1038" s="17">
        <f>J1038+L1038+N1038+O1038-P1038-M1038</f>
        <v/>
      </c>
    </row>
    <row r="1039">
      <c r="A1039" s="16" t="inlineStr">
        <is>
          <t>5.1-5.7</t>
        </is>
      </c>
      <c r="B1039" s="16" t="inlineStr">
        <is>
          <t>PO-128-07945089772153426</t>
        </is>
      </c>
      <c r="C1039" s="16" t="inlineStr">
        <is>
          <t>Delivered</t>
        </is>
      </c>
      <c r="D1039" s="16" t="inlineStr">
        <is>
          <t>128-07945131715193426</t>
        </is>
      </c>
      <c r="E1039" s="16" t="inlineStr">
        <is>
          <t>Delivered</t>
        </is>
      </c>
      <c r="F1039" s="16" t="inlineStr">
        <is>
          <t>LV64W25</t>
        </is>
      </c>
      <c r="G10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39" s="16" t="inlineStr">
        <is>
          <t>Blanco</t>
        </is>
      </c>
      <c r="I1039" s="16" t="n">
        <v>2</v>
      </c>
      <c r="J1039" s="17" t="n">
        <v>246</v>
      </c>
      <c r="K1039" s="17" t="n">
        <v>254.3</v>
      </c>
      <c r="L1039" s="17" t="n">
        <v>0</v>
      </c>
      <c r="M1039" s="17" t="n">
        <v>0</v>
      </c>
      <c r="N1039" s="17">
        <f>K1039*0.08+L1039*0.08</f>
        <v/>
      </c>
      <c r="O1039" s="17">
        <f>-(K1039*0.025+L1039*0.025)</f>
        <v/>
      </c>
      <c r="P1039" s="17">
        <f>32</f>
        <v/>
      </c>
      <c r="Q1039" s="17">
        <f>J1039+L1039+N1039+O1039-P1039-M1039</f>
        <v/>
      </c>
    </row>
    <row r="1040">
      <c r="A1040" s="16" t="inlineStr">
        <is>
          <t>5.1-5.7</t>
        </is>
      </c>
      <c r="B1040" s="16" t="inlineStr">
        <is>
          <t>PO-128-07776913869430140</t>
        </is>
      </c>
      <c r="C1040" s="16" t="inlineStr">
        <is>
          <t>Delivered</t>
        </is>
      </c>
      <c r="D1040" s="16" t="inlineStr">
        <is>
          <t>128-07776968919670140</t>
        </is>
      </c>
      <c r="E1040" s="16" t="inlineStr">
        <is>
          <t>Delivered</t>
        </is>
      </c>
      <c r="F1040" s="16" t="inlineStr">
        <is>
          <t>LV64W25</t>
        </is>
      </c>
      <c r="G10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0" s="16" t="inlineStr">
        <is>
          <t>Blanco</t>
        </is>
      </c>
      <c r="I1040" s="16" t="n">
        <v>1</v>
      </c>
      <c r="J1040" s="17" t="n">
        <v>123</v>
      </c>
      <c r="K1040" s="17" t="n">
        <v>141.27</v>
      </c>
      <c r="L1040" s="17" t="n">
        <v>25.86</v>
      </c>
      <c r="M1040" s="17" t="n">
        <v>0</v>
      </c>
      <c r="N1040" s="17">
        <f>K1040*0.08+L1040*0.08</f>
        <v/>
      </c>
      <c r="O1040" s="17">
        <f>-(K1040*0.025+L1040*0.025)</f>
        <v/>
      </c>
      <c r="P1040" s="17">
        <f>32</f>
        <v/>
      </c>
      <c r="Q1040" s="17">
        <f>J1040+L1040+N1040+O1040-P1040-M1040</f>
        <v/>
      </c>
    </row>
    <row r="1041">
      <c r="A1041" s="16" t="inlineStr">
        <is>
          <t>5.1-5.7</t>
        </is>
      </c>
      <c r="B1041" s="16" t="inlineStr">
        <is>
          <t>PO-128-08165746862712945</t>
        </is>
      </c>
      <c r="C1041" s="16" t="inlineStr">
        <is>
          <t>Delivered</t>
        </is>
      </c>
      <c r="D1041" s="16" t="inlineStr">
        <is>
          <t>128-08165767834232945</t>
        </is>
      </c>
      <c r="E1041" s="16" t="inlineStr">
        <is>
          <t>Delivered</t>
        </is>
      </c>
      <c r="F1041" s="16" t="inlineStr">
        <is>
          <t>LV64W25</t>
        </is>
      </c>
      <c r="G10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1" s="16" t="inlineStr">
        <is>
          <t>Blanco</t>
        </is>
      </c>
      <c r="I1041" s="16" t="n">
        <v>2</v>
      </c>
      <c r="J1041" s="17" t="n">
        <v>246</v>
      </c>
      <c r="K1041" s="17" t="n">
        <v>254.3</v>
      </c>
      <c r="L1041" s="17" t="n">
        <v>0</v>
      </c>
      <c r="M1041" s="17" t="n">
        <v>0</v>
      </c>
      <c r="N1041" s="17">
        <f>K1041*0.08+L1041*0.08</f>
        <v/>
      </c>
      <c r="O1041" s="17">
        <f>-(K1041*0.025+L1041*0.025)</f>
        <v/>
      </c>
      <c r="P1041" s="17">
        <f>32</f>
        <v/>
      </c>
      <c r="Q1041" s="17">
        <f>J1041+L1041+N1041+O1041-P1041-M1041</f>
        <v/>
      </c>
    </row>
    <row r="1042">
      <c r="A1042" s="16" t="inlineStr">
        <is>
          <t>5.1-5.7</t>
        </is>
      </c>
      <c r="B1042" s="16" t="inlineStr">
        <is>
          <t>PO-128-07695423867511714</t>
        </is>
      </c>
      <c r="C1042" s="16" t="inlineStr">
        <is>
          <t>Delivered</t>
        </is>
      </c>
      <c r="D1042" s="16" t="inlineStr">
        <is>
          <t>128-07695408138871714</t>
        </is>
      </c>
      <c r="E1042" s="16" t="inlineStr">
        <is>
          <t>Delivered</t>
        </is>
      </c>
      <c r="F1042" s="16" t="inlineStr">
        <is>
          <t>LV64W25</t>
        </is>
      </c>
      <c r="G10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2" s="16" t="inlineStr">
        <is>
          <t>Blanco</t>
        </is>
      </c>
      <c r="I1042" s="16" t="n">
        <v>1</v>
      </c>
      <c r="J1042" s="17" t="n">
        <v>123</v>
      </c>
      <c r="K1042" s="17" t="n">
        <v>141.27</v>
      </c>
      <c r="L1042" s="17" t="n">
        <v>25.86</v>
      </c>
      <c r="M1042" s="17" t="n">
        <v>0</v>
      </c>
      <c r="N1042" s="17">
        <f>K1042*0.08+L1042*0.08</f>
        <v/>
      </c>
      <c r="O1042" s="17">
        <f>-(K1042*0.025+L1042*0.025)</f>
        <v/>
      </c>
      <c r="P1042" s="17">
        <f>32</f>
        <v/>
      </c>
      <c r="Q1042" s="17">
        <f>J1042+L1042+N1042+O1042-P1042-M1042</f>
        <v/>
      </c>
    </row>
    <row r="1043">
      <c r="A1043" s="16" t="inlineStr">
        <is>
          <t>5.1-5.7</t>
        </is>
      </c>
      <c r="B1043" s="16" t="inlineStr">
        <is>
          <t>PO-128-07778893056630131</t>
        </is>
      </c>
      <c r="C1043" s="16" t="inlineStr">
        <is>
          <t>Delivered</t>
        </is>
      </c>
      <c r="D1043" s="16" t="inlineStr">
        <is>
          <t>128-07778851113590131</t>
        </is>
      </c>
      <c r="E1043" s="16" t="inlineStr">
        <is>
          <t>Delivered</t>
        </is>
      </c>
      <c r="F1043" s="16" t="inlineStr">
        <is>
          <t>LV54W25</t>
        </is>
      </c>
      <c r="G1043" s="16" t="inlineStr">
        <is>
          <t>TIANLAI Lámpara Ventilador E27 2 en 1, Silenciosa, LED Alta Luminosidad 180°, Instalación Rápida, Ahorro Energético para Dormitorio y Interiores Pequeños</t>
        </is>
      </c>
      <c r="H1043" s="16" t="inlineStr">
        <is>
          <t>1 Pieza</t>
        </is>
      </c>
      <c r="I1043" s="16" t="n">
        <v>1</v>
      </c>
      <c r="J1043" s="17" t="n">
        <v>79.5</v>
      </c>
      <c r="K1043" s="17" t="n">
        <v>28.75</v>
      </c>
      <c r="L1043" s="17" t="n">
        <v>25.86</v>
      </c>
      <c r="M1043" s="17" t="n">
        <v>0</v>
      </c>
      <c r="N1043" s="17">
        <f>K1043*0.08+L1043*0.08</f>
        <v/>
      </c>
      <c r="O1043" s="17">
        <f>-(K1043*0.025+L1043*0.025)</f>
        <v/>
      </c>
      <c r="P1043" s="17">
        <f>32</f>
        <v/>
      </c>
      <c r="Q1043" s="17">
        <f>J1043+L1043+N1043+O1043-P1043-M1043</f>
        <v/>
      </c>
    </row>
    <row r="1044">
      <c r="A1044" s="16" t="inlineStr">
        <is>
          <t>5.1-5.7</t>
        </is>
      </c>
      <c r="B1044" s="16" t="inlineStr">
        <is>
          <t>PO-128-07939528387193397</t>
        </is>
      </c>
      <c r="C1044" s="16" t="inlineStr">
        <is>
          <t>Delivered</t>
        </is>
      </c>
      <c r="D1044" s="16" t="inlineStr">
        <is>
          <t>128-07939510037113397</t>
        </is>
      </c>
      <c r="E1044" s="16" t="inlineStr">
        <is>
          <t>Delivered</t>
        </is>
      </c>
      <c r="F1044" s="16" t="inlineStr">
        <is>
          <t>LV54W25</t>
        </is>
      </c>
      <c r="G1044" s="16" t="inlineStr">
        <is>
          <t>TIANLAI Lámpara Ventilador E27 2 en 1, Silenciosa, LED Alta Luminosidad 180°, Instalación Rápida, Ahorro Energético para Dormitorio y Interiores Pequeños</t>
        </is>
      </c>
      <c r="H1044" s="16" t="inlineStr">
        <is>
          <t>1 Pieza</t>
        </is>
      </c>
      <c r="I1044" s="16" t="n">
        <v>1</v>
      </c>
      <c r="J1044" s="17" t="n">
        <v>79.5</v>
      </c>
      <c r="K1044" s="17" t="n">
        <v>96.7</v>
      </c>
      <c r="L1044" s="17" t="n">
        <v>25.86</v>
      </c>
      <c r="M1044" s="17" t="n">
        <v>0</v>
      </c>
      <c r="N1044" s="17">
        <f>K1044*0.08+L1044*0.08</f>
        <v/>
      </c>
      <c r="O1044" s="17">
        <f>-(K1044*0.025+L1044*0.025)</f>
        <v/>
      </c>
      <c r="P1044" s="17">
        <f>32</f>
        <v/>
      </c>
      <c r="Q1044" s="17">
        <f>J1044+L1044+N1044+O1044-P1044-M1044</f>
        <v/>
      </c>
    </row>
    <row r="1045">
      <c r="A1045" s="16" t="inlineStr">
        <is>
          <t>5.1-5.7</t>
        </is>
      </c>
      <c r="B1045" s="16" t="inlineStr">
        <is>
          <t>PO-128-07781160684150181</t>
        </is>
      </c>
      <c r="C1045" s="16" t="inlineStr">
        <is>
          <t>Delivered</t>
        </is>
      </c>
      <c r="D1045" s="16" t="inlineStr">
        <is>
          <t>128-07781118741110181</t>
        </is>
      </c>
      <c r="E1045" s="16" t="inlineStr">
        <is>
          <t>Delivered</t>
        </is>
      </c>
      <c r="F1045" s="16" t="inlineStr">
        <is>
          <t>VB349T</t>
        </is>
      </c>
      <c r="G1045" s="16" t="inlineStr">
        <is>
          <t>LINKBITS Altavoz Portátil de Doble Altavoz - 3 Pulgadas, Sonido HD, Emparejamiento Rápido de Bluetooth, Conectividad TWS, Reproducción Multimodo (Micro SD/USB/Radio FM) - Perfecto para Oficina, Viajes y Espacios Pequeños</t>
        </is>
      </c>
      <c r="H1045" s="16" t="inlineStr">
        <is>
          <t>NEGRO</t>
        </is>
      </c>
      <c r="I1045" s="16" t="n">
        <v>1</v>
      </c>
      <c r="J1045" s="17" t="n">
        <v>81</v>
      </c>
      <c r="K1045" s="17" t="n">
        <v>75.42</v>
      </c>
      <c r="L1045" s="17" t="n">
        <v>25.86</v>
      </c>
      <c r="M1045" s="17" t="n">
        <v>0</v>
      </c>
      <c r="N1045" s="17">
        <f>K1045*0.08+L1045*0.08</f>
        <v/>
      </c>
      <c r="O1045" s="17">
        <f>-(K1045*0.025+L1045*0.025)</f>
        <v/>
      </c>
      <c r="P1045" s="17">
        <f>32</f>
        <v/>
      </c>
      <c r="Q1045" s="17">
        <f>J1045+L1045+N1045+O1045-P1045-M1045</f>
        <v/>
      </c>
    </row>
    <row r="1046">
      <c r="A1046" s="16" t="inlineStr">
        <is>
          <t>5.1-5.7</t>
        </is>
      </c>
      <c r="B1046" s="16" t="inlineStr">
        <is>
          <t>PO-128-08097673615992327</t>
        </is>
      </c>
      <c r="C1046" s="16" t="inlineStr">
        <is>
          <t>Delivered</t>
        </is>
      </c>
      <c r="D1046" s="16" t="inlineStr">
        <is>
          <t>128-08097631672952327</t>
        </is>
      </c>
      <c r="E1046" s="16" t="inlineStr">
        <is>
          <t>Delivered</t>
        </is>
      </c>
      <c r="F1046" s="16" t="inlineStr">
        <is>
          <t>LV64W25</t>
        </is>
      </c>
      <c r="G10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6" s="16" t="inlineStr">
        <is>
          <t>Blanco</t>
        </is>
      </c>
      <c r="I1046" s="16" t="n">
        <v>2</v>
      </c>
      <c r="J1046" s="17" t="n">
        <v>246</v>
      </c>
      <c r="K1046" s="17" t="n">
        <v>254.3</v>
      </c>
      <c r="L1046" s="17" t="n">
        <v>0</v>
      </c>
      <c r="M1046" s="17" t="n">
        <v>0</v>
      </c>
      <c r="N1046" s="17">
        <f>K1046*0.08+L1046*0.08</f>
        <v/>
      </c>
      <c r="O1046" s="17">
        <f>-(K1046*0.025+L1046*0.025)</f>
        <v/>
      </c>
      <c r="P1046" s="17">
        <f>32</f>
        <v/>
      </c>
      <c r="Q1046" s="17">
        <f>J1046+L1046+N1046+O1046-P1046-M1046</f>
        <v/>
      </c>
    </row>
    <row r="1047">
      <c r="A1047" s="16" t="inlineStr">
        <is>
          <t>5.1-5.7</t>
        </is>
      </c>
      <c r="B1047" s="16" t="inlineStr">
        <is>
          <t>PO-128-07647184087671938</t>
        </is>
      </c>
      <c r="C1047" s="16" t="inlineStr">
        <is>
          <t>Delivered</t>
        </is>
      </c>
      <c r="D1047" s="16" t="inlineStr">
        <is>
          <t>128-07647218166391938</t>
        </is>
      </c>
      <c r="E1047" s="16" t="inlineStr">
        <is>
          <t>Delivered</t>
        </is>
      </c>
      <c r="F1047" s="16" t="inlineStr">
        <is>
          <t>LV64W25</t>
        </is>
      </c>
      <c r="G10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7" s="16" t="inlineStr">
        <is>
          <t>Blanco</t>
        </is>
      </c>
      <c r="I1047" s="16" t="n">
        <v>1</v>
      </c>
      <c r="J1047" s="17" t="n">
        <v>123</v>
      </c>
      <c r="K1047" s="17" t="n">
        <v>127.15</v>
      </c>
      <c r="L1047" s="17" t="n">
        <v>25.86</v>
      </c>
      <c r="M1047" s="17" t="n">
        <v>0</v>
      </c>
      <c r="N1047" s="17">
        <f>K1047*0.08+L1047*0.08</f>
        <v/>
      </c>
      <c r="O1047" s="17">
        <f>-(K1047*0.025+L1047*0.025)</f>
        <v/>
      </c>
      <c r="P1047" s="17">
        <f>32</f>
        <v/>
      </c>
      <c r="Q1047" s="17">
        <f>J1047+L1047+N1047+O1047-P1047-M1047</f>
        <v/>
      </c>
    </row>
    <row r="1048">
      <c r="A1048" s="16" t="inlineStr">
        <is>
          <t>5.1-5.7</t>
        </is>
      </c>
      <c r="B1048" s="16" t="inlineStr">
        <is>
          <t>PO-128-07652926638711968</t>
        </is>
      </c>
      <c r="C1048" s="16" t="inlineStr">
        <is>
          <t>Delivered</t>
        </is>
      </c>
      <c r="D1048" s="16" t="inlineStr">
        <is>
          <t>128-07652884695671968</t>
        </is>
      </c>
      <c r="E1048" s="16" t="inlineStr">
        <is>
          <t>Delivered</t>
        </is>
      </c>
      <c r="F1048" s="16" t="inlineStr">
        <is>
          <t>LV64W25</t>
        </is>
      </c>
      <c r="G10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8" s="16" t="inlineStr">
        <is>
          <t>Blanco</t>
        </is>
      </c>
      <c r="I1048" s="16" t="n">
        <v>2</v>
      </c>
      <c r="J1048" s="17" t="n">
        <v>246</v>
      </c>
      <c r="K1048" s="17" t="n">
        <v>254.3</v>
      </c>
      <c r="L1048" s="17" t="n">
        <v>0</v>
      </c>
      <c r="M1048" s="17" t="n">
        <v>0</v>
      </c>
      <c r="N1048" s="17">
        <f>K1048*0.08+L1048*0.08</f>
        <v/>
      </c>
      <c r="O1048" s="17">
        <f>-(K1048*0.025+L1048*0.025)</f>
        <v/>
      </c>
      <c r="P1048" s="17">
        <f>32</f>
        <v/>
      </c>
      <c r="Q1048" s="17">
        <f>J1048+L1048+N1048+O1048-P1048-M1048</f>
        <v/>
      </c>
    </row>
    <row r="1049">
      <c r="A1049" s="16" t="inlineStr">
        <is>
          <t>5.1-5.7</t>
        </is>
      </c>
      <c r="B1049" s="16" t="inlineStr">
        <is>
          <t>PO-128-07631864310391071</t>
        </is>
      </c>
      <c r="C1049" s="16" t="inlineStr">
        <is>
          <t>Delivered</t>
        </is>
      </c>
      <c r="D1049" s="16" t="inlineStr">
        <is>
          <t>128-07631843338871071</t>
        </is>
      </c>
      <c r="E1049" s="16" t="inlineStr">
        <is>
          <t>Delivered</t>
        </is>
      </c>
      <c r="F1049" s="16" t="inlineStr">
        <is>
          <t>LV64W25</t>
        </is>
      </c>
      <c r="G10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49" s="16" t="inlineStr">
        <is>
          <t>Blanco</t>
        </is>
      </c>
      <c r="I1049" s="16" t="n">
        <v>1</v>
      </c>
      <c r="J1049" s="17" t="n">
        <v>123</v>
      </c>
      <c r="K1049" s="17" t="n">
        <v>105.74</v>
      </c>
      <c r="L1049" s="17" t="n">
        <v>25.86</v>
      </c>
      <c r="M1049" s="17" t="n">
        <v>0</v>
      </c>
      <c r="N1049" s="17">
        <f>K1049*0.08+L1049*0.08</f>
        <v/>
      </c>
      <c r="O1049" s="17">
        <f>-(K1049*0.025+L1049*0.025)</f>
        <v/>
      </c>
      <c r="P1049" s="17">
        <f>32</f>
        <v/>
      </c>
      <c r="Q1049" s="17">
        <f>J1049+L1049+N1049+O1049-P1049-M1049</f>
        <v/>
      </c>
    </row>
    <row r="1050">
      <c r="A1050" s="16" t="inlineStr">
        <is>
          <t>5.1-5.7</t>
        </is>
      </c>
      <c r="B1050" s="16" t="inlineStr">
        <is>
          <t>PO-128-13468290878073083</t>
        </is>
      </c>
      <c r="C1050" s="16" t="inlineStr">
        <is>
          <t>Delivered</t>
        </is>
      </c>
      <c r="D1050" s="16" t="inlineStr">
        <is>
          <t>128-13468262042233083</t>
        </is>
      </c>
      <c r="E1050" s="16" t="inlineStr">
        <is>
          <t>Delivered</t>
        </is>
      </c>
      <c r="F1050" s="16" t="inlineStr">
        <is>
          <t>LV64W25</t>
        </is>
      </c>
      <c r="G10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0" s="16" t="inlineStr">
        <is>
          <t>Blanco</t>
        </is>
      </c>
      <c r="I1050" s="16" t="n">
        <v>3</v>
      </c>
      <c r="J1050" s="17" t="n">
        <v>369</v>
      </c>
      <c r="K1050" s="17" t="n">
        <v>296.68</v>
      </c>
      <c r="L1050" s="17" t="n">
        <v>0</v>
      </c>
      <c r="M1050" s="17" t="n">
        <v>0</v>
      </c>
      <c r="N1050" s="17">
        <f>K1050*0.08+L1050*0.08</f>
        <v/>
      </c>
      <c r="O1050" s="17">
        <f>-(K1050*0.025+L1050*0.025)</f>
        <v/>
      </c>
      <c r="P1050" s="17">
        <f>32</f>
        <v/>
      </c>
      <c r="Q1050" s="17">
        <f>J1050+L1050+N1050+O1050-P1050-M1050</f>
        <v/>
      </c>
    </row>
    <row r="1051">
      <c r="A1051" s="16" t="inlineStr">
        <is>
          <t>5.1-5.7</t>
        </is>
      </c>
      <c r="B1051" s="16" t="inlineStr">
        <is>
          <t>PO-128-13627896248952258</t>
        </is>
      </c>
      <c r="C1051" s="16" t="inlineStr">
        <is>
          <t>Delivered</t>
        </is>
      </c>
      <c r="D1051" s="16" t="inlineStr">
        <is>
          <t>128-13627843820152258</t>
        </is>
      </c>
      <c r="E1051" s="16" t="inlineStr">
        <is>
          <t>Delivered</t>
        </is>
      </c>
      <c r="F1051" s="16" t="inlineStr">
        <is>
          <t>LV64W25</t>
        </is>
      </c>
      <c r="G10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1" s="16" t="inlineStr">
        <is>
          <t>Blanco</t>
        </is>
      </c>
      <c r="I1051" s="16" t="n">
        <v>1</v>
      </c>
      <c r="J1051" s="17" t="n">
        <v>123</v>
      </c>
      <c r="K1051" s="17" t="n">
        <v>115.95</v>
      </c>
      <c r="L1051" s="17" t="n">
        <v>25.86</v>
      </c>
      <c r="M1051" s="17" t="n">
        <v>0</v>
      </c>
      <c r="N1051" s="17">
        <f>K1051*0.08+L1051*0.08</f>
        <v/>
      </c>
      <c r="O1051" s="17">
        <f>-(K1051*0.025+L1051*0.025)</f>
        <v/>
      </c>
      <c r="P1051" s="17">
        <f>32</f>
        <v/>
      </c>
      <c r="Q1051" s="17">
        <f>J1051+L1051+N1051+O1051-P1051-M1051</f>
        <v/>
      </c>
    </row>
    <row r="1052">
      <c r="A1052" s="16" t="inlineStr">
        <is>
          <t>5.1-5.7</t>
        </is>
      </c>
      <c r="B1052" s="16" t="inlineStr">
        <is>
          <t>PO-128-13524132086393964</t>
        </is>
      </c>
      <c r="C1052" s="16" t="inlineStr">
        <is>
          <t>Delivered</t>
        </is>
      </c>
      <c r="D1052" s="16" t="inlineStr">
        <is>
          <t>128-13524268401273964</t>
        </is>
      </c>
      <c r="E1052" s="16" t="inlineStr">
        <is>
          <t>Delivered</t>
        </is>
      </c>
      <c r="F1052" s="16" t="inlineStr">
        <is>
          <t>LV64W25</t>
        </is>
      </c>
      <c r="G10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2" s="16" t="inlineStr">
        <is>
          <t>Blanco</t>
        </is>
      </c>
      <c r="I1052" s="16" t="n">
        <v>2</v>
      </c>
      <c r="J1052" s="17" t="n">
        <v>246</v>
      </c>
      <c r="K1052" s="17" t="n">
        <v>216.16</v>
      </c>
      <c r="L1052" s="17" t="n">
        <v>0</v>
      </c>
      <c r="M1052" s="17" t="n">
        <v>0</v>
      </c>
      <c r="N1052" s="17">
        <f>K1052*0.08+L1052*0.08</f>
        <v/>
      </c>
      <c r="O1052" s="17">
        <f>-(K1052*0.025+L1052*0.025)</f>
        <v/>
      </c>
      <c r="P1052" s="17">
        <f>32</f>
        <v/>
      </c>
      <c r="Q1052" s="17">
        <f>J1052+L1052+N1052+O1052-P1052-M1052</f>
        <v/>
      </c>
    </row>
    <row r="1053">
      <c r="A1053" s="16" t="inlineStr">
        <is>
          <t>5.1-5.7</t>
        </is>
      </c>
      <c r="B1053" s="16" t="inlineStr">
        <is>
          <t>PO-128-13360247685750655</t>
        </is>
      </c>
      <c r="C1053" s="16" t="inlineStr">
        <is>
          <t>Delivered</t>
        </is>
      </c>
      <c r="D1053" s="16" t="inlineStr">
        <is>
          <t>128-13360210985590655</t>
        </is>
      </c>
      <c r="E1053" s="16" t="inlineStr">
        <is>
          <t>Delivered</t>
        </is>
      </c>
      <c r="F1053" s="16" t="inlineStr">
        <is>
          <t>LV54W25</t>
        </is>
      </c>
      <c r="G1053" s="16" t="inlineStr">
        <is>
          <t>TIANLAI Lámpara Ventilador E27 2 en 1, Silenciosa, LED Alta Luminosidad 180°, Instalación Rápida, Ahorro Energético para Dormitorio y Interiores Pequeños</t>
        </is>
      </c>
      <c r="H1053" s="16" t="inlineStr">
        <is>
          <t>1 Pieza</t>
        </is>
      </c>
      <c r="I1053" s="16" t="n">
        <v>1</v>
      </c>
      <c r="J1053" s="17" t="n">
        <v>79.5</v>
      </c>
      <c r="K1053" s="17" t="n">
        <v>82.2</v>
      </c>
      <c r="L1053" s="17" t="n">
        <v>25.86</v>
      </c>
      <c r="M1053" s="17" t="n">
        <v>0</v>
      </c>
      <c r="N1053" s="17">
        <f>K1053*0.08+L1053*0.08</f>
        <v/>
      </c>
      <c r="O1053" s="17">
        <f>-(K1053*0.025+L1053*0.025)</f>
        <v/>
      </c>
      <c r="P1053" s="17">
        <f>32</f>
        <v/>
      </c>
      <c r="Q1053" s="17">
        <f>J1053+L1053+N1053+O1053-P1053-M1053</f>
        <v/>
      </c>
    </row>
    <row r="1054">
      <c r="A1054" s="16" t="inlineStr">
        <is>
          <t>5.1-5.7</t>
        </is>
      </c>
      <c r="B1054" s="16" t="inlineStr">
        <is>
          <t>PO-128-13307391386230072</t>
        </is>
      </c>
      <c r="C1054" s="16" t="inlineStr">
        <is>
          <t>Delivered</t>
        </is>
      </c>
      <c r="D1054" s="16" t="inlineStr">
        <is>
          <t>128-13307380900470072</t>
        </is>
      </c>
      <c r="E1054" s="16" t="inlineStr">
        <is>
          <t>Delivered</t>
        </is>
      </c>
      <c r="F1054" s="16" t="inlineStr">
        <is>
          <t>LV64W25</t>
        </is>
      </c>
      <c r="G10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4" s="16" t="inlineStr">
        <is>
          <t>Blanco</t>
        </is>
      </c>
      <c r="I1054" s="16" t="n">
        <v>2</v>
      </c>
      <c r="J1054" s="17" t="n">
        <v>246</v>
      </c>
      <c r="K1054" s="17" t="n">
        <v>225.41</v>
      </c>
      <c r="L1054" s="17" t="n">
        <v>0</v>
      </c>
      <c r="M1054" s="17" t="n">
        <v>0</v>
      </c>
      <c r="N1054" s="17">
        <f>K1054*0.08+L1054*0.08</f>
        <v/>
      </c>
      <c r="O1054" s="17">
        <f>-(K1054*0.025+L1054*0.025)</f>
        <v/>
      </c>
      <c r="P1054" s="17">
        <f>32</f>
        <v/>
      </c>
      <c r="Q1054" s="17">
        <f>J1054+L1054+N1054+O1054-P1054-M1054</f>
        <v/>
      </c>
    </row>
    <row r="1055">
      <c r="A1055" s="16" t="inlineStr">
        <is>
          <t>5.1-5.7</t>
        </is>
      </c>
      <c r="B1055" s="16" t="inlineStr">
        <is>
          <t>PO-128-13540528133753805</t>
        </is>
      </c>
      <c r="C1055" s="16" t="inlineStr">
        <is>
          <t>Delivered</t>
        </is>
      </c>
      <c r="D1055" s="16" t="inlineStr">
        <is>
          <t>128-13540486190713805</t>
        </is>
      </c>
      <c r="E1055" s="16" t="inlineStr">
        <is>
          <t>Delivered</t>
        </is>
      </c>
      <c r="F1055" s="16" t="inlineStr">
        <is>
          <t>LV54W25</t>
        </is>
      </c>
      <c r="G1055" s="16" t="inlineStr">
        <is>
          <t>TIANLAI Lámpara Ventilador E27 2 en 1, Silenciosa, LED Alta Luminosidad 180°, Instalación Rápida, Ahorro Energético para Dormitorio y Interiores Pequeños</t>
        </is>
      </c>
      <c r="H1055" s="16" t="inlineStr">
        <is>
          <t>1 Pieza</t>
        </is>
      </c>
      <c r="I1055" s="16" t="n">
        <v>3</v>
      </c>
      <c r="J1055" s="17" t="n">
        <v>238.5</v>
      </c>
      <c r="K1055" s="17" t="n">
        <v>246.6</v>
      </c>
      <c r="L1055" s="17" t="n">
        <v>0</v>
      </c>
      <c r="M1055" s="17" t="n">
        <v>0</v>
      </c>
      <c r="N1055" s="17">
        <f>K1055*0.08+L1055*0.08</f>
        <v/>
      </c>
      <c r="O1055" s="17">
        <f>-(K1055*0.025+L1055*0.025)</f>
        <v/>
      </c>
      <c r="P1055" s="17">
        <f>32</f>
        <v/>
      </c>
      <c r="Q1055" s="17">
        <f>J1055+L1055+N1055+O1055-P1055-M1055</f>
        <v/>
      </c>
    </row>
    <row r="1056">
      <c r="A1056" s="16" t="inlineStr">
        <is>
          <t>5.1-5.7</t>
        </is>
      </c>
      <c r="B1056" s="16" t="inlineStr">
        <is>
          <t>PO-128-13454962391673291</t>
        </is>
      </c>
      <c r="C1056" s="16" t="inlineStr">
        <is>
          <t>Delivered</t>
        </is>
      </c>
      <c r="D1056" s="16" t="inlineStr">
        <is>
          <t>128-13454920448633291</t>
        </is>
      </c>
      <c r="E1056" s="16" t="inlineStr">
        <is>
          <t>Delivered</t>
        </is>
      </c>
      <c r="F1056" s="16" t="inlineStr">
        <is>
          <t>LV64W25</t>
        </is>
      </c>
      <c r="G10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6" s="16" t="inlineStr">
        <is>
          <t>Blanco</t>
        </is>
      </c>
      <c r="I1056" s="16" t="n">
        <v>1</v>
      </c>
      <c r="J1056" s="17" t="n">
        <v>123</v>
      </c>
      <c r="K1056" s="17" t="n">
        <v>40.94</v>
      </c>
      <c r="L1056" s="17" t="n">
        <v>25.86</v>
      </c>
      <c r="M1056" s="17" t="n">
        <v>1.16</v>
      </c>
      <c r="N1056" s="17">
        <f>K1056*0.08+L1056*0.08</f>
        <v/>
      </c>
      <c r="O1056" s="17">
        <f>-(K1056*0.025+L1056*0.025)</f>
        <v/>
      </c>
      <c r="P1056" s="17">
        <f>32</f>
        <v/>
      </c>
      <c r="Q1056" s="17">
        <f>J1056+L1056+N1056+O1056-P1056-M1056</f>
        <v/>
      </c>
    </row>
    <row r="1057">
      <c r="A1057" s="16" t="inlineStr">
        <is>
          <t>5.1-5.7</t>
        </is>
      </c>
      <c r="B1057" s="16" t="inlineStr">
        <is>
          <t>PO-128-02389388209270575</t>
        </is>
      </c>
      <c r="C1057" s="16" t="inlineStr">
        <is>
          <t>Delivered</t>
        </is>
      </c>
      <c r="D1057" s="16" t="inlineStr">
        <is>
          <t>128-02389346266230575</t>
        </is>
      </c>
      <c r="E1057" s="16" t="inlineStr">
        <is>
          <t>Delivered</t>
        </is>
      </c>
      <c r="F1057" s="16" t="inlineStr">
        <is>
          <t>LV64W25</t>
        </is>
      </c>
      <c r="G10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57" s="16" t="inlineStr">
        <is>
          <t>Blanco</t>
        </is>
      </c>
      <c r="I1057" s="16" t="n">
        <v>1</v>
      </c>
      <c r="J1057" s="17" t="n">
        <v>123</v>
      </c>
      <c r="K1057" s="17" t="n">
        <v>127.15</v>
      </c>
      <c r="L1057" s="17" t="n">
        <v>25.86</v>
      </c>
      <c r="M1057" s="17" t="n">
        <v>0</v>
      </c>
      <c r="N1057" s="17">
        <f>K1057*0.08+L1057*0.08</f>
        <v/>
      </c>
      <c r="O1057" s="17">
        <f>-(K1057*0.025+L1057*0.025)</f>
        <v/>
      </c>
      <c r="P1057" s="17">
        <f>32</f>
        <v/>
      </c>
      <c r="Q1057" s="17">
        <f>J1057+L1057+N1057+O1057-P1057-M1057</f>
        <v/>
      </c>
    </row>
    <row r="1058">
      <c r="A1058" s="16" t="inlineStr">
        <is>
          <t>5.1-5.7</t>
        </is>
      </c>
      <c r="B1058" s="16" t="inlineStr">
        <is>
          <t>PO-128-02282172030070188</t>
        </is>
      </c>
      <c r="C1058" s="16" t="inlineStr">
        <is>
          <t>Delivered</t>
        </is>
      </c>
      <c r="D1058" s="16" t="inlineStr">
        <is>
          <t>128-02282130087030188</t>
        </is>
      </c>
      <c r="E1058" s="16" t="inlineStr">
        <is>
          <t>Delivered</t>
        </is>
      </c>
      <c r="F1058" s="16" t="inlineStr">
        <is>
          <t>VB349T</t>
        </is>
      </c>
      <c r="G1058" s="16" t="inlineStr">
        <is>
          <t>LINKBITS Altavoz Portátil de Doble Altavoz - 3 Pulgadas, Sonido HD, Emparejamiento Rápido de Bluetooth, Conectividad TWS, Reproducción Multimodo (Micro SD/USB/Radio FM) - Perfecto para Oficina, Viajes y Espacios Pequeños</t>
        </is>
      </c>
      <c r="H1058" s="16" t="inlineStr">
        <is>
          <t>NEGRO</t>
        </is>
      </c>
      <c r="I1058" s="16" t="n">
        <v>1</v>
      </c>
      <c r="J1058" s="17" t="n">
        <v>81</v>
      </c>
      <c r="K1058" s="17" t="n">
        <v>94.26000000000001</v>
      </c>
      <c r="L1058" s="17" t="n">
        <v>25.86</v>
      </c>
      <c r="M1058" s="17" t="n">
        <v>0</v>
      </c>
      <c r="N1058" s="17">
        <f>K1058*0.08+L1058*0.08</f>
        <v/>
      </c>
      <c r="O1058" s="17">
        <f>-(K1058*0.025+L1058*0.025)</f>
        <v/>
      </c>
      <c r="P1058" s="17">
        <f>32</f>
        <v/>
      </c>
      <c r="Q1058" s="17">
        <f>J1058+L1058+N1058+O1058-P1058-M1058</f>
        <v/>
      </c>
    </row>
    <row r="1059">
      <c r="A1059" s="16" t="inlineStr">
        <is>
          <t>5.1-5.7</t>
        </is>
      </c>
      <c r="B1059" s="16" t="inlineStr">
        <is>
          <t>PO-128-02431590303353331</t>
        </is>
      </c>
      <c r="C1059" s="16" t="inlineStr">
        <is>
          <t>Delivered</t>
        </is>
      </c>
      <c r="D1059" s="16" t="inlineStr">
        <is>
          <t>128-02431632246393331</t>
        </is>
      </c>
      <c r="E1059" s="16" t="inlineStr">
        <is>
          <t>Delivered</t>
        </is>
      </c>
      <c r="F1059" s="16" t="inlineStr">
        <is>
          <t>LV54W25</t>
        </is>
      </c>
      <c r="G1059" s="16" t="inlineStr">
        <is>
          <t>TIANLAI Lámpara Ventilador E27 2 en 1, Silenciosa, LED Alta Luminosidad 180°, Instalación Rápida, Ahorro Energético para Dormitorio y Interiores Pequeños</t>
        </is>
      </c>
      <c r="H1059" s="16" t="inlineStr">
        <is>
          <t>1 Pieza</t>
        </is>
      </c>
      <c r="I1059" s="16" t="n">
        <v>2</v>
      </c>
      <c r="J1059" s="17" t="n">
        <v>159</v>
      </c>
      <c r="K1059" s="17" t="n">
        <v>164.4</v>
      </c>
      <c r="L1059" s="17" t="n">
        <v>25.86</v>
      </c>
      <c r="M1059" s="17" t="n">
        <v>0</v>
      </c>
      <c r="N1059" s="17">
        <f>K1059*0.08+L1059*0.08</f>
        <v/>
      </c>
      <c r="O1059" s="17">
        <f>-(K1059*0.025+L1059*0.025)</f>
        <v/>
      </c>
      <c r="P1059" s="17">
        <f>32</f>
        <v/>
      </c>
      <c r="Q1059" s="17">
        <f>J1059+L1059+N1059+O1059-P1059-M1059</f>
        <v/>
      </c>
    </row>
    <row r="1060">
      <c r="A1060" s="16" t="inlineStr">
        <is>
          <t>5.1-5.7</t>
        </is>
      </c>
      <c r="B1060" s="16" t="inlineStr">
        <is>
          <t>PO-128-02066493532791411</t>
        </is>
      </c>
      <c r="C1060" s="16" t="inlineStr">
        <is>
          <t>Delivered</t>
        </is>
      </c>
      <c r="D1060" s="16" t="inlineStr">
        <is>
          <t>128-02066489600631411</t>
        </is>
      </c>
      <c r="E1060" s="16" t="inlineStr">
        <is>
          <t>Delivered</t>
        </is>
      </c>
      <c r="F1060" s="16" t="inlineStr">
        <is>
          <t>VA371T</t>
        </is>
      </c>
      <c r="G1060" s="16" t="inlineStr">
        <is>
          <t>Linkbits Bocina Bluetooth Portátil 3" de Alta Gama，Hi-Res Audio y Graves Potentes，Luces LED + Soporte USB/TF/FM/TWS，Ideal para Hogar y Aire Libre</t>
        </is>
      </c>
      <c r="H1060" s="16" t="inlineStr">
        <is>
          <t>VA371T</t>
        </is>
      </c>
      <c r="I1060" s="16" t="n">
        <v>1</v>
      </c>
      <c r="J1060" s="17" t="n">
        <v>45</v>
      </c>
      <c r="K1060" s="17" t="n">
        <v>53.45</v>
      </c>
      <c r="L1060" s="17" t="n">
        <v>25.86</v>
      </c>
      <c r="M1060" s="17" t="n">
        <v>0</v>
      </c>
      <c r="N1060" s="17">
        <f>K1060*0.08+L1060*0.08</f>
        <v/>
      </c>
      <c r="O1060" s="17">
        <f>-(K1060*0.025+L1060*0.025)</f>
        <v/>
      </c>
      <c r="P1060" s="17">
        <f>32</f>
        <v/>
      </c>
      <c r="Q1060" s="17">
        <f>J1060+L1060+N1060+O1060-P1060-M1060</f>
        <v/>
      </c>
    </row>
    <row r="1061">
      <c r="A1061" s="16" t="inlineStr">
        <is>
          <t>5.15-5.21</t>
        </is>
      </c>
      <c r="B1061" s="16" t="inlineStr">
        <is>
          <t>PO-128-09365830078071934</t>
        </is>
      </c>
      <c r="C1061" s="16" t="inlineStr">
        <is>
          <t>Shipped</t>
        </is>
      </c>
      <c r="D1061" s="16" t="inlineStr">
        <is>
          <t>128-09365851049591934</t>
        </is>
      </c>
      <c r="E1061" s="16" t="inlineStr">
        <is>
          <t>Shipped</t>
        </is>
      </c>
      <c r="F1061" s="16" t="inlineStr">
        <is>
          <t>TL1412N17C</t>
        </is>
      </c>
      <c r="G1061" s="16" t="inlineStr">
        <is>
          <t>Linkbits, Soporte de Pared Fijo para TV y Monitor de 14"-43", Ultra Delgado 2.3cm, Fuerte Capacidad de Peso de 25KG, Fácil Instalación con Accesorios Completos</t>
        </is>
      </c>
      <c r="H1061" s="16" t="inlineStr">
        <is>
          <t>NEGRO</t>
        </is>
      </c>
      <c r="I1061" s="16" t="n">
        <v>1</v>
      </c>
      <c r="J1061" s="17" t="n">
        <v>36.84</v>
      </c>
      <c r="K1061" s="17" t="n">
        <v>48.54</v>
      </c>
      <c r="L1061" s="17" t="n">
        <v>25.86</v>
      </c>
      <c r="M1061" s="17" t="n">
        <v>0</v>
      </c>
      <c r="N1061" s="17">
        <f>K1061*0.08+L1061*0.08</f>
        <v/>
      </c>
      <c r="O1061" s="17">
        <f>-(K1061*0.025+L1061*0.025)</f>
        <v/>
      </c>
      <c r="P1061" s="17">
        <f>32</f>
        <v/>
      </c>
      <c r="Q1061" s="17">
        <f>J1061+L1061+N1061+O1061-P1061-M1061</f>
        <v/>
      </c>
    </row>
    <row r="1062">
      <c r="A1062" s="16" t="inlineStr">
        <is>
          <t>5.15-5.21</t>
        </is>
      </c>
      <c r="B1062" s="16" t="inlineStr">
        <is>
          <t>PO-128-09049226148473887</t>
        </is>
      </c>
      <c r="C1062" s="16" t="inlineStr">
        <is>
          <t>Shipped</t>
        </is>
      </c>
      <c r="D1062" s="16" t="inlineStr">
        <is>
          <t>128-09049278577273887</t>
        </is>
      </c>
      <c r="E1062" s="16" t="inlineStr">
        <is>
          <t>Shipped</t>
        </is>
      </c>
      <c r="F1062" s="16" t="inlineStr">
        <is>
          <t>B03W10-10PZS</t>
        </is>
      </c>
      <c r="G10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062" s="16" t="inlineStr">
        <is>
          <t>B03W10</t>
        </is>
      </c>
      <c r="I1062" s="16" t="n">
        <v>3</v>
      </c>
      <c r="J1062" s="17" t="n">
        <v>231</v>
      </c>
      <c r="K1062" s="17" t="n">
        <v>242.85</v>
      </c>
      <c r="L1062" s="17" t="n">
        <v>0</v>
      </c>
      <c r="M1062" s="17" t="n">
        <v>0</v>
      </c>
      <c r="N1062" s="17">
        <f>K1062*0.08+L1062*0.08</f>
        <v/>
      </c>
      <c r="O1062" s="17">
        <f>-(K1062*0.025+L1062*0.025)</f>
        <v/>
      </c>
      <c r="P1062" s="17">
        <f>32</f>
        <v/>
      </c>
      <c r="Q1062" s="17">
        <f>J1062+L1062+N1062+O1062-P1062-M1062</f>
        <v/>
      </c>
    </row>
    <row r="1063">
      <c r="A1063" s="16" t="inlineStr">
        <is>
          <t>5.15-5.21</t>
        </is>
      </c>
      <c r="B1063" s="16" t="inlineStr">
        <is>
          <t>PO-128-09618763105910618</t>
        </is>
      </c>
      <c r="C1063" s="16" t="inlineStr">
        <is>
          <t>Shipped</t>
        </is>
      </c>
      <c r="D1063" s="16" t="inlineStr">
        <is>
          <t>128-09618805048950618</t>
        </is>
      </c>
      <c r="E1063" s="16" t="inlineStr">
        <is>
          <t>Shipped</t>
        </is>
      </c>
      <c r="F1063" s="16" t="inlineStr">
        <is>
          <t>KTS-2031</t>
        </is>
      </c>
      <c r="G1063" s="16" t="inlineStr">
        <is>
          <t>Bocina inalámbrica de 3 pulgadas con linterna multifuncional y panel solar integrado.Altavoz Portátil con Linterna LED 4 Modos, Radio FM, Bluetooth, Carga Solar, Ideal para Apagones, Emergencias, Campo y Exteriores</t>
        </is>
      </c>
      <c r="H1063" s="16" t="inlineStr">
        <is>
          <t>NEGRO</t>
        </is>
      </c>
      <c r="I1063" s="16" t="n">
        <v>1</v>
      </c>
      <c r="J1063" s="17" t="n">
        <v>77</v>
      </c>
      <c r="K1063" s="17" t="n">
        <v>86.22</v>
      </c>
      <c r="L1063" s="17" t="n">
        <v>25.86</v>
      </c>
      <c r="M1063" s="17" t="n">
        <v>0</v>
      </c>
      <c r="N1063" s="17">
        <f>K1063*0.08+L1063*0.08</f>
        <v/>
      </c>
      <c r="O1063" s="17">
        <f>-(K1063*0.025+L1063*0.025)</f>
        <v/>
      </c>
      <c r="P1063" s="17">
        <f>32</f>
        <v/>
      </c>
      <c r="Q1063" s="17">
        <f>J1063+L1063+N1063+O1063-P1063-M1063</f>
        <v/>
      </c>
    </row>
    <row r="1064">
      <c r="A1064" s="16" t="inlineStr">
        <is>
          <t>5.15-5.21</t>
        </is>
      </c>
      <c r="B1064" s="16" t="inlineStr">
        <is>
          <t>PO-128-09140918876792378</t>
        </is>
      </c>
      <c r="C1064" s="16" t="inlineStr">
        <is>
          <t>Shipped</t>
        </is>
      </c>
      <c r="D1064" s="16" t="inlineStr">
        <is>
          <t>128-09140950334072378</t>
        </is>
      </c>
      <c r="E1064" s="16" t="inlineStr">
        <is>
          <t>Shipped</t>
        </is>
      </c>
      <c r="F1064" s="16" t="inlineStr">
        <is>
          <t>KTS-2031</t>
        </is>
      </c>
      <c r="G1064" s="16" t="inlineStr">
        <is>
          <t>Bocina inalámbrica de 3 pulgadas con linterna multifuncional y panel solar integrado.Altavoz Portátil con Linterna LED 4 Modos, Radio FM, Bluetooth, Carga Solar, Ideal para Apagones, Emergencias, Campo y Exteriores</t>
        </is>
      </c>
      <c r="H1064" s="16" t="inlineStr">
        <is>
          <t>NEGRO</t>
        </is>
      </c>
      <c r="I1064" s="16" t="n">
        <v>2</v>
      </c>
      <c r="J1064" s="17" t="n">
        <v>154</v>
      </c>
      <c r="K1064" s="17" t="n">
        <v>172.44</v>
      </c>
      <c r="L1064" s="17" t="n">
        <v>25.86</v>
      </c>
      <c r="M1064" s="17" t="n">
        <v>0</v>
      </c>
      <c r="N1064" s="17">
        <f>K1064*0.08+L1064*0.08</f>
        <v/>
      </c>
      <c r="O1064" s="17">
        <f>-(K1064*0.025+L1064*0.025)</f>
        <v/>
      </c>
      <c r="P1064" s="17">
        <f>32</f>
        <v/>
      </c>
      <c r="Q1064" s="17">
        <f>J1064+L1064+N1064+O1064-P1064-M1064</f>
        <v/>
      </c>
    </row>
    <row r="1065">
      <c r="A1065" s="16" t="inlineStr">
        <is>
          <t>5.15-5.21</t>
        </is>
      </c>
      <c r="B1065" s="16" t="inlineStr">
        <is>
          <t>PO-128-09323827272311160</t>
        </is>
      </c>
      <c r="C1065" s="16" t="inlineStr">
        <is>
          <t>Shipped</t>
        </is>
      </c>
      <c r="D1065" s="16" t="inlineStr">
        <is>
          <t>128-09323785329271160</t>
        </is>
      </c>
      <c r="E1065" s="16" t="inlineStr">
        <is>
          <t>Shipped</t>
        </is>
      </c>
      <c r="F1065" s="16" t="inlineStr">
        <is>
          <t>LV64W25</t>
        </is>
      </c>
      <c r="G10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65" s="16" t="inlineStr">
        <is>
          <t>Blanco</t>
        </is>
      </c>
      <c r="I1065" s="16" t="n">
        <v>1</v>
      </c>
      <c r="J1065" s="17" t="n">
        <v>125</v>
      </c>
      <c r="K1065" s="17" t="n">
        <v>128.94</v>
      </c>
      <c r="L1065" s="17" t="n">
        <v>25.86</v>
      </c>
      <c r="M1065" s="17" t="n">
        <v>0</v>
      </c>
      <c r="N1065" s="17">
        <f>K1065*0.08+L1065*0.08</f>
        <v/>
      </c>
      <c r="O1065" s="17">
        <f>-(K1065*0.025+L1065*0.025)</f>
        <v/>
      </c>
      <c r="P1065" s="17">
        <f>32</f>
        <v/>
      </c>
      <c r="Q1065" s="17">
        <f>J1065+L1065+N1065+O1065-P1065-M1065</f>
        <v/>
      </c>
    </row>
    <row r="1066">
      <c r="A1066" s="16" t="inlineStr">
        <is>
          <t>5.15-5.21</t>
        </is>
      </c>
      <c r="B1066" s="16" t="inlineStr">
        <is>
          <t>PO-128-09373061540471957</t>
        </is>
      </c>
      <c r="C1066" s="16" t="inlineStr">
        <is>
          <t>Shipped</t>
        </is>
      </c>
      <c r="D1066" s="16" t="inlineStr">
        <is>
          <t>128-09373019597431957</t>
        </is>
      </c>
      <c r="E1066" s="16" t="inlineStr">
        <is>
          <t>Shipped</t>
        </is>
      </c>
      <c r="F1066" s="16" t="inlineStr">
        <is>
          <t>LV64W25</t>
        </is>
      </c>
      <c r="G10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66" s="16" t="inlineStr">
        <is>
          <t>Blanco</t>
        </is>
      </c>
      <c r="I1066" s="16" t="n">
        <v>2</v>
      </c>
      <c r="J1066" s="17" t="n">
        <v>250</v>
      </c>
      <c r="K1066" s="17" t="n">
        <v>257.88</v>
      </c>
      <c r="L1066" s="17" t="n">
        <v>0</v>
      </c>
      <c r="M1066" s="17" t="n">
        <v>0</v>
      </c>
      <c r="N1066" s="17">
        <f>K1066*0.08+L1066*0.08</f>
        <v/>
      </c>
      <c r="O1066" s="17">
        <f>-(K1066*0.025+L1066*0.025)</f>
        <v/>
      </c>
      <c r="P1066" s="17">
        <f>32</f>
        <v/>
      </c>
      <c r="Q1066" s="17">
        <f>J1066+L1066+N1066+O1066-P1066-M1066</f>
        <v/>
      </c>
    </row>
    <row r="1067">
      <c r="A1067" s="16" t="inlineStr">
        <is>
          <t>5.15-5.21</t>
        </is>
      </c>
      <c r="B1067" s="16" t="inlineStr">
        <is>
          <t>PO-128-09573996954230887</t>
        </is>
      </c>
      <c r="C1067" s="16" t="inlineStr">
        <is>
          <t>Shipped</t>
        </is>
      </c>
      <c r="D1067" s="16" t="inlineStr">
        <is>
          <t>128-09574017925750887</t>
        </is>
      </c>
      <c r="E1067" s="16" t="inlineStr">
        <is>
          <t>Shipped</t>
        </is>
      </c>
      <c r="F1067" s="16" t="inlineStr">
        <is>
          <t>LV54W25</t>
        </is>
      </c>
      <c r="G1067" s="16" t="inlineStr">
        <is>
          <t>TIANLAI Lámpara Ventilador E27 2 en 1, Silenciosa, LED Alta Luminosidad 180°, Instalación Rápida, Ahorro Energético para Dormitorio y Interiores Pequeños</t>
        </is>
      </c>
      <c r="H1067" s="16" t="inlineStr">
        <is>
          <t>1 Pieza</t>
        </is>
      </c>
      <c r="I1067" s="16" t="n">
        <v>4</v>
      </c>
      <c r="J1067" s="17" t="n">
        <v>296</v>
      </c>
      <c r="K1067" s="17" t="n">
        <v>308.48</v>
      </c>
      <c r="L1067" s="17" t="n">
        <v>0</v>
      </c>
      <c r="M1067" s="17" t="n">
        <v>0</v>
      </c>
      <c r="N1067" s="17">
        <f>K1067*0.08+L1067*0.08</f>
        <v/>
      </c>
      <c r="O1067" s="17">
        <f>-(K1067*0.025+L1067*0.025)</f>
        <v/>
      </c>
      <c r="P1067" s="17">
        <f>32</f>
        <v/>
      </c>
      <c r="Q1067" s="17">
        <f>J1067+L1067+N1067+O1067-P1067-M1067</f>
        <v/>
      </c>
    </row>
    <row r="1068">
      <c r="A1068" s="16" t="inlineStr">
        <is>
          <t>5.15-5.21</t>
        </is>
      </c>
      <c r="B1068" s="16" t="inlineStr">
        <is>
          <t>PO-128-09553216676471011</t>
        </is>
      </c>
      <c r="C1068" s="16" t="inlineStr">
        <is>
          <t>Shipped</t>
        </is>
      </c>
      <c r="D1068" s="16" t="inlineStr">
        <is>
          <t>128-09553185219191011</t>
        </is>
      </c>
      <c r="E1068" s="16" t="inlineStr">
        <is>
          <t>Shipped</t>
        </is>
      </c>
      <c r="F1068" s="16" t="inlineStr">
        <is>
          <t>LV54W25</t>
        </is>
      </c>
      <c r="G1068" s="16" t="inlineStr">
        <is>
          <t>TIANLAI Lámpara Ventilador E27 2 en 1, Silenciosa, LED Alta Luminosidad 180°, Instalación Rápida, Ahorro Energético para Dormitorio y Interiores Pequeños</t>
        </is>
      </c>
      <c r="H1068" s="16" t="inlineStr">
        <is>
          <t>1 Pieza</t>
        </is>
      </c>
      <c r="I1068" s="16" t="n">
        <v>1</v>
      </c>
      <c r="J1068" s="17" t="n">
        <v>74</v>
      </c>
      <c r="K1068" s="17" t="n">
        <v>77.12</v>
      </c>
      <c r="L1068" s="17" t="n">
        <v>25.86</v>
      </c>
      <c r="M1068" s="17" t="n">
        <v>0</v>
      </c>
      <c r="N1068" s="17">
        <f>K1068*0.08+L1068*0.08</f>
        <v/>
      </c>
      <c r="O1068" s="17">
        <f>-(K1068*0.025+L1068*0.025)</f>
        <v/>
      </c>
      <c r="P1068" s="17">
        <f>32</f>
        <v/>
      </c>
      <c r="Q1068" s="17">
        <f>J1068+L1068+N1068+O1068-P1068-M1068</f>
        <v/>
      </c>
    </row>
    <row r="1069">
      <c r="A1069" s="16" t="inlineStr">
        <is>
          <t>5.15-5.21</t>
        </is>
      </c>
      <c r="B1069" s="16" t="inlineStr">
        <is>
          <t>PO-128-09482548562550342</t>
        </is>
      </c>
      <c r="C1069" s="16" t="inlineStr">
        <is>
          <t>Shipped</t>
        </is>
      </c>
      <c r="D1069" s="16" t="inlineStr">
        <is>
          <t>128-09482506619510342</t>
        </is>
      </c>
      <c r="E1069" s="16" t="inlineStr">
        <is>
          <t>Shipped</t>
        </is>
      </c>
      <c r="F1069" s="16" t="inlineStr">
        <is>
          <t>LV54W25</t>
        </is>
      </c>
      <c r="G1069" s="16" t="inlineStr">
        <is>
          <t>TIANLAI Lámpara Ventilador E27 2 en 1, Silenciosa, LED Alta Luminosidad 180°, Instalación Rápida, Ahorro Energético para Dormitorio y Interiores Pequeños</t>
        </is>
      </c>
      <c r="H1069" s="16" t="inlineStr">
        <is>
          <t>1 Pieza</t>
        </is>
      </c>
      <c r="I1069" s="16" t="n">
        <v>1</v>
      </c>
      <c r="J1069" s="17" t="n">
        <v>74</v>
      </c>
      <c r="K1069" s="17" t="n">
        <v>72.23</v>
      </c>
      <c r="L1069" s="17" t="n">
        <v>25.86</v>
      </c>
      <c r="M1069" s="17" t="n">
        <v>0</v>
      </c>
      <c r="N1069" s="17">
        <f>K1069*0.08+L1069*0.08</f>
        <v/>
      </c>
      <c r="O1069" s="17">
        <f>-(K1069*0.025+L1069*0.025)</f>
        <v/>
      </c>
      <c r="P1069" s="17">
        <f>32</f>
        <v/>
      </c>
      <c r="Q1069" s="17">
        <f>J1069+L1069+N1069+O1069-P1069-M1069</f>
        <v/>
      </c>
    </row>
    <row r="1070">
      <c r="A1070" s="16" t="inlineStr">
        <is>
          <t>5.15-5.21</t>
        </is>
      </c>
      <c r="B1070" s="16" t="inlineStr">
        <is>
          <t>PO-128-09169819592312078</t>
        </is>
      </c>
      <c r="C1070" s="16" t="inlineStr">
        <is>
          <t>Shipped</t>
        </is>
      </c>
      <c r="D1070" s="16" t="inlineStr">
        <is>
          <t>128-09169794688632078</t>
        </is>
      </c>
      <c r="E1070" s="16" t="inlineStr">
        <is>
          <t>Shipped</t>
        </is>
      </c>
      <c r="F1070" s="16" t="inlineStr">
        <is>
          <t>KTS-2031</t>
        </is>
      </c>
      <c r="G1070" s="16" t="inlineStr">
        <is>
          <t>Bocina inalámbrica de 3 pulgadas con linterna multifuncional y panel solar integrado.Altavoz Portátil con Linterna LED 4 Modos, Radio FM, Bluetooth, Carga Solar, Ideal para Apagones, Emergencias, Campo y Exteriores</t>
        </is>
      </c>
      <c r="H1070" s="16" t="inlineStr">
        <is>
          <t>NEGRO</t>
        </is>
      </c>
      <c r="I1070" s="16" t="n">
        <v>2</v>
      </c>
      <c r="J1070" s="17" t="n">
        <v>154</v>
      </c>
      <c r="K1070" s="17" t="n">
        <v>172.44</v>
      </c>
      <c r="L1070" s="17" t="n">
        <v>25.86</v>
      </c>
      <c r="M1070" s="17" t="n">
        <v>0</v>
      </c>
      <c r="N1070" s="17">
        <f>K1070*0.08+L1070*0.08</f>
        <v/>
      </c>
      <c r="O1070" s="17">
        <f>-(K1070*0.025+L1070*0.025)</f>
        <v/>
      </c>
      <c r="P1070" s="17">
        <f>32</f>
        <v/>
      </c>
      <c r="Q1070" s="17">
        <f>J1070+L1070+N1070+O1070-P1070-M1070</f>
        <v/>
      </c>
    </row>
    <row r="1071">
      <c r="A1071" s="16" t="inlineStr">
        <is>
          <t>5.15-5.21</t>
        </is>
      </c>
      <c r="B1071" s="16" t="inlineStr">
        <is>
          <t>PO-128-09505207624310209</t>
        </is>
      </c>
      <c r="C1071" s="16" t="inlineStr">
        <is>
          <t>Shipped</t>
        </is>
      </c>
      <c r="D1071" s="16" t="inlineStr">
        <is>
          <t>128-09505249567350209</t>
        </is>
      </c>
      <c r="E1071" s="16" t="inlineStr">
        <is>
          <t>Shipped</t>
        </is>
      </c>
      <c r="F1071" s="16" t="inlineStr">
        <is>
          <t>LV64W25</t>
        </is>
      </c>
      <c r="G10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71" s="16" t="inlineStr">
        <is>
          <t>Blanco</t>
        </is>
      </c>
      <c r="I1071" s="16" t="n">
        <v>3</v>
      </c>
      <c r="J1071" s="17" t="n">
        <v>375</v>
      </c>
      <c r="K1071" s="17" t="n">
        <v>313.53</v>
      </c>
      <c r="L1071" s="17" t="n">
        <v>0</v>
      </c>
      <c r="M1071" s="17" t="n">
        <v>0</v>
      </c>
      <c r="N1071" s="17">
        <f>K1071*0.08+L1071*0.08</f>
        <v/>
      </c>
      <c r="O1071" s="17">
        <f>-(K1071*0.025+L1071*0.025)</f>
        <v/>
      </c>
      <c r="P1071" s="17">
        <f>32</f>
        <v/>
      </c>
      <c r="Q1071" s="17">
        <f>J1071+L1071+N1071+O1071-P1071-M1071</f>
        <v/>
      </c>
    </row>
    <row r="1072">
      <c r="A1072" s="16" t="inlineStr">
        <is>
          <t>5.15-5.21</t>
        </is>
      </c>
      <c r="B1072" s="16" t="inlineStr">
        <is>
          <t>PO-128-09131913278072304</t>
        </is>
      </c>
      <c r="C1072" s="16" t="inlineStr">
        <is>
          <t>Shipped</t>
        </is>
      </c>
      <c r="D1072" s="16" t="inlineStr">
        <is>
          <t>128-09131900826232304</t>
        </is>
      </c>
      <c r="E1072" s="16" t="inlineStr">
        <is>
          <t>Shipped</t>
        </is>
      </c>
      <c r="F1072" s="16" t="inlineStr">
        <is>
          <t>LV54W25</t>
        </is>
      </c>
      <c r="G1072" s="16" t="inlineStr">
        <is>
          <t>TIANLAI Lámpara Ventilador E27 2 en 1, Silenciosa, LED Alta Luminosidad 180°, Instalación Rápida, Ahorro Energético para Dormitorio y Interiores Pequeños</t>
        </is>
      </c>
      <c r="H1072" s="16" t="inlineStr">
        <is>
          <t>1 Pieza</t>
        </is>
      </c>
      <c r="I1072" s="16" t="n">
        <v>1</v>
      </c>
      <c r="J1072" s="17" t="n">
        <v>74</v>
      </c>
      <c r="K1072" s="17" t="n">
        <v>54.12</v>
      </c>
      <c r="L1072" s="17" t="n">
        <v>25.86</v>
      </c>
      <c r="M1072" s="17" t="n">
        <v>0</v>
      </c>
      <c r="N1072" s="17">
        <f>K1072*0.08+L1072*0.08</f>
        <v/>
      </c>
      <c r="O1072" s="17">
        <f>-(K1072*0.025+L1072*0.025)</f>
        <v/>
      </c>
      <c r="P1072" s="17">
        <f>32</f>
        <v/>
      </c>
      <c r="Q1072" s="17">
        <f>J1072+L1072+N1072+O1072-P1072-M1072</f>
        <v/>
      </c>
    </row>
    <row r="1073">
      <c r="A1073" s="16" t="inlineStr">
        <is>
          <t>5.15-5.21</t>
        </is>
      </c>
      <c r="B1073" s="16" t="inlineStr">
        <is>
          <t>PO-128-09414686044791709</t>
        </is>
      </c>
      <c r="C1073" s="16" t="inlineStr">
        <is>
          <t>Shipped</t>
        </is>
      </c>
      <c r="D1073" s="16" t="inlineStr">
        <is>
          <t>128-09414644101751709</t>
        </is>
      </c>
      <c r="E1073" s="16" t="inlineStr">
        <is>
          <t>Shipped</t>
        </is>
      </c>
      <c r="F1073" s="16" t="inlineStr">
        <is>
          <t>LV54W25</t>
        </is>
      </c>
      <c r="G1073" s="16" t="inlineStr">
        <is>
          <t>TIANLAI Lámpara Ventilador E27 2 en 1, Silenciosa, LED Alta Luminosidad 180°, Instalación Rápida, Ahorro Energético para Dormitorio y Interiores Pequeños</t>
        </is>
      </c>
      <c r="H1073" s="16" t="inlineStr">
        <is>
          <t>1 Pieza</t>
        </is>
      </c>
      <c r="I1073" s="16" t="n">
        <v>4</v>
      </c>
      <c r="J1073" s="17" t="n">
        <v>296</v>
      </c>
      <c r="K1073" s="17" t="n">
        <v>244.22</v>
      </c>
      <c r="L1073" s="17" t="n">
        <v>0</v>
      </c>
      <c r="M1073" s="17" t="n">
        <v>0</v>
      </c>
      <c r="N1073" s="17">
        <f>K1073*0.08+L1073*0.08</f>
        <v/>
      </c>
      <c r="O1073" s="17">
        <f>-(K1073*0.025+L1073*0.025)</f>
        <v/>
      </c>
      <c r="P1073" s="17">
        <f>32</f>
        <v/>
      </c>
      <c r="Q1073" s="17">
        <f>J1073+L1073+N1073+O1073-P1073-M1073</f>
        <v/>
      </c>
    </row>
    <row r="1074">
      <c r="A1074" s="16" t="inlineStr">
        <is>
          <t>5.15-5.21</t>
        </is>
      </c>
      <c r="B1074" s="16" t="inlineStr">
        <is>
          <t>PO-128-09197405066873002</t>
        </is>
      </c>
      <c r="C1074" s="16" t="inlineStr">
        <is>
          <t>Shipped</t>
        </is>
      </c>
      <c r="D1074" s="16" t="inlineStr">
        <is>
          <t>128-09197431281273002</t>
        </is>
      </c>
      <c r="E1074" s="16" t="inlineStr">
        <is>
          <t>Shipped</t>
        </is>
      </c>
      <c r="F1074" s="16" t="inlineStr">
        <is>
          <t>LV54W25</t>
        </is>
      </c>
      <c r="G1074" s="16" t="inlineStr">
        <is>
          <t>TIANLAI Lámpara Ventilador E27 2 en 1, Silenciosa, LED Alta Luminosidad 180°, Instalación Rápida, Ahorro Energético para Dormitorio y Interiores Pequeños</t>
        </is>
      </c>
      <c r="H1074" s="16" t="inlineStr">
        <is>
          <t>1 Pieza</t>
        </is>
      </c>
      <c r="I1074" s="16" t="n">
        <v>3</v>
      </c>
      <c r="J1074" s="17" t="n">
        <v>222</v>
      </c>
      <c r="K1074" s="17" t="n">
        <v>231.36</v>
      </c>
      <c r="L1074" s="17" t="n">
        <v>25.86</v>
      </c>
      <c r="M1074" s="17" t="n">
        <v>0</v>
      </c>
      <c r="N1074" s="17">
        <f>K1074*0.08+L1074*0.08</f>
        <v/>
      </c>
      <c r="O1074" s="17">
        <f>-(K1074*0.025+L1074*0.025)</f>
        <v/>
      </c>
      <c r="P1074" s="17">
        <f>32</f>
        <v/>
      </c>
      <c r="Q1074" s="17">
        <f>J1074+L1074+N1074+O1074-P1074-M1074</f>
        <v/>
      </c>
    </row>
    <row r="1075">
      <c r="A1075" s="16" t="inlineStr">
        <is>
          <t>5.15-5.21</t>
        </is>
      </c>
      <c r="B1075" s="16" t="inlineStr">
        <is>
          <t>PO-128-09070410757753761</t>
        </is>
      </c>
      <c r="C1075" s="16" t="inlineStr">
        <is>
          <t>Shipped</t>
        </is>
      </c>
      <c r="D1075" s="16" t="inlineStr">
        <is>
          <t>128-09070368814713761</t>
        </is>
      </c>
      <c r="E1075" s="16" t="inlineStr">
        <is>
          <t>Shipped</t>
        </is>
      </c>
      <c r="F1075" s="16" t="inlineStr">
        <is>
          <t>LV54W25</t>
        </is>
      </c>
      <c r="G1075" s="16" t="inlineStr">
        <is>
          <t>TIANLAI Lámpara Ventilador E27 2 en 1, Silenciosa, LED Alta Luminosidad 180°, Instalación Rápida, Ahorro Energético para Dormitorio y Interiores Pequeños</t>
        </is>
      </c>
      <c r="H1075" s="16" t="inlineStr">
        <is>
          <t>1 Pieza</t>
        </is>
      </c>
      <c r="I1075" s="16" t="n">
        <v>2</v>
      </c>
      <c r="J1075" s="17" t="n">
        <v>148</v>
      </c>
      <c r="K1075" s="17" t="n">
        <v>171.36</v>
      </c>
      <c r="L1075" s="17" t="n">
        <v>25.86</v>
      </c>
      <c r="M1075" s="17" t="n">
        <v>0</v>
      </c>
      <c r="N1075" s="17">
        <f>K1075*0.08+L1075*0.08</f>
        <v/>
      </c>
      <c r="O1075" s="17">
        <f>-(K1075*0.025+L1075*0.025)</f>
        <v/>
      </c>
      <c r="P1075" s="17">
        <f>32</f>
        <v/>
      </c>
      <c r="Q1075" s="17">
        <f>J1075+L1075+N1075+O1075-P1075-M1075</f>
        <v/>
      </c>
    </row>
    <row r="1076">
      <c r="A1076" s="16" t="inlineStr">
        <is>
          <t>5.15-5.21</t>
        </is>
      </c>
      <c r="B1076" s="16" t="inlineStr">
        <is>
          <t>PO-128-09610742677110602</t>
        </is>
      </c>
      <c r="C1076" s="16" t="inlineStr">
        <is>
          <t>Shipped</t>
        </is>
      </c>
      <c r="D1076" s="16" t="inlineStr">
        <is>
          <t>128-09610784620150602</t>
        </is>
      </c>
      <c r="E1076" s="16" t="inlineStr">
        <is>
          <t>Shipped</t>
        </is>
      </c>
      <c r="F1076" s="16" t="inlineStr">
        <is>
          <t>KTS-2031</t>
        </is>
      </c>
      <c r="G1076" s="16" t="inlineStr">
        <is>
          <t>Bocina inalámbrica de 3 pulgadas con linterna multifuncional y panel solar integrado.Altavoz Portátil con Linterna LED 4 Modos, Radio FM, Bluetooth, Carga Solar, Ideal para Apagones, Emergencias, Campo y Exteriores</t>
        </is>
      </c>
      <c r="H1076" s="16" t="inlineStr">
        <is>
          <t>NEGRO</t>
        </is>
      </c>
      <c r="I1076" s="16" t="n">
        <v>1</v>
      </c>
      <c r="J1076" s="17" t="n">
        <v>77</v>
      </c>
      <c r="K1076" s="17" t="n">
        <v>86.22</v>
      </c>
      <c r="L1076" s="17" t="n">
        <v>25.86</v>
      </c>
      <c r="M1076" s="17" t="n">
        <v>0</v>
      </c>
      <c r="N1076" s="17">
        <f>K1076*0.08+L1076*0.08</f>
        <v/>
      </c>
      <c r="O1076" s="17">
        <f>-(K1076*0.025+L1076*0.025)</f>
        <v/>
      </c>
      <c r="P1076" s="17">
        <f>32</f>
        <v/>
      </c>
      <c r="Q1076" s="17">
        <f>J1076+L1076+N1076+O1076-P1076-M1076</f>
        <v/>
      </c>
    </row>
    <row r="1077">
      <c r="A1077" s="16" t="inlineStr">
        <is>
          <t>5.15-5.21</t>
        </is>
      </c>
      <c r="B1077" s="16" t="inlineStr">
        <is>
          <t>PO-128-09195193902712953</t>
        </is>
      </c>
      <c r="C1077" s="16" t="inlineStr">
        <is>
          <t>Shipped</t>
        </is>
      </c>
      <c r="D1077" s="16" t="inlineStr">
        <is>
          <t>128-09195214874232953</t>
        </is>
      </c>
      <c r="E1077" s="16" t="inlineStr">
        <is>
          <t>Shipped</t>
        </is>
      </c>
      <c r="F1077" s="16" t="inlineStr">
        <is>
          <t>LV64W25</t>
        </is>
      </c>
      <c r="G10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77" s="16" t="inlineStr">
        <is>
          <t>Blanco</t>
        </is>
      </c>
      <c r="I1077" s="16" t="n">
        <v>2</v>
      </c>
      <c r="J1077" s="17" t="n">
        <v>250</v>
      </c>
      <c r="K1077" s="17" t="n">
        <v>286.52</v>
      </c>
      <c r="L1077" s="17" t="n">
        <v>0</v>
      </c>
      <c r="M1077" s="17" t="n">
        <v>0</v>
      </c>
      <c r="N1077" s="17">
        <f>K1077*0.08+L1077*0.08</f>
        <v/>
      </c>
      <c r="O1077" s="17">
        <f>-(K1077*0.025+L1077*0.025)</f>
        <v/>
      </c>
      <c r="P1077" s="17">
        <f>32</f>
        <v/>
      </c>
      <c r="Q1077" s="17">
        <f>J1077+L1077+N1077+O1077-P1077-M1077</f>
        <v/>
      </c>
    </row>
    <row r="1078">
      <c r="A1078" s="16" t="inlineStr">
        <is>
          <t>5.15-5.21</t>
        </is>
      </c>
      <c r="B1078" s="16" t="inlineStr">
        <is>
          <t>PO-128-08961266053753387</t>
        </is>
      </c>
      <c r="C1078" s="16" t="inlineStr">
        <is>
          <t>Shipped</t>
        </is>
      </c>
      <c r="D1078" s="16" t="inlineStr">
        <is>
          <t>128-08961260810873387</t>
        </is>
      </c>
      <c r="E1078" s="16" t="inlineStr">
        <is>
          <t>Shipped</t>
        </is>
      </c>
      <c r="F1078" s="16" t="inlineStr">
        <is>
          <t>LV54W25</t>
        </is>
      </c>
      <c r="G1078" s="16" t="inlineStr">
        <is>
          <t>TIANLAI Lámpara Ventilador E27 2 en 1, Silenciosa, LED Alta Luminosidad 180°, Instalación Rápida, Ahorro Energético para Dormitorio y Interiores Pequeños</t>
        </is>
      </c>
      <c r="H1078" s="16" t="inlineStr">
        <is>
          <t>1 Pieza</t>
        </is>
      </c>
      <c r="I1078" s="16" t="n">
        <v>1</v>
      </c>
      <c r="J1078" s="17" t="n">
        <v>74</v>
      </c>
      <c r="K1078" s="17" t="n">
        <v>77.12</v>
      </c>
      <c r="L1078" s="17" t="n">
        <v>25.86</v>
      </c>
      <c r="M1078" s="17" t="n">
        <v>0</v>
      </c>
      <c r="N1078" s="17">
        <f>K1078*0.08+L1078*0.08</f>
        <v/>
      </c>
      <c r="O1078" s="17">
        <f>-(K1078*0.025+L1078*0.025)</f>
        <v/>
      </c>
      <c r="P1078" s="17">
        <f>32</f>
        <v/>
      </c>
      <c r="Q1078" s="17">
        <f>J1078+L1078+N1078+O1078-P1078-M1078</f>
        <v/>
      </c>
    </row>
    <row r="1079">
      <c r="A1079" s="16" t="inlineStr">
        <is>
          <t>5.15-5.21</t>
        </is>
      </c>
      <c r="B1079" s="16" t="inlineStr">
        <is>
          <t>PO-128-09092852695673627</t>
        </is>
      </c>
      <c r="C1079" s="16" t="inlineStr">
        <is>
          <t>Shipped</t>
        </is>
      </c>
      <c r="D1079" s="16" t="inlineStr">
        <is>
          <t>128-09092915364473627</t>
        </is>
      </c>
      <c r="E1079" s="16" t="inlineStr">
        <is>
          <t>Shipped</t>
        </is>
      </c>
      <c r="F1079" s="16" t="inlineStr">
        <is>
          <t>KTS-2031</t>
        </is>
      </c>
      <c r="G1079" s="16" t="inlineStr">
        <is>
          <t>Bocina inalámbrica de 3 pulgadas con linterna multifuncional y panel solar integrado.Altavoz Portátil con Linterna LED 4 Modos, Radio FM, Bluetooth, Carga Solar, Ideal para Apagones, Emergencias, Campo y Exteriores</t>
        </is>
      </c>
      <c r="H1079" s="16" t="inlineStr">
        <is>
          <t>NEGRO</t>
        </is>
      </c>
      <c r="I1079" s="16" t="n">
        <v>1</v>
      </c>
      <c r="J1079" s="17" t="n">
        <v>77</v>
      </c>
      <c r="K1079" s="17" t="n">
        <v>86.22</v>
      </c>
      <c r="L1079" s="17" t="n">
        <v>25.86</v>
      </c>
      <c r="M1079" s="17" t="n">
        <v>0</v>
      </c>
      <c r="N1079" s="17">
        <f>K1079*0.08+L1079*0.08</f>
        <v/>
      </c>
      <c r="O1079" s="17">
        <f>-(K1079*0.025+L1079*0.025)</f>
        <v/>
      </c>
      <c r="P1079" s="17">
        <f>32</f>
        <v/>
      </c>
      <c r="Q1079" s="17">
        <f>J1079+L1079+N1079+O1079-P1079-M1079</f>
        <v/>
      </c>
    </row>
    <row r="1080">
      <c r="A1080" s="16" t="inlineStr">
        <is>
          <t>5.15-5.21</t>
        </is>
      </c>
      <c r="B1080" s="16" t="inlineStr">
        <is>
          <t>PO-128-09090686162553638</t>
        </is>
      </c>
      <c r="C1080" s="16" t="inlineStr">
        <is>
          <t>Shipped</t>
        </is>
      </c>
      <c r="D1080" s="16" t="inlineStr">
        <is>
          <t>128-09090707134073638</t>
        </is>
      </c>
      <c r="E1080" s="16" t="inlineStr">
        <is>
          <t>Shipped</t>
        </is>
      </c>
      <c r="F1080" s="16" t="inlineStr">
        <is>
          <t>LV64W25</t>
        </is>
      </c>
      <c r="G10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80" s="16" t="inlineStr">
        <is>
          <t>Blanco</t>
        </is>
      </c>
      <c r="I1080" s="16" t="n">
        <v>5</v>
      </c>
      <c r="J1080" s="17" t="n">
        <v>625</v>
      </c>
      <c r="K1080" s="17" t="n">
        <v>651.85</v>
      </c>
      <c r="L1080" s="17" t="n">
        <v>0</v>
      </c>
      <c r="M1080" s="17" t="n">
        <v>0</v>
      </c>
      <c r="N1080" s="17">
        <f>K1080*0.08+L1080*0.08</f>
        <v/>
      </c>
      <c r="O1080" s="17">
        <f>-(K1080*0.025+L1080*0.025)</f>
        <v/>
      </c>
      <c r="P1080" s="17">
        <f>32</f>
        <v/>
      </c>
      <c r="Q1080" s="17">
        <f>J1080+L1080+N1080+O1080-P1080-M1080</f>
        <v/>
      </c>
    </row>
    <row r="1081">
      <c r="A1081" s="16" t="inlineStr">
        <is>
          <t>5.15-5.21</t>
        </is>
      </c>
      <c r="B1081" s="16" t="inlineStr">
        <is>
          <t>PO-128-09102541292153697</t>
        </is>
      </c>
      <c r="C1081" s="16" t="inlineStr">
        <is>
          <t>Shipped</t>
        </is>
      </c>
      <c r="D1081" s="16" t="inlineStr">
        <is>
          <t>128-09102551777913697</t>
        </is>
      </c>
      <c r="E1081" s="16" t="inlineStr">
        <is>
          <t>Shipped</t>
        </is>
      </c>
      <c r="F1081" s="16" t="inlineStr">
        <is>
          <t>VB349T</t>
        </is>
      </c>
      <c r="G1081" s="16" t="inlineStr">
        <is>
          <t>LINKBITS Altavoz Portátil de Doble Altavoz - 3 Pulgadas, Sonido HD, Emparejamiento Rápido de Bluetooth, Conectividad TWS, Reproducción Multimodo (Micro SD/USB/Radio FM) - Perfecto para Oficina, Viajes y Espacios Pequeños</t>
        </is>
      </c>
      <c r="H1081" s="16" t="inlineStr">
        <is>
          <t>NEGRO</t>
        </is>
      </c>
      <c r="I1081" s="16" t="n">
        <v>1</v>
      </c>
      <c r="J1081" s="17" t="n">
        <v>81</v>
      </c>
      <c r="K1081" s="17" t="n">
        <v>94.26000000000001</v>
      </c>
      <c r="L1081" s="17" t="n">
        <v>25.86</v>
      </c>
      <c r="M1081" s="17" t="n">
        <v>0</v>
      </c>
      <c r="N1081" s="17">
        <f>K1081*0.08+L1081*0.08</f>
        <v/>
      </c>
      <c r="O1081" s="17">
        <f>-(K1081*0.025+L1081*0.025)</f>
        <v/>
      </c>
      <c r="P1081" s="17">
        <f>32</f>
        <v/>
      </c>
      <c r="Q1081" s="17">
        <f>J1081+L1081+N1081+O1081-P1081-M1081</f>
        <v/>
      </c>
    </row>
    <row r="1082">
      <c r="A1082" s="16" t="inlineStr">
        <is>
          <t>5.15-5.21</t>
        </is>
      </c>
      <c r="B1082" s="16" t="inlineStr">
        <is>
          <t>PO-128-08992735119993326</t>
        </is>
      </c>
      <c r="C1082" s="16" t="inlineStr">
        <is>
          <t>Shipped</t>
        </is>
      </c>
      <c r="D1082" s="16" t="inlineStr">
        <is>
          <t>128-08992693176953326</t>
        </is>
      </c>
      <c r="E1082" s="16" t="inlineStr">
        <is>
          <t>Shipped</t>
        </is>
      </c>
      <c r="F1082" s="16" t="inlineStr">
        <is>
          <t>LV64W25</t>
        </is>
      </c>
      <c r="G10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82" s="16" t="inlineStr">
        <is>
          <t>Blanco</t>
        </is>
      </c>
      <c r="I1082" s="16" t="n">
        <v>1</v>
      </c>
      <c r="J1082" s="17" t="n">
        <v>125</v>
      </c>
      <c r="K1082" s="17" t="n">
        <v>46.18</v>
      </c>
      <c r="L1082" s="17" t="n">
        <v>25.86</v>
      </c>
      <c r="M1082" s="17" t="n">
        <v>0</v>
      </c>
      <c r="N1082" s="17">
        <f>K1082*0.08+L1082*0.08</f>
        <v/>
      </c>
      <c r="O1082" s="17">
        <f>-(K1082*0.025+L1082*0.025)</f>
        <v/>
      </c>
      <c r="P1082" s="17">
        <f>32</f>
        <v/>
      </c>
      <c r="Q1082" s="17">
        <f>J1082+L1082+N1082+O1082-P1082-M1082</f>
        <v/>
      </c>
    </row>
    <row r="1083">
      <c r="A1083" s="16" t="inlineStr">
        <is>
          <t>5.15-5.21</t>
        </is>
      </c>
      <c r="B1083" s="16" t="inlineStr">
        <is>
          <t>PO-128-09209132329593060</t>
        </is>
      </c>
      <c r="C1083" s="16" t="inlineStr">
        <is>
          <t>Shipped</t>
        </is>
      </c>
      <c r="D1083" s="16" t="inlineStr">
        <is>
          <t>128-09209153301113060</t>
        </is>
      </c>
      <c r="E1083" s="16" t="inlineStr">
        <is>
          <t>Shipped</t>
        </is>
      </c>
      <c r="F1083" s="16" t="inlineStr">
        <is>
          <t>VB349T</t>
        </is>
      </c>
      <c r="G1083" s="16" t="inlineStr">
        <is>
          <t>LINKBITS Altavoz Portátil de Doble Altavoz - 3 Pulgadas, Sonido HD, Emparejamiento Rápido de Bluetooth, Conectividad TWS, Reproducción Multimodo (Micro SD/USB/Radio FM) - Perfecto para Oficina, Viajes y Espacios Pequeños</t>
        </is>
      </c>
      <c r="H1083" s="16" t="inlineStr">
        <is>
          <t>NEGRO</t>
        </is>
      </c>
      <c r="I1083" s="16" t="n">
        <v>1</v>
      </c>
      <c r="J1083" s="17" t="n">
        <v>81</v>
      </c>
      <c r="K1083" s="17" t="n">
        <v>94.26000000000001</v>
      </c>
      <c r="L1083" s="17" t="n">
        <v>25.86</v>
      </c>
      <c r="M1083" s="17" t="n">
        <v>0</v>
      </c>
      <c r="N1083" s="17">
        <f>K1083*0.08+L1083*0.08</f>
        <v/>
      </c>
      <c r="O1083" s="17">
        <f>-(K1083*0.025+L1083*0.025)</f>
        <v/>
      </c>
      <c r="P1083" s="17">
        <f>32</f>
        <v/>
      </c>
      <c r="Q1083" s="17">
        <f>J1083+L1083+N1083+O1083-P1083-M1083</f>
        <v/>
      </c>
    </row>
    <row r="1084">
      <c r="A1084" s="16" t="inlineStr">
        <is>
          <t>5.15-5.21</t>
        </is>
      </c>
      <c r="B1084" s="16" t="inlineStr">
        <is>
          <t>PO-128-09590698025590723</t>
        </is>
      </c>
      <c r="C1084" s="16" t="inlineStr">
        <is>
          <t>Shipped</t>
        </is>
      </c>
      <c r="D1084" s="16" t="inlineStr">
        <is>
          <t>128-09590861865590723</t>
        </is>
      </c>
      <c r="E1084" s="16" t="inlineStr">
        <is>
          <t>Shipped</t>
        </is>
      </c>
      <c r="F1084" s="16" t="inlineStr">
        <is>
          <t>LV64W25</t>
        </is>
      </c>
      <c r="G10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84" s="16" t="inlineStr">
        <is>
          <t>Blanco</t>
        </is>
      </c>
      <c r="I1084" s="16" t="n">
        <v>3</v>
      </c>
      <c r="J1084" s="17" t="n">
        <v>375</v>
      </c>
      <c r="K1084" s="17" t="n">
        <v>386.82</v>
      </c>
      <c r="L1084" s="17" t="n">
        <v>0</v>
      </c>
      <c r="M1084" s="17" t="n">
        <v>0</v>
      </c>
      <c r="N1084" s="17">
        <f>K1084*0.08+L1084*0.08</f>
        <v/>
      </c>
      <c r="O1084" s="17">
        <f>-(K1084*0.025+L1084*0.025)</f>
        <v/>
      </c>
      <c r="P1084" s="17">
        <f>32</f>
        <v/>
      </c>
      <c r="Q1084" s="17">
        <f>J1084+L1084+N1084+O1084-P1084-M1084</f>
        <v/>
      </c>
    </row>
    <row r="1085">
      <c r="A1085" s="16" t="inlineStr">
        <is>
          <t>5.15-5.21</t>
        </is>
      </c>
      <c r="B1085" s="16" t="inlineStr">
        <is>
          <t>PO-128-09422611292791789</t>
        </is>
      </c>
      <c r="C1085" s="16" t="inlineStr">
        <is>
          <t>Shipped</t>
        </is>
      </c>
      <c r="D1085" s="16" t="inlineStr">
        <is>
          <t>128-09422716150391789</t>
        </is>
      </c>
      <c r="E1085" s="16" t="inlineStr">
        <is>
          <t>Shipped</t>
        </is>
      </c>
      <c r="F1085" s="16" t="inlineStr">
        <is>
          <t>LV54W25</t>
        </is>
      </c>
      <c r="G1085" s="16" t="inlineStr">
        <is>
          <t>TIANLAI Lámpara Ventilador E27 2 en 1, Silenciosa, LED Alta Luminosidad 180°, Instalación Rápida, Ahorro Energético para Dormitorio y Interiores Pequeños</t>
        </is>
      </c>
      <c r="H1085" s="16" t="inlineStr">
        <is>
          <t>1 Pieza</t>
        </is>
      </c>
      <c r="I1085" s="16" t="n">
        <v>1</v>
      </c>
      <c r="J1085" s="17" t="n">
        <v>74</v>
      </c>
      <c r="K1085" s="17" t="n">
        <v>77.12</v>
      </c>
      <c r="L1085" s="17" t="n">
        <v>25.86</v>
      </c>
      <c r="M1085" s="17" t="n">
        <v>0</v>
      </c>
      <c r="N1085" s="17">
        <f>K1085*0.08+L1085*0.08</f>
        <v/>
      </c>
      <c r="O1085" s="17">
        <f>-(K1085*0.025+L1085*0.025)</f>
        <v/>
      </c>
      <c r="P1085" s="17">
        <f>32</f>
        <v/>
      </c>
      <c r="Q1085" s="17">
        <f>J1085+L1085+N1085+O1085-P1085-M1085</f>
        <v/>
      </c>
    </row>
    <row r="1086">
      <c r="A1086" s="16" t="inlineStr">
        <is>
          <t>5.15-5.21</t>
        </is>
      </c>
      <c r="B1086" s="16" t="inlineStr">
        <is>
          <t>PO-128-09022145403513982</t>
        </is>
      </c>
      <c r="C1086" s="16" t="inlineStr">
        <is>
          <t>Shipped</t>
        </is>
      </c>
      <c r="D1086" s="16" t="inlineStr">
        <is>
          <t>128-09022166375033982</t>
        </is>
      </c>
      <c r="E1086" s="16" t="inlineStr">
        <is>
          <t>Shipped</t>
        </is>
      </c>
      <c r="F1086" s="16" t="inlineStr">
        <is>
          <t>KTS-2031</t>
        </is>
      </c>
      <c r="G1086" s="16" t="inlineStr">
        <is>
          <t>Bocina inalámbrica de 3 pulgadas con linterna multifuncional y panel solar integrado.Altavoz Portátil con Linterna LED 4 Modos, Radio FM, Bluetooth, Carga Solar, Ideal para Apagones, Emergencias, Campo y Exteriores</t>
        </is>
      </c>
      <c r="H1086" s="16" t="inlineStr">
        <is>
          <t>NEGRO</t>
        </is>
      </c>
      <c r="I1086" s="16" t="n">
        <v>1</v>
      </c>
      <c r="J1086" s="17" t="n">
        <v>77</v>
      </c>
      <c r="K1086" s="17" t="n">
        <v>86.22</v>
      </c>
      <c r="L1086" s="17" t="n">
        <v>25.86</v>
      </c>
      <c r="M1086" s="17" t="n">
        <v>0</v>
      </c>
      <c r="N1086" s="17">
        <f>K1086*0.08+L1086*0.08</f>
        <v/>
      </c>
      <c r="O1086" s="17">
        <f>-(K1086*0.025+L1086*0.025)</f>
        <v/>
      </c>
      <c r="P1086" s="17">
        <f>32</f>
        <v/>
      </c>
      <c r="Q1086" s="17">
        <f>J1086+L1086+N1086+O1086-P1086-M1086</f>
        <v/>
      </c>
    </row>
    <row r="1087">
      <c r="A1087" s="16" t="inlineStr">
        <is>
          <t>5.15-5.21</t>
        </is>
      </c>
      <c r="B1087" s="16" t="inlineStr">
        <is>
          <t>PO-128-09590334351990724</t>
        </is>
      </c>
      <c r="C1087" s="16" t="inlineStr">
        <is>
          <t>Shipped</t>
        </is>
      </c>
      <c r="D1087" s="16" t="inlineStr">
        <is>
          <t>128-09590344837750724</t>
        </is>
      </c>
      <c r="E1087" s="16" t="inlineStr">
        <is>
          <t>Shipped</t>
        </is>
      </c>
      <c r="F1087" s="16" t="inlineStr">
        <is>
          <t>LV64W25</t>
        </is>
      </c>
      <c r="G10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087" s="16" t="inlineStr">
        <is>
          <t>Blanco</t>
        </is>
      </c>
      <c r="I1087" s="16" t="n">
        <v>1</v>
      </c>
      <c r="J1087" s="17" t="n">
        <v>125</v>
      </c>
      <c r="K1087" s="17" t="n">
        <v>143.26</v>
      </c>
      <c r="L1087" s="17" t="n">
        <v>25.86</v>
      </c>
      <c r="M1087" s="17" t="n">
        <v>0</v>
      </c>
      <c r="N1087" s="17">
        <f>K1087*0.08+L1087*0.08</f>
        <v/>
      </c>
      <c r="O1087" s="17">
        <f>-(K1087*0.025+L1087*0.025)</f>
        <v/>
      </c>
      <c r="P1087" s="17">
        <f>32</f>
        <v/>
      </c>
      <c r="Q1087" s="17">
        <f>J1087+L1087+N1087+O1087-P1087-M1087</f>
        <v/>
      </c>
    </row>
    <row r="1088">
      <c r="A1088" s="16" t="inlineStr">
        <is>
          <t>5.15-5.21</t>
        </is>
      </c>
      <c r="B1088" s="16" t="inlineStr">
        <is>
          <t>PO-128-09575289144950879</t>
        </is>
      </c>
      <c r="C1088" s="16" t="inlineStr">
        <is>
          <t>Shipped</t>
        </is>
      </c>
      <c r="D1088" s="16" t="inlineStr">
        <is>
          <t>128-09575394002550879</t>
        </is>
      </c>
      <c r="E1088" s="16" t="inlineStr">
        <is>
          <t>Shipped</t>
        </is>
      </c>
      <c r="F1088" s="16" t="inlineStr">
        <is>
          <t>KTS-2031</t>
        </is>
      </c>
      <c r="G1088" s="16" t="inlineStr">
        <is>
          <t>Bocina inalámbrica de 3 pulgadas con linterna multifuncional y panel solar integrado.Altavoz Portátil con Linterna LED 4 Modos, Radio FM, Bluetooth, Carga Solar, Ideal para Apagones, Emergencias, Campo y Exteriores</t>
        </is>
      </c>
      <c r="H1088" s="16" t="inlineStr">
        <is>
          <t>NEGRO</t>
        </is>
      </c>
      <c r="I1088" s="16" t="n">
        <v>1</v>
      </c>
      <c r="J1088" s="17" t="n">
        <v>77</v>
      </c>
      <c r="K1088" s="17" t="n">
        <v>86.22</v>
      </c>
      <c r="L1088" s="17" t="n">
        <v>25.86</v>
      </c>
      <c r="M1088" s="17" t="n">
        <v>0</v>
      </c>
      <c r="N1088" s="17">
        <f>K1088*0.08+L1088*0.08</f>
        <v/>
      </c>
      <c r="O1088" s="17">
        <f>-(K1088*0.025+L1088*0.025)</f>
        <v/>
      </c>
      <c r="P1088" s="17">
        <f>32</f>
        <v/>
      </c>
      <c r="Q1088" s="17">
        <f>J1088+L1088+N1088+O1088-P1088-M1088</f>
        <v/>
      </c>
    </row>
    <row r="1089">
      <c r="A1089" s="16" t="inlineStr">
        <is>
          <t>5.15-5.21</t>
        </is>
      </c>
      <c r="B1089" s="16" t="inlineStr">
        <is>
          <t>PO-128-09088566436473586</t>
        </is>
      </c>
      <c r="C1089" s="16" t="inlineStr">
        <is>
          <t>Shipped</t>
        </is>
      </c>
      <c r="D1089" s="16" t="inlineStr">
        <is>
          <t>128-09088702751353586</t>
        </is>
      </c>
      <c r="E1089" s="16" t="inlineStr">
        <is>
          <t>Shipped</t>
        </is>
      </c>
      <c r="F1089" s="16" t="inlineStr">
        <is>
          <t>BG-115-B</t>
        </is>
      </c>
      <c r="G1089" s="16" t="inlineStr">
        <is>
          <t>LINK BITS Audífonos Inalámbricos con Luces Multicolor, Recargables y en Adorable Forma de Orejas de Gato - Conecta a Celulares y PCs, Tiene Radio FM, Tarjeta TF y AUX - 7 Horas de Reproducción, Plegables y Perfectos para Trabajo, Juegos y Estudio</t>
        </is>
      </c>
      <c r="H1089" s="16" t="inlineStr">
        <is>
          <t>blanco</t>
        </is>
      </c>
      <c r="I1089" s="16" t="n">
        <v>1</v>
      </c>
      <c r="J1089" s="17" t="n">
        <v>78</v>
      </c>
      <c r="K1089" s="17" t="n">
        <v>5.96</v>
      </c>
      <c r="L1089" s="17" t="n">
        <v>25.86</v>
      </c>
      <c r="M1089" s="17" t="n">
        <v>0</v>
      </c>
      <c r="N1089" s="17">
        <f>K1089*0.08+L1089*0.08</f>
        <v/>
      </c>
      <c r="O1089" s="17">
        <f>-(K1089*0.025+L1089*0.025)</f>
        <v/>
      </c>
      <c r="P1089" s="17">
        <f>32</f>
        <v/>
      </c>
      <c r="Q1089" s="17">
        <f>J1089+L1089+N1089+O1089-P1089-M1089</f>
        <v/>
      </c>
    </row>
    <row r="1090">
      <c r="A1090" s="16" t="inlineStr">
        <is>
          <t>5.15-5.21</t>
        </is>
      </c>
      <c r="B1090" s="16" t="inlineStr">
        <is>
          <t>PO-128-09258166753912576</t>
        </is>
      </c>
      <c r="C1090" s="16" t="inlineStr">
        <is>
          <t>Shipped</t>
        </is>
      </c>
      <c r="D1090" s="16" t="inlineStr">
        <is>
          <t>128-09258124810872576</t>
        </is>
      </c>
      <c r="E1090" s="16" t="inlineStr">
        <is>
          <t>Shipped</t>
        </is>
      </c>
      <c r="F1090" s="16" t="inlineStr">
        <is>
          <t>KTS-2031</t>
        </is>
      </c>
      <c r="G1090" s="16" t="inlineStr">
        <is>
          <t>Bocina inalámbrica de 3 pulgadas con linterna multifuncional y panel solar integrado.Altavoz Portátil con Linterna LED 4 Modos, Radio FM, Bluetooth, Carga Solar, Ideal para Apagones, Emergencias, Campo y Exteriores</t>
        </is>
      </c>
      <c r="H1090" s="16" t="inlineStr">
        <is>
          <t>NEGRO</t>
        </is>
      </c>
      <c r="I1090" s="16" t="n">
        <v>1</v>
      </c>
      <c r="J1090" s="17" t="n">
        <v>77</v>
      </c>
      <c r="K1090" s="17" t="n">
        <v>0.01</v>
      </c>
      <c r="L1090" s="17" t="n">
        <v>25.86</v>
      </c>
      <c r="M1090" s="17" t="n">
        <v>0</v>
      </c>
      <c r="N1090" s="17">
        <f>K1090*0.08+L1090*0.08</f>
        <v/>
      </c>
      <c r="O1090" s="17">
        <f>-(K1090*0.025+L1090*0.025)</f>
        <v/>
      </c>
      <c r="P1090" s="17">
        <f>32</f>
        <v/>
      </c>
      <c r="Q1090" s="17">
        <f>J1090+L1090+N1090+O1090-P1090-M1090</f>
        <v/>
      </c>
    </row>
    <row r="1091">
      <c r="A1091" s="16" t="inlineStr">
        <is>
          <t>5.15-5.21</t>
        </is>
      </c>
      <c r="B1091" s="16" t="inlineStr">
        <is>
          <t>PO-128-09486565929590382</t>
        </is>
      </c>
      <c r="C1091" s="16" t="inlineStr">
        <is>
          <t>Shipped</t>
        </is>
      </c>
      <c r="D1091" s="16" t="inlineStr">
        <is>
          <t>128-09486534472310382</t>
        </is>
      </c>
      <c r="E1091" s="16" t="inlineStr">
        <is>
          <t>Shipped</t>
        </is>
      </c>
      <c r="F1091" s="16" t="inlineStr">
        <is>
          <t>LV54W25</t>
        </is>
      </c>
      <c r="G1091" s="16" t="inlineStr">
        <is>
          <t>TIANLAI Lámpara Ventilador E27 2 en 1, Silenciosa, LED Alta Luminosidad 180°, Instalación Rápida, Ahorro Energético para Dormitorio y Interiores Pequeños</t>
        </is>
      </c>
      <c r="H1091" s="16" t="inlineStr">
        <is>
          <t>1 Pieza</t>
        </is>
      </c>
      <c r="I1091" s="16" t="n">
        <v>2</v>
      </c>
      <c r="J1091" s="17" t="n">
        <v>148</v>
      </c>
      <c r="K1091" s="17" t="n">
        <v>154.24</v>
      </c>
      <c r="L1091" s="17" t="n">
        <v>25.86</v>
      </c>
      <c r="M1091" s="17" t="n">
        <v>0</v>
      </c>
      <c r="N1091" s="17">
        <f>K1091*0.08+L1091*0.08</f>
        <v/>
      </c>
      <c r="O1091" s="17">
        <f>-(K1091*0.025+L1091*0.025)</f>
        <v/>
      </c>
      <c r="P1091" s="17">
        <f>32</f>
        <v/>
      </c>
      <c r="Q1091" s="17">
        <f>J1091+L1091+N1091+O1091-P1091-M1091</f>
        <v/>
      </c>
    </row>
    <row r="1092">
      <c r="A1092" s="16" t="inlineStr">
        <is>
          <t>5.15-5.21</t>
        </is>
      </c>
      <c r="B1092" s="16" t="inlineStr">
        <is>
          <t>PO-128-09024202614393970</t>
        </is>
      </c>
      <c r="C1092" s="16" t="inlineStr">
        <is>
          <t>Shipped</t>
        </is>
      </c>
      <c r="D1092" s="16" t="inlineStr">
        <is>
          <t>128-09024150185593970</t>
        </is>
      </c>
      <c r="E1092" s="16" t="inlineStr">
        <is>
          <t>Shipped</t>
        </is>
      </c>
      <c r="F1092" s="16" t="inlineStr">
        <is>
          <t>KTS-2031</t>
        </is>
      </c>
      <c r="G1092" s="16" t="inlineStr">
        <is>
          <t>Bocina inalámbrica de 3 pulgadas con linterna multifuncional y panel solar integrado.Altavoz Portátil con Linterna LED 4 Modos, Radio FM, Bluetooth, Carga Solar, Ideal para Apagones, Emergencias, Campo y Exteriores</t>
        </is>
      </c>
      <c r="H1092" s="16" t="inlineStr">
        <is>
          <t>NEGRO</t>
        </is>
      </c>
      <c r="I1092" s="16" t="n">
        <v>1</v>
      </c>
      <c r="J1092" s="17" t="n">
        <v>77</v>
      </c>
      <c r="K1092" s="17" t="n">
        <v>86.22</v>
      </c>
      <c r="L1092" s="17" t="n">
        <v>25.86</v>
      </c>
      <c r="M1092" s="17" t="n">
        <v>0</v>
      </c>
      <c r="N1092" s="17">
        <f>K1092*0.08+L1092*0.08</f>
        <v/>
      </c>
      <c r="O1092" s="17">
        <f>-(K1092*0.025+L1092*0.025)</f>
        <v/>
      </c>
      <c r="P1092" s="17">
        <f>32</f>
        <v/>
      </c>
      <c r="Q1092" s="17">
        <f>J1092+L1092+N1092+O1092-P1092-M1092</f>
        <v/>
      </c>
    </row>
    <row r="1093">
      <c r="A1093" s="16" t="inlineStr">
        <is>
          <t>5.15-5.21</t>
        </is>
      </c>
      <c r="B1093" s="16" t="inlineStr">
        <is>
          <t>PO-128-09199380654712990</t>
        </is>
      </c>
      <c r="C1093" s="16" t="inlineStr">
        <is>
          <t>Shipped</t>
        </is>
      </c>
      <c r="D1093" s="16" t="inlineStr">
        <is>
          <t>128-09199433083512990</t>
        </is>
      </c>
      <c r="E1093" s="16" t="inlineStr">
        <is>
          <t>Shipped</t>
        </is>
      </c>
      <c r="F1093" s="16" t="inlineStr">
        <is>
          <t>LV54W25</t>
        </is>
      </c>
      <c r="G1093" s="16" t="inlineStr">
        <is>
          <t>TIANLAI Lámpara Ventilador E27 2 en 1, Silenciosa, LED Alta Luminosidad 180°, Instalación Rápida, Ahorro Energético para Dormitorio y Interiores Pequeños</t>
        </is>
      </c>
      <c r="H1093" s="16" t="inlineStr">
        <is>
          <t>1 Pieza</t>
        </is>
      </c>
      <c r="I1093" s="16" t="n">
        <v>4</v>
      </c>
      <c r="J1093" s="17" t="n">
        <v>296</v>
      </c>
      <c r="K1093" s="17" t="n">
        <v>246.8</v>
      </c>
      <c r="L1093" s="17" t="n">
        <v>0</v>
      </c>
      <c r="M1093" s="17" t="n">
        <v>0</v>
      </c>
      <c r="N1093" s="17">
        <f>K1093*0.08+L1093*0.08</f>
        <v/>
      </c>
      <c r="O1093" s="17">
        <f>-(K1093*0.025+L1093*0.025)</f>
        <v/>
      </c>
      <c r="P1093" s="17">
        <f>32</f>
        <v/>
      </c>
      <c r="Q1093" s="17">
        <f>J1093+L1093+N1093+O1093-P1093-M1093</f>
        <v/>
      </c>
    </row>
    <row r="1094">
      <c r="A1094" s="16" t="inlineStr">
        <is>
          <t>5.15-5.21</t>
        </is>
      </c>
      <c r="B1094" s="16" t="inlineStr">
        <is>
          <t>PO-128-09299982812791302</t>
        </is>
      </c>
      <c r="C1094" s="16" t="inlineStr">
        <is>
          <t>Shipped</t>
        </is>
      </c>
      <c r="D1094" s="16" t="inlineStr">
        <is>
          <t>128-09299993298551302</t>
        </is>
      </c>
      <c r="E1094" s="16" t="inlineStr">
        <is>
          <t>Shipped</t>
        </is>
      </c>
      <c r="F1094" s="16" t="inlineStr">
        <is>
          <t>TL2663N18C</t>
        </is>
      </c>
      <c r="G1094" s="16" t="inlineStr">
        <is>
          <t>Linkbits，Soporte de pared fijo para televisores de 26"-63", Ultra-Delgado Compatible con VESA 400x400mm, Capacidad de Peso Fuerte de 25KG, Instalación Fácil Sin Electricidad</t>
        </is>
      </c>
      <c r="H1094" s="16" t="inlineStr">
        <is>
          <t>NEGRO</t>
        </is>
      </c>
      <c r="I1094" s="16" t="n">
        <v>8</v>
      </c>
      <c r="J1094" s="17" t="n">
        <v>430.4</v>
      </c>
      <c r="K1094" s="17" t="n">
        <v>444.88</v>
      </c>
      <c r="L1094" s="17" t="n">
        <v>0</v>
      </c>
      <c r="M1094" s="17" t="n">
        <v>0</v>
      </c>
      <c r="N1094" s="17">
        <f>K1094*0.08+L1094*0.08</f>
        <v/>
      </c>
      <c r="O1094" s="17">
        <f>-(K1094*0.025+L1094*0.025)</f>
        <v/>
      </c>
      <c r="P1094" s="17">
        <f>32</f>
        <v/>
      </c>
      <c r="Q1094" s="17">
        <f>J1094+L1094+N1094+O1094-P1094-M1094</f>
        <v/>
      </c>
    </row>
    <row r="1095">
      <c r="A1095" s="16" t="inlineStr">
        <is>
          <t>5.15-5.21</t>
        </is>
      </c>
      <c r="B1095" s="16" t="inlineStr">
        <is>
          <t>PO-128-09484888704630328</t>
        </is>
      </c>
      <c r="C1095" s="16" t="inlineStr">
        <is>
          <t>Shipped</t>
        </is>
      </c>
      <c r="D1095" s="16" t="inlineStr">
        <is>
          <t>128-09484878218870328</t>
        </is>
      </c>
      <c r="E1095" s="16" t="inlineStr">
        <is>
          <t>Shipped</t>
        </is>
      </c>
      <c r="F1095" s="16" t="inlineStr">
        <is>
          <t>KTS-2031</t>
        </is>
      </c>
      <c r="G1095" s="16" t="inlineStr">
        <is>
          <t>Bocina inalámbrica de 3 pulgadas con linterna multifuncional y panel solar integrado.Altavoz Portátil con Linterna LED 4 Modos, Radio FM, Bluetooth, Carga Solar, Ideal para Apagones, Emergencias, Campo y Exteriores</t>
        </is>
      </c>
      <c r="H1095" s="16" t="inlineStr">
        <is>
          <t>NEGRO</t>
        </is>
      </c>
      <c r="I1095" s="16" t="n">
        <v>1</v>
      </c>
      <c r="J1095" s="17" t="n">
        <v>77</v>
      </c>
      <c r="K1095" s="17" t="n">
        <v>86.22</v>
      </c>
      <c r="L1095" s="17" t="n">
        <v>25.86</v>
      </c>
      <c r="M1095" s="17" t="n">
        <v>0</v>
      </c>
      <c r="N1095" s="17">
        <f>K1095*0.08+L1095*0.08</f>
        <v/>
      </c>
      <c r="O1095" s="17">
        <f>-(K1095*0.025+L1095*0.025)</f>
        <v/>
      </c>
      <c r="P1095" s="17">
        <f>32</f>
        <v/>
      </c>
      <c r="Q1095" s="17">
        <f>J1095+L1095+N1095+O1095-P1095-M1095</f>
        <v/>
      </c>
    </row>
    <row r="1096">
      <c r="A1096" s="16" t="inlineStr">
        <is>
          <t>5.15-5.21</t>
        </is>
      </c>
      <c r="B1096" s="16" t="inlineStr">
        <is>
          <t>PO-128-08976743793273231</t>
        </is>
      </c>
      <c r="C1096" s="16" t="inlineStr">
        <is>
          <t>Shipped</t>
        </is>
      </c>
      <c r="D1096" s="16" t="inlineStr">
        <is>
          <t>128-08976796222073231</t>
        </is>
      </c>
      <c r="E1096" s="16" t="inlineStr">
        <is>
          <t>Shipped</t>
        </is>
      </c>
      <c r="F1096" s="16" t="inlineStr">
        <is>
          <t>LV54W25</t>
        </is>
      </c>
      <c r="G1096" s="16" t="inlineStr">
        <is>
          <t>TIANLAI Lámpara Ventilador E27 2 en 1, Silenciosa, LED Alta Luminosidad 180°, Instalación Rápida, Ahorro Energético para Dormitorio y Interiores Pequeños</t>
        </is>
      </c>
      <c r="H1096" s="16" t="inlineStr">
        <is>
          <t>1 Pieza</t>
        </is>
      </c>
      <c r="I1096" s="16" t="n">
        <v>5</v>
      </c>
      <c r="J1096" s="17" t="n">
        <v>370</v>
      </c>
      <c r="K1096" s="17" t="n">
        <v>385.6</v>
      </c>
      <c r="L1096" s="17" t="n">
        <v>0</v>
      </c>
      <c r="M1096" s="17" t="n">
        <v>0</v>
      </c>
      <c r="N1096" s="17">
        <f>K1096*0.08+L1096*0.08</f>
        <v/>
      </c>
      <c r="O1096" s="17">
        <f>-(K1096*0.025+L1096*0.025)</f>
        <v/>
      </c>
      <c r="P1096" s="17">
        <f>32</f>
        <v/>
      </c>
      <c r="Q1096" s="17">
        <f>J1096+L1096+N1096+O1096-P1096-M1096</f>
        <v/>
      </c>
    </row>
    <row r="1097">
      <c r="A1097" s="16" t="inlineStr">
        <is>
          <t>5.15-5.21</t>
        </is>
      </c>
      <c r="B1097" s="16" t="inlineStr">
        <is>
          <t>PO-128-09534925558390926</t>
        </is>
      </c>
      <c r="C1097" s="16" t="inlineStr">
        <is>
          <t>Shipped</t>
        </is>
      </c>
      <c r="D1097" s="16" t="inlineStr">
        <is>
          <t>128-09534977987190926</t>
        </is>
      </c>
      <c r="E1097" s="16" t="inlineStr">
        <is>
          <t>Shipped</t>
        </is>
      </c>
      <c r="F1097" s="16" t="inlineStr">
        <is>
          <t>BSC07</t>
        </is>
      </c>
      <c r="G1097" s="16" t="inlineStr">
        <is>
          <t>TIANLAI Báscula Digital BSC04/BSC07, Alta Precisión, Fácil Operación, Ligera y Portátil, Función Tara, Unidad Dual oz/g, Ideal para Cocina, Control de Porciones, Sellos y Objetos Pequeños, Uso en Hogar y Viaje</t>
        </is>
      </c>
      <c r="H1097" s="16" t="inlineStr">
        <is>
          <t>1g/White</t>
        </is>
      </c>
      <c r="I1097" s="16" t="n">
        <v>2</v>
      </c>
      <c r="J1097" s="17" t="n">
        <v>76</v>
      </c>
      <c r="K1097" s="17" t="n">
        <v>77.84999999999999</v>
      </c>
      <c r="L1097" s="17" t="n">
        <v>25.86</v>
      </c>
      <c r="M1097" s="17" t="n">
        <v>0</v>
      </c>
      <c r="N1097" s="17">
        <f>K1097*0.08+L1097*0.08</f>
        <v/>
      </c>
      <c r="O1097" s="17">
        <f>-(K1097*0.025+L1097*0.025)</f>
        <v/>
      </c>
      <c r="P1097" s="17">
        <f>32</f>
        <v/>
      </c>
      <c r="Q1097" s="17">
        <f>J1097+L1097+N1097+O1097-P1097-M1097</f>
        <v/>
      </c>
    </row>
    <row r="1098">
      <c r="A1098" s="16" t="inlineStr">
        <is>
          <t>5.15-5.21</t>
        </is>
      </c>
      <c r="B1098" s="16" t="inlineStr">
        <is>
          <t>PO-128-09380828022392036</t>
        </is>
      </c>
      <c r="C1098" s="16" t="inlineStr">
        <is>
          <t>Shipped</t>
        </is>
      </c>
      <c r="D1098" s="16" t="inlineStr">
        <is>
          <t>128-09380964337272036</t>
        </is>
      </c>
      <c r="E1098" s="16" t="inlineStr">
        <is>
          <t>Shipped</t>
        </is>
      </c>
      <c r="F1098" s="16" t="inlineStr">
        <is>
          <t>KTS-2031</t>
        </is>
      </c>
      <c r="G1098" s="16" t="inlineStr">
        <is>
          <t>Bocina inalámbrica de 3 pulgadas con linterna multifuncional y panel solar integrado.Altavoz Portátil con Linterna LED 4 Modos, Radio FM, Bluetooth, Carga Solar, Ideal para Apagones, Emergencias, Campo y Exteriores</t>
        </is>
      </c>
      <c r="H1098" s="16" t="inlineStr">
        <is>
          <t>NEGRO</t>
        </is>
      </c>
      <c r="I1098" s="16" t="n">
        <v>3</v>
      </c>
      <c r="J1098" s="17" t="n">
        <v>231</v>
      </c>
      <c r="K1098" s="17" t="n">
        <v>258.66</v>
      </c>
      <c r="L1098" s="17" t="n">
        <v>0</v>
      </c>
      <c r="M1098" s="17" t="n">
        <v>0</v>
      </c>
      <c r="N1098" s="17">
        <f>K1098*0.08+L1098*0.08</f>
        <v/>
      </c>
      <c r="O1098" s="17">
        <f>-(K1098*0.025+L1098*0.025)</f>
        <v/>
      </c>
      <c r="P1098" s="17">
        <f>32</f>
        <v/>
      </c>
      <c r="Q1098" s="17">
        <f>J1098+L1098+N1098+O1098-P1098-M1098</f>
        <v/>
      </c>
    </row>
    <row r="1099">
      <c r="A1099" s="16" t="inlineStr">
        <is>
          <t>5.15-5.21</t>
        </is>
      </c>
      <c r="B1099" s="16" t="inlineStr">
        <is>
          <t>PO-128-09205461351033018</t>
        </is>
      </c>
      <c r="C1099" s="16" t="inlineStr">
        <is>
          <t>Shipped</t>
        </is>
      </c>
      <c r="D1099" s="16" t="inlineStr">
        <is>
          <t>128-09205419407993018</t>
        </is>
      </c>
      <c r="E1099" s="16" t="inlineStr">
        <is>
          <t>Shipped</t>
        </is>
      </c>
      <c r="F1099" s="16" t="inlineStr">
        <is>
          <t>LV54W25</t>
        </is>
      </c>
      <c r="G1099" s="16" t="inlineStr">
        <is>
          <t>TIANLAI Lámpara Ventilador E27 2 en 1, Silenciosa, LED Alta Luminosidad 180°, Instalación Rápida, Ahorro Energético para Dormitorio y Interiores Pequeños</t>
        </is>
      </c>
      <c r="H1099" s="16" t="inlineStr">
        <is>
          <t>1 Pieza</t>
        </is>
      </c>
      <c r="I1099" s="16" t="n">
        <v>2</v>
      </c>
      <c r="J1099" s="17" t="n">
        <v>148</v>
      </c>
      <c r="K1099" s="17" t="n">
        <v>154.24</v>
      </c>
      <c r="L1099" s="17" t="n">
        <v>25.86</v>
      </c>
      <c r="M1099" s="17" t="n">
        <v>0</v>
      </c>
      <c r="N1099" s="17">
        <f>K1099*0.08+L1099*0.08</f>
        <v/>
      </c>
      <c r="O1099" s="17">
        <f>-(K1099*0.025+L1099*0.025)</f>
        <v/>
      </c>
      <c r="P1099" s="17">
        <f>32</f>
        <v/>
      </c>
      <c r="Q1099" s="17">
        <f>J1099+L1099+N1099+O1099-P1099-M1099</f>
        <v/>
      </c>
    </row>
    <row r="1100">
      <c r="A1100" s="16" t="inlineStr">
        <is>
          <t>5.15-5.21</t>
        </is>
      </c>
      <c r="B1100" s="16" t="inlineStr">
        <is>
          <t>PO-128-09119558154872506</t>
        </is>
      </c>
      <c r="C1100" s="16" t="inlineStr">
        <is>
          <t>Shipped</t>
        </is>
      </c>
      <c r="D1100" s="16" t="inlineStr">
        <is>
          <t>128-09119516211832506</t>
        </is>
      </c>
      <c r="E1100" s="16" t="inlineStr">
        <is>
          <t>Shipped</t>
        </is>
      </c>
      <c r="F1100" s="16" t="inlineStr">
        <is>
          <t>LV64W25</t>
        </is>
      </c>
      <c r="G11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0" s="16" t="inlineStr">
        <is>
          <t>Blanco</t>
        </is>
      </c>
      <c r="I1100" s="16" t="n">
        <v>1</v>
      </c>
      <c r="J1100" s="17" t="n">
        <v>125</v>
      </c>
      <c r="K1100" s="17" t="n">
        <v>85.84</v>
      </c>
      <c r="L1100" s="17" t="n">
        <v>25.86</v>
      </c>
      <c r="M1100" s="17" t="n">
        <v>0</v>
      </c>
      <c r="N1100" s="17">
        <f>K1100*0.08+L1100*0.08</f>
        <v/>
      </c>
      <c r="O1100" s="17">
        <f>-(K1100*0.025+L1100*0.025)</f>
        <v/>
      </c>
      <c r="P1100" s="17">
        <f>32</f>
        <v/>
      </c>
      <c r="Q1100" s="17">
        <f>J1100+L1100+N1100+O1100-P1100-M1100</f>
        <v/>
      </c>
    </row>
    <row r="1101">
      <c r="A1101" s="16" t="inlineStr">
        <is>
          <t>5.15-5.21</t>
        </is>
      </c>
      <c r="B1101" s="16" t="inlineStr">
        <is>
          <t>PO-128-09268344602232645</t>
        </is>
      </c>
      <c r="C1101" s="16" t="inlineStr">
        <is>
          <t>Shipped</t>
        </is>
      </c>
      <c r="D1101" s="16" t="inlineStr">
        <is>
          <t>128-09268365573752645</t>
        </is>
      </c>
      <c r="E1101" s="16" t="inlineStr">
        <is>
          <t>Shipped</t>
        </is>
      </c>
      <c r="F1101" s="16" t="inlineStr">
        <is>
          <t>VB349T</t>
        </is>
      </c>
      <c r="G1101" s="16" t="inlineStr">
        <is>
          <t>LINKBITS Altavoz Portátil de Doble Altavoz - 3 Pulgadas, Sonido HD, Emparejamiento Rápido de Bluetooth, Conectividad TWS, Reproducción Multimodo (Micro SD/USB/Radio FM) - Perfecto para Oficina, Viajes y Espacios Pequeños</t>
        </is>
      </c>
      <c r="H1101" s="16" t="inlineStr">
        <is>
          <t>NEGRO</t>
        </is>
      </c>
      <c r="I1101" s="16" t="n">
        <v>1</v>
      </c>
      <c r="J1101" s="17" t="n">
        <v>81</v>
      </c>
      <c r="K1101" s="17" t="n">
        <v>94.26000000000001</v>
      </c>
      <c r="L1101" s="17" t="n">
        <v>25.86</v>
      </c>
      <c r="M1101" s="17" t="n">
        <v>0</v>
      </c>
      <c r="N1101" s="17">
        <f>K1101*0.08+L1101*0.08</f>
        <v/>
      </c>
      <c r="O1101" s="17">
        <f>-(K1101*0.025+L1101*0.025)</f>
        <v/>
      </c>
      <c r="P1101" s="17">
        <f>32</f>
        <v/>
      </c>
      <c r="Q1101" s="17">
        <f>J1101+L1101+N1101+O1101-P1101-M1101</f>
        <v/>
      </c>
    </row>
    <row r="1102">
      <c r="A1102" s="16" t="inlineStr">
        <is>
          <t>5.15-5.21</t>
        </is>
      </c>
      <c r="B1102" s="16" t="inlineStr">
        <is>
          <t>PO-128-09244191898232725</t>
        </is>
      </c>
      <c r="C1102" s="16" t="inlineStr">
        <is>
          <t>Shipped</t>
        </is>
      </c>
      <c r="D1102" s="16" t="inlineStr">
        <is>
          <t>128-09244212869752725</t>
        </is>
      </c>
      <c r="E1102" s="16" t="inlineStr">
        <is>
          <t>Shipped</t>
        </is>
      </c>
      <c r="F1102" s="16" t="inlineStr">
        <is>
          <t>LV64W25</t>
        </is>
      </c>
      <c r="G11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2" s="16" t="inlineStr">
        <is>
          <t>Blanco</t>
        </is>
      </c>
      <c r="I1102" s="16" t="n">
        <v>2</v>
      </c>
      <c r="J1102" s="17" t="n">
        <v>250</v>
      </c>
      <c r="K1102" s="17" t="n">
        <v>260.74</v>
      </c>
      <c r="L1102" s="17" t="n">
        <v>0</v>
      </c>
      <c r="M1102" s="17" t="n">
        <v>0</v>
      </c>
      <c r="N1102" s="17">
        <f>K1102*0.08+L1102*0.08</f>
        <v/>
      </c>
      <c r="O1102" s="17">
        <f>-(K1102*0.025+L1102*0.025)</f>
        <v/>
      </c>
      <c r="P1102" s="17">
        <f>32</f>
        <v/>
      </c>
      <c r="Q1102" s="17">
        <f>J1102+L1102+N1102+O1102-P1102-M1102</f>
        <v/>
      </c>
    </row>
    <row r="1103">
      <c r="A1103" s="16" t="inlineStr">
        <is>
          <t>5.15-5.21</t>
        </is>
      </c>
      <c r="B1103" s="16" t="inlineStr">
        <is>
          <t>PO-128-09299899023991305</t>
        </is>
      </c>
      <c r="C1103" s="16" t="inlineStr">
        <is>
          <t>Shipped</t>
        </is>
      </c>
      <c r="D1103" s="16" t="inlineStr">
        <is>
          <t>128-09299919995511305</t>
        </is>
      </c>
      <c r="E1103" s="16" t="inlineStr">
        <is>
          <t>Shipped</t>
        </is>
      </c>
      <c r="F1103" s="16" t="inlineStr">
        <is>
          <t>KTS-2031</t>
        </is>
      </c>
      <c r="G1103" s="16" t="inlineStr">
        <is>
          <t>Bocina inalámbrica de 3 pulgadas con linterna multifuncional y panel solar integrado.Altavoz Portátil con Linterna LED 4 Modos, Radio FM, Bluetooth, Carga Solar, Ideal para Apagones, Emergencias, Campo y Exteriores</t>
        </is>
      </c>
      <c r="H1103" s="16" t="inlineStr">
        <is>
          <t>NEGRO</t>
        </is>
      </c>
      <c r="I1103" s="16" t="n">
        <v>5</v>
      </c>
      <c r="J1103" s="17" t="n">
        <v>385</v>
      </c>
      <c r="K1103" s="17" t="n">
        <v>431.1</v>
      </c>
      <c r="L1103" s="17" t="n">
        <v>0</v>
      </c>
      <c r="M1103" s="17" t="n">
        <v>0</v>
      </c>
      <c r="N1103" s="17">
        <f>K1103*0.08+L1103*0.08</f>
        <v/>
      </c>
      <c r="O1103" s="17">
        <f>-(K1103*0.025+L1103*0.025)</f>
        <v/>
      </c>
      <c r="P1103" s="17">
        <f>32</f>
        <v/>
      </c>
      <c r="Q1103" s="17">
        <f>J1103+L1103+N1103+O1103-P1103-M1103</f>
        <v/>
      </c>
    </row>
    <row r="1104">
      <c r="A1104" s="16" t="inlineStr">
        <is>
          <t>5.15-5.21</t>
        </is>
      </c>
      <c r="B1104" s="16" t="inlineStr">
        <is>
          <t>PO-128-09599777444470541</t>
        </is>
      </c>
      <c r="C1104" s="16" t="inlineStr">
        <is>
          <t>Shipped</t>
        </is>
      </c>
      <c r="D1104" s="16" t="inlineStr">
        <is>
          <t>128-09599882302070541</t>
        </is>
      </c>
      <c r="E1104" s="16" t="inlineStr">
        <is>
          <t>Shipped</t>
        </is>
      </c>
      <c r="F1104" s="16" t="inlineStr">
        <is>
          <t>LV64W25</t>
        </is>
      </c>
      <c r="G11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4" s="16" t="inlineStr">
        <is>
          <t>Blanco</t>
        </is>
      </c>
      <c r="I1104" s="16" t="n">
        <v>4</v>
      </c>
      <c r="J1104" s="17" t="n">
        <v>500</v>
      </c>
      <c r="K1104" s="17" t="n">
        <v>521.48</v>
      </c>
      <c r="L1104" s="17" t="n">
        <v>0</v>
      </c>
      <c r="M1104" s="17" t="n">
        <v>0</v>
      </c>
      <c r="N1104" s="17">
        <f>K1104*0.08+L1104*0.08</f>
        <v/>
      </c>
      <c r="O1104" s="17">
        <f>-(K1104*0.025+L1104*0.025)</f>
        <v/>
      </c>
      <c r="P1104" s="17">
        <f>32</f>
        <v/>
      </c>
      <c r="Q1104" s="17">
        <f>J1104+L1104+N1104+O1104-P1104-M1104</f>
        <v/>
      </c>
    </row>
    <row r="1105">
      <c r="A1105" s="16" t="inlineStr">
        <is>
          <t>5.15-5.21</t>
        </is>
      </c>
      <c r="B1105" s="16" t="inlineStr">
        <is>
          <t>PO-128-09131175322232308</t>
        </is>
      </c>
      <c r="C1105" s="16" t="inlineStr">
        <is>
          <t>Shipped</t>
        </is>
      </c>
      <c r="D1105" s="16" t="inlineStr">
        <is>
          <t>128-09131201536632308</t>
        </is>
      </c>
      <c r="E1105" s="16" t="inlineStr">
        <is>
          <t>Shipped</t>
        </is>
      </c>
      <c r="F1105" s="16" t="inlineStr">
        <is>
          <t>SB428T</t>
        </is>
      </c>
      <c r="G1105" s="16" t="inlineStr">
        <is>
          <t>LINK BITS Bocina Portátil con 2 Altavoces de 4" (5W×2), Sonido Potente, Luces LED, Bluetooth, USB/TF/FM - Ideal para Reuniones, Fiestas y Picnics en México</t>
        </is>
      </c>
      <c r="H1105" s="16" t="inlineStr">
        <is>
          <t>SB428T</t>
        </is>
      </c>
      <c r="I1105" s="16" t="n">
        <v>1</v>
      </c>
      <c r="J1105" s="17" t="n">
        <v>97</v>
      </c>
      <c r="K1105" s="17" t="n">
        <v>92.55</v>
      </c>
      <c r="L1105" s="17" t="n">
        <v>25.86</v>
      </c>
      <c r="M1105" s="17" t="n">
        <v>0</v>
      </c>
      <c r="N1105" s="17">
        <f>K1105*0.08+L1105*0.08</f>
        <v/>
      </c>
      <c r="O1105" s="17">
        <f>-(K1105*0.025+L1105*0.025)</f>
        <v/>
      </c>
      <c r="P1105" s="17">
        <f>32</f>
        <v/>
      </c>
      <c r="Q1105" s="17">
        <f>J1105+L1105+N1105+O1105-P1105-M1105</f>
        <v/>
      </c>
    </row>
    <row r="1106">
      <c r="A1106" s="16" t="inlineStr">
        <is>
          <t>5.15-5.21</t>
        </is>
      </c>
      <c r="B1106" s="16" t="inlineStr">
        <is>
          <t>PO-128-09420988580471735</t>
        </is>
      </c>
      <c r="C1106" s="16" t="inlineStr">
        <is>
          <t>Shipped</t>
        </is>
      </c>
      <c r="D1106" s="16" t="inlineStr">
        <is>
          <t>128-09421030523511735</t>
        </is>
      </c>
      <c r="E1106" s="16" t="inlineStr">
        <is>
          <t>Shipped</t>
        </is>
      </c>
      <c r="F1106" s="16" t="inlineStr">
        <is>
          <t>LV54W25</t>
        </is>
      </c>
      <c r="G1106" s="16" t="inlineStr">
        <is>
          <t>TIANLAI Lámpara Ventilador E27 2 en 1, Silenciosa, LED Alta Luminosidad 180°, Instalación Rápida, Ahorro Energético para Dormitorio y Interiores Pequeños</t>
        </is>
      </c>
      <c r="H1106" s="16" t="inlineStr">
        <is>
          <t>1 Pieza</t>
        </is>
      </c>
      <c r="I1106" s="16" t="n">
        <v>1</v>
      </c>
      <c r="J1106" s="17" t="n">
        <v>74</v>
      </c>
      <c r="K1106" s="17" t="n">
        <v>77.12</v>
      </c>
      <c r="L1106" s="17" t="n">
        <v>25.86</v>
      </c>
      <c r="M1106" s="17" t="n">
        <v>0</v>
      </c>
      <c r="N1106" s="17">
        <f>K1106*0.08+L1106*0.08</f>
        <v/>
      </c>
      <c r="O1106" s="17">
        <f>-(K1106*0.025+L1106*0.025)</f>
        <v/>
      </c>
      <c r="P1106" s="17">
        <f>32</f>
        <v/>
      </c>
      <c r="Q1106" s="17">
        <f>J1106+L1106+N1106+O1106-P1106-M1106</f>
        <v/>
      </c>
    </row>
    <row r="1107">
      <c r="A1107" s="16" t="inlineStr">
        <is>
          <t>5.15-5.21</t>
        </is>
      </c>
      <c r="B1107" s="16" t="inlineStr">
        <is>
          <t>PO-128-09133576504952358</t>
        </is>
      </c>
      <c r="C1107" s="16" t="inlineStr">
        <is>
          <t>Shipped</t>
        </is>
      </c>
      <c r="D1107" s="16" t="inlineStr">
        <is>
          <t>128-09133545047672358</t>
        </is>
      </c>
      <c r="E1107" s="16" t="inlineStr">
        <is>
          <t>Shipped</t>
        </is>
      </c>
      <c r="F1107" s="16" t="inlineStr">
        <is>
          <t>LV54W25</t>
        </is>
      </c>
      <c r="G1107" s="16" t="inlineStr">
        <is>
          <t>TIANLAI Lámpara Ventilador E27 2 en 1, Silenciosa, LED Alta Luminosidad 180°, Instalación Rápida, Ahorro Energético para Dormitorio y Interiores Pequeños</t>
        </is>
      </c>
      <c r="H1107" s="16" t="inlineStr">
        <is>
          <t>1 Pieza</t>
        </is>
      </c>
      <c r="I1107" s="16" t="n">
        <v>2</v>
      </c>
      <c r="J1107" s="17" t="n">
        <v>148</v>
      </c>
      <c r="K1107" s="17" t="n">
        <v>139.26</v>
      </c>
      <c r="L1107" s="17" t="n">
        <v>25.86</v>
      </c>
      <c r="M1107" s="17" t="n">
        <v>0</v>
      </c>
      <c r="N1107" s="17">
        <f>K1107*0.08+L1107*0.08</f>
        <v/>
      </c>
      <c r="O1107" s="17">
        <f>-(K1107*0.025+L1107*0.025)</f>
        <v/>
      </c>
      <c r="P1107" s="17">
        <f>32</f>
        <v/>
      </c>
      <c r="Q1107" s="17">
        <f>J1107+L1107+N1107+O1107-P1107-M1107</f>
        <v/>
      </c>
    </row>
    <row r="1108">
      <c r="A1108" s="16" t="inlineStr">
        <is>
          <t>5.15-5.21</t>
        </is>
      </c>
      <c r="B1108" s="16" t="inlineStr">
        <is>
          <t>PO-128-09588580296310734</t>
        </is>
      </c>
      <c r="C1108" s="16" t="inlineStr">
        <is>
          <t>Shipped</t>
        </is>
      </c>
      <c r="D1108" s="16" t="inlineStr">
        <is>
          <t>128-09588530488950734</t>
        </is>
      </c>
      <c r="E1108" s="16" t="inlineStr">
        <is>
          <t>Shipped</t>
        </is>
      </c>
      <c r="F1108" s="16" t="inlineStr">
        <is>
          <t>LV64W25</t>
        </is>
      </c>
      <c r="G11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8" s="16" t="inlineStr">
        <is>
          <t>Blanco</t>
        </is>
      </c>
      <c r="I1108" s="16" t="n">
        <v>1</v>
      </c>
      <c r="J1108" s="17" t="n">
        <v>125</v>
      </c>
      <c r="K1108" s="17" t="n">
        <v>128.94</v>
      </c>
      <c r="L1108" s="17" t="n">
        <v>25.86</v>
      </c>
      <c r="M1108" s="17" t="n">
        <v>0</v>
      </c>
      <c r="N1108" s="17">
        <f>K1108*0.08+L1108*0.08</f>
        <v/>
      </c>
      <c r="O1108" s="17">
        <f>-(K1108*0.025+L1108*0.025)</f>
        <v/>
      </c>
      <c r="P1108" s="17">
        <f>32</f>
        <v/>
      </c>
      <c r="Q1108" s="17">
        <f>J1108+L1108+N1108+O1108-P1108-M1108</f>
        <v/>
      </c>
    </row>
    <row r="1109">
      <c r="A1109" s="16" t="inlineStr">
        <is>
          <t>5.15-5.21</t>
        </is>
      </c>
      <c r="B1109" s="16" t="inlineStr">
        <is>
          <t>PO-128-09357705452151150</t>
        </is>
      </c>
      <c r="C1109" s="16" t="inlineStr">
        <is>
          <t>Shipped</t>
        </is>
      </c>
      <c r="D1109" s="16" t="inlineStr">
        <is>
          <t>128-09357739530871150</t>
        </is>
      </c>
      <c r="E1109" s="16" t="inlineStr">
        <is>
          <t>Shipped</t>
        </is>
      </c>
      <c r="F1109" s="16" t="inlineStr">
        <is>
          <t>LV64W25</t>
        </is>
      </c>
      <c r="G11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09" s="16" t="inlineStr">
        <is>
          <t>Blanco</t>
        </is>
      </c>
      <c r="I1109" s="16" t="n">
        <v>2</v>
      </c>
      <c r="J1109" s="17" t="n">
        <v>250</v>
      </c>
      <c r="K1109" s="17" t="n">
        <v>260.74</v>
      </c>
      <c r="L1109" s="17" t="n">
        <v>0</v>
      </c>
      <c r="M1109" s="17" t="n">
        <v>0</v>
      </c>
      <c r="N1109" s="17">
        <f>K1109*0.08+L1109*0.08</f>
        <v/>
      </c>
      <c r="O1109" s="17">
        <f>-(K1109*0.025+L1109*0.025)</f>
        <v/>
      </c>
      <c r="P1109" s="17">
        <f>32</f>
        <v/>
      </c>
      <c r="Q1109" s="17">
        <f>J1109+L1109+N1109+O1109-P1109-M1109</f>
        <v/>
      </c>
    </row>
    <row r="1110">
      <c r="A1110" s="16" t="inlineStr">
        <is>
          <t>5.15-5.21</t>
        </is>
      </c>
      <c r="B1110" s="16" t="inlineStr">
        <is>
          <t>PO-128-08949848361593583</t>
        </is>
      </c>
      <c r="C1110" s="16" t="inlineStr">
        <is>
          <t>Shipped</t>
        </is>
      </c>
      <c r="D1110" s="16" t="inlineStr">
        <is>
          <t>128-08949889321593583</t>
        </is>
      </c>
      <c r="E1110" s="16" t="inlineStr">
        <is>
          <t>Shipped</t>
        </is>
      </c>
      <c r="F1110" s="16" t="inlineStr">
        <is>
          <t>TL2663N18C</t>
        </is>
      </c>
      <c r="G1110" s="16" t="inlineStr">
        <is>
          <t>Linkbits，Soporte de pared fijo para televisores de 26"-63", Ultra-Delgado Compatible con VESA 400x400mm, Capacidad de Peso Fuerte de 25KG, Instalación Fácil Sin Electricidad</t>
        </is>
      </c>
      <c r="H1110" s="16" t="inlineStr">
        <is>
          <t>NEGRO</t>
        </is>
      </c>
      <c r="I1110" s="16" t="n">
        <v>1</v>
      </c>
      <c r="J1110" s="17" t="n">
        <v>53.8</v>
      </c>
      <c r="K1110" s="17" t="n">
        <v>68.77</v>
      </c>
      <c r="L1110" s="17" t="n">
        <v>25.86</v>
      </c>
      <c r="M1110" s="17" t="n">
        <v>0</v>
      </c>
      <c r="N1110" s="17">
        <f>K1110*0.08+L1110*0.08</f>
        <v/>
      </c>
      <c r="O1110" s="17">
        <f>-(K1110*0.025+L1110*0.025)</f>
        <v/>
      </c>
      <c r="P1110" s="17">
        <f>32</f>
        <v/>
      </c>
      <c r="Q1110" s="17">
        <f>J1110+L1110+N1110+O1110-P1110-M1110</f>
        <v/>
      </c>
    </row>
    <row r="1111">
      <c r="A1111" s="16" t="inlineStr">
        <is>
          <t>5.15-5.21</t>
        </is>
      </c>
      <c r="B1111" s="16" t="inlineStr">
        <is>
          <t>PO-128-09070263583353760</t>
        </is>
      </c>
      <c r="C1111" s="16" t="inlineStr">
        <is>
          <t>Shipped</t>
        </is>
      </c>
      <c r="D1111" s="16" t="inlineStr">
        <is>
          <t>128-09070242611833760</t>
        </is>
      </c>
      <c r="E1111" s="16" t="inlineStr">
        <is>
          <t>Shipped</t>
        </is>
      </c>
      <c r="F1111" s="16" t="inlineStr">
        <is>
          <t>LV54W25</t>
        </is>
      </c>
      <c r="G1111" s="16" t="inlineStr">
        <is>
          <t>TIANLAI Lámpara Ventilador E27 2 en 1, Silenciosa, LED Alta Luminosidad 180°, Instalación Rápida, Ahorro Energético para Dormitorio y Interiores Pequeños</t>
        </is>
      </c>
      <c r="H1111" s="16" t="inlineStr">
        <is>
          <t>1 Pieza</t>
        </is>
      </c>
      <c r="I1111" s="16" t="n">
        <v>1</v>
      </c>
      <c r="J1111" s="17" t="n">
        <v>74</v>
      </c>
      <c r="K1111" s="17" t="n">
        <v>77.12</v>
      </c>
      <c r="L1111" s="17" t="n">
        <v>25.86</v>
      </c>
      <c r="M1111" s="17" t="n">
        <v>0</v>
      </c>
      <c r="N1111" s="17">
        <f>K1111*0.08+L1111*0.08</f>
        <v/>
      </c>
      <c r="O1111" s="17">
        <f>-(K1111*0.025+L1111*0.025)</f>
        <v/>
      </c>
      <c r="P1111" s="17">
        <f>32</f>
        <v/>
      </c>
      <c r="Q1111" s="17">
        <f>J1111+L1111+N1111+O1111-P1111-M1111</f>
        <v/>
      </c>
    </row>
    <row r="1112">
      <c r="A1112" s="16" t="inlineStr">
        <is>
          <t>5.15-5.21</t>
        </is>
      </c>
      <c r="B1112" s="16" t="inlineStr">
        <is>
          <t>PO-128-09009461673593162</t>
        </is>
      </c>
      <c r="C1112" s="16" t="inlineStr">
        <is>
          <t>Shipped</t>
        </is>
      </c>
      <c r="D1112" s="16" t="inlineStr">
        <is>
          <t>128-09009514102393162</t>
        </is>
      </c>
      <c r="E1112" s="16" t="inlineStr">
        <is>
          <t>Shipped</t>
        </is>
      </c>
      <c r="F1112" s="16" t="inlineStr">
        <is>
          <t>KTS-2031</t>
        </is>
      </c>
      <c r="G1112" s="16" t="inlineStr">
        <is>
          <t>Bocina inalámbrica de 3 pulgadas con linterna multifuncional y panel solar integrado.Altavoz Portátil con Linterna LED 4 Modos, Radio FM, Bluetooth, Carga Solar, Ideal para Apagones, Emergencias, Campo y Exteriores</t>
        </is>
      </c>
      <c r="H1112" s="16" t="inlineStr">
        <is>
          <t>NEGRO</t>
        </is>
      </c>
      <c r="I1112" s="16" t="n">
        <v>1</v>
      </c>
      <c r="J1112" s="17" t="n">
        <v>77</v>
      </c>
      <c r="K1112" s="17" t="n">
        <v>0.01</v>
      </c>
      <c r="L1112" s="17" t="n">
        <v>25.86</v>
      </c>
      <c r="M1112" s="17" t="n">
        <v>0</v>
      </c>
      <c r="N1112" s="17">
        <f>K1112*0.08+L1112*0.08</f>
        <v/>
      </c>
      <c r="O1112" s="17">
        <f>-(K1112*0.025+L1112*0.025)</f>
        <v/>
      </c>
      <c r="P1112" s="17">
        <f>32</f>
        <v/>
      </c>
      <c r="Q1112" s="17">
        <f>J1112+L1112+N1112+O1112-P1112-M1112</f>
        <v/>
      </c>
    </row>
    <row r="1113">
      <c r="A1113" s="16" t="inlineStr">
        <is>
          <t>5.15-5.21</t>
        </is>
      </c>
      <c r="B1113" s="16" t="inlineStr">
        <is>
          <t>PO-128-09216930611832823</t>
        </is>
      </c>
      <c r="C1113" s="16" t="inlineStr">
        <is>
          <t>Shipped</t>
        </is>
      </c>
      <c r="D1113" s="16" t="inlineStr">
        <is>
          <t>128-09216951583352823</t>
        </is>
      </c>
      <c r="E1113" s="16" t="inlineStr">
        <is>
          <t>Shipped</t>
        </is>
      </c>
      <c r="F1113" s="16" t="inlineStr">
        <is>
          <t>LV54W25</t>
        </is>
      </c>
      <c r="G1113" s="16" t="inlineStr">
        <is>
          <t>TIANLAI Lámpara Ventilador E27 2 en 1, Silenciosa, LED Alta Luminosidad 180°, Instalación Rápida, Ahorro Energético para Dormitorio y Interiores Pequeños</t>
        </is>
      </c>
      <c r="H1113" s="16" t="inlineStr">
        <is>
          <t>1 Pieza</t>
        </is>
      </c>
      <c r="I1113" s="16" t="n">
        <v>1</v>
      </c>
      <c r="J1113" s="17" t="n">
        <v>74</v>
      </c>
      <c r="K1113" s="17" t="n">
        <v>77.12</v>
      </c>
      <c r="L1113" s="17" t="n">
        <v>25.86</v>
      </c>
      <c r="M1113" s="17" t="n">
        <v>0</v>
      </c>
      <c r="N1113" s="17">
        <f>K1113*0.08+L1113*0.08</f>
        <v/>
      </c>
      <c r="O1113" s="17">
        <f>-(K1113*0.025+L1113*0.025)</f>
        <v/>
      </c>
      <c r="P1113" s="17">
        <f>32</f>
        <v/>
      </c>
      <c r="Q1113" s="17">
        <f>J1113+L1113+N1113+O1113-P1113-M1113</f>
        <v/>
      </c>
    </row>
    <row r="1114">
      <c r="A1114" s="16" t="inlineStr">
        <is>
          <t>5.15-5.21</t>
        </is>
      </c>
      <c r="B1114" s="16" t="inlineStr">
        <is>
          <t>PO-128-09439726986871623</t>
        </is>
      </c>
      <c r="C1114" s="16" t="inlineStr">
        <is>
          <t>Shipped</t>
        </is>
      </c>
      <c r="D1114" s="16" t="inlineStr">
        <is>
          <t>128-09439831844471623</t>
        </is>
      </c>
      <c r="E1114" s="16" t="inlineStr">
        <is>
          <t>Shipped</t>
        </is>
      </c>
      <c r="F1114" s="16" t="inlineStr">
        <is>
          <t>KTS-2031</t>
        </is>
      </c>
      <c r="G1114" s="16" t="inlineStr">
        <is>
          <t>Bocina inalámbrica de 3 pulgadas con linterna multifuncional y panel solar integrado.Altavoz Portátil con Linterna LED 4 Modos, Radio FM, Bluetooth, Carga Solar, Ideal para Apagones, Emergencias, Campo y Exteriores</t>
        </is>
      </c>
      <c r="H1114" s="16" t="inlineStr">
        <is>
          <t>NEGRO</t>
        </is>
      </c>
      <c r="I1114" s="16" t="n">
        <v>2</v>
      </c>
      <c r="J1114" s="17" t="n">
        <v>154</v>
      </c>
      <c r="K1114" s="17" t="n">
        <v>172.44</v>
      </c>
      <c r="L1114" s="17" t="n">
        <v>25.86</v>
      </c>
      <c r="M1114" s="17" t="n">
        <v>0</v>
      </c>
      <c r="N1114" s="17">
        <f>K1114*0.08+L1114*0.08</f>
        <v/>
      </c>
      <c r="O1114" s="17">
        <f>-(K1114*0.025+L1114*0.025)</f>
        <v/>
      </c>
      <c r="P1114" s="17">
        <f>32</f>
        <v/>
      </c>
      <c r="Q1114" s="17">
        <f>J1114+L1114+N1114+O1114-P1114-M1114</f>
        <v/>
      </c>
    </row>
    <row r="1115">
      <c r="A1115" s="16" t="inlineStr">
        <is>
          <t>5.15-5.21</t>
        </is>
      </c>
      <c r="B1115" s="16" t="inlineStr">
        <is>
          <t>PO-128-09594583706230762</t>
        </is>
      </c>
      <c r="C1115" s="16" t="inlineStr">
        <is>
          <t>Shipped</t>
        </is>
      </c>
      <c r="D1115" s="16" t="inlineStr">
        <is>
          <t>128-09594567977590762</t>
        </is>
      </c>
      <c r="E1115" s="16" t="inlineStr">
        <is>
          <t>Shipped</t>
        </is>
      </c>
      <c r="F1115" s="16" t="inlineStr">
        <is>
          <t>LV54W25</t>
        </is>
      </c>
      <c r="G1115" s="16" t="inlineStr">
        <is>
          <t>TIANLAI Lámpara Ventilador E27 2 en 1, Silenciosa, LED Alta Luminosidad 180°, Instalación Rápida, Ahorro Energético para Dormitorio y Interiores Pequeños</t>
        </is>
      </c>
      <c r="H1115" s="16" t="inlineStr">
        <is>
          <t>1 Pieza</t>
        </is>
      </c>
      <c r="I1115" s="16" t="n">
        <v>1</v>
      </c>
      <c r="J1115" s="17" t="n">
        <v>74</v>
      </c>
      <c r="K1115" s="17" t="n">
        <v>61.7</v>
      </c>
      <c r="L1115" s="17" t="n">
        <v>25.86</v>
      </c>
      <c r="M1115" s="17" t="n">
        <v>0</v>
      </c>
      <c r="N1115" s="17">
        <f>K1115*0.08+L1115*0.08</f>
        <v/>
      </c>
      <c r="O1115" s="17">
        <f>-(K1115*0.025+L1115*0.025)</f>
        <v/>
      </c>
      <c r="P1115" s="17">
        <f>32</f>
        <v/>
      </c>
      <c r="Q1115" s="17">
        <f>J1115+L1115+N1115+O1115-P1115-M1115</f>
        <v/>
      </c>
    </row>
    <row r="1116">
      <c r="A1116" s="16" t="inlineStr">
        <is>
          <t>5.15-5.21</t>
        </is>
      </c>
      <c r="B1116" s="16" t="inlineStr">
        <is>
          <t>PO-128-09266431181432654</t>
        </is>
      </c>
      <c r="C1116" s="16" t="inlineStr">
        <is>
          <t>Shipped</t>
        </is>
      </c>
      <c r="D1116" s="16" t="inlineStr">
        <is>
          <t>128-09266536039032654</t>
        </is>
      </c>
      <c r="E1116" s="16" t="inlineStr">
        <is>
          <t>Shipped</t>
        </is>
      </c>
      <c r="F1116" s="16" t="inlineStr">
        <is>
          <t>LV64W25</t>
        </is>
      </c>
      <c r="G11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16" s="16" t="inlineStr">
        <is>
          <t>Blanco</t>
        </is>
      </c>
      <c r="I1116" s="16" t="n">
        <v>2</v>
      </c>
      <c r="J1116" s="17" t="n">
        <v>250</v>
      </c>
      <c r="K1116" s="17" t="n">
        <v>257.88</v>
      </c>
      <c r="L1116" s="17" t="n">
        <v>0</v>
      </c>
      <c r="M1116" s="17" t="n">
        <v>0</v>
      </c>
      <c r="N1116" s="17">
        <f>K1116*0.08+L1116*0.08</f>
        <v/>
      </c>
      <c r="O1116" s="17">
        <f>-(K1116*0.025+L1116*0.025)</f>
        <v/>
      </c>
      <c r="P1116" s="17">
        <f>32</f>
        <v/>
      </c>
      <c r="Q1116" s="17">
        <f>J1116+L1116+N1116+O1116-P1116-M1116</f>
        <v/>
      </c>
    </row>
    <row r="1117">
      <c r="A1117" s="16" t="inlineStr">
        <is>
          <t>5.15-5.21</t>
        </is>
      </c>
      <c r="B1117" s="16" t="inlineStr">
        <is>
          <t>PO-128-09480023762550295</t>
        </is>
      </c>
      <c r="C1117" s="16" t="inlineStr">
        <is>
          <t>Shipped</t>
        </is>
      </c>
      <c r="D1117" s="16" t="inlineStr">
        <is>
          <t>128-09479992305270295</t>
        </is>
      </c>
      <c r="E1117" s="16" t="inlineStr">
        <is>
          <t>Shipped</t>
        </is>
      </c>
      <c r="F1117" s="16" t="inlineStr">
        <is>
          <t>LV54W25</t>
        </is>
      </c>
      <c r="G1117" s="16" t="inlineStr">
        <is>
          <t>TIANLAI Lámpara Ventilador E27 2 en 1, Silenciosa, LED Alta Luminosidad 180°, Instalación Rápida, Ahorro Energético para Dormitorio y Interiores Pequeños</t>
        </is>
      </c>
      <c r="H1117" s="16" t="inlineStr">
        <is>
          <t>1 Pieza</t>
        </is>
      </c>
      <c r="I1117" s="16" t="n">
        <v>1</v>
      </c>
      <c r="J1117" s="17" t="n">
        <v>74</v>
      </c>
      <c r="K1117" s="17" t="n">
        <v>77.12</v>
      </c>
      <c r="L1117" s="17" t="n">
        <v>25.86</v>
      </c>
      <c r="M1117" s="17" t="n">
        <v>0</v>
      </c>
      <c r="N1117" s="17">
        <f>K1117*0.08+L1117*0.08</f>
        <v/>
      </c>
      <c r="O1117" s="17">
        <f>-(K1117*0.025+L1117*0.025)</f>
        <v/>
      </c>
      <c r="P1117" s="17">
        <f>32</f>
        <v/>
      </c>
      <c r="Q1117" s="17">
        <f>J1117+L1117+N1117+O1117-P1117-M1117</f>
        <v/>
      </c>
    </row>
    <row r="1118">
      <c r="A1118" s="16" t="inlineStr">
        <is>
          <t>5.15-5.21</t>
        </is>
      </c>
      <c r="B1118" s="16" t="inlineStr">
        <is>
          <t>PO-128-09395354614391886</t>
        </is>
      </c>
      <c r="C1118" s="16" t="inlineStr">
        <is>
          <t>Shipped</t>
        </is>
      </c>
      <c r="D1118" s="16" t="inlineStr">
        <is>
          <t>128-09395375585911886</t>
        </is>
      </c>
      <c r="E1118" s="16" t="inlineStr">
        <is>
          <t>Shipped</t>
        </is>
      </c>
      <c r="F1118" s="16" t="inlineStr">
        <is>
          <t>LV64W25</t>
        </is>
      </c>
      <c r="G11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18" s="16" t="inlineStr">
        <is>
          <t>Blanco</t>
        </is>
      </c>
      <c r="I1118" s="16" t="n">
        <v>6</v>
      </c>
      <c r="J1118" s="17" t="n">
        <v>750</v>
      </c>
      <c r="K1118" s="17" t="n">
        <v>773.64</v>
      </c>
      <c r="L1118" s="17" t="n">
        <v>0</v>
      </c>
      <c r="M1118" s="17" t="n">
        <v>0</v>
      </c>
      <c r="N1118" s="17">
        <f>K1118*0.08+L1118*0.08</f>
        <v/>
      </c>
      <c r="O1118" s="17">
        <f>-(K1118*0.025+L1118*0.025)</f>
        <v/>
      </c>
      <c r="P1118" s="17">
        <f>32</f>
        <v/>
      </c>
      <c r="Q1118" s="17">
        <f>J1118+L1118+N1118+O1118-P1118-M1118</f>
        <v/>
      </c>
    </row>
    <row r="1119">
      <c r="A1119" s="16" t="inlineStr">
        <is>
          <t>5.15-5.21</t>
        </is>
      </c>
      <c r="B1119" s="16" t="inlineStr">
        <is>
          <t>PO-128-09028275978874010</t>
        </is>
      </c>
      <c r="C1119" s="16" t="inlineStr">
        <is>
          <t>Shipped</t>
        </is>
      </c>
      <c r="D1119" s="16" t="inlineStr">
        <is>
          <t>128-09028296950394010</t>
        </is>
      </c>
      <c r="E1119" s="16" t="inlineStr">
        <is>
          <t>Shipped</t>
        </is>
      </c>
      <c r="F1119" s="16" t="inlineStr">
        <is>
          <t>LV54W25</t>
        </is>
      </c>
      <c r="G1119" s="16" t="inlineStr">
        <is>
          <t>TIANLAI Lámpara Ventilador E27 2 en 1, Silenciosa, LED Alta Luminosidad 180°, Instalación Rápida, Ahorro Energético para Dormitorio y Interiores Pequeños</t>
        </is>
      </c>
      <c r="H1119" s="16" t="inlineStr">
        <is>
          <t>1 Pieza</t>
        </is>
      </c>
      <c r="I1119" s="16" t="n">
        <v>1</v>
      </c>
      <c r="J1119" s="17" t="n">
        <v>74</v>
      </c>
      <c r="K1119" s="17" t="n">
        <v>77.12</v>
      </c>
      <c r="L1119" s="17" t="n">
        <v>25.86</v>
      </c>
      <c r="M1119" s="17" t="n">
        <v>0</v>
      </c>
      <c r="N1119" s="17">
        <f>K1119*0.08+L1119*0.08</f>
        <v/>
      </c>
      <c r="O1119" s="17">
        <f>-(K1119*0.025+L1119*0.025)</f>
        <v/>
      </c>
      <c r="P1119" s="17">
        <f>32</f>
        <v/>
      </c>
      <c r="Q1119" s="17">
        <f>J1119+L1119+N1119+O1119-P1119-M1119</f>
        <v/>
      </c>
    </row>
    <row r="1120">
      <c r="A1120" s="16" t="inlineStr">
        <is>
          <t>5.15-5.21</t>
        </is>
      </c>
      <c r="B1120" s="16" t="inlineStr">
        <is>
          <t>PO-128-09314972739191407</t>
        </is>
      </c>
      <c r="C1120" s="16" t="inlineStr">
        <is>
          <t>Shipped</t>
        </is>
      </c>
      <c r="D1120" s="16" t="inlineStr">
        <is>
          <t>128-09314951276151407</t>
        </is>
      </c>
      <c r="E1120" s="16" t="inlineStr">
        <is>
          <t>Shipped</t>
        </is>
      </c>
      <c r="F1120" s="16" t="inlineStr">
        <is>
          <t>LV54W25</t>
        </is>
      </c>
      <c r="G1120" s="16" t="inlineStr">
        <is>
          <t>TIANLAI Lámpara Ventilador E27 2 en 1, Silenciosa, LED Alta Luminosidad 180°, Instalación Rápida, Ahorro Energético para Dormitorio y Interiores Pequeños</t>
        </is>
      </c>
      <c r="H1120" s="16" t="inlineStr">
        <is>
          <t>1 Pieza</t>
        </is>
      </c>
      <c r="I1120" s="16" t="n">
        <v>1</v>
      </c>
      <c r="J1120" s="17" t="n">
        <v>74</v>
      </c>
      <c r="K1120" s="17" t="n">
        <v>77.12</v>
      </c>
      <c r="L1120" s="17" t="n">
        <v>25.86</v>
      </c>
      <c r="M1120" s="17" t="n">
        <v>0</v>
      </c>
      <c r="N1120" s="17">
        <f>K1120*0.08+L1120*0.08</f>
        <v/>
      </c>
      <c r="O1120" s="17">
        <f>-(K1120*0.025+L1120*0.025)</f>
        <v/>
      </c>
      <c r="P1120" s="17">
        <f>32</f>
        <v/>
      </c>
      <c r="Q1120" s="17">
        <f>J1120+L1120+N1120+O1120-P1120-M1120</f>
        <v/>
      </c>
    </row>
    <row r="1121">
      <c r="A1121" s="16" t="inlineStr">
        <is>
          <t>5.15-5.21</t>
        </is>
      </c>
      <c r="B1121" s="16" t="inlineStr">
        <is>
          <t>PO-128-09418821315191746</t>
        </is>
      </c>
      <c r="C1121" s="16" t="inlineStr">
        <is>
          <t>Shipped</t>
        </is>
      </c>
      <c r="D1121" s="16" t="inlineStr">
        <is>
          <t>128-09418847529591746</t>
        </is>
      </c>
      <c r="E1121" s="16" t="inlineStr">
        <is>
          <t>Shipped</t>
        </is>
      </c>
      <c r="F1121" s="16" t="inlineStr">
        <is>
          <t>LV64W25</t>
        </is>
      </c>
      <c r="G11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1" s="16" t="inlineStr">
        <is>
          <t>Blanco</t>
        </is>
      </c>
      <c r="I1121" s="16" t="n">
        <v>2</v>
      </c>
      <c r="J1121" s="17" t="n">
        <v>250</v>
      </c>
      <c r="K1121" s="17" t="n">
        <v>260.74</v>
      </c>
      <c r="L1121" s="17" t="n">
        <v>0</v>
      </c>
      <c r="M1121" s="17" t="n">
        <v>0</v>
      </c>
      <c r="N1121" s="17">
        <f>K1121*0.08+L1121*0.08</f>
        <v/>
      </c>
      <c r="O1121" s="17">
        <f>-(K1121*0.025+L1121*0.025)</f>
        <v/>
      </c>
      <c r="P1121" s="17">
        <f>32</f>
        <v/>
      </c>
      <c r="Q1121" s="17">
        <f>J1121+L1121+N1121+O1121-P1121-M1121</f>
        <v/>
      </c>
    </row>
    <row r="1122">
      <c r="A1122" s="16" t="inlineStr">
        <is>
          <t>5.15-5.21</t>
        </is>
      </c>
      <c r="B1122" s="16" t="inlineStr">
        <is>
          <t>PO-128-09515070106230020</t>
        </is>
      </c>
      <c r="C1122" s="16" t="inlineStr">
        <is>
          <t>Shipped</t>
        </is>
      </c>
      <c r="D1122" s="16" t="inlineStr">
        <is>
          <t>128-09515091077750020</t>
        </is>
      </c>
      <c r="E1122" s="16" t="inlineStr">
        <is>
          <t>Shipped</t>
        </is>
      </c>
      <c r="F1122" s="16" t="inlineStr">
        <is>
          <t>LV64W25</t>
        </is>
      </c>
      <c r="G11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2" s="16" t="inlineStr">
        <is>
          <t>Blanco</t>
        </is>
      </c>
      <c r="I1122" s="16" t="n">
        <v>2</v>
      </c>
      <c r="J1122" s="17" t="n">
        <v>250</v>
      </c>
      <c r="K1122" s="17" t="n">
        <v>257.87</v>
      </c>
      <c r="L1122" s="17" t="n">
        <v>0</v>
      </c>
      <c r="M1122" s="17" t="n">
        <v>0</v>
      </c>
      <c r="N1122" s="17">
        <f>K1122*0.08+L1122*0.08</f>
        <v/>
      </c>
      <c r="O1122" s="17">
        <f>-(K1122*0.025+L1122*0.025)</f>
        <v/>
      </c>
      <c r="P1122" s="17">
        <f>32</f>
        <v/>
      </c>
      <c r="Q1122" s="17">
        <f>J1122+L1122+N1122+O1122-P1122-M1122</f>
        <v/>
      </c>
    </row>
    <row r="1123">
      <c r="A1123" s="16" t="inlineStr">
        <is>
          <t>5.15-5.21</t>
        </is>
      </c>
      <c r="B1123" s="16" t="inlineStr">
        <is>
          <t>PO-128-08992705280633326</t>
        </is>
      </c>
      <c r="C1123" s="16" t="inlineStr">
        <is>
          <t>Shipped</t>
        </is>
      </c>
      <c r="D1123" s="16" t="inlineStr">
        <is>
          <t>128-08992726252153326</t>
        </is>
      </c>
      <c r="E1123" s="16" t="inlineStr">
        <is>
          <t>Shipped</t>
        </is>
      </c>
      <c r="F1123" s="16" t="inlineStr">
        <is>
          <t>LV64W25</t>
        </is>
      </c>
      <c r="G11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3" s="16" t="inlineStr">
        <is>
          <t>Blanco</t>
        </is>
      </c>
      <c r="I1123" s="16" t="n">
        <v>1</v>
      </c>
      <c r="J1123" s="17" t="n">
        <v>125</v>
      </c>
      <c r="K1123" s="17" t="n">
        <v>46.18</v>
      </c>
      <c r="L1123" s="17" t="n">
        <v>25.86</v>
      </c>
      <c r="M1123" s="17" t="n">
        <v>0</v>
      </c>
      <c r="N1123" s="17">
        <f>K1123*0.08+L1123*0.08</f>
        <v/>
      </c>
      <c r="O1123" s="17">
        <f>-(K1123*0.025+L1123*0.025)</f>
        <v/>
      </c>
      <c r="P1123" s="17">
        <f>32</f>
        <v/>
      </c>
      <c r="Q1123" s="17">
        <f>J1123+L1123+N1123+O1123-P1123-M1123</f>
        <v/>
      </c>
    </row>
    <row r="1124">
      <c r="A1124" s="16" t="inlineStr">
        <is>
          <t>5.15-5.21</t>
        </is>
      </c>
      <c r="B1124" s="16" t="inlineStr">
        <is>
          <t>PO-128-08957973141113343</t>
        </is>
      </c>
      <c r="C1124" s="16" t="inlineStr">
        <is>
          <t>Shipped</t>
        </is>
      </c>
      <c r="D1124" s="16" t="inlineStr">
        <is>
          <t>128-08957915469433343</t>
        </is>
      </c>
      <c r="E1124" s="16" t="inlineStr">
        <is>
          <t>Shipped</t>
        </is>
      </c>
      <c r="F1124" s="16" t="inlineStr">
        <is>
          <t>LV64W25</t>
        </is>
      </c>
      <c r="G11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4" s="16" t="inlineStr">
        <is>
          <t>Blanco</t>
        </is>
      </c>
      <c r="I1124" s="16" t="n">
        <v>1</v>
      </c>
      <c r="J1124" s="17" t="n">
        <v>125</v>
      </c>
      <c r="K1124" s="17" t="n">
        <v>130.37</v>
      </c>
      <c r="L1124" s="17" t="n">
        <v>25.86</v>
      </c>
      <c r="M1124" s="17" t="n">
        <v>0</v>
      </c>
      <c r="N1124" s="17">
        <f>K1124*0.08+L1124*0.08</f>
        <v/>
      </c>
      <c r="O1124" s="17">
        <f>-(K1124*0.025+L1124*0.025)</f>
        <v/>
      </c>
      <c r="P1124" s="17">
        <f>32</f>
        <v/>
      </c>
      <c r="Q1124" s="17">
        <f>J1124+L1124+N1124+O1124-P1124-M1124</f>
        <v/>
      </c>
    </row>
    <row r="1125">
      <c r="A1125" s="16" t="inlineStr">
        <is>
          <t>5.15-5.21</t>
        </is>
      </c>
      <c r="B1125" s="16" t="inlineStr">
        <is>
          <t>PO-128-09046522844793903</t>
        </is>
      </c>
      <c r="C1125" s="16" t="inlineStr">
        <is>
          <t>Shipped</t>
        </is>
      </c>
      <c r="D1125" s="16" t="inlineStr">
        <is>
          <t>128-09046480901753903</t>
        </is>
      </c>
      <c r="E1125" s="16" t="inlineStr">
        <is>
          <t>Shipped</t>
        </is>
      </c>
      <c r="F1125" s="16" t="inlineStr">
        <is>
          <t>KTS-2031</t>
        </is>
      </c>
      <c r="G1125" s="16" t="inlineStr">
        <is>
          <t>Bocina inalámbrica de 3 pulgadas con linterna multifuncional y panel solar integrado.Altavoz Portátil con Linterna LED 4 Modos, Radio FM, Bluetooth, Carga Solar, Ideal para Apagones, Emergencias, Campo y Exteriores</t>
        </is>
      </c>
      <c r="H1125" s="16" t="inlineStr">
        <is>
          <t>NEGRO</t>
        </is>
      </c>
      <c r="I1125" s="16" t="n">
        <v>1</v>
      </c>
      <c r="J1125" s="17" t="n">
        <v>77</v>
      </c>
      <c r="K1125" s="17" t="n">
        <v>86.22</v>
      </c>
      <c r="L1125" s="17" t="n">
        <v>25.86</v>
      </c>
      <c r="M1125" s="17" t="n">
        <v>0</v>
      </c>
      <c r="N1125" s="17">
        <f>K1125*0.08+L1125*0.08</f>
        <v/>
      </c>
      <c r="O1125" s="17">
        <f>-(K1125*0.025+L1125*0.025)</f>
        <v/>
      </c>
      <c r="P1125" s="17">
        <f>32</f>
        <v/>
      </c>
      <c r="Q1125" s="17">
        <f>J1125+L1125+N1125+O1125-P1125-M1125</f>
        <v/>
      </c>
    </row>
    <row r="1126">
      <c r="A1126" s="16" t="inlineStr">
        <is>
          <t>5.15-5.21</t>
        </is>
      </c>
      <c r="B1126" s="16" t="inlineStr">
        <is>
          <t>PO-128-09565270682230811</t>
        </is>
      </c>
      <c r="C1126" s="16" t="inlineStr">
        <is>
          <t>Shipped</t>
        </is>
      </c>
      <c r="D1126" s="16" t="inlineStr">
        <is>
          <t>128-09565249710710811</t>
        </is>
      </c>
      <c r="E1126" s="16" t="inlineStr">
        <is>
          <t>Shipped</t>
        </is>
      </c>
      <c r="F1126" s="16" t="inlineStr">
        <is>
          <t>LV64W25</t>
        </is>
      </c>
      <c r="G11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6" s="16" t="inlineStr">
        <is>
          <t>Blanco</t>
        </is>
      </c>
      <c r="I1126" s="16" t="n">
        <v>1</v>
      </c>
      <c r="J1126" s="17" t="n">
        <v>125</v>
      </c>
      <c r="K1126" s="17" t="n">
        <v>130.37</v>
      </c>
      <c r="L1126" s="17" t="n">
        <v>25.86</v>
      </c>
      <c r="M1126" s="17" t="n">
        <v>0</v>
      </c>
      <c r="N1126" s="17">
        <f>K1126*0.08+L1126*0.08</f>
        <v/>
      </c>
      <c r="O1126" s="17">
        <f>-(K1126*0.025+L1126*0.025)</f>
        <v/>
      </c>
      <c r="P1126" s="17">
        <f>32</f>
        <v/>
      </c>
      <c r="Q1126" s="17">
        <f>J1126+L1126+N1126+O1126-P1126-M1126</f>
        <v/>
      </c>
    </row>
    <row r="1127">
      <c r="A1127" s="16" t="inlineStr">
        <is>
          <t>5.15-5.21</t>
        </is>
      </c>
      <c r="B1127" s="16" t="inlineStr">
        <is>
          <t>PO-128-09225763722872899</t>
        </is>
      </c>
      <c r="C1127" s="16" t="inlineStr">
        <is>
          <t>Shipped</t>
        </is>
      </c>
      <c r="D1127" s="16" t="inlineStr">
        <is>
          <t>128-09225721779832899</t>
        </is>
      </c>
      <c r="E1127" s="16" t="inlineStr">
        <is>
          <t>Shipped</t>
        </is>
      </c>
      <c r="F1127" s="16" t="inlineStr">
        <is>
          <t>LV64W25</t>
        </is>
      </c>
      <c r="G11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27" s="16" t="inlineStr">
        <is>
          <t>Blanco</t>
        </is>
      </c>
      <c r="I1127" s="16" t="n">
        <v>4</v>
      </c>
      <c r="J1127" s="17" t="n">
        <v>500</v>
      </c>
      <c r="K1127" s="17" t="n">
        <v>521.48</v>
      </c>
      <c r="L1127" s="17" t="n">
        <v>0</v>
      </c>
      <c r="M1127" s="17" t="n">
        <v>0</v>
      </c>
      <c r="N1127" s="17">
        <f>K1127*0.08+L1127*0.08</f>
        <v/>
      </c>
      <c r="O1127" s="17">
        <f>-(K1127*0.025+L1127*0.025)</f>
        <v/>
      </c>
      <c r="P1127" s="17">
        <f>32</f>
        <v/>
      </c>
      <c r="Q1127" s="17">
        <f>J1127+L1127+N1127+O1127-P1127-M1127</f>
        <v/>
      </c>
    </row>
    <row r="1128">
      <c r="A1128" s="16" t="inlineStr">
        <is>
          <t>5.15-5.21</t>
        </is>
      </c>
      <c r="B1128" s="16" t="inlineStr">
        <is>
          <t>PO-128-09452170593910397</t>
        </is>
      </c>
      <c r="C1128" s="16" t="inlineStr">
        <is>
          <t>Shipped</t>
        </is>
      </c>
      <c r="D1128" s="16" t="inlineStr">
        <is>
          <t>128-09452139136630397</t>
        </is>
      </c>
      <c r="E1128" s="16" t="inlineStr">
        <is>
          <t>Shipped</t>
        </is>
      </c>
      <c r="F1128" s="16" t="inlineStr">
        <is>
          <t>LV54W25</t>
        </is>
      </c>
      <c r="G1128" s="16" t="inlineStr">
        <is>
          <t>TIANLAI Lámpara Ventilador E27 2 en 1, Silenciosa, LED Alta Luminosidad 180°, Instalación Rápida, Ahorro Energético para Dormitorio y Interiores Pequeños</t>
        </is>
      </c>
      <c r="H1128" s="16" t="inlineStr">
        <is>
          <t>1 Pieza</t>
        </is>
      </c>
      <c r="I1128" s="16" t="n">
        <v>2</v>
      </c>
      <c r="J1128" s="17" t="n">
        <v>148</v>
      </c>
      <c r="K1128" s="17" t="n">
        <v>123.4</v>
      </c>
      <c r="L1128" s="17" t="n">
        <v>25.86</v>
      </c>
      <c r="M1128" s="17" t="n">
        <v>0</v>
      </c>
      <c r="N1128" s="17">
        <f>K1128*0.08+L1128*0.08</f>
        <v/>
      </c>
      <c r="O1128" s="17">
        <f>-(K1128*0.025+L1128*0.025)</f>
        <v/>
      </c>
      <c r="P1128" s="17">
        <f>32</f>
        <v/>
      </c>
      <c r="Q1128" s="17">
        <f>J1128+L1128+N1128+O1128-P1128-M1128</f>
        <v/>
      </c>
    </row>
    <row r="1129">
      <c r="A1129" s="16" t="inlineStr">
        <is>
          <t>5.15-5.21</t>
        </is>
      </c>
      <c r="B1129" s="16" t="inlineStr">
        <is>
          <t>PO-128-09122739471992553</t>
        </is>
      </c>
      <c r="C1129" s="16" t="inlineStr">
        <is>
          <t>Shipped</t>
        </is>
      </c>
      <c r="D1129" s="16" t="inlineStr">
        <is>
          <t>128-09122697528952553</t>
        </is>
      </c>
      <c r="E1129" s="16" t="inlineStr">
        <is>
          <t>Shipped</t>
        </is>
      </c>
      <c r="F1129" s="16" t="inlineStr">
        <is>
          <t>LV54W25</t>
        </is>
      </c>
      <c r="G1129" s="16" t="inlineStr">
        <is>
          <t>TIANLAI Lámpara Ventilador E27 2 en 1, Silenciosa, LED Alta Luminosidad 180°, Instalación Rápida, Ahorro Energético para Dormitorio y Interiores Pequeños</t>
        </is>
      </c>
      <c r="H1129" s="16" t="inlineStr">
        <is>
          <t>1 Pieza</t>
        </is>
      </c>
      <c r="I1129" s="16" t="n">
        <v>2</v>
      </c>
      <c r="J1129" s="17" t="n">
        <v>148</v>
      </c>
      <c r="K1129" s="17" t="n">
        <v>154.24</v>
      </c>
      <c r="L1129" s="17" t="n">
        <v>25.86</v>
      </c>
      <c r="M1129" s="17" t="n">
        <v>0</v>
      </c>
      <c r="N1129" s="17">
        <f>K1129*0.08+L1129*0.08</f>
        <v/>
      </c>
      <c r="O1129" s="17">
        <f>-(K1129*0.025+L1129*0.025)</f>
        <v/>
      </c>
      <c r="P1129" s="17">
        <f>32</f>
        <v/>
      </c>
      <c r="Q1129" s="17">
        <f>J1129+L1129+N1129+O1129-P1129-M1129</f>
        <v/>
      </c>
    </row>
    <row r="1130">
      <c r="A1130" s="16" t="inlineStr">
        <is>
          <t>5.15-5.21</t>
        </is>
      </c>
      <c r="B1130" s="16" t="inlineStr">
        <is>
          <t>PO-128-09003430134393134</t>
        </is>
      </c>
      <c r="C1130" s="16" t="inlineStr">
        <is>
          <t>Shipped</t>
        </is>
      </c>
      <c r="D1130" s="16" t="inlineStr">
        <is>
          <t>128-09003387945593134</t>
        </is>
      </c>
      <c r="E1130" s="16" t="inlineStr">
        <is>
          <t>Shipped</t>
        </is>
      </c>
      <c r="F1130" s="16" t="inlineStr">
        <is>
          <t>LV64W25</t>
        </is>
      </c>
      <c r="G11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30" s="16" t="inlineStr">
        <is>
          <t>Blanco</t>
        </is>
      </c>
      <c r="I1130" s="16" t="n">
        <v>2</v>
      </c>
      <c r="J1130" s="17" t="n">
        <v>250</v>
      </c>
      <c r="K1130" s="17" t="n">
        <v>257.88</v>
      </c>
      <c r="L1130" s="17" t="n">
        <v>0</v>
      </c>
      <c r="M1130" s="17" t="n">
        <v>0</v>
      </c>
      <c r="N1130" s="17">
        <f>K1130*0.08+L1130*0.08</f>
        <v/>
      </c>
      <c r="O1130" s="17">
        <f>-(K1130*0.025+L1130*0.025)</f>
        <v/>
      </c>
      <c r="P1130" s="17">
        <f>32</f>
        <v/>
      </c>
      <c r="Q1130" s="17">
        <f>J1130+L1130+N1130+O1130-P1130-M1130</f>
        <v/>
      </c>
    </row>
    <row r="1131">
      <c r="A1131" s="16" t="inlineStr">
        <is>
          <t>5.15-5.21</t>
        </is>
      </c>
      <c r="B1131" s="16" t="inlineStr">
        <is>
          <t>PO-128-09436261089911578</t>
        </is>
      </c>
      <c r="C1131" s="16" t="inlineStr">
        <is>
          <t>Shipped</t>
        </is>
      </c>
      <c r="D1131" s="16" t="inlineStr">
        <is>
          <t>128-09436198175351578</t>
        </is>
      </c>
      <c r="E1131" s="16" t="inlineStr">
        <is>
          <t>Shipped</t>
        </is>
      </c>
      <c r="F1131" s="16" t="inlineStr">
        <is>
          <t>TLCD01-4P-nN</t>
        </is>
      </c>
      <c r="G11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131" s="16" t="inlineStr">
        <is>
          <t>NEGRO/pantalla de 4.5 pulgadas</t>
        </is>
      </c>
      <c r="I1131" s="16" t="n">
        <v>1</v>
      </c>
      <c r="J1131" s="17" t="n">
        <v>20</v>
      </c>
      <c r="K1131" s="17" t="n">
        <v>18.97</v>
      </c>
      <c r="L1131" s="17" t="n">
        <v>25.86</v>
      </c>
      <c r="M1131" s="17" t="n">
        <v>0</v>
      </c>
      <c r="N1131" s="17">
        <f>K1131*0.08+L1131*0.08</f>
        <v/>
      </c>
      <c r="O1131" s="17">
        <f>-(K1131*0.025+L1131*0.025)</f>
        <v/>
      </c>
      <c r="P1131" s="17">
        <f>32</f>
        <v/>
      </c>
      <c r="Q1131" s="17">
        <f>J1131+L1131+N1131+O1131-P1131-M1131</f>
        <v/>
      </c>
    </row>
    <row r="1132">
      <c r="A1132" s="16" t="inlineStr">
        <is>
          <t>5.15-5.21</t>
        </is>
      </c>
      <c r="B1132" s="16" t="inlineStr">
        <is>
          <t>PO-128-09056759194233904</t>
        </is>
      </c>
      <c r="C1132" s="16" t="inlineStr">
        <is>
          <t>Shipped</t>
        </is>
      </c>
      <c r="D1132" s="16" t="inlineStr">
        <is>
          <t>128-09056801137273904</t>
        </is>
      </c>
      <c r="E1132" s="16" t="inlineStr">
        <is>
          <t>Shipped</t>
        </is>
      </c>
      <c r="F1132" s="16" t="inlineStr">
        <is>
          <t>LV64W25</t>
        </is>
      </c>
      <c r="G11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32" s="16" t="inlineStr">
        <is>
          <t>Blanco</t>
        </is>
      </c>
      <c r="I1132" s="16" t="n">
        <v>1</v>
      </c>
      <c r="J1132" s="17" t="n">
        <v>125</v>
      </c>
      <c r="K1132" s="17" t="n">
        <v>130.37</v>
      </c>
      <c r="L1132" s="17" t="n">
        <v>25.86</v>
      </c>
      <c r="M1132" s="17" t="n">
        <v>0</v>
      </c>
      <c r="N1132" s="17">
        <f>K1132*0.08+L1132*0.08</f>
        <v/>
      </c>
      <c r="O1132" s="17">
        <f>-(K1132*0.025+L1132*0.025)</f>
        <v/>
      </c>
      <c r="P1132" s="17">
        <f>32</f>
        <v/>
      </c>
      <c r="Q1132" s="17">
        <f>J1132+L1132+N1132+O1132-P1132-M1132</f>
        <v/>
      </c>
    </row>
    <row r="1133">
      <c r="A1133" s="16" t="inlineStr">
        <is>
          <t>5.15-5.21</t>
        </is>
      </c>
      <c r="B1133" s="16" t="inlineStr">
        <is>
          <t>PO-128-09278123177591435</t>
        </is>
      </c>
      <c r="C1133" s="16" t="inlineStr">
        <is>
          <t>Shipped</t>
        </is>
      </c>
      <c r="D1133" s="16" t="inlineStr">
        <is>
          <t>128-09278128420471435</t>
        </is>
      </c>
      <c r="E1133" s="16" t="inlineStr">
        <is>
          <t>Shipped</t>
        </is>
      </c>
      <c r="F1133" s="16" t="inlineStr">
        <is>
          <t>B03W10-10PZS</t>
        </is>
      </c>
      <c r="G113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133" s="16" t="inlineStr">
        <is>
          <t>B03W10</t>
        </is>
      </c>
      <c r="I1133" s="16" t="n">
        <v>3</v>
      </c>
      <c r="J1133" s="17" t="n">
        <v>231</v>
      </c>
      <c r="K1133" s="17" t="n">
        <v>269.82</v>
      </c>
      <c r="L1133" s="17" t="n">
        <v>0</v>
      </c>
      <c r="M1133" s="17" t="n">
        <v>0</v>
      </c>
      <c r="N1133" s="17">
        <f>K1133*0.08+L1133*0.08</f>
        <v/>
      </c>
      <c r="O1133" s="17">
        <f>-(K1133*0.025+L1133*0.025)</f>
        <v/>
      </c>
      <c r="P1133" s="17">
        <f>32</f>
        <v/>
      </c>
      <c r="Q1133" s="17">
        <f>J1133+L1133+N1133+O1133-P1133-M1133</f>
        <v/>
      </c>
    </row>
    <row r="1134">
      <c r="A1134" s="16" t="inlineStr">
        <is>
          <t>5.15-5.21</t>
        </is>
      </c>
      <c r="B1134" s="16" t="inlineStr">
        <is>
          <t>PO-128-09587676170870677</t>
        </is>
      </c>
      <c r="C1134" s="16" t="inlineStr">
        <is>
          <t>Shipped</t>
        </is>
      </c>
      <c r="D1134" s="16" t="inlineStr">
        <is>
          <t>128-09587738102390677</t>
        </is>
      </c>
      <c r="E1134" s="16" t="inlineStr">
        <is>
          <t>Shipped</t>
        </is>
      </c>
      <c r="F1134" s="16" t="inlineStr">
        <is>
          <t>KTS-2031</t>
        </is>
      </c>
      <c r="G1134" s="16" t="inlineStr">
        <is>
          <t>Bocina inalámbrica de 3 pulgadas con linterna multifuncional y panel solar integrado.Altavoz Portátil con Linterna LED 4 Modos, Radio FM, Bluetooth, Carga Solar, Ideal para Apagones, Emergencias, Campo y Exteriores</t>
        </is>
      </c>
      <c r="H1134" s="16" t="inlineStr">
        <is>
          <t>NEGRO</t>
        </is>
      </c>
      <c r="I1134" s="16" t="n">
        <v>1</v>
      </c>
      <c r="J1134" s="17" t="n">
        <v>77</v>
      </c>
      <c r="K1134" s="17" t="n">
        <v>86.22</v>
      </c>
      <c r="L1134" s="17" t="n">
        <v>25.86</v>
      </c>
      <c r="M1134" s="17" t="n">
        <v>0</v>
      </c>
      <c r="N1134" s="17">
        <f>K1134*0.08+L1134*0.08</f>
        <v/>
      </c>
      <c r="O1134" s="17">
        <f>-(K1134*0.025+L1134*0.025)</f>
        <v/>
      </c>
      <c r="P1134" s="17">
        <f>32</f>
        <v/>
      </c>
      <c r="Q1134" s="17">
        <f>J1134+L1134+N1134+O1134-P1134-M1134</f>
        <v/>
      </c>
    </row>
    <row r="1135">
      <c r="A1135" s="16" t="inlineStr">
        <is>
          <t>5.15-5.21</t>
        </is>
      </c>
      <c r="B1135" s="16" t="inlineStr">
        <is>
          <t>PO-128-09469337231990487</t>
        </is>
      </c>
      <c r="C1135" s="16" t="inlineStr">
        <is>
          <t>Shipped</t>
        </is>
      </c>
      <c r="D1135" s="16" t="inlineStr">
        <is>
          <t>128-09469358203510487</t>
        </is>
      </c>
      <c r="E1135" s="16" t="inlineStr">
        <is>
          <t>Shipped</t>
        </is>
      </c>
      <c r="F1135" s="16" t="inlineStr">
        <is>
          <t>LV64W25</t>
        </is>
      </c>
      <c r="G11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35" s="16" t="inlineStr">
        <is>
          <t>Blanco</t>
        </is>
      </c>
      <c r="I1135" s="16" t="n">
        <v>1</v>
      </c>
      <c r="J1135" s="17" t="n">
        <v>125</v>
      </c>
      <c r="K1135" s="17" t="n">
        <v>87.27</v>
      </c>
      <c r="L1135" s="17" t="n">
        <v>25.86</v>
      </c>
      <c r="M1135" s="17" t="n">
        <v>0</v>
      </c>
      <c r="N1135" s="17">
        <f>K1135*0.08+L1135*0.08</f>
        <v/>
      </c>
      <c r="O1135" s="17">
        <f>-(K1135*0.025+L1135*0.025)</f>
        <v/>
      </c>
      <c r="P1135" s="17">
        <f>32</f>
        <v/>
      </c>
      <c r="Q1135" s="17">
        <f>J1135+L1135+N1135+O1135-P1135-M1135</f>
        <v/>
      </c>
    </row>
    <row r="1136">
      <c r="A1136" s="16" t="inlineStr">
        <is>
          <t>5.15-5.21</t>
        </is>
      </c>
      <c r="B1136" s="16" t="inlineStr">
        <is>
          <t>PO-128-09220887634552862</t>
        </is>
      </c>
      <c r="C1136" s="16" t="inlineStr">
        <is>
          <t>Shipped</t>
        </is>
      </c>
      <c r="D1136" s="16" t="inlineStr">
        <is>
          <t>128-09220845691512862</t>
        </is>
      </c>
      <c r="E1136" s="16" t="inlineStr">
        <is>
          <t>Shipped</t>
        </is>
      </c>
      <c r="F1136" s="16" t="inlineStr">
        <is>
          <t>LV64W25</t>
        </is>
      </c>
      <c r="G11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36" s="16" t="inlineStr">
        <is>
          <t>Blanco</t>
        </is>
      </c>
      <c r="I1136" s="16" t="n">
        <v>1</v>
      </c>
      <c r="J1136" s="17" t="n">
        <v>125</v>
      </c>
      <c r="K1136" s="17" t="n">
        <v>109.6</v>
      </c>
      <c r="L1136" s="17" t="n">
        <v>25.86</v>
      </c>
      <c r="M1136" s="17" t="n">
        <v>0</v>
      </c>
      <c r="N1136" s="17">
        <f>K1136*0.08+L1136*0.08</f>
        <v/>
      </c>
      <c r="O1136" s="17">
        <f>-(K1136*0.025+L1136*0.025)</f>
        <v/>
      </c>
      <c r="P1136" s="17">
        <f>32</f>
        <v/>
      </c>
      <c r="Q1136" s="17">
        <f>J1136+L1136+N1136+O1136-P1136-M1136</f>
        <v/>
      </c>
    </row>
    <row r="1137">
      <c r="A1137" s="16" t="inlineStr">
        <is>
          <t>5.15-5.21</t>
        </is>
      </c>
      <c r="B1137" s="16" t="inlineStr">
        <is>
          <t>PO-128-09254047498872792</t>
        </is>
      </c>
      <c r="C1137" s="16" t="inlineStr">
        <is>
          <t>Shipped</t>
        </is>
      </c>
      <c r="D1137" s="16" t="inlineStr">
        <is>
          <t>128-09254026527352792</t>
        </is>
      </c>
      <c r="E1137" s="16" t="inlineStr">
        <is>
          <t>Shipped</t>
        </is>
      </c>
      <c r="F1137" s="16" t="inlineStr">
        <is>
          <t>LV54W25</t>
        </is>
      </c>
      <c r="G1137" s="16" t="inlineStr">
        <is>
          <t>TIANLAI Lámpara Ventilador E27 2 en 1, Silenciosa, LED Alta Luminosidad 180°, Instalación Rápida, Ahorro Energético para Dormitorio y Interiores Pequeños</t>
        </is>
      </c>
      <c r="H1137" s="16" t="inlineStr">
        <is>
          <t>1 Pieza</t>
        </is>
      </c>
      <c r="I1137" s="16" t="n">
        <v>1</v>
      </c>
      <c r="J1137" s="17" t="n">
        <v>74</v>
      </c>
      <c r="K1137" s="17" t="n">
        <v>68.55</v>
      </c>
      <c r="L1137" s="17" t="n">
        <v>25.86</v>
      </c>
      <c r="M1137" s="17" t="n">
        <v>0</v>
      </c>
      <c r="N1137" s="17">
        <f>K1137*0.08+L1137*0.08</f>
        <v/>
      </c>
      <c r="O1137" s="17">
        <f>-(K1137*0.025+L1137*0.025)</f>
        <v/>
      </c>
      <c r="P1137" s="17">
        <f>32</f>
        <v/>
      </c>
      <c r="Q1137" s="17">
        <f>J1137+L1137+N1137+O1137-P1137-M1137</f>
        <v/>
      </c>
    </row>
    <row r="1138">
      <c r="A1138" s="16" t="inlineStr">
        <is>
          <t>5.15-5.21</t>
        </is>
      </c>
      <c r="B1138" s="16" t="inlineStr">
        <is>
          <t>PO-128-09517179146870008</t>
        </is>
      </c>
      <c r="C1138" s="16" t="inlineStr">
        <is>
          <t>Shipped</t>
        </is>
      </c>
      <c r="D1138" s="16" t="inlineStr">
        <is>
          <t>128-09517137203830008</t>
        </is>
      </c>
      <c r="E1138" s="16" t="inlineStr">
        <is>
          <t>Shipped</t>
        </is>
      </c>
      <c r="F1138" s="16" t="inlineStr">
        <is>
          <t>KTS-2031</t>
        </is>
      </c>
      <c r="G1138" s="16" t="inlineStr">
        <is>
          <t>Bocina inalámbrica de 3 pulgadas con linterna multifuncional y panel solar integrado.Altavoz Portátil con Linterna LED 4 Modos, Radio FM, Bluetooth, Carga Solar, Ideal para Apagones, Emergencias, Campo y Exteriores</t>
        </is>
      </c>
      <c r="H1138" s="16" t="inlineStr">
        <is>
          <t>NEGRO</t>
        </is>
      </c>
      <c r="I1138" s="16" t="n">
        <v>1</v>
      </c>
      <c r="J1138" s="17" t="n">
        <v>77</v>
      </c>
      <c r="K1138" s="17" t="n">
        <v>0.01</v>
      </c>
      <c r="L1138" s="17" t="n">
        <v>25.86</v>
      </c>
      <c r="M1138" s="17" t="n">
        <v>0</v>
      </c>
      <c r="N1138" s="17">
        <f>K1138*0.08+L1138*0.08</f>
        <v/>
      </c>
      <c r="O1138" s="17">
        <f>-(K1138*0.025+L1138*0.025)</f>
        <v/>
      </c>
      <c r="P1138" s="17">
        <f>32</f>
        <v/>
      </c>
      <c r="Q1138" s="17">
        <f>J1138+L1138+N1138+O1138-P1138-M1138</f>
        <v/>
      </c>
    </row>
    <row r="1139">
      <c r="A1139" s="16" t="inlineStr">
        <is>
          <t>5.15-5.21</t>
        </is>
      </c>
      <c r="B1139" s="16" t="inlineStr">
        <is>
          <t>PO-128-09078277407353776</t>
        </is>
      </c>
      <c r="C1139" s="16" t="inlineStr">
        <is>
          <t>Shipped</t>
        </is>
      </c>
      <c r="D1139" s="16" t="inlineStr">
        <is>
          <t>128-09078235464313776</t>
        </is>
      </c>
      <c r="E1139" s="16" t="inlineStr">
        <is>
          <t>Shipped</t>
        </is>
      </c>
      <c r="F1139" s="16" t="inlineStr">
        <is>
          <t>LV54W25</t>
        </is>
      </c>
      <c r="G1139" s="16" t="inlineStr">
        <is>
          <t>TIANLAI Lámpara Ventilador E27 2 en 1, Silenciosa, LED Alta Luminosidad 180°, Instalación Rápida, Ahorro Energético para Dormitorio y Interiores Pequeños</t>
        </is>
      </c>
      <c r="H1139" s="16" t="inlineStr">
        <is>
          <t>1 Pieza</t>
        </is>
      </c>
      <c r="I1139" s="16" t="n">
        <v>1</v>
      </c>
      <c r="J1139" s="17" t="n">
        <v>74</v>
      </c>
      <c r="K1139" s="17" t="n">
        <v>77.12</v>
      </c>
      <c r="L1139" s="17" t="n">
        <v>25.86</v>
      </c>
      <c r="M1139" s="17" t="n">
        <v>0</v>
      </c>
      <c r="N1139" s="17">
        <f>K1139*0.08+L1139*0.08</f>
        <v/>
      </c>
      <c r="O1139" s="17">
        <f>-(K1139*0.025+L1139*0.025)</f>
        <v/>
      </c>
      <c r="P1139" s="17">
        <f>32</f>
        <v/>
      </c>
      <c r="Q1139" s="17">
        <f>J1139+L1139+N1139+O1139-P1139-M1139</f>
        <v/>
      </c>
    </row>
    <row r="1140">
      <c r="A1140" s="16" t="inlineStr">
        <is>
          <t>5.15-5.21</t>
        </is>
      </c>
      <c r="B1140" s="16" t="inlineStr">
        <is>
          <t>PO-128-08977223434873226</t>
        </is>
      </c>
      <c r="C1140" s="16" t="inlineStr">
        <is>
          <t>Shipped</t>
        </is>
      </c>
      <c r="D1140" s="16" t="inlineStr">
        <is>
          <t>128-08977202463353226</t>
        </is>
      </c>
      <c r="E1140" s="16" t="inlineStr">
        <is>
          <t>Shipped</t>
        </is>
      </c>
      <c r="F1140" s="16" t="inlineStr">
        <is>
          <t>LV64W25</t>
        </is>
      </c>
      <c r="G11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40" s="16" t="inlineStr">
        <is>
          <t>Blanco</t>
        </is>
      </c>
      <c r="I1140" s="16" t="n">
        <v>5</v>
      </c>
      <c r="J1140" s="17" t="n">
        <v>625</v>
      </c>
      <c r="K1140" s="17" t="n">
        <v>651.85</v>
      </c>
      <c r="L1140" s="17" t="n">
        <v>0</v>
      </c>
      <c r="M1140" s="17" t="n">
        <v>0</v>
      </c>
      <c r="N1140" s="17">
        <f>K1140*0.08+L1140*0.08</f>
        <v/>
      </c>
      <c r="O1140" s="17">
        <f>-(K1140*0.025+L1140*0.025)</f>
        <v/>
      </c>
      <c r="P1140" s="17">
        <f>32</f>
        <v/>
      </c>
      <c r="Q1140" s="17">
        <f>J1140+L1140+N1140+O1140-P1140-M1140</f>
        <v/>
      </c>
    </row>
    <row r="1141">
      <c r="A1141" s="16" t="inlineStr">
        <is>
          <t>5.15-5.21</t>
        </is>
      </c>
      <c r="B1141" s="16" t="inlineStr">
        <is>
          <t>PO-128-15068638537590838</t>
        </is>
      </c>
      <c r="C1141" s="16" t="inlineStr">
        <is>
          <t>Shipped</t>
        </is>
      </c>
      <c r="D1141" s="16" t="inlineStr">
        <is>
          <t>128-15068774852470838</t>
        </is>
      </c>
      <c r="E1141" s="16" t="inlineStr">
        <is>
          <t>Shipped</t>
        </is>
      </c>
      <c r="F1141" s="16" t="inlineStr">
        <is>
          <t>BSC04</t>
        </is>
      </c>
      <c r="G1141" s="16" t="inlineStr">
        <is>
          <t>TIANLAI Báscula Digital BSC04/BSC07, Alta Precisión, Fácil Operación, Ligera y Portátil, Función Tara, Unidad Dual oz/g, Ideal para Cocina, Control de Porciones, Sellos y Objetos Pequeños, Uso en Hogar y Viaje</t>
        </is>
      </c>
      <c r="H1141" s="16" t="inlineStr">
        <is>
          <t>5g/White</t>
        </is>
      </c>
      <c r="I1141" s="16" t="n">
        <v>1</v>
      </c>
      <c r="J1141" s="17" t="n">
        <v>58</v>
      </c>
      <c r="K1141" s="17" t="n">
        <v>74.29000000000001</v>
      </c>
      <c r="L1141" s="17" t="n">
        <v>25.86</v>
      </c>
      <c r="M1141" s="17" t="n">
        <v>0</v>
      </c>
      <c r="N1141" s="17">
        <f>K1141*0.08+L1141*0.08</f>
        <v/>
      </c>
      <c r="O1141" s="17">
        <f>-(K1141*0.025+L1141*0.025)</f>
        <v/>
      </c>
      <c r="P1141" s="17">
        <f>32</f>
        <v/>
      </c>
      <c r="Q1141" s="17">
        <f>J1141+L1141+N1141+O1141-P1141-M1141</f>
        <v/>
      </c>
    </row>
    <row r="1142">
      <c r="A1142" s="16" t="inlineStr">
        <is>
          <t>5.15-5.21</t>
        </is>
      </c>
      <c r="B1142" s="16" t="inlineStr">
        <is>
          <t>PO-128-14558743647353942</t>
        </is>
      </c>
      <c r="C1142" s="16" t="inlineStr">
        <is>
          <t>Shipped</t>
        </is>
      </c>
      <c r="D1142" s="16" t="inlineStr">
        <is>
          <t>128-14558701704313942</t>
        </is>
      </c>
      <c r="E1142" s="16" t="inlineStr">
        <is>
          <t>Shipped</t>
        </is>
      </c>
      <c r="F1142" s="16" t="inlineStr">
        <is>
          <t>LV64W25</t>
        </is>
      </c>
      <c r="G11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42" s="16" t="inlineStr">
        <is>
          <t>Blanco</t>
        </is>
      </c>
      <c r="I1142" s="16" t="n">
        <v>2</v>
      </c>
      <c r="J1142" s="17" t="n">
        <v>250</v>
      </c>
      <c r="K1142" s="17" t="n">
        <v>257.88</v>
      </c>
      <c r="L1142" s="17" t="n">
        <v>0</v>
      </c>
      <c r="M1142" s="17" t="n">
        <v>0</v>
      </c>
      <c r="N1142" s="17">
        <f>K1142*0.08+L1142*0.08</f>
        <v/>
      </c>
      <c r="O1142" s="17">
        <f>-(K1142*0.025+L1142*0.025)</f>
        <v/>
      </c>
      <c r="P1142" s="17">
        <f>32</f>
        <v/>
      </c>
      <c r="Q1142" s="17">
        <f>J1142+L1142+N1142+O1142-P1142-M1142</f>
        <v/>
      </c>
    </row>
    <row r="1143">
      <c r="A1143" s="16" t="inlineStr">
        <is>
          <t>5.15-5.21</t>
        </is>
      </c>
      <c r="B1143" s="16" t="inlineStr">
        <is>
          <t>PO-128-14945348063351639</t>
        </is>
      </c>
      <c r="C1143" s="16" t="inlineStr">
        <is>
          <t>Shipped</t>
        </is>
      </c>
      <c r="D1143" s="16" t="inlineStr">
        <is>
          <t>128-14945329713271639</t>
        </is>
      </c>
      <c r="E1143" s="16" t="inlineStr">
        <is>
          <t>Shipped</t>
        </is>
      </c>
      <c r="F1143" s="16" t="inlineStr">
        <is>
          <t>BSC04</t>
        </is>
      </c>
      <c r="G1143" s="16" t="inlineStr">
        <is>
          <t>TIANLAI Báscula Digital BSC04/BSC07, Alta Precisión, Fácil Operación, Ligera y Portátil, Función Tara, Unidad Dual oz/g, Ideal para Cocina, Control de Porciones, Sellos y Objetos Pequeños, Uso en Hogar y Viaje</t>
        </is>
      </c>
      <c r="H1143" s="16" t="inlineStr">
        <is>
          <t>5g/White</t>
        </is>
      </c>
      <c r="I1143" s="16" t="n">
        <v>1</v>
      </c>
      <c r="J1143" s="17" t="n">
        <v>58</v>
      </c>
      <c r="K1143" s="17" t="n">
        <v>74.29000000000001</v>
      </c>
      <c r="L1143" s="17" t="n">
        <v>25.86</v>
      </c>
      <c r="M1143" s="17" t="n">
        <v>0</v>
      </c>
      <c r="N1143" s="17">
        <f>K1143*0.08+L1143*0.08</f>
        <v/>
      </c>
      <c r="O1143" s="17">
        <f>-(K1143*0.025+L1143*0.025)</f>
        <v/>
      </c>
      <c r="P1143" s="17">
        <f>32</f>
        <v/>
      </c>
      <c r="Q1143" s="17">
        <f>J1143+L1143+N1143+O1143-P1143-M1143</f>
        <v/>
      </c>
    </row>
    <row r="1144">
      <c r="A1144" s="16" t="inlineStr">
        <is>
          <t>5.15-5.21</t>
        </is>
      </c>
      <c r="B1144" s="16" t="inlineStr">
        <is>
          <t>PO-128-14479424745593262</t>
        </is>
      </c>
      <c r="C1144" s="16" t="inlineStr">
        <is>
          <t>Shipped</t>
        </is>
      </c>
      <c r="D1144" s="16" t="inlineStr">
        <is>
          <t>128-14479435231353262</t>
        </is>
      </c>
      <c r="E1144" s="16" t="inlineStr">
        <is>
          <t>Shipped</t>
        </is>
      </c>
      <c r="F1144" s="16" t="inlineStr">
        <is>
          <t>KTS-2031</t>
        </is>
      </c>
      <c r="G1144" s="16" t="inlineStr">
        <is>
          <t>Bocina inalámbrica de 3 pulgadas con linterna multifuncional y panel solar integrado.Altavoz Portátil con Linterna LED 4 Modos, Radio FM, Bluetooth, Carga Solar, Ideal para Apagones, Emergencias, Campo y Exteriores</t>
        </is>
      </c>
      <c r="H1144" s="16" t="inlineStr">
        <is>
          <t>NEGRO</t>
        </is>
      </c>
      <c r="I1144" s="16" t="n">
        <v>1</v>
      </c>
      <c r="J1144" s="17" t="n">
        <v>77</v>
      </c>
      <c r="K1144" s="17" t="n">
        <v>80.40000000000001</v>
      </c>
      <c r="L1144" s="17" t="n">
        <v>25.86</v>
      </c>
      <c r="M1144" s="17" t="n">
        <v>0</v>
      </c>
      <c r="N1144" s="17">
        <f>K1144*0.08+L1144*0.08</f>
        <v/>
      </c>
      <c r="O1144" s="17">
        <f>-(K1144*0.025+L1144*0.025)</f>
        <v/>
      </c>
      <c r="P1144" s="17">
        <f>32</f>
        <v/>
      </c>
      <c r="Q1144" s="17">
        <f>J1144+L1144+N1144+O1144-P1144-M1144</f>
        <v/>
      </c>
    </row>
    <row r="1145">
      <c r="A1145" s="16" t="inlineStr">
        <is>
          <t>5.15-5.21</t>
        </is>
      </c>
      <c r="B1145" s="16" t="inlineStr">
        <is>
          <t>PO-128-14905898304631680</t>
        </is>
      </c>
      <c r="C1145" s="16" t="inlineStr">
        <is>
          <t>Shipped</t>
        </is>
      </c>
      <c r="D1145" s="16" t="inlineStr">
        <is>
          <t>128-14905908790391680</t>
        </is>
      </c>
      <c r="E1145" s="16" t="inlineStr">
        <is>
          <t>Shipped</t>
        </is>
      </c>
      <c r="F1145" s="16" t="inlineStr">
        <is>
          <t>LV54W25</t>
        </is>
      </c>
      <c r="G1145" s="16" t="inlineStr">
        <is>
          <t>TIANLAI Lámpara Ventilador E27 2 en 1, Silenciosa, LED Alta Luminosidad 180°, Instalación Rápida, Ahorro Energético para Dormitorio y Interiores Pequeños</t>
        </is>
      </c>
      <c r="H1145" s="16" t="inlineStr">
        <is>
          <t>1 Pieza</t>
        </is>
      </c>
      <c r="I1145" s="16" t="n">
        <v>1</v>
      </c>
      <c r="J1145" s="17" t="n">
        <v>74</v>
      </c>
      <c r="K1145" s="17" t="n">
        <v>77.12</v>
      </c>
      <c r="L1145" s="17" t="n">
        <v>25.86</v>
      </c>
      <c r="M1145" s="17" t="n">
        <v>0</v>
      </c>
      <c r="N1145" s="17">
        <f>K1145*0.08+L1145*0.08</f>
        <v/>
      </c>
      <c r="O1145" s="17">
        <f>-(K1145*0.025+L1145*0.025)</f>
        <v/>
      </c>
      <c r="P1145" s="17">
        <f>32</f>
        <v/>
      </c>
      <c r="Q1145" s="17">
        <f>J1145+L1145+N1145+O1145-P1145-M1145</f>
        <v/>
      </c>
    </row>
    <row r="1146">
      <c r="A1146" s="16" t="inlineStr">
        <is>
          <t>5.15-5.21</t>
        </is>
      </c>
      <c r="B1146" s="16" t="inlineStr">
        <is>
          <t>PO-128-14880137495672026</t>
        </is>
      </c>
      <c r="C1146" s="16" t="inlineStr">
        <is>
          <t>Shipped</t>
        </is>
      </c>
      <c r="D1146" s="16" t="inlineStr">
        <is>
          <t>128-14880098174072026</t>
        </is>
      </c>
      <c r="E1146" s="16" t="inlineStr">
        <is>
          <t>Shipped</t>
        </is>
      </c>
      <c r="F1146" s="16" t="inlineStr">
        <is>
          <t>LV64W25</t>
        </is>
      </c>
      <c r="G11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46" s="16" t="inlineStr">
        <is>
          <t>Blanco</t>
        </is>
      </c>
      <c r="I1146" s="16" t="n">
        <v>2</v>
      </c>
      <c r="J1146" s="17" t="n">
        <v>250</v>
      </c>
      <c r="K1146" s="17" t="n">
        <v>280.23</v>
      </c>
      <c r="L1146" s="17" t="n">
        <v>0</v>
      </c>
      <c r="M1146" s="17" t="n">
        <v>0</v>
      </c>
      <c r="N1146" s="17">
        <f>K1146*0.08+L1146*0.08</f>
        <v/>
      </c>
      <c r="O1146" s="17">
        <f>-(K1146*0.025+L1146*0.025)</f>
        <v/>
      </c>
      <c r="P1146" s="17">
        <f>32</f>
        <v/>
      </c>
      <c r="Q1146" s="17">
        <f>J1146+L1146+N1146+O1146-P1146-M1146</f>
        <v/>
      </c>
    </row>
    <row r="1147">
      <c r="A1147" s="16" t="inlineStr">
        <is>
          <t>5.15-5.21</t>
        </is>
      </c>
      <c r="B1147" s="16" t="inlineStr">
        <is>
          <t>PO-128-14500783772793073</t>
        </is>
      </c>
      <c r="C1147" s="16" t="inlineStr">
        <is>
          <t>Shipped</t>
        </is>
      </c>
      <c r="D1147" s="16" t="inlineStr">
        <is>
          <t>128-14500825715833073</t>
        </is>
      </c>
      <c r="E1147" s="16" t="inlineStr">
        <is>
          <t>Shipped</t>
        </is>
      </c>
      <c r="F1147" s="16" t="inlineStr">
        <is>
          <t>B03W10-10PZS</t>
        </is>
      </c>
      <c r="G114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147" s="16" t="inlineStr">
        <is>
          <t>B03W10</t>
        </is>
      </c>
      <c r="I1147" s="16" t="n">
        <v>1</v>
      </c>
      <c r="J1147" s="17" t="n">
        <v>77</v>
      </c>
      <c r="K1147" s="17" t="n">
        <v>3.73</v>
      </c>
      <c r="L1147" s="17" t="n">
        <v>25.86</v>
      </c>
      <c r="M1147" s="17" t="n">
        <v>0</v>
      </c>
      <c r="N1147" s="17">
        <f>K1147*0.08+L1147*0.08</f>
        <v/>
      </c>
      <c r="O1147" s="17">
        <f>-(K1147*0.025+L1147*0.025)</f>
        <v/>
      </c>
      <c r="P1147" s="17">
        <f>32</f>
        <v/>
      </c>
      <c r="Q1147" s="17">
        <f>J1147+L1147+N1147+O1147-P1147-M1147</f>
        <v/>
      </c>
    </row>
    <row r="1148">
      <c r="A1148" s="16" t="inlineStr">
        <is>
          <t>5.15-5.21</t>
        </is>
      </c>
      <c r="B1148" s="16" t="inlineStr">
        <is>
          <t>PO-128-14640651272312431</t>
        </is>
      </c>
      <c r="C1148" s="16" t="inlineStr">
        <is>
          <t>Shipped</t>
        </is>
      </c>
      <c r="D1148" s="16" t="inlineStr">
        <is>
          <t>128-14640661758072431</t>
        </is>
      </c>
      <c r="E1148" s="16" t="inlineStr">
        <is>
          <t>Shipped</t>
        </is>
      </c>
      <c r="F1148" s="16" t="inlineStr">
        <is>
          <t>LV64W25</t>
        </is>
      </c>
      <c r="G11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48" s="16" t="inlineStr">
        <is>
          <t>Blanco</t>
        </is>
      </c>
      <c r="I1148" s="16" t="n">
        <v>1</v>
      </c>
      <c r="J1148" s="17" t="n">
        <v>125</v>
      </c>
      <c r="K1148" s="17" t="n">
        <v>128.94</v>
      </c>
      <c r="L1148" s="17" t="n">
        <v>25.86</v>
      </c>
      <c r="M1148" s="17" t="n">
        <v>0</v>
      </c>
      <c r="N1148" s="17">
        <f>K1148*0.08+L1148*0.08</f>
        <v/>
      </c>
      <c r="O1148" s="17">
        <f>-(K1148*0.025+L1148*0.025)</f>
        <v/>
      </c>
      <c r="P1148" s="17">
        <f>32</f>
        <v/>
      </c>
      <c r="Q1148" s="17">
        <f>J1148+L1148+N1148+O1148-P1148-M1148</f>
        <v/>
      </c>
    </row>
    <row r="1149">
      <c r="A1149" s="16" t="inlineStr">
        <is>
          <t>5.15-5.21</t>
        </is>
      </c>
      <c r="B1149" s="16" t="inlineStr">
        <is>
          <t>PO-128-14446964196473520</t>
        </is>
      </c>
      <c r="C1149" s="16" t="inlineStr">
        <is>
          <t>Shipped</t>
        </is>
      </c>
      <c r="D1149" s="16" t="inlineStr">
        <is>
          <t>128-14446885553273520</t>
        </is>
      </c>
      <c r="E1149" s="16" t="inlineStr">
        <is>
          <t>Shipped</t>
        </is>
      </c>
      <c r="F1149" s="16" t="inlineStr">
        <is>
          <t>LV54W25</t>
        </is>
      </c>
      <c r="G1149" s="16" t="inlineStr">
        <is>
          <t>TIANLAI Lámpara Ventilador E27 2 en 1, Silenciosa, LED Alta Luminosidad 180°, Instalación Rápida, Ahorro Energético para Dormitorio y Interiores Pequeños</t>
        </is>
      </c>
      <c r="H1149" s="16" t="inlineStr">
        <is>
          <t>1 Pieza</t>
        </is>
      </c>
      <c r="I1149" s="16" t="n">
        <v>1</v>
      </c>
      <c r="J1149" s="17" t="n">
        <v>74</v>
      </c>
      <c r="K1149" s="17" t="n">
        <v>56.96</v>
      </c>
      <c r="L1149" s="17" t="n">
        <v>25.86</v>
      </c>
      <c r="M1149" s="17" t="n">
        <v>0</v>
      </c>
      <c r="N1149" s="17">
        <f>K1149*0.08+L1149*0.08</f>
        <v/>
      </c>
      <c r="O1149" s="17">
        <f>-(K1149*0.025+L1149*0.025)</f>
        <v/>
      </c>
      <c r="P1149" s="17">
        <f>32</f>
        <v/>
      </c>
      <c r="Q1149" s="17">
        <f>J1149+L1149+N1149+O1149-P1149-M1149</f>
        <v/>
      </c>
    </row>
    <row r="1150">
      <c r="A1150" s="16" t="inlineStr">
        <is>
          <t>5.15-5.21</t>
        </is>
      </c>
      <c r="B1150" s="16" t="inlineStr">
        <is>
          <t>PO-128-14444509806713537</t>
        </is>
      </c>
      <c r="C1150" s="16" t="inlineStr">
        <is>
          <t>Shipped</t>
        </is>
      </c>
      <c r="D1150" s="16" t="inlineStr">
        <is>
          <t>128-14444467863673537</t>
        </is>
      </c>
      <c r="E1150" s="16" t="inlineStr">
        <is>
          <t>Shipped</t>
        </is>
      </c>
      <c r="F1150" s="16" t="inlineStr">
        <is>
          <t>LV54W25</t>
        </is>
      </c>
      <c r="G1150" s="16" t="inlineStr">
        <is>
          <t>TIANLAI Lámpara Ventilador E27 2 en 1, Silenciosa, LED Alta Luminosidad 180°, Instalación Rápida, Ahorro Energético para Dormitorio y Interiores Pequeños</t>
        </is>
      </c>
      <c r="H1150" s="16" t="inlineStr">
        <is>
          <t>1 Pieza</t>
        </is>
      </c>
      <c r="I1150" s="16" t="n">
        <v>1</v>
      </c>
      <c r="J1150" s="17" t="n">
        <v>74</v>
      </c>
      <c r="K1150" s="17" t="n">
        <v>34.02</v>
      </c>
      <c r="L1150" s="17" t="n">
        <v>25.86</v>
      </c>
      <c r="M1150" s="17" t="n">
        <v>0</v>
      </c>
      <c r="N1150" s="17">
        <f>K1150*0.08+L1150*0.08</f>
        <v/>
      </c>
      <c r="O1150" s="17">
        <f>-(K1150*0.025+L1150*0.025)</f>
        <v/>
      </c>
      <c r="P1150" s="17">
        <f>32</f>
        <v/>
      </c>
      <c r="Q1150" s="17">
        <f>J1150+L1150+N1150+O1150-P1150-M1150</f>
        <v/>
      </c>
    </row>
    <row r="1151">
      <c r="A1151" s="16" t="inlineStr">
        <is>
          <t>5.15-5.21</t>
        </is>
      </c>
      <c r="B1151" s="16" t="inlineStr">
        <is>
          <t>PO-128-14862465098871941</t>
        </is>
      </c>
      <c r="C1151" s="16" t="inlineStr">
        <is>
          <t>Shipped</t>
        </is>
      </c>
      <c r="D1151" s="16" t="inlineStr">
        <is>
          <t>128-14862486070391941</t>
        </is>
      </c>
      <c r="E1151" s="16" t="inlineStr">
        <is>
          <t>Shipped</t>
        </is>
      </c>
      <c r="F1151" s="16" t="inlineStr">
        <is>
          <t>i12-B</t>
        </is>
      </c>
      <c r="G1151" s="16" t="inlineStr">
        <is>
          <t>Auriculares Inalámbricos TWS - Ideales para Usuarios Android e iPhone, Entusiastas del Deporte &amp; Música, Controles Táctiles, Audífonos Para Correr y Jugar</t>
        </is>
      </c>
      <c r="H1151" s="16" t="inlineStr">
        <is>
          <t>Blanco</t>
        </is>
      </c>
      <c r="I1151" s="16" t="n">
        <v>5</v>
      </c>
      <c r="J1151" s="17" t="n">
        <v>224</v>
      </c>
      <c r="K1151" s="17" t="n">
        <v>304.85</v>
      </c>
      <c r="L1151" s="17" t="n">
        <v>0</v>
      </c>
      <c r="M1151" s="17" t="n">
        <v>0</v>
      </c>
      <c r="N1151" s="17">
        <f>K1151*0.08+L1151*0.08</f>
        <v/>
      </c>
      <c r="O1151" s="17">
        <f>-(K1151*0.025+L1151*0.025)</f>
        <v/>
      </c>
      <c r="P1151" s="17">
        <f>32</f>
        <v/>
      </c>
      <c r="Q1151" s="17">
        <f>J1151+L1151+N1151+O1151-P1151-M1151</f>
        <v/>
      </c>
    </row>
    <row r="1152">
      <c r="A1152" s="16" t="inlineStr">
        <is>
          <t>5.15-5.21</t>
        </is>
      </c>
      <c r="B1152" s="16" t="inlineStr">
        <is>
          <t>PO-128-14890218791031838</t>
        </is>
      </c>
      <c r="C1152" s="16" t="inlineStr">
        <is>
          <t>Shipped</t>
        </is>
      </c>
      <c r="D1152" s="16" t="inlineStr">
        <is>
          <t>128-14890276462711838</t>
        </is>
      </c>
      <c r="E1152" s="16" t="inlineStr">
        <is>
          <t>Shipped</t>
        </is>
      </c>
      <c r="F1152" s="16" t="inlineStr">
        <is>
          <t>LV64W25</t>
        </is>
      </c>
      <c r="G11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52" s="16" t="inlineStr">
        <is>
          <t>Blanco</t>
        </is>
      </c>
      <c r="I1152" s="16" t="n">
        <v>1</v>
      </c>
      <c r="J1152" s="17" t="n">
        <v>125</v>
      </c>
      <c r="K1152" s="17" t="n">
        <v>119.87</v>
      </c>
      <c r="L1152" s="17" t="n">
        <v>25.86</v>
      </c>
      <c r="M1152" s="17" t="n">
        <v>0</v>
      </c>
      <c r="N1152" s="17">
        <f>K1152*0.08+L1152*0.08</f>
        <v/>
      </c>
      <c r="O1152" s="17">
        <f>-(K1152*0.025+L1152*0.025)</f>
        <v/>
      </c>
      <c r="P1152" s="17">
        <f>32</f>
        <v/>
      </c>
      <c r="Q1152" s="17">
        <f>J1152+L1152+N1152+O1152-P1152-M1152</f>
        <v/>
      </c>
    </row>
    <row r="1153">
      <c r="A1153" s="16" t="inlineStr">
        <is>
          <t>5.15-5.21</t>
        </is>
      </c>
      <c r="B1153" s="16" t="inlineStr">
        <is>
          <t>PO-128-14628004094072315</t>
        </is>
      </c>
      <c r="C1153" s="16" t="inlineStr">
        <is>
          <t>Shipped</t>
        </is>
      </c>
      <c r="D1153" s="16" t="inlineStr">
        <is>
          <t>128-14628025065592315</t>
        </is>
      </c>
      <c r="E1153" s="16" t="inlineStr">
        <is>
          <t>Shipped</t>
        </is>
      </c>
      <c r="F1153" s="16" t="inlineStr">
        <is>
          <t>KTS-2031</t>
        </is>
      </c>
      <c r="G1153" s="16" t="inlineStr">
        <is>
          <t>Bocina inalámbrica de 3 pulgadas con linterna multifuncional y panel solar integrado.Altavoz Portátil con Linterna LED 4 Modos, Radio FM, Bluetooth, Carga Solar, Ideal para Apagones, Emergencias, Campo y Exteriores</t>
        </is>
      </c>
      <c r="H1153" s="16" t="inlineStr">
        <is>
          <t>NEGRO</t>
        </is>
      </c>
      <c r="I1153" s="16" t="n">
        <v>2</v>
      </c>
      <c r="J1153" s="17" t="n">
        <v>154</v>
      </c>
      <c r="K1153" s="17" t="n">
        <v>172.44</v>
      </c>
      <c r="L1153" s="17" t="n">
        <v>25.86</v>
      </c>
      <c r="M1153" s="17" t="n">
        <v>0</v>
      </c>
      <c r="N1153" s="17">
        <f>K1153*0.08+L1153*0.08</f>
        <v/>
      </c>
      <c r="O1153" s="17">
        <f>-(K1153*0.025+L1153*0.025)</f>
        <v/>
      </c>
      <c r="P1153" s="17">
        <f>32</f>
        <v/>
      </c>
      <c r="Q1153" s="17">
        <f>J1153+L1153+N1153+O1153-P1153-M1153</f>
        <v/>
      </c>
    </row>
    <row r="1154">
      <c r="A1154" s="16" t="inlineStr">
        <is>
          <t>5.15-5.21</t>
        </is>
      </c>
      <c r="B1154" s="16" t="inlineStr">
        <is>
          <t>PO-128-14960975859830456</t>
        </is>
      </c>
      <c r="C1154" s="16" t="inlineStr">
        <is>
          <t>Shipped</t>
        </is>
      </c>
      <c r="D1154" s="16" t="inlineStr">
        <is>
          <t>128-14960933916790456</t>
        </is>
      </c>
      <c r="E1154" s="16" t="inlineStr">
        <is>
          <t>Shipped</t>
        </is>
      </c>
      <c r="F1154" s="16" t="inlineStr">
        <is>
          <t>LV54W25</t>
        </is>
      </c>
      <c r="G1154" s="16" t="inlineStr">
        <is>
          <t>TIANLAI Lámpara Ventilador E27 2 en 1, Silenciosa, LED Alta Luminosidad 180°, Instalación Rápida, Ahorro Energético para Dormitorio y Interiores Pequeños</t>
        </is>
      </c>
      <c r="H1154" s="16" t="inlineStr">
        <is>
          <t>1 Pieza</t>
        </is>
      </c>
      <c r="I1154" s="16" t="n">
        <v>1</v>
      </c>
      <c r="J1154" s="17" t="n">
        <v>74</v>
      </c>
      <c r="K1154" s="17" t="n">
        <v>77.12</v>
      </c>
      <c r="L1154" s="17" t="n">
        <v>25.86</v>
      </c>
      <c r="M1154" s="17" t="n">
        <v>0</v>
      </c>
      <c r="N1154" s="17">
        <f>K1154*0.08+L1154*0.08</f>
        <v/>
      </c>
      <c r="O1154" s="17">
        <f>-(K1154*0.025+L1154*0.025)</f>
        <v/>
      </c>
      <c r="P1154" s="17">
        <f>32</f>
        <v/>
      </c>
      <c r="Q1154" s="17">
        <f>J1154+L1154+N1154+O1154-P1154-M1154</f>
        <v/>
      </c>
    </row>
    <row r="1155">
      <c r="A1155" s="16" t="inlineStr">
        <is>
          <t>5.15-5.21</t>
        </is>
      </c>
      <c r="B1155" s="16" t="inlineStr">
        <is>
          <t>PO-128-14758623875192622</t>
        </is>
      </c>
      <c r="C1155" s="16" t="inlineStr">
        <is>
          <t>Shipped</t>
        </is>
      </c>
      <c r="D1155" s="16" t="inlineStr">
        <is>
          <t>128-14758612406392622</t>
        </is>
      </c>
      <c r="E1155" s="16" t="inlineStr">
        <is>
          <t>Shipped</t>
        </is>
      </c>
      <c r="F1155" s="16" t="inlineStr">
        <is>
          <t>LV54W25</t>
        </is>
      </c>
      <c r="G1155" s="16" t="inlineStr">
        <is>
          <t>TIANLAI Lámpara Ventilador E27 2 en 1, Silenciosa, LED Alta Luminosidad 180°, Instalación Rápida, Ahorro Energético para Dormitorio y Interiores Pequeños</t>
        </is>
      </c>
      <c r="H1155" s="16" t="inlineStr">
        <is>
          <t>1 Pieza</t>
        </is>
      </c>
      <c r="I1155" s="16" t="n">
        <v>2</v>
      </c>
      <c r="J1155" s="17" t="n">
        <v>148</v>
      </c>
      <c r="K1155" s="17" t="n">
        <v>154.24</v>
      </c>
      <c r="L1155" s="17" t="n">
        <v>25.86</v>
      </c>
      <c r="M1155" s="17" t="n">
        <v>0</v>
      </c>
      <c r="N1155" s="17">
        <f>K1155*0.08+L1155*0.08</f>
        <v/>
      </c>
      <c r="O1155" s="17">
        <f>-(K1155*0.025+L1155*0.025)</f>
        <v/>
      </c>
      <c r="P1155" s="17">
        <f>32</f>
        <v/>
      </c>
      <c r="Q1155" s="17">
        <f>J1155+L1155+N1155+O1155-P1155-M1155</f>
        <v/>
      </c>
    </row>
    <row r="1156">
      <c r="A1156" s="16" t="inlineStr">
        <is>
          <t>5.15-5.21</t>
        </is>
      </c>
      <c r="B1156" s="16" t="inlineStr">
        <is>
          <t>PO-128-14904970023031686</t>
        </is>
      </c>
      <c r="C1156" s="16" t="inlineStr">
        <is>
          <t>Shipped</t>
        </is>
      </c>
      <c r="D1156" s="16" t="inlineStr">
        <is>
          <t>128-14904996237431686</t>
        </is>
      </c>
      <c r="E1156" s="16" t="inlineStr">
        <is>
          <t>Shipped</t>
        </is>
      </c>
      <c r="F1156" s="16" t="inlineStr">
        <is>
          <t>LV64W25</t>
        </is>
      </c>
      <c r="G11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56" s="16" t="inlineStr">
        <is>
          <t>Blanco</t>
        </is>
      </c>
      <c r="I1156" s="16" t="n">
        <v>23</v>
      </c>
      <c r="J1156" s="17" t="n">
        <v>2875</v>
      </c>
      <c r="K1156" s="17" t="n">
        <v>2537.39</v>
      </c>
      <c r="L1156" s="17" t="n">
        <v>0</v>
      </c>
      <c r="M1156" s="17" t="n">
        <v>0</v>
      </c>
      <c r="N1156" s="17">
        <f>K1156*0.08+L1156*0.08</f>
        <v/>
      </c>
      <c r="O1156" s="17">
        <f>-(K1156*0.025+L1156*0.025)</f>
        <v/>
      </c>
      <c r="P1156" s="17">
        <f>32</f>
        <v/>
      </c>
      <c r="Q1156" s="17">
        <f>J1156+L1156+N1156+O1156-P1156-M1156</f>
        <v/>
      </c>
    </row>
    <row r="1157">
      <c r="A1157" s="16" t="inlineStr">
        <is>
          <t>5.15-5.21</t>
        </is>
      </c>
      <c r="B1157" s="16" t="inlineStr">
        <is>
          <t>PO-128-14676838817912086</t>
        </is>
      </c>
      <c r="C1157" s="16" t="inlineStr">
        <is>
          <t>Shipped</t>
        </is>
      </c>
      <c r="D1157" s="16" t="inlineStr">
        <is>
          <t>128-14676872896632086</t>
        </is>
      </c>
      <c r="E1157" s="16" t="inlineStr">
        <is>
          <t>Shipped</t>
        </is>
      </c>
      <c r="F1157" s="16" t="inlineStr">
        <is>
          <t>LV64W25</t>
        </is>
      </c>
      <c r="G11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57" s="16" t="inlineStr">
        <is>
          <t>Blanco</t>
        </is>
      </c>
      <c r="I1157" s="16" t="n">
        <v>3</v>
      </c>
      <c r="J1157" s="17" t="n">
        <v>375</v>
      </c>
      <c r="K1157" s="17" t="n">
        <v>386.82</v>
      </c>
      <c r="L1157" s="17" t="n">
        <v>0</v>
      </c>
      <c r="M1157" s="17" t="n">
        <v>0</v>
      </c>
      <c r="N1157" s="17">
        <f>K1157*0.08+L1157*0.08</f>
        <v/>
      </c>
      <c r="O1157" s="17">
        <f>-(K1157*0.025+L1157*0.025)</f>
        <v/>
      </c>
      <c r="P1157" s="17">
        <f>32</f>
        <v/>
      </c>
      <c r="Q1157" s="17">
        <f>J1157+L1157+N1157+O1157-P1157-M1157</f>
        <v/>
      </c>
    </row>
    <row r="1158">
      <c r="A1158" s="16" t="inlineStr">
        <is>
          <t>5.15-5.21</t>
        </is>
      </c>
      <c r="B1158" s="16" t="inlineStr">
        <is>
          <t>PO-128-14464687209593414</t>
        </is>
      </c>
      <c r="C1158" s="16" t="inlineStr">
        <is>
          <t>Shipped</t>
        </is>
      </c>
      <c r="D1158" s="16" t="inlineStr">
        <is>
          <t>128-14464664271993414</t>
        </is>
      </c>
      <c r="E1158" s="16" t="inlineStr">
        <is>
          <t>Shipped</t>
        </is>
      </c>
      <c r="F1158" s="16" t="inlineStr">
        <is>
          <t>LV54W25</t>
        </is>
      </c>
      <c r="G1158" s="16" t="inlineStr">
        <is>
          <t>TIANLAI Lámpara Ventilador E27 2 en 1, Silenciosa, LED Alta Luminosidad 180°, Instalación Rápida, Ahorro Energético para Dormitorio y Interiores Pequeños</t>
        </is>
      </c>
      <c r="H1158" s="16" t="inlineStr">
        <is>
          <t>1 Pieza</t>
        </is>
      </c>
      <c r="I1158" s="16" t="n">
        <v>1</v>
      </c>
      <c r="J1158" s="17" t="n">
        <v>74</v>
      </c>
      <c r="K1158" s="17" t="n">
        <v>77.12</v>
      </c>
      <c r="L1158" s="17" t="n">
        <v>25.86</v>
      </c>
      <c r="M1158" s="17" t="n">
        <v>0</v>
      </c>
      <c r="N1158" s="17">
        <f>K1158*0.08+L1158*0.08</f>
        <v/>
      </c>
      <c r="O1158" s="17">
        <f>-(K1158*0.025+L1158*0.025)</f>
        <v/>
      </c>
      <c r="P1158" s="17">
        <f>32</f>
        <v/>
      </c>
      <c r="Q1158" s="17">
        <f>J1158+L1158+N1158+O1158-P1158-M1158</f>
        <v/>
      </c>
    </row>
    <row r="1159">
      <c r="A1159" s="16" t="inlineStr">
        <is>
          <t>5.15-5.21</t>
        </is>
      </c>
      <c r="B1159" s="16" t="inlineStr">
        <is>
          <t>PO-128-14775303210871437</t>
        </is>
      </c>
      <c r="C1159" s="16" t="inlineStr">
        <is>
          <t>Shipped</t>
        </is>
      </c>
      <c r="D1159" s="16" t="inlineStr">
        <is>
          <t>128-14775324182391437</t>
        </is>
      </c>
      <c r="E1159" s="16" t="inlineStr">
        <is>
          <t>Shipped</t>
        </is>
      </c>
      <c r="F1159" s="16" t="inlineStr">
        <is>
          <t>KTS-2031</t>
        </is>
      </c>
      <c r="G1159" s="16" t="inlineStr">
        <is>
          <t>Bocina inalámbrica de 3 pulgadas con linterna multifuncional y panel solar integrado.Altavoz Portátil con Linterna LED 4 Modos, Radio FM, Bluetooth, Carga Solar, Ideal para Apagones, Emergencias, Campo y Exteriores</t>
        </is>
      </c>
      <c r="H1159" s="16" t="inlineStr">
        <is>
          <t>NEGRO</t>
        </is>
      </c>
      <c r="I1159" s="16" t="n">
        <v>1</v>
      </c>
      <c r="J1159" s="17" t="n">
        <v>77</v>
      </c>
      <c r="K1159" s="17" t="n">
        <v>86.22</v>
      </c>
      <c r="L1159" s="17" t="n">
        <v>25.86</v>
      </c>
      <c r="M1159" s="17" t="n">
        <v>0</v>
      </c>
      <c r="N1159" s="17">
        <f>K1159*0.08+L1159*0.08</f>
        <v/>
      </c>
      <c r="O1159" s="17">
        <f>-(K1159*0.025+L1159*0.025)</f>
        <v/>
      </c>
      <c r="P1159" s="17">
        <f>32</f>
        <v/>
      </c>
      <c r="Q1159" s="17">
        <f>J1159+L1159+N1159+O1159-P1159-M1159</f>
        <v/>
      </c>
    </row>
    <row r="1160">
      <c r="A1160" s="16" t="inlineStr">
        <is>
          <t>5.15-5.21</t>
        </is>
      </c>
      <c r="B1160" s="16" t="inlineStr">
        <is>
          <t>PO-128-14706552435833063</t>
        </is>
      </c>
      <c r="C1160" s="16" t="inlineStr">
        <is>
          <t>Shipped</t>
        </is>
      </c>
      <c r="D1160" s="16" t="inlineStr">
        <is>
          <t>128-14706510492793063</t>
        </is>
      </c>
      <c r="E1160" s="16" t="inlineStr">
        <is>
          <t>Shipped</t>
        </is>
      </c>
      <c r="F1160" s="16" t="inlineStr">
        <is>
          <t>LV54W25</t>
        </is>
      </c>
      <c r="G1160" s="16" t="inlineStr">
        <is>
          <t>TIANLAI Lámpara Ventilador E27 2 en 1, Silenciosa, LED Alta Luminosidad 180°, Instalación Rápida, Ahorro Energético para Dormitorio y Interiores Pequeños</t>
        </is>
      </c>
      <c r="H1160" s="16" t="inlineStr">
        <is>
          <t>1 Pieza</t>
        </is>
      </c>
      <c r="I1160" s="16" t="n">
        <v>1</v>
      </c>
      <c r="J1160" s="17" t="n">
        <v>74</v>
      </c>
      <c r="K1160" s="17" t="n">
        <v>77.12</v>
      </c>
      <c r="L1160" s="17" t="n">
        <v>25.86</v>
      </c>
      <c r="M1160" s="17" t="n">
        <v>0</v>
      </c>
      <c r="N1160" s="17">
        <f>K1160*0.08+L1160*0.08</f>
        <v/>
      </c>
      <c r="O1160" s="17">
        <f>-(K1160*0.025+L1160*0.025)</f>
        <v/>
      </c>
      <c r="P1160" s="17">
        <f>32</f>
        <v/>
      </c>
      <c r="Q1160" s="17">
        <f>J1160+L1160+N1160+O1160-P1160-M1160</f>
        <v/>
      </c>
    </row>
    <row r="1161">
      <c r="A1161" s="16" t="inlineStr">
        <is>
          <t>5.15-5.21</t>
        </is>
      </c>
      <c r="B1161" s="16" t="inlineStr">
        <is>
          <t>PO-128-14491335918713321</t>
        </is>
      </c>
      <c r="C1161" s="16" t="inlineStr">
        <is>
          <t>Shipped</t>
        </is>
      </c>
      <c r="D1161" s="16" t="inlineStr">
        <is>
          <t>128-14491472233593321</t>
        </is>
      </c>
      <c r="E1161" s="16" t="inlineStr">
        <is>
          <t>Shipped</t>
        </is>
      </c>
      <c r="F1161" s="16" t="inlineStr">
        <is>
          <t>TL1412N17C</t>
        </is>
      </c>
      <c r="G1161" s="16" t="inlineStr">
        <is>
          <t>Linkbits, Soporte de Pared Fijo para TV y Monitor de 14"-43", Ultra Delgado 2.3cm, Fuerte Capacidad de Peso de 25KG, Fácil Instalación con Accesorios Completos</t>
        </is>
      </c>
      <c r="H1161" s="16" t="inlineStr">
        <is>
          <t>NEGRO</t>
        </is>
      </c>
      <c r="I1161" s="16" t="n">
        <v>1</v>
      </c>
      <c r="J1161" s="17" t="n">
        <v>36.84</v>
      </c>
      <c r="K1161" s="17" t="n">
        <v>48.54</v>
      </c>
      <c r="L1161" s="17" t="n">
        <v>0</v>
      </c>
      <c r="M1161" s="17" t="n">
        <v>0</v>
      </c>
      <c r="N1161" s="17">
        <f>K1161*0.08+L1161*0.08</f>
        <v/>
      </c>
      <c r="O1161" s="17">
        <f>-(K1161*0.025+L1161*0.025)</f>
        <v/>
      </c>
      <c r="P1161" s="17">
        <f>32</f>
        <v/>
      </c>
      <c r="Q1161" s="17">
        <f>J1161+L1161+N1161+O1161-P1161-M1161</f>
        <v/>
      </c>
    </row>
    <row r="1162">
      <c r="A1162" s="16" t="inlineStr">
        <is>
          <t>5.15-5.21</t>
        </is>
      </c>
      <c r="B1162" s="16" t="inlineStr">
        <is>
          <t>PO-128-14491335918713321</t>
        </is>
      </c>
      <c r="C1162" s="16" t="inlineStr">
        <is>
          <t>Shipped</t>
        </is>
      </c>
      <c r="D1162" s="16" t="inlineStr">
        <is>
          <t>128-14491430290553321</t>
        </is>
      </c>
      <c r="E1162" s="16" t="inlineStr">
        <is>
          <t>Shipped</t>
        </is>
      </c>
      <c r="F1162" s="16" t="inlineStr">
        <is>
          <t>LV64W25</t>
        </is>
      </c>
      <c r="G11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62" s="16" t="inlineStr">
        <is>
          <t>Blanco</t>
        </is>
      </c>
      <c r="I1162" s="16" t="n">
        <v>2</v>
      </c>
      <c r="J1162" s="17" t="n">
        <v>250</v>
      </c>
      <c r="K1162" s="17" t="n">
        <v>257.88</v>
      </c>
      <c r="L1162" s="17" t="n">
        <v>0</v>
      </c>
      <c r="M1162" s="17" t="n">
        <v>0</v>
      </c>
      <c r="N1162" s="17">
        <f>K1162*0.08+L1162*0.08</f>
        <v/>
      </c>
      <c r="O1162" s="17">
        <f>-(K1162*0.025+L1162*0.025)</f>
        <v/>
      </c>
      <c r="P1162" s="17">
        <f>32</f>
        <v/>
      </c>
      <c r="Q1162" s="17">
        <f>J1162+L1162+N1162+O1162-P1162-M1162</f>
        <v/>
      </c>
    </row>
    <row r="1163">
      <c r="A1163" s="16" t="inlineStr">
        <is>
          <t>5.15-5.21</t>
        </is>
      </c>
      <c r="B1163" s="16" t="inlineStr">
        <is>
          <t>PO-128-14446170043513527</t>
        </is>
      </c>
      <c r="C1163" s="16" t="inlineStr">
        <is>
          <t>Shipped</t>
        </is>
      </c>
      <c r="D1163" s="16" t="inlineStr">
        <is>
          <t>128-14446128100473527</t>
        </is>
      </c>
      <c r="E1163" s="16" t="inlineStr">
        <is>
          <t>Shipped</t>
        </is>
      </c>
      <c r="F1163" s="16" t="inlineStr">
        <is>
          <t>LV54W25</t>
        </is>
      </c>
      <c r="G1163" s="16" t="inlineStr">
        <is>
          <t>TIANLAI Lámpara Ventilador E27 2 en 1, Silenciosa, LED Alta Luminosidad 180°, Instalación Rápida, Ahorro Energético para Dormitorio y Interiores Pequeños</t>
        </is>
      </c>
      <c r="H1163" s="16" t="inlineStr">
        <is>
          <t>1 Pieza</t>
        </is>
      </c>
      <c r="I1163" s="16" t="n">
        <v>1</v>
      </c>
      <c r="J1163" s="17" t="n">
        <v>74</v>
      </c>
      <c r="K1163" s="17" t="n">
        <v>77.12</v>
      </c>
      <c r="L1163" s="17" t="n">
        <v>25.86</v>
      </c>
      <c r="M1163" s="17" t="n">
        <v>0</v>
      </c>
      <c r="N1163" s="17">
        <f>K1163*0.08+L1163*0.08</f>
        <v/>
      </c>
      <c r="O1163" s="17">
        <f>-(K1163*0.025+L1163*0.025)</f>
        <v/>
      </c>
      <c r="P1163" s="17">
        <f>32</f>
        <v/>
      </c>
      <c r="Q1163" s="17">
        <f>J1163+L1163+N1163+O1163-P1163-M1163</f>
        <v/>
      </c>
    </row>
    <row r="1164">
      <c r="A1164" s="16" t="inlineStr">
        <is>
          <t>5.15-5.21</t>
        </is>
      </c>
      <c r="B1164" s="16" t="inlineStr">
        <is>
          <t>PO-128-14773896343672661</t>
        </is>
      </c>
      <c r="C1164" s="16" t="inlineStr">
        <is>
          <t>Shipped</t>
        </is>
      </c>
      <c r="D1164" s="16" t="inlineStr">
        <is>
          <t>128-14773922558072661</t>
        </is>
      </c>
      <c r="E1164" s="16" t="inlineStr">
        <is>
          <t>Shipped</t>
        </is>
      </c>
      <c r="F1164" s="16" t="inlineStr">
        <is>
          <t>LV64W25</t>
        </is>
      </c>
      <c r="G11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64" s="16" t="inlineStr">
        <is>
          <t>Blanco</t>
        </is>
      </c>
      <c r="I1164" s="16" t="n">
        <v>2</v>
      </c>
      <c r="J1164" s="17" t="n">
        <v>250</v>
      </c>
      <c r="K1164" s="17" t="n">
        <v>206.85</v>
      </c>
      <c r="L1164" s="17" t="n">
        <v>0</v>
      </c>
      <c r="M1164" s="17" t="n">
        <v>0</v>
      </c>
      <c r="N1164" s="17">
        <f>K1164*0.08+L1164*0.08</f>
        <v/>
      </c>
      <c r="O1164" s="17">
        <f>-(K1164*0.025+L1164*0.025)</f>
        <v/>
      </c>
      <c r="P1164" s="17">
        <f>32</f>
        <v/>
      </c>
      <c r="Q1164" s="17">
        <f>J1164+L1164+N1164+O1164-P1164-M1164</f>
        <v/>
      </c>
    </row>
    <row r="1165">
      <c r="A1165" s="16" t="inlineStr">
        <is>
          <t>5.15-5.21</t>
        </is>
      </c>
      <c r="B1165" s="16" t="inlineStr">
        <is>
          <t>PO-128-14800441930871287</t>
        </is>
      </c>
      <c r="C1165" s="16" t="inlineStr">
        <is>
          <t>Shipped</t>
        </is>
      </c>
      <c r="D1165" s="16" t="inlineStr">
        <is>
          <t>128-14800458970231287</t>
        </is>
      </c>
      <c r="E1165" s="16" t="inlineStr">
        <is>
          <t>Shipped</t>
        </is>
      </c>
      <c r="F1165" s="16" t="inlineStr">
        <is>
          <t>LV64W25</t>
        </is>
      </c>
      <c r="G11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65" s="16" t="inlineStr">
        <is>
          <t>Blanco</t>
        </is>
      </c>
      <c r="I1165" s="16" t="n">
        <v>1</v>
      </c>
      <c r="J1165" s="17" t="n">
        <v>125</v>
      </c>
      <c r="K1165" s="17" t="n">
        <v>130.37</v>
      </c>
      <c r="L1165" s="17" t="n">
        <v>25.86</v>
      </c>
      <c r="M1165" s="17" t="n">
        <v>0</v>
      </c>
      <c r="N1165" s="17">
        <f>K1165*0.08+L1165*0.08</f>
        <v/>
      </c>
      <c r="O1165" s="17">
        <f>-(K1165*0.025+L1165*0.025)</f>
        <v/>
      </c>
      <c r="P1165" s="17">
        <f>32</f>
        <v/>
      </c>
      <c r="Q1165" s="17">
        <f>J1165+L1165+N1165+O1165-P1165-M1165</f>
        <v/>
      </c>
    </row>
    <row r="1166">
      <c r="A1166" s="16" t="inlineStr">
        <is>
          <t>5.15-5.21</t>
        </is>
      </c>
      <c r="B1166" s="16" t="inlineStr">
        <is>
          <t>PO-128-14858747917431131</t>
        </is>
      </c>
      <c r="C1166" s="16" t="inlineStr">
        <is>
          <t>Shipped</t>
        </is>
      </c>
      <c r="D1166" s="16" t="inlineStr">
        <is>
          <t>128-14858774131831131</t>
        </is>
      </c>
      <c r="E1166" s="16" t="inlineStr">
        <is>
          <t>Shipped</t>
        </is>
      </c>
      <c r="F1166" s="16" t="inlineStr">
        <is>
          <t>LV54W25</t>
        </is>
      </c>
      <c r="G1166" s="16" t="inlineStr">
        <is>
          <t>TIANLAI Lámpara Ventilador E27 2 en 1, Silenciosa, LED Alta Luminosidad 180°, Instalación Rápida, Ahorro Energético para Dormitorio y Interiores Pequeños</t>
        </is>
      </c>
      <c r="H1166" s="16" t="inlineStr">
        <is>
          <t>1 Pieza</t>
        </is>
      </c>
      <c r="I1166" s="16" t="n">
        <v>1</v>
      </c>
      <c r="J1166" s="17" t="n">
        <v>74</v>
      </c>
      <c r="K1166" s="17" t="n">
        <v>77.12</v>
      </c>
      <c r="L1166" s="17" t="n">
        <v>25.86</v>
      </c>
      <c r="M1166" s="17" t="n">
        <v>0</v>
      </c>
      <c r="N1166" s="17">
        <f>K1166*0.08+L1166*0.08</f>
        <v/>
      </c>
      <c r="O1166" s="17">
        <f>-(K1166*0.025+L1166*0.025)</f>
        <v/>
      </c>
      <c r="P1166" s="17">
        <f>32</f>
        <v/>
      </c>
      <c r="Q1166" s="17">
        <f>J1166+L1166+N1166+O1166-P1166-M1166</f>
        <v/>
      </c>
    </row>
    <row r="1167">
      <c r="A1167" s="16" t="inlineStr">
        <is>
          <t>5.15-5.21</t>
        </is>
      </c>
      <c r="B1167" s="16" t="inlineStr">
        <is>
          <t>PO-128-15050861499511008</t>
        </is>
      </c>
      <c r="C1167" s="16" t="inlineStr">
        <is>
          <t>Shipped</t>
        </is>
      </c>
      <c r="D1167" s="16" t="inlineStr">
        <is>
          <t>128-15050966357111008</t>
        </is>
      </c>
      <c r="E1167" s="16" t="inlineStr">
        <is>
          <t>Shipped</t>
        </is>
      </c>
      <c r="F1167" s="16" t="inlineStr">
        <is>
          <t>TL2663N18C</t>
        </is>
      </c>
      <c r="G1167" s="16" t="inlineStr">
        <is>
          <t>Linkbits，Soporte de pared fijo para televisores de 26"-63", Ultra-Delgado Compatible con VESA 400x400mm, Capacidad de Peso Fuerte de 25KG, Instalación Fácil Sin Electricidad</t>
        </is>
      </c>
      <c r="H1167" s="16" t="inlineStr">
        <is>
          <t>NEGRO</t>
        </is>
      </c>
      <c r="I1167" s="16" t="n">
        <v>1</v>
      </c>
      <c r="J1167" s="17" t="n">
        <v>53.8</v>
      </c>
      <c r="K1167" s="17" t="n">
        <v>68.77</v>
      </c>
      <c r="L1167" s="17" t="n">
        <v>25.86</v>
      </c>
      <c r="M1167" s="17" t="n">
        <v>0</v>
      </c>
      <c r="N1167" s="17">
        <f>K1167*0.08+L1167*0.08</f>
        <v/>
      </c>
      <c r="O1167" s="17">
        <f>-(K1167*0.025+L1167*0.025)</f>
        <v/>
      </c>
      <c r="P1167" s="17">
        <f>32</f>
        <v/>
      </c>
      <c r="Q1167" s="17">
        <f>J1167+L1167+N1167+O1167-P1167-M1167</f>
        <v/>
      </c>
    </row>
    <row r="1168">
      <c r="A1168" s="16" t="inlineStr">
        <is>
          <t>5.15-5.21</t>
        </is>
      </c>
      <c r="B1168" s="16" t="inlineStr">
        <is>
          <t>PO-128-14905143329911687</t>
        </is>
      </c>
      <c r="C1168" s="16" t="inlineStr">
        <is>
          <t>Shipped</t>
        </is>
      </c>
      <c r="D1168" s="16" t="inlineStr">
        <is>
          <t>128-14905195758711687</t>
        </is>
      </c>
      <c r="E1168" s="16" t="inlineStr">
        <is>
          <t>Shipped</t>
        </is>
      </c>
      <c r="F1168" s="16" t="inlineStr">
        <is>
          <t>LV64W25</t>
        </is>
      </c>
      <c r="G11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68" s="16" t="inlineStr">
        <is>
          <t>Blanco</t>
        </is>
      </c>
      <c r="I1168" s="16" t="n">
        <v>2</v>
      </c>
      <c r="J1168" s="17" t="n">
        <v>250</v>
      </c>
      <c r="K1168" s="17" t="n">
        <v>260.74</v>
      </c>
      <c r="L1168" s="17" t="n">
        <v>0</v>
      </c>
      <c r="M1168" s="17" t="n">
        <v>0</v>
      </c>
      <c r="N1168" s="17">
        <f>K1168*0.08+L1168*0.08</f>
        <v/>
      </c>
      <c r="O1168" s="17">
        <f>-(K1168*0.025+L1168*0.025)</f>
        <v/>
      </c>
      <c r="P1168" s="17">
        <f>32</f>
        <v/>
      </c>
      <c r="Q1168" s="17">
        <f>J1168+L1168+N1168+O1168-P1168-M1168</f>
        <v/>
      </c>
    </row>
    <row r="1169">
      <c r="A1169" s="16" t="inlineStr">
        <is>
          <t>5.15-5.21</t>
        </is>
      </c>
      <c r="B1169" s="16" t="inlineStr">
        <is>
          <t>PO-128-14609034263672490</t>
        </is>
      </c>
      <c r="C1169" s="16" t="inlineStr">
        <is>
          <t>Shipped</t>
        </is>
      </c>
      <c r="D1169" s="16" t="inlineStr">
        <is>
          <t>128-14608958897272490</t>
        </is>
      </c>
      <c r="E1169" s="16" t="inlineStr">
        <is>
          <t>Shipped</t>
        </is>
      </c>
      <c r="F1169" s="16" t="inlineStr">
        <is>
          <t>LV54W25</t>
        </is>
      </c>
      <c r="G1169" s="16" t="inlineStr">
        <is>
          <t>TIANLAI Lámpara Ventilador E27 2 en 1, Silenciosa, LED Alta Luminosidad 180°, Instalación Rápida, Ahorro Energético para Dormitorio y Interiores Pequeños</t>
        </is>
      </c>
      <c r="H1169" s="16" t="inlineStr">
        <is>
          <t>1 Pieza</t>
        </is>
      </c>
      <c r="I1169" s="16" t="n">
        <v>2</v>
      </c>
      <c r="J1169" s="17" t="n">
        <v>148</v>
      </c>
      <c r="K1169" s="17" t="n">
        <v>154.24</v>
      </c>
      <c r="L1169" s="17" t="n">
        <v>25.86</v>
      </c>
      <c r="M1169" s="17" t="n">
        <v>0</v>
      </c>
      <c r="N1169" s="17">
        <f>K1169*0.08+L1169*0.08</f>
        <v/>
      </c>
      <c r="O1169" s="17">
        <f>-(K1169*0.025+L1169*0.025)</f>
        <v/>
      </c>
      <c r="P1169" s="17">
        <f>32</f>
        <v/>
      </c>
      <c r="Q1169" s="17">
        <f>J1169+L1169+N1169+O1169-P1169-M1169</f>
        <v/>
      </c>
    </row>
    <row r="1170">
      <c r="A1170" s="16" t="inlineStr">
        <is>
          <t>5.15-5.21</t>
        </is>
      </c>
      <c r="B1170" s="16" t="inlineStr">
        <is>
          <t>PO-128-14719418381432856</t>
        </is>
      </c>
      <c r="C1170" s="16" t="inlineStr">
        <is>
          <t>Shipped</t>
        </is>
      </c>
      <c r="D1170" s="16" t="inlineStr">
        <is>
          <t>128-14719470810232856</t>
        </is>
      </c>
      <c r="E1170" s="16" t="inlineStr">
        <is>
          <t>Shipped</t>
        </is>
      </c>
      <c r="F1170" s="16" t="inlineStr">
        <is>
          <t>LV54W25</t>
        </is>
      </c>
      <c r="G1170" s="16" t="inlineStr">
        <is>
          <t>TIANLAI Lámpara Ventilador E27 2 en 1, Silenciosa, LED Alta Luminosidad 180°, Instalación Rápida, Ahorro Energético para Dormitorio y Interiores Pequeños</t>
        </is>
      </c>
      <c r="H1170" s="16" t="inlineStr">
        <is>
          <t>1 Pieza</t>
        </is>
      </c>
      <c r="I1170" s="16" t="n">
        <v>2</v>
      </c>
      <c r="J1170" s="17" t="n">
        <v>148</v>
      </c>
      <c r="K1170" s="17" t="n">
        <v>154.24</v>
      </c>
      <c r="L1170" s="17" t="n">
        <v>25.86</v>
      </c>
      <c r="M1170" s="17" t="n">
        <v>0</v>
      </c>
      <c r="N1170" s="17">
        <f>K1170*0.08+L1170*0.08</f>
        <v/>
      </c>
      <c r="O1170" s="17">
        <f>-(K1170*0.025+L1170*0.025)</f>
        <v/>
      </c>
      <c r="P1170" s="17">
        <f>32</f>
        <v/>
      </c>
      <c r="Q1170" s="17">
        <f>J1170+L1170+N1170+O1170-P1170-M1170</f>
        <v/>
      </c>
    </row>
    <row r="1171">
      <c r="A1171" s="16" t="inlineStr">
        <is>
          <t>5.15-5.21</t>
        </is>
      </c>
      <c r="B1171" s="16" t="inlineStr">
        <is>
          <t>PO-128-14601973502073684</t>
        </is>
      </c>
      <c r="C1171" s="16" t="inlineStr">
        <is>
          <t>Shipped</t>
        </is>
      </c>
      <c r="D1171" s="16" t="inlineStr">
        <is>
          <t>128-14602041659513684</t>
        </is>
      </c>
      <c r="E1171" s="16" t="inlineStr">
        <is>
          <t>Shipped</t>
        </is>
      </c>
      <c r="F1171" s="16" t="inlineStr">
        <is>
          <t>LV64W25</t>
        </is>
      </c>
      <c r="G11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71" s="16" t="inlineStr">
        <is>
          <t>Blanco</t>
        </is>
      </c>
      <c r="I1171" s="16" t="n">
        <v>1</v>
      </c>
      <c r="J1171" s="17" t="n">
        <v>125</v>
      </c>
      <c r="K1171" s="17" t="n">
        <v>128.94</v>
      </c>
      <c r="L1171" s="17" t="n">
        <v>25.86</v>
      </c>
      <c r="M1171" s="17" t="n">
        <v>0</v>
      </c>
      <c r="N1171" s="17">
        <f>K1171*0.08+L1171*0.08</f>
        <v/>
      </c>
      <c r="O1171" s="17">
        <f>-(K1171*0.025+L1171*0.025)</f>
        <v/>
      </c>
      <c r="P1171" s="17">
        <f>32</f>
        <v/>
      </c>
      <c r="Q1171" s="17">
        <f>J1171+L1171+N1171+O1171-P1171-M1171</f>
        <v/>
      </c>
    </row>
    <row r="1172">
      <c r="A1172" s="16" t="inlineStr">
        <is>
          <t>5.15-5.21</t>
        </is>
      </c>
      <c r="B1172" s="16" t="inlineStr">
        <is>
          <t>PO-128-14800077407351289</t>
        </is>
      </c>
      <c r="C1172" s="16" t="inlineStr">
        <is>
          <t>Shipped</t>
        </is>
      </c>
      <c r="D1172" s="16" t="inlineStr">
        <is>
          <t>128-14800119350391289</t>
        </is>
      </c>
      <c r="E1172" s="16" t="inlineStr">
        <is>
          <t>Shipped</t>
        </is>
      </c>
      <c r="F1172" s="16" t="inlineStr">
        <is>
          <t>VB349T</t>
        </is>
      </c>
      <c r="G1172" s="16" t="inlineStr">
        <is>
          <t>LINKBITS Altavoz Portátil de Doble Altavoz - 3 Pulgadas, Sonido HD, Emparejamiento Rápido de Bluetooth, Conectividad TWS, Reproducción Multimodo (Micro SD/USB/Radio FM) - Perfecto para Oficina, Viajes y Espacios Pequeños</t>
        </is>
      </c>
      <c r="H1172" s="16" t="inlineStr">
        <is>
          <t>NEGRO</t>
        </is>
      </c>
      <c r="I1172" s="16" t="n">
        <v>1</v>
      </c>
      <c r="J1172" s="17" t="n">
        <v>81</v>
      </c>
      <c r="K1172" s="17" t="n">
        <v>8.050000000000001</v>
      </c>
      <c r="L1172" s="17" t="n">
        <v>25.86</v>
      </c>
      <c r="M1172" s="17" t="n">
        <v>0</v>
      </c>
      <c r="N1172" s="17">
        <f>K1172*0.08+L1172*0.08</f>
        <v/>
      </c>
      <c r="O1172" s="17">
        <f>-(K1172*0.025+L1172*0.025)</f>
        <v/>
      </c>
      <c r="P1172" s="17">
        <f>32</f>
        <v/>
      </c>
      <c r="Q1172" s="17">
        <f>J1172+L1172+N1172+O1172-P1172-M1172</f>
        <v/>
      </c>
    </row>
    <row r="1173">
      <c r="A1173" s="16" t="inlineStr">
        <is>
          <t>5.15-5.21</t>
        </is>
      </c>
      <c r="B1173" s="16" t="inlineStr">
        <is>
          <t>PO-128-14921106629751782</t>
        </is>
      </c>
      <c r="C1173" s="16" t="inlineStr">
        <is>
          <t>Shipped</t>
        </is>
      </c>
      <c r="D1173" s="16" t="inlineStr">
        <is>
          <t>128-14921096143991782</t>
        </is>
      </c>
      <c r="E1173" s="16" t="inlineStr">
        <is>
          <t>Shipped</t>
        </is>
      </c>
      <c r="F1173" s="16" t="inlineStr">
        <is>
          <t>KTS-2031</t>
        </is>
      </c>
      <c r="G1173" s="16" t="inlineStr">
        <is>
          <t>Bocina inalámbrica de 3 pulgadas con linterna multifuncional y panel solar integrado.Altavoz Portátil con Linterna LED 4 Modos, Radio FM, Bluetooth, Carga Solar, Ideal para Apagones, Emergencias, Campo y Exteriores</t>
        </is>
      </c>
      <c r="H1173" s="16" t="inlineStr">
        <is>
          <t>NEGRO</t>
        </is>
      </c>
      <c r="I1173" s="16" t="n">
        <v>1</v>
      </c>
      <c r="J1173" s="17" t="n">
        <v>77</v>
      </c>
      <c r="K1173" s="17" t="n">
        <v>68.98</v>
      </c>
      <c r="L1173" s="17" t="n">
        <v>25.86</v>
      </c>
      <c r="M1173" s="17" t="n">
        <v>0</v>
      </c>
      <c r="N1173" s="17">
        <f>K1173*0.08+L1173*0.08</f>
        <v/>
      </c>
      <c r="O1173" s="17">
        <f>-(K1173*0.025+L1173*0.025)</f>
        <v/>
      </c>
      <c r="P1173" s="17">
        <f>32</f>
        <v/>
      </c>
      <c r="Q1173" s="17">
        <f>J1173+L1173+N1173+O1173-P1173-M1173</f>
        <v/>
      </c>
    </row>
    <row r="1174">
      <c r="A1174" s="16" t="inlineStr">
        <is>
          <t>5.15-5.21</t>
        </is>
      </c>
      <c r="B1174" s="16" t="inlineStr">
        <is>
          <t>PO-128-14812398723191406</t>
        </is>
      </c>
      <c r="C1174" s="16" t="inlineStr">
        <is>
          <t>Shipped</t>
        </is>
      </c>
      <c r="D1174" s="16" t="inlineStr">
        <is>
          <t>128-14812432801911406</t>
        </is>
      </c>
      <c r="E1174" s="16" t="inlineStr">
        <is>
          <t>Shipped</t>
        </is>
      </c>
      <c r="F1174" s="16" t="inlineStr">
        <is>
          <t>LV54W25</t>
        </is>
      </c>
      <c r="G1174" s="16" t="inlineStr">
        <is>
          <t>TIANLAI Lámpara Ventilador E27 2 en 1, Silenciosa, LED Alta Luminosidad 180°, Instalación Rápida, Ahorro Energético para Dormitorio y Interiores Pequeños</t>
        </is>
      </c>
      <c r="H1174" s="16" t="inlineStr">
        <is>
          <t>1 Pieza</t>
        </is>
      </c>
      <c r="I1174" s="16" t="n">
        <v>2</v>
      </c>
      <c r="J1174" s="17" t="n">
        <v>148</v>
      </c>
      <c r="K1174" s="17" t="n">
        <v>128.71</v>
      </c>
      <c r="L1174" s="17" t="n">
        <v>25.86</v>
      </c>
      <c r="M1174" s="17" t="n">
        <v>0</v>
      </c>
      <c r="N1174" s="17">
        <f>K1174*0.08+L1174*0.08</f>
        <v/>
      </c>
      <c r="O1174" s="17">
        <f>-(K1174*0.025+L1174*0.025)</f>
        <v/>
      </c>
      <c r="P1174" s="17">
        <f>32</f>
        <v/>
      </c>
      <c r="Q1174" s="17">
        <f>J1174+L1174+N1174+O1174-P1174-M1174</f>
        <v/>
      </c>
    </row>
    <row r="1175">
      <c r="A1175" s="16" t="inlineStr">
        <is>
          <t>5.15-5.21</t>
        </is>
      </c>
      <c r="B1175" s="16" t="inlineStr">
        <is>
          <t>PO-128-14721012826232910</t>
        </is>
      </c>
      <c r="C1175" s="16" t="inlineStr">
        <is>
          <t>Shipped</t>
        </is>
      </c>
      <c r="D1175" s="16" t="inlineStr">
        <is>
          <t>128-14721019379832910</t>
        </is>
      </c>
      <c r="E1175" s="16" t="inlineStr">
        <is>
          <t>Shipped</t>
        </is>
      </c>
      <c r="F1175" s="16" t="inlineStr">
        <is>
          <t>LV54W25</t>
        </is>
      </c>
      <c r="G1175" s="16" t="inlineStr">
        <is>
          <t>TIANLAI Lámpara Ventilador E27 2 en 1, Silenciosa, LED Alta Luminosidad 180°, Instalación Rápida, Ahorro Energético para Dormitorio y Interiores Pequeños</t>
        </is>
      </c>
      <c r="H1175" s="16" t="inlineStr">
        <is>
          <t>1 Pieza</t>
        </is>
      </c>
      <c r="I1175" s="16" t="n">
        <v>1</v>
      </c>
      <c r="J1175" s="17" t="n">
        <v>74</v>
      </c>
      <c r="K1175" s="17" t="n">
        <v>68.55</v>
      </c>
      <c r="L1175" s="17" t="n">
        <v>25.86</v>
      </c>
      <c r="M1175" s="17" t="n">
        <v>0</v>
      </c>
      <c r="N1175" s="17">
        <f>K1175*0.08+L1175*0.08</f>
        <v/>
      </c>
      <c r="O1175" s="17">
        <f>-(K1175*0.025+L1175*0.025)</f>
        <v/>
      </c>
      <c r="P1175" s="17">
        <f>32</f>
        <v/>
      </c>
      <c r="Q1175" s="17">
        <f>J1175+L1175+N1175+O1175-P1175-M1175</f>
        <v/>
      </c>
    </row>
    <row r="1176">
      <c r="A1176" s="16" t="inlineStr">
        <is>
          <t>5.15-5.21</t>
        </is>
      </c>
      <c r="B1176" s="16" t="inlineStr">
        <is>
          <t>PO-128-14824552364151207</t>
        </is>
      </c>
      <c r="C1176" s="16" t="inlineStr">
        <is>
          <t>Shipped</t>
        </is>
      </c>
      <c r="D1176" s="16" t="inlineStr">
        <is>
          <t>128-14824657221751207</t>
        </is>
      </c>
      <c r="E1176" s="16" t="inlineStr">
        <is>
          <t>Shipped</t>
        </is>
      </c>
      <c r="F1176" s="16" t="inlineStr">
        <is>
          <t>LV54W25</t>
        </is>
      </c>
      <c r="G1176" s="16" t="inlineStr">
        <is>
          <t>TIANLAI Lámpara Ventilador E27 2 en 1, Silenciosa, LED Alta Luminosidad 180°, Instalación Rápida, Ahorro Energético para Dormitorio y Interiores Pequeños</t>
        </is>
      </c>
      <c r="H1176" s="16" t="inlineStr">
        <is>
          <t>1 Pieza</t>
        </is>
      </c>
      <c r="I1176" s="16" t="n">
        <v>1</v>
      </c>
      <c r="J1176" s="17" t="n">
        <v>74</v>
      </c>
      <c r="K1176" s="17" t="n">
        <v>77.12</v>
      </c>
      <c r="L1176" s="17" t="n">
        <v>25.86</v>
      </c>
      <c r="M1176" s="17" t="n">
        <v>0</v>
      </c>
      <c r="N1176" s="17">
        <f>K1176*0.08+L1176*0.08</f>
        <v/>
      </c>
      <c r="O1176" s="17">
        <f>-(K1176*0.025+L1176*0.025)</f>
        <v/>
      </c>
      <c r="P1176" s="17">
        <f>32</f>
        <v/>
      </c>
      <c r="Q1176" s="17">
        <f>J1176+L1176+N1176+O1176-P1176-M1176</f>
        <v/>
      </c>
    </row>
    <row r="1177">
      <c r="A1177" s="16" t="inlineStr">
        <is>
          <t>5.15-5.21</t>
        </is>
      </c>
      <c r="B1177" s="16" t="inlineStr">
        <is>
          <t>PO-128-14697250215032988</t>
        </is>
      </c>
      <c r="C1177" s="16" t="inlineStr">
        <is>
          <t>Shipped</t>
        </is>
      </c>
      <c r="D1177" s="16" t="inlineStr">
        <is>
          <t>128-14697197786232988</t>
        </is>
      </c>
      <c r="E1177" s="16" t="inlineStr">
        <is>
          <t>Shipped</t>
        </is>
      </c>
      <c r="F1177" s="16" t="inlineStr">
        <is>
          <t>LV64W25</t>
        </is>
      </c>
      <c r="G11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77" s="16" t="inlineStr">
        <is>
          <t>Blanco</t>
        </is>
      </c>
      <c r="I1177" s="16" t="n">
        <v>2</v>
      </c>
      <c r="J1177" s="17" t="n">
        <v>250</v>
      </c>
      <c r="K1177" s="17" t="n">
        <v>252.42</v>
      </c>
      <c r="L1177" s="17" t="n">
        <v>0</v>
      </c>
      <c r="M1177" s="17" t="n">
        <v>0</v>
      </c>
      <c r="N1177" s="17">
        <f>K1177*0.08+L1177*0.08</f>
        <v/>
      </c>
      <c r="O1177" s="17">
        <f>-(K1177*0.025+L1177*0.025)</f>
        <v/>
      </c>
      <c r="P1177" s="17">
        <f>32</f>
        <v/>
      </c>
      <c r="Q1177" s="17">
        <f>J1177+L1177+N1177+O1177-P1177-M1177</f>
        <v/>
      </c>
    </row>
    <row r="1178">
      <c r="A1178" s="16" t="inlineStr">
        <is>
          <t>5.15-5.21</t>
        </is>
      </c>
      <c r="B1178" s="16" t="inlineStr">
        <is>
          <t>PO-128-14904977928311686</t>
        </is>
      </c>
      <c r="C1178" s="16" t="inlineStr">
        <is>
          <t>Shipped</t>
        </is>
      </c>
      <c r="D1178" s="16" t="inlineStr">
        <is>
          <t>128-14905030357111686</t>
        </is>
      </c>
      <c r="E1178" s="16" t="inlineStr">
        <is>
          <t>Shipped</t>
        </is>
      </c>
      <c r="F1178" s="16" t="inlineStr">
        <is>
          <t>LV64W25</t>
        </is>
      </c>
      <c r="G11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78" s="16" t="inlineStr">
        <is>
          <t>Blanco</t>
        </is>
      </c>
      <c r="I1178" s="16" t="n">
        <v>8</v>
      </c>
      <c r="J1178" s="17" t="n">
        <v>1000</v>
      </c>
      <c r="K1178" s="17" t="n">
        <v>870.5599999999999</v>
      </c>
      <c r="L1178" s="17" t="n">
        <v>0</v>
      </c>
      <c r="M1178" s="17" t="n">
        <v>0</v>
      </c>
      <c r="N1178" s="17">
        <f>K1178*0.08+L1178*0.08</f>
        <v/>
      </c>
      <c r="O1178" s="17">
        <f>-(K1178*0.025+L1178*0.025)</f>
        <v/>
      </c>
      <c r="P1178" s="17">
        <f>32</f>
        <v/>
      </c>
      <c r="Q1178" s="17">
        <f>J1178+L1178+N1178+O1178-P1178-M1178</f>
        <v/>
      </c>
    </row>
    <row r="1179">
      <c r="A1179" s="16" t="inlineStr">
        <is>
          <t>5.15-5.21</t>
        </is>
      </c>
      <c r="B1179" s="16" t="inlineStr">
        <is>
          <t>PO-128-14878222533752039</t>
        </is>
      </c>
      <c r="C1179" s="16" t="inlineStr">
        <is>
          <t>Shipped</t>
        </is>
      </c>
      <c r="D1179" s="16" t="inlineStr">
        <is>
          <t>128-14878358848632039</t>
        </is>
      </c>
      <c r="E1179" s="16" t="inlineStr">
        <is>
          <t>Shipped</t>
        </is>
      </c>
      <c r="F1179" s="16" t="inlineStr">
        <is>
          <t>LV64W25</t>
        </is>
      </c>
      <c r="G11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79" s="16" t="inlineStr">
        <is>
          <t>Blanco</t>
        </is>
      </c>
      <c r="I1179" s="16" t="n">
        <v>2</v>
      </c>
      <c r="J1179" s="17" t="n">
        <v>250</v>
      </c>
      <c r="K1179" s="17" t="n">
        <v>257.87</v>
      </c>
      <c r="L1179" s="17" t="n">
        <v>0</v>
      </c>
      <c r="M1179" s="17" t="n">
        <v>0</v>
      </c>
      <c r="N1179" s="17">
        <f>K1179*0.08+L1179*0.08</f>
        <v/>
      </c>
      <c r="O1179" s="17">
        <f>-(K1179*0.025+L1179*0.025)</f>
        <v/>
      </c>
      <c r="P1179" s="17">
        <f>32</f>
        <v/>
      </c>
      <c r="Q1179" s="17">
        <f>J1179+L1179+N1179+O1179-P1179-M1179</f>
        <v/>
      </c>
    </row>
    <row r="1180">
      <c r="A1180" s="16" t="inlineStr">
        <is>
          <t>5.15-5.21</t>
        </is>
      </c>
      <c r="B1180" s="16" t="inlineStr">
        <is>
          <t>PO-128-14927963717751551</t>
        </is>
      </c>
      <c r="C1180" s="16" t="inlineStr">
        <is>
          <t>Shipped</t>
        </is>
      </c>
      <c r="D1180" s="16" t="inlineStr">
        <is>
          <t>128-14928016146551551</t>
        </is>
      </c>
      <c r="E1180" s="16" t="inlineStr">
        <is>
          <t>Shipped</t>
        </is>
      </c>
      <c r="F1180" s="16" t="inlineStr">
        <is>
          <t>KTS-1936</t>
        </is>
      </c>
      <c r="G1180" s="16" t="inlineStr">
        <is>
          <t>Espejo con Luz para Makeup，Espejo con Luz LED y Bocina Bluetooth，Espejo para Maquillaje con Aumentos y Luces LED de Intensidad Ajustable，Lente de Aumento 10X+Reproductor TF+ TWS，espejo de portátil y para estudiantes, oficina, dormitorio, mejor regalo</t>
        </is>
      </c>
      <c r="H1180" s="16" t="inlineStr">
        <is>
          <t>BLANCO</t>
        </is>
      </c>
      <c r="I1180" s="16" t="n">
        <v>1</v>
      </c>
      <c r="J1180" s="17" t="n">
        <v>217.75</v>
      </c>
      <c r="K1180" s="17" t="n">
        <v>245.59</v>
      </c>
      <c r="L1180" s="17" t="n">
        <v>25.86</v>
      </c>
      <c r="M1180" s="17" t="n">
        <v>0</v>
      </c>
      <c r="N1180" s="17">
        <f>K1180*0.08+L1180*0.08</f>
        <v/>
      </c>
      <c r="O1180" s="17">
        <f>-(K1180*0.025+L1180*0.025)</f>
        <v/>
      </c>
      <c r="P1180" s="17">
        <f>32</f>
        <v/>
      </c>
      <c r="Q1180" s="17">
        <f>J1180+L1180+N1180+O1180-P1180-M1180</f>
        <v/>
      </c>
    </row>
    <row r="1181">
      <c r="A1181" s="16" t="inlineStr">
        <is>
          <t>5.15-5.21</t>
        </is>
      </c>
      <c r="B1181" s="16" t="inlineStr">
        <is>
          <t>PO-128-14875948536951989</t>
        </is>
      </c>
      <c r="C1181" s="16" t="inlineStr">
        <is>
          <t>Shipped</t>
        </is>
      </c>
      <c r="D1181" s="16" t="inlineStr">
        <is>
          <t>128-14876000965751989</t>
        </is>
      </c>
      <c r="E1181" s="16" t="inlineStr">
        <is>
          <t>Shipped</t>
        </is>
      </c>
      <c r="F1181" s="16" t="inlineStr">
        <is>
          <t>VA371T</t>
        </is>
      </c>
      <c r="G1181" s="16" t="inlineStr">
        <is>
          <t>Linkbits Bocina Bluetooth Portátil 3" de Alta Gama，Hi-Res Audio y Graves Potentes，Luces LED + Soporte USB/TF/FM/TWS，Ideal para Hogar y Aire Libre</t>
        </is>
      </c>
      <c r="H1181" s="16" t="inlineStr">
        <is>
          <t>VA371T</t>
        </is>
      </c>
      <c r="I1181" s="16" t="n">
        <v>1</v>
      </c>
      <c r="J1181" s="17" t="n">
        <v>45.8</v>
      </c>
      <c r="K1181" s="17" t="n">
        <v>11.06</v>
      </c>
      <c r="L1181" s="17" t="n">
        <v>25.86</v>
      </c>
      <c r="M1181" s="17" t="n">
        <v>0</v>
      </c>
      <c r="N1181" s="17">
        <f>K1181*0.08+L1181*0.08</f>
        <v/>
      </c>
      <c r="O1181" s="17">
        <f>-(K1181*0.025+L1181*0.025)</f>
        <v/>
      </c>
      <c r="P1181" s="17">
        <f>32</f>
        <v/>
      </c>
      <c r="Q1181" s="17">
        <f>J1181+L1181+N1181+O1181-P1181-M1181</f>
        <v/>
      </c>
    </row>
    <row r="1182">
      <c r="A1182" s="16" t="inlineStr">
        <is>
          <t>5.15-5.21</t>
        </is>
      </c>
      <c r="B1182" s="16" t="inlineStr">
        <is>
          <t>PO-128-14701641045113026</t>
        </is>
      </c>
      <c r="C1182" s="16" t="inlineStr">
        <is>
          <t>Shipped</t>
        </is>
      </c>
      <c r="D1182" s="16" t="inlineStr">
        <is>
          <t>128-14701693473913026</t>
        </is>
      </c>
      <c r="E1182" s="16" t="inlineStr">
        <is>
          <t>Shipped</t>
        </is>
      </c>
      <c r="F1182" s="16" t="inlineStr">
        <is>
          <t>LV64W25</t>
        </is>
      </c>
      <c r="G11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82" s="16" t="inlineStr">
        <is>
          <t>Blanco</t>
        </is>
      </c>
      <c r="I1182" s="16" t="n">
        <v>2</v>
      </c>
      <c r="J1182" s="17" t="n">
        <v>250</v>
      </c>
      <c r="K1182" s="17" t="n">
        <v>257.88</v>
      </c>
      <c r="L1182" s="17" t="n">
        <v>0</v>
      </c>
      <c r="M1182" s="17" t="n">
        <v>0</v>
      </c>
      <c r="N1182" s="17">
        <f>K1182*0.08+L1182*0.08</f>
        <v/>
      </c>
      <c r="O1182" s="17">
        <f>-(K1182*0.025+L1182*0.025)</f>
        <v/>
      </c>
      <c r="P1182" s="17">
        <f>32</f>
        <v/>
      </c>
      <c r="Q1182" s="17">
        <f>J1182+L1182+N1182+O1182-P1182-M1182</f>
        <v/>
      </c>
    </row>
    <row r="1183">
      <c r="A1183" s="16" t="inlineStr">
        <is>
          <t>5.15-5.21</t>
        </is>
      </c>
      <c r="B1183" s="16" t="inlineStr">
        <is>
          <t>PO-128-14950618801270390</t>
        </is>
      </c>
      <c r="C1183" s="16" t="inlineStr">
        <is>
          <t>Shipped</t>
        </is>
      </c>
      <c r="D1183" s="16" t="inlineStr">
        <is>
          <t>128-14950639772790390</t>
        </is>
      </c>
      <c r="E1183" s="16" t="inlineStr">
        <is>
          <t>Shipped</t>
        </is>
      </c>
      <c r="F1183" s="16" t="inlineStr">
        <is>
          <t>TL1412N17C</t>
        </is>
      </c>
      <c r="G1183" s="16" t="inlineStr">
        <is>
          <t>Linkbits, Soporte de Pared Fijo para TV y Monitor de 14"-43", Ultra Delgado 2.3cm, Fuerte Capacidad de Peso de 25KG, Fácil Instalación con Accesorios Completos</t>
        </is>
      </c>
      <c r="H1183" s="16" t="inlineStr">
        <is>
          <t>NEGRO</t>
        </is>
      </c>
      <c r="I1183" s="16" t="n">
        <v>1</v>
      </c>
      <c r="J1183" s="17" t="n">
        <v>36.84</v>
      </c>
      <c r="K1183" s="17" t="n">
        <v>48.54</v>
      </c>
      <c r="L1183" s="17" t="n">
        <v>25.86</v>
      </c>
      <c r="M1183" s="17" t="n">
        <v>0</v>
      </c>
      <c r="N1183" s="17">
        <f>K1183*0.08+L1183*0.08</f>
        <v/>
      </c>
      <c r="O1183" s="17">
        <f>-(K1183*0.025+L1183*0.025)</f>
        <v/>
      </c>
      <c r="P1183" s="17">
        <f>32</f>
        <v/>
      </c>
      <c r="Q1183" s="17">
        <f>J1183+L1183+N1183+O1183-P1183-M1183</f>
        <v/>
      </c>
    </row>
    <row r="1184">
      <c r="A1184" s="16" t="inlineStr">
        <is>
          <t>5.15-5.21</t>
        </is>
      </c>
      <c r="B1184" s="16" t="inlineStr">
        <is>
          <t>PO-128-15035722724470909</t>
        </is>
      </c>
      <c r="C1184" s="16" t="inlineStr">
        <is>
          <t>Shipped</t>
        </is>
      </c>
      <c r="D1184" s="16" t="inlineStr">
        <is>
          <t>128-15035701752950909</t>
        </is>
      </c>
      <c r="E1184" s="16" t="inlineStr">
        <is>
          <t>Shipped</t>
        </is>
      </c>
      <c r="F1184" s="16" t="inlineStr">
        <is>
          <t>KTS-2031</t>
        </is>
      </c>
      <c r="G1184" s="16" t="inlineStr">
        <is>
          <t>Bocina inalámbrica de 3 pulgadas con linterna multifuncional y panel solar integrado.Altavoz Portátil con Linterna LED 4 Modos, Radio FM, Bluetooth, Carga Solar, Ideal para Apagones, Emergencias, Campo y Exteriores</t>
        </is>
      </c>
      <c r="H1184" s="16" t="inlineStr">
        <is>
          <t>NEGRO</t>
        </is>
      </c>
      <c r="I1184" s="16" t="n">
        <v>3</v>
      </c>
      <c r="J1184" s="17" t="n">
        <v>231</v>
      </c>
      <c r="K1184" s="17" t="n">
        <v>206.94</v>
      </c>
      <c r="L1184" s="17" t="n">
        <v>0</v>
      </c>
      <c r="M1184" s="17" t="n">
        <v>0</v>
      </c>
      <c r="N1184" s="17">
        <f>K1184*0.08+L1184*0.08</f>
        <v/>
      </c>
      <c r="O1184" s="17">
        <f>-(K1184*0.025+L1184*0.025)</f>
        <v/>
      </c>
      <c r="P1184" s="17">
        <f>32</f>
        <v/>
      </c>
      <c r="Q1184" s="17">
        <f>J1184+L1184+N1184+O1184-P1184-M1184</f>
        <v/>
      </c>
    </row>
    <row r="1185">
      <c r="A1185" s="16" t="inlineStr">
        <is>
          <t>5.15-5.21</t>
        </is>
      </c>
      <c r="B1185" s="16" t="inlineStr">
        <is>
          <t>PO-128-15105050202230559</t>
        </is>
      </c>
      <c r="C1185" s="16" t="inlineStr">
        <is>
          <t>Shipped</t>
        </is>
      </c>
      <c r="D1185" s="16" t="inlineStr">
        <is>
          <t>128-15105060687990559</t>
        </is>
      </c>
      <c r="E1185" s="16" t="inlineStr">
        <is>
          <t>Shipped</t>
        </is>
      </c>
      <c r="F1185" s="16" t="inlineStr">
        <is>
          <t>LV64W25</t>
        </is>
      </c>
      <c r="G11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85" s="16" t="inlineStr">
        <is>
          <t>Blanco</t>
        </is>
      </c>
      <c r="I1185" s="16" t="n">
        <v>1</v>
      </c>
      <c r="J1185" s="17" t="n">
        <v>125</v>
      </c>
      <c r="K1185" s="17" t="n">
        <v>128.94</v>
      </c>
      <c r="L1185" s="17" t="n">
        <v>25.86</v>
      </c>
      <c r="M1185" s="17" t="n">
        <v>0</v>
      </c>
      <c r="N1185" s="17">
        <f>K1185*0.08+L1185*0.08</f>
        <v/>
      </c>
      <c r="O1185" s="17">
        <f>-(K1185*0.025+L1185*0.025)</f>
        <v/>
      </c>
      <c r="P1185" s="17">
        <f>32</f>
        <v/>
      </c>
      <c r="Q1185" s="17">
        <f>J1185+L1185+N1185+O1185-P1185-M1185</f>
        <v/>
      </c>
    </row>
    <row r="1186">
      <c r="A1186" s="16" t="inlineStr">
        <is>
          <t>5.15-5.21</t>
        </is>
      </c>
      <c r="B1186" s="16" t="inlineStr">
        <is>
          <t>PO-128-14953146263670441</t>
        </is>
      </c>
      <c r="C1186" s="16" t="inlineStr">
        <is>
          <t>Shipped</t>
        </is>
      </c>
      <c r="D1186" s="16" t="inlineStr">
        <is>
          <t>128-14953167235190441</t>
        </is>
      </c>
      <c r="E1186" s="16" t="inlineStr">
        <is>
          <t>Shipped</t>
        </is>
      </c>
      <c r="F1186" s="16" t="inlineStr">
        <is>
          <t>KTS-2031</t>
        </is>
      </c>
      <c r="G1186" s="16" t="inlineStr">
        <is>
          <t>Bocina inalámbrica de 3 pulgadas con linterna multifuncional y panel solar integrado.Altavoz Portátil con Linterna LED 4 Modos, Radio FM, Bluetooth, Carga Solar, Ideal para Apagones, Emergencias, Campo y Exteriores</t>
        </is>
      </c>
      <c r="H1186" s="16" t="inlineStr">
        <is>
          <t>NEGRO</t>
        </is>
      </c>
      <c r="I1186" s="16" t="n">
        <v>1</v>
      </c>
      <c r="J1186" s="17" t="n">
        <v>77</v>
      </c>
      <c r="K1186" s="17" t="n">
        <v>3.46</v>
      </c>
      <c r="L1186" s="17" t="n">
        <v>25.86</v>
      </c>
      <c r="M1186" s="17" t="n">
        <v>0</v>
      </c>
      <c r="N1186" s="17">
        <f>K1186*0.08+L1186*0.08</f>
        <v/>
      </c>
      <c r="O1186" s="17">
        <f>-(K1186*0.025+L1186*0.025)</f>
        <v/>
      </c>
      <c r="P1186" s="17">
        <f>32</f>
        <v/>
      </c>
      <c r="Q1186" s="17">
        <f>J1186+L1186+N1186+O1186-P1186-M1186</f>
        <v/>
      </c>
    </row>
    <row r="1187">
      <c r="A1187" s="16" t="inlineStr">
        <is>
          <t>5.15-5.21</t>
        </is>
      </c>
      <c r="B1187" s="16" t="inlineStr">
        <is>
          <t>PO-128-14876155589751986</t>
        </is>
      </c>
      <c r="C1187" s="16" t="inlineStr">
        <is>
          <t>Shipped</t>
        </is>
      </c>
      <c r="D1187" s="16" t="inlineStr">
        <is>
          <t>128-14876113646711986</t>
        </is>
      </c>
      <c r="E1187" s="16" t="inlineStr">
        <is>
          <t>Shipped</t>
        </is>
      </c>
      <c r="F1187" s="16" t="inlineStr">
        <is>
          <t>BSC04</t>
        </is>
      </c>
      <c r="G1187" s="16" t="inlineStr">
        <is>
          <t>TIANLAI Báscula Digital BSC04/BSC07, Alta Precisión, Fácil Operación, Ligera y Portátil, Función Tara, Unidad Dual oz/g, Ideal para Cocina, Control de Porciones, Sellos y Objetos Pequeños, Uso en Hogar y Viaje</t>
        </is>
      </c>
      <c r="H1187" s="16" t="inlineStr">
        <is>
          <t>5g/White</t>
        </is>
      </c>
      <c r="I1187" s="16" t="n">
        <v>1</v>
      </c>
      <c r="J1187" s="17" t="n">
        <v>58</v>
      </c>
      <c r="K1187" s="17" t="n">
        <v>31.19</v>
      </c>
      <c r="L1187" s="17" t="n">
        <v>25.86</v>
      </c>
      <c r="M1187" s="17" t="n">
        <v>0</v>
      </c>
      <c r="N1187" s="17">
        <f>K1187*0.08+L1187*0.08</f>
        <v/>
      </c>
      <c r="O1187" s="17">
        <f>-(K1187*0.025+L1187*0.025)</f>
        <v/>
      </c>
      <c r="P1187" s="17">
        <f>32</f>
        <v/>
      </c>
      <c r="Q1187" s="17">
        <f>J1187+L1187+N1187+O1187-P1187-M1187</f>
        <v/>
      </c>
    </row>
    <row r="1188">
      <c r="A1188" s="16" t="inlineStr">
        <is>
          <t>5.15-5.21</t>
        </is>
      </c>
      <c r="B1188" s="16" t="inlineStr">
        <is>
          <t>PO-128-15070980268150888</t>
        </is>
      </c>
      <c r="C1188" s="16" t="inlineStr">
        <is>
          <t>Shipped</t>
        </is>
      </c>
      <c r="D1188" s="16" t="inlineStr">
        <is>
          <t>128-15071048425590888</t>
        </is>
      </c>
      <c r="E1188" s="16" t="inlineStr">
        <is>
          <t>Shipped</t>
        </is>
      </c>
      <c r="F1188" s="16" t="inlineStr">
        <is>
          <t>LV64W25</t>
        </is>
      </c>
      <c r="G11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88" s="16" t="inlineStr">
        <is>
          <t>Blanco</t>
        </is>
      </c>
      <c r="I1188" s="16" t="n">
        <v>1</v>
      </c>
      <c r="J1188" s="17" t="n">
        <v>125</v>
      </c>
      <c r="K1188" s="17" t="n">
        <v>143.26</v>
      </c>
      <c r="L1188" s="17" t="n">
        <v>25.86</v>
      </c>
      <c r="M1188" s="17" t="n">
        <v>0</v>
      </c>
      <c r="N1188" s="17">
        <f>K1188*0.08+L1188*0.08</f>
        <v/>
      </c>
      <c r="O1188" s="17">
        <f>-(K1188*0.025+L1188*0.025)</f>
        <v/>
      </c>
      <c r="P1188" s="17">
        <f>32</f>
        <v/>
      </c>
      <c r="Q1188" s="17">
        <f>J1188+L1188+N1188+O1188-P1188-M1188</f>
        <v/>
      </c>
    </row>
    <row r="1189">
      <c r="A1189" s="16" t="inlineStr">
        <is>
          <t>5.15-5.21</t>
        </is>
      </c>
      <c r="B1189" s="16" t="inlineStr">
        <is>
          <t>PO-128-14983814833270320</t>
        </is>
      </c>
      <c r="C1189" s="16" t="inlineStr">
        <is>
          <t>Shipped</t>
        </is>
      </c>
      <c r="D1189" s="16" t="inlineStr">
        <is>
          <t>128-14983772890230320</t>
        </is>
      </c>
      <c r="E1189" s="16" t="inlineStr">
        <is>
          <t>Shipped</t>
        </is>
      </c>
      <c r="F1189" s="16" t="inlineStr">
        <is>
          <t>LV54W25</t>
        </is>
      </c>
      <c r="G1189" s="16" t="inlineStr">
        <is>
          <t>TIANLAI Lámpara Ventilador E27 2 en 1, Silenciosa, LED Alta Luminosidad 180°, Instalación Rápida, Ahorro Energético para Dormitorio y Interiores Pequeños</t>
        </is>
      </c>
      <c r="H1189" s="16" t="inlineStr">
        <is>
          <t>1 Pieza</t>
        </is>
      </c>
      <c r="I1189" s="16" t="n">
        <v>1</v>
      </c>
      <c r="J1189" s="17" t="n">
        <v>74</v>
      </c>
      <c r="K1189" s="17" t="n">
        <v>77.12</v>
      </c>
      <c r="L1189" s="17" t="n">
        <v>25.86</v>
      </c>
      <c r="M1189" s="17" t="n">
        <v>0</v>
      </c>
      <c r="N1189" s="17">
        <f>K1189*0.08+L1189*0.08</f>
        <v/>
      </c>
      <c r="O1189" s="17">
        <f>-(K1189*0.025+L1189*0.025)</f>
        <v/>
      </c>
      <c r="P1189" s="17">
        <f>32</f>
        <v/>
      </c>
      <c r="Q1189" s="17">
        <f>J1189+L1189+N1189+O1189-P1189-M1189</f>
        <v/>
      </c>
    </row>
    <row r="1190">
      <c r="A1190" s="16" t="inlineStr">
        <is>
          <t>5.15-5.21</t>
        </is>
      </c>
      <c r="B1190" s="16" t="inlineStr">
        <is>
          <t>PO-128-15084197292150682</t>
        </is>
      </c>
      <c r="C1190" s="16" t="inlineStr">
        <is>
          <t>Shipped</t>
        </is>
      </c>
      <c r="D1190" s="16" t="inlineStr">
        <is>
          <t>128-15084155349110682</t>
        </is>
      </c>
      <c r="E1190" s="16" t="inlineStr">
        <is>
          <t>Shipped</t>
        </is>
      </c>
      <c r="F1190" s="16" t="inlineStr">
        <is>
          <t>BSC07</t>
        </is>
      </c>
      <c r="G1190" s="16" t="inlineStr">
        <is>
          <t>TIANLAI Báscula Digital BSC04/BSC07, Alta Precisión, Fácil Operación, Ligera y Portátil, Función Tara, Unidad Dual oz/g, Ideal para Cocina, Control de Porciones, Sellos y Objetos Pequeños, Uso en Hogar y Viaje</t>
        </is>
      </c>
      <c r="H1190" s="16" t="inlineStr">
        <is>
          <t>1g/White</t>
        </is>
      </c>
      <c r="I1190" s="16" t="n">
        <v>1</v>
      </c>
      <c r="J1190" s="17" t="n">
        <v>38</v>
      </c>
      <c r="K1190" s="17" t="n">
        <v>50.22</v>
      </c>
      <c r="L1190" s="17" t="n">
        <v>25.86</v>
      </c>
      <c r="M1190" s="17" t="n">
        <v>0</v>
      </c>
      <c r="N1190" s="17">
        <f>K1190*0.08+L1190*0.08</f>
        <v/>
      </c>
      <c r="O1190" s="17">
        <f>-(K1190*0.025+L1190*0.025)</f>
        <v/>
      </c>
      <c r="P1190" s="17">
        <f>32</f>
        <v/>
      </c>
      <c r="Q1190" s="17">
        <f>J1190+L1190+N1190+O1190-P1190-M1190</f>
        <v/>
      </c>
    </row>
    <row r="1191">
      <c r="A1191" s="16" t="inlineStr">
        <is>
          <t>5.15-5.21</t>
        </is>
      </c>
      <c r="B1191" s="16" t="inlineStr">
        <is>
          <t>PO-128-14767182938232637</t>
        </is>
      </c>
      <c r="C1191" s="16" t="inlineStr">
        <is>
          <t>Shipped</t>
        </is>
      </c>
      <c r="D1191" s="16" t="inlineStr">
        <is>
          <t>128-14767253717112637</t>
        </is>
      </c>
      <c r="E1191" s="16" t="inlineStr">
        <is>
          <t>Shipped</t>
        </is>
      </c>
      <c r="F1191" s="16" t="inlineStr">
        <is>
          <t>LV64W25</t>
        </is>
      </c>
      <c r="G11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91" s="16" t="inlineStr">
        <is>
          <t>Blanco</t>
        </is>
      </c>
      <c r="I1191" s="16" t="n">
        <v>1</v>
      </c>
      <c r="J1191" s="17" t="n">
        <v>125</v>
      </c>
      <c r="K1191" s="17" t="n">
        <v>130.37</v>
      </c>
      <c r="L1191" s="17" t="n">
        <v>25.86</v>
      </c>
      <c r="M1191" s="17" t="n">
        <v>0</v>
      </c>
      <c r="N1191" s="17">
        <f>K1191*0.08+L1191*0.08</f>
        <v/>
      </c>
      <c r="O1191" s="17">
        <f>-(K1191*0.025+L1191*0.025)</f>
        <v/>
      </c>
      <c r="P1191" s="17">
        <f>32</f>
        <v/>
      </c>
      <c r="Q1191" s="17">
        <f>J1191+L1191+N1191+O1191-P1191-M1191</f>
        <v/>
      </c>
    </row>
    <row r="1192">
      <c r="A1192" s="16" t="inlineStr">
        <is>
          <t>5.15-5.21</t>
        </is>
      </c>
      <c r="B1192" s="16" t="inlineStr">
        <is>
          <t>PO-128-14715585733752817</t>
        </is>
      </c>
      <c r="C1192" s="16" t="inlineStr">
        <is>
          <t>Shipped</t>
        </is>
      </c>
      <c r="D1192" s="16" t="inlineStr">
        <is>
          <t>128-14715606705272817</t>
        </is>
      </c>
      <c r="E1192" s="16" t="inlineStr">
        <is>
          <t>Shipped</t>
        </is>
      </c>
      <c r="F1192" s="16" t="inlineStr">
        <is>
          <t>LV54W25</t>
        </is>
      </c>
      <c r="G1192" s="16" t="inlineStr">
        <is>
          <t>TIANLAI Lámpara Ventilador E27 2 en 1, Silenciosa, LED Alta Luminosidad 180°, Instalación Rápida, Ahorro Energético para Dormitorio y Interiores Pequeños</t>
        </is>
      </c>
      <c r="H1192" s="16" t="inlineStr">
        <is>
          <t>1 Pieza</t>
        </is>
      </c>
      <c r="I1192" s="16" t="n">
        <v>2</v>
      </c>
      <c r="J1192" s="17" t="n">
        <v>148</v>
      </c>
      <c r="K1192" s="17" t="n">
        <v>171.36</v>
      </c>
      <c r="L1192" s="17" t="n">
        <v>25.86</v>
      </c>
      <c r="M1192" s="17" t="n">
        <v>0</v>
      </c>
      <c r="N1192" s="17">
        <f>K1192*0.08+L1192*0.08</f>
        <v/>
      </c>
      <c r="O1192" s="17">
        <f>-(K1192*0.025+L1192*0.025)</f>
        <v/>
      </c>
      <c r="P1192" s="17">
        <f>32</f>
        <v/>
      </c>
      <c r="Q1192" s="17">
        <f>J1192+L1192+N1192+O1192-P1192-M1192</f>
        <v/>
      </c>
    </row>
    <row r="1193">
      <c r="A1193" s="16" t="inlineStr">
        <is>
          <t>5.15-5.21</t>
        </is>
      </c>
      <c r="B1193" s="16" t="inlineStr">
        <is>
          <t>PO-128-14470046912633446</t>
        </is>
      </c>
      <c r="C1193" s="16" t="inlineStr">
        <is>
          <t>Shipped</t>
        </is>
      </c>
      <c r="D1193" s="16" t="inlineStr">
        <is>
          <t>128-14470151770233446</t>
        </is>
      </c>
      <c r="E1193" s="16" t="inlineStr">
        <is>
          <t>Shipped</t>
        </is>
      </c>
      <c r="F1193" s="16" t="inlineStr">
        <is>
          <t>SA323T</t>
        </is>
      </c>
      <c r="G1193"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193" s="16" t="inlineStr">
        <is>
          <t>AZUL/SA323T</t>
        </is>
      </c>
      <c r="I1193" s="16" t="n">
        <v>1</v>
      </c>
      <c r="J1193" s="17" t="n">
        <v>60</v>
      </c>
      <c r="K1193" s="17" t="n">
        <v>17.34</v>
      </c>
      <c r="L1193" s="17" t="n">
        <v>25.86</v>
      </c>
      <c r="M1193" s="17" t="n">
        <v>0</v>
      </c>
      <c r="N1193" s="17">
        <f>K1193*0.08+L1193*0.08</f>
        <v/>
      </c>
      <c r="O1193" s="17">
        <f>-(K1193*0.025+L1193*0.025)</f>
        <v/>
      </c>
      <c r="P1193" s="17">
        <f>32</f>
        <v/>
      </c>
      <c r="Q1193" s="17">
        <f>J1193+L1193+N1193+O1193-P1193-M1193</f>
        <v/>
      </c>
    </row>
    <row r="1194">
      <c r="A1194" s="16" t="inlineStr">
        <is>
          <t>5.15-5.21</t>
        </is>
      </c>
      <c r="B1194" s="16" t="inlineStr">
        <is>
          <t>PO-128-14661370606712242</t>
        </is>
      </c>
      <c r="C1194" s="16" t="inlineStr">
        <is>
          <t>Shipped</t>
        </is>
      </c>
      <c r="D1194" s="16" t="inlineStr">
        <is>
          <t>128-14661423035512242</t>
        </is>
      </c>
      <c r="E1194" s="16" t="inlineStr">
        <is>
          <t>Shipped</t>
        </is>
      </c>
      <c r="F1194" s="16" t="inlineStr">
        <is>
          <t>LV64W25</t>
        </is>
      </c>
      <c r="G11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194" s="16" t="inlineStr">
        <is>
          <t>Blanco</t>
        </is>
      </c>
      <c r="I1194" s="16" t="n">
        <v>2</v>
      </c>
      <c r="J1194" s="17" t="n">
        <v>250</v>
      </c>
      <c r="K1194" s="17" t="n">
        <v>260.74</v>
      </c>
      <c r="L1194" s="17" t="n">
        <v>0</v>
      </c>
      <c r="M1194" s="17" t="n">
        <v>0</v>
      </c>
      <c r="N1194" s="17">
        <f>K1194*0.08+L1194*0.08</f>
        <v/>
      </c>
      <c r="O1194" s="17">
        <f>-(K1194*0.025+L1194*0.025)</f>
        <v/>
      </c>
      <c r="P1194" s="17">
        <f>32</f>
        <v/>
      </c>
      <c r="Q1194" s="17">
        <f>J1194+L1194+N1194+O1194-P1194-M1194</f>
        <v/>
      </c>
    </row>
    <row r="1195">
      <c r="A1195" s="16" t="inlineStr">
        <is>
          <t>5.15-5.21</t>
        </is>
      </c>
      <c r="B1195" s="16" t="inlineStr">
        <is>
          <t>PO-128-14712086464632836</t>
        </is>
      </c>
      <c r="C1195" s="16" t="inlineStr">
        <is>
          <t>Shipped</t>
        </is>
      </c>
      <c r="D1195" s="16" t="inlineStr">
        <is>
          <t>128-14712044521592836</t>
        </is>
      </c>
      <c r="E1195" s="16" t="inlineStr">
        <is>
          <t>Shipped</t>
        </is>
      </c>
      <c r="F1195" s="16" t="inlineStr">
        <is>
          <t>LV54W25</t>
        </is>
      </c>
      <c r="G1195" s="16" t="inlineStr">
        <is>
          <t>TIANLAI Lámpara Ventilador E27 2 en 1, Silenciosa, LED Alta Luminosidad 180°, Instalación Rápida, Ahorro Energético para Dormitorio y Interiores Pequeños</t>
        </is>
      </c>
      <c r="H1195" s="16" t="inlineStr">
        <is>
          <t>1 Pieza</t>
        </is>
      </c>
      <c r="I1195" s="16" t="n">
        <v>1</v>
      </c>
      <c r="J1195" s="17" t="n">
        <v>74</v>
      </c>
      <c r="K1195" s="17" t="n">
        <v>77.12</v>
      </c>
      <c r="L1195" s="17" t="n">
        <v>25.86</v>
      </c>
      <c r="M1195" s="17" t="n">
        <v>0</v>
      </c>
      <c r="N1195" s="17">
        <f>K1195*0.08+L1195*0.08</f>
        <v/>
      </c>
      <c r="O1195" s="17">
        <f>-(K1195*0.025+L1195*0.025)</f>
        <v/>
      </c>
      <c r="P1195" s="17">
        <f>32</f>
        <v/>
      </c>
      <c r="Q1195" s="17">
        <f>J1195+L1195+N1195+O1195-P1195-M1195</f>
        <v/>
      </c>
    </row>
    <row r="1196">
      <c r="A1196" s="16" t="inlineStr">
        <is>
          <t>5.15-5.21</t>
        </is>
      </c>
      <c r="B1196" s="16" t="inlineStr">
        <is>
          <t>PO-128-14953162186870441</t>
        </is>
      </c>
      <c r="C1196" s="16" t="inlineStr">
        <is>
          <t>Shipped</t>
        </is>
      </c>
      <c r="D1196" s="16" t="inlineStr">
        <is>
          <t>128-14953120243830441</t>
        </is>
      </c>
      <c r="E1196" s="16" t="inlineStr">
        <is>
          <t>Shipped</t>
        </is>
      </c>
      <c r="F1196" s="16" t="inlineStr">
        <is>
          <t>KTS-2031</t>
        </is>
      </c>
      <c r="G1196" s="16" t="inlineStr">
        <is>
          <t>Bocina inalámbrica de 3 pulgadas con linterna multifuncional y panel solar integrado.Altavoz Portátil con Linterna LED 4 Modos, Radio FM, Bluetooth, Carga Solar, Ideal para Apagones, Emergencias, Campo y Exteriores</t>
        </is>
      </c>
      <c r="H1196" s="16" t="inlineStr">
        <is>
          <t>NEGRO</t>
        </is>
      </c>
      <c r="I1196" s="16" t="n">
        <v>1</v>
      </c>
      <c r="J1196" s="17" t="n">
        <v>77</v>
      </c>
      <c r="K1196" s="17" t="n">
        <v>3.46</v>
      </c>
      <c r="L1196" s="17" t="n">
        <v>25.86</v>
      </c>
      <c r="M1196" s="17" t="n">
        <v>0</v>
      </c>
      <c r="N1196" s="17">
        <f>K1196*0.08+L1196*0.08</f>
        <v/>
      </c>
      <c r="O1196" s="17">
        <f>-(K1196*0.025+L1196*0.025)</f>
        <v/>
      </c>
      <c r="P1196" s="17">
        <f>32</f>
        <v/>
      </c>
      <c r="Q1196" s="17">
        <f>J1196+L1196+N1196+O1196-P1196-M1196</f>
        <v/>
      </c>
    </row>
    <row r="1197">
      <c r="A1197" s="16" t="inlineStr">
        <is>
          <t>5.15-5.21</t>
        </is>
      </c>
      <c r="B1197" s="16" t="inlineStr">
        <is>
          <t>PO-128-15058569700470770</t>
        </is>
      </c>
      <c r="C1197" s="16" t="inlineStr">
        <is>
          <t>Shipped</t>
        </is>
      </c>
      <c r="D1197" s="16" t="inlineStr">
        <is>
          <t>128-15058601157750770</t>
        </is>
      </c>
      <c r="E1197" s="16" t="inlineStr">
        <is>
          <t>Shipped</t>
        </is>
      </c>
      <c r="F1197" s="16" t="inlineStr">
        <is>
          <t>KTS-2031</t>
        </is>
      </c>
      <c r="G1197" s="16" t="inlineStr">
        <is>
          <t>Bocina inalámbrica de 3 pulgadas con linterna multifuncional y panel solar integrado.Altavoz Portátil con Linterna LED 4 Modos, Radio FM, Bluetooth, Carga Solar, Ideal para Apagones, Emergencias, Campo y Exteriores</t>
        </is>
      </c>
      <c r="H1197" s="16" t="inlineStr">
        <is>
          <t>NEGRO</t>
        </is>
      </c>
      <c r="I1197" s="16" t="n">
        <v>1</v>
      </c>
      <c r="J1197" s="17" t="n">
        <v>77</v>
      </c>
      <c r="K1197" s="17" t="n">
        <v>75.26000000000001</v>
      </c>
      <c r="L1197" s="17" t="n">
        <v>25.86</v>
      </c>
      <c r="M1197" s="17" t="n">
        <v>0</v>
      </c>
      <c r="N1197" s="17">
        <f>K1197*0.08+L1197*0.08</f>
        <v/>
      </c>
      <c r="O1197" s="17">
        <f>-(K1197*0.025+L1197*0.025)</f>
        <v/>
      </c>
      <c r="P1197" s="17">
        <f>32</f>
        <v/>
      </c>
      <c r="Q1197" s="17">
        <f>J1197+L1197+N1197+O1197-P1197-M1197</f>
        <v/>
      </c>
    </row>
    <row r="1198">
      <c r="A1198" s="16" t="inlineStr">
        <is>
          <t>5.15-5.21</t>
        </is>
      </c>
      <c r="B1198" s="16" t="inlineStr">
        <is>
          <t>PO-128-14922386481271774</t>
        </is>
      </c>
      <c r="C1198" s="16" t="inlineStr">
        <is>
          <t>Shipped</t>
        </is>
      </c>
      <c r="D1198" s="16" t="inlineStr">
        <is>
          <t>128-14922355023991774</t>
        </is>
      </c>
      <c r="E1198" s="16" t="inlineStr">
        <is>
          <t>Shipped</t>
        </is>
      </c>
      <c r="F1198" s="16" t="inlineStr">
        <is>
          <t>B03W10-10PZS</t>
        </is>
      </c>
      <c r="G119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198" s="16" t="inlineStr">
        <is>
          <t>B03W10</t>
        </is>
      </c>
      <c r="I1198" s="16" t="n">
        <v>3</v>
      </c>
      <c r="J1198" s="17" t="n">
        <v>231</v>
      </c>
      <c r="K1198" s="17" t="n">
        <v>242.85</v>
      </c>
      <c r="L1198" s="17" t="n">
        <v>0</v>
      </c>
      <c r="M1198" s="17" t="n">
        <v>0</v>
      </c>
      <c r="N1198" s="17">
        <f>K1198*0.08+L1198*0.08</f>
        <v/>
      </c>
      <c r="O1198" s="17">
        <f>-(K1198*0.025+L1198*0.025)</f>
        <v/>
      </c>
      <c r="P1198" s="17">
        <f>32</f>
        <v/>
      </c>
      <c r="Q1198" s="17">
        <f>J1198+L1198+N1198+O1198-P1198-M1198</f>
        <v/>
      </c>
    </row>
    <row r="1199">
      <c r="A1199" s="16" t="inlineStr">
        <is>
          <t>5.15-5.21</t>
        </is>
      </c>
      <c r="B1199" s="16" t="inlineStr">
        <is>
          <t>PO-128-14926587379831559</t>
        </is>
      </c>
      <c r="C1199" s="16" t="inlineStr">
        <is>
          <t>Shipped</t>
        </is>
      </c>
      <c r="D1199" s="16" t="inlineStr">
        <is>
          <t>128-14926566408311559</t>
        </is>
      </c>
      <c r="E1199" s="16" t="inlineStr">
        <is>
          <t>Shipped</t>
        </is>
      </c>
      <c r="F1199" s="16" t="inlineStr">
        <is>
          <t>KTS-2031</t>
        </is>
      </c>
      <c r="G1199" s="16" t="inlineStr">
        <is>
          <t>Bocina inalámbrica de 3 pulgadas con linterna multifuncional y panel solar integrado.Altavoz Portátil con Linterna LED 4 Modos, Radio FM, Bluetooth, Carga Solar, Ideal para Apagones, Emergencias, Campo y Exteriores</t>
        </is>
      </c>
      <c r="H1199" s="16" t="inlineStr">
        <is>
          <t>NEGRO</t>
        </is>
      </c>
      <c r="I1199" s="16" t="n">
        <v>1</v>
      </c>
      <c r="J1199" s="17" t="n">
        <v>77</v>
      </c>
      <c r="K1199" s="17" t="n">
        <v>86.22</v>
      </c>
      <c r="L1199" s="17" t="n">
        <v>25.86</v>
      </c>
      <c r="M1199" s="17" t="n">
        <v>0</v>
      </c>
      <c r="N1199" s="17">
        <f>K1199*0.08+L1199*0.08</f>
        <v/>
      </c>
      <c r="O1199" s="17">
        <f>-(K1199*0.025+L1199*0.025)</f>
        <v/>
      </c>
      <c r="P1199" s="17">
        <f>32</f>
        <v/>
      </c>
      <c r="Q1199" s="17">
        <f>J1199+L1199+N1199+O1199-P1199-M1199</f>
        <v/>
      </c>
    </row>
    <row r="1200">
      <c r="A1200" s="16" t="inlineStr">
        <is>
          <t>5.15-5.21</t>
        </is>
      </c>
      <c r="B1200" s="16" t="inlineStr">
        <is>
          <t>PO-128-14804428997751327</t>
        </is>
      </c>
      <c r="C1200" s="16" t="inlineStr">
        <is>
          <t>Shipped</t>
        </is>
      </c>
      <c r="D1200" s="16" t="inlineStr">
        <is>
          <t>128-14804463076471327</t>
        </is>
      </c>
      <c r="E1200" s="16" t="inlineStr">
        <is>
          <t>Shipped</t>
        </is>
      </c>
      <c r="F1200" s="16" t="inlineStr">
        <is>
          <t>BSC07</t>
        </is>
      </c>
      <c r="G1200" s="16" t="inlineStr">
        <is>
          <t>TIANLAI Báscula Digital BSC04/BSC07, Alta Precisión, Fácil Operación, Ligera y Portátil, Función Tara, Unidad Dual oz/g, Ideal para Cocina, Control de Porciones, Sellos y Objetos Pequeños, Uso en Hogar y Viaje</t>
        </is>
      </c>
      <c r="H1200" s="16" t="inlineStr">
        <is>
          <t>1g/White</t>
        </is>
      </c>
      <c r="I1200" s="16" t="n">
        <v>1</v>
      </c>
      <c r="J1200" s="17" t="n">
        <v>38</v>
      </c>
      <c r="K1200" s="17" t="n">
        <v>40.19</v>
      </c>
      <c r="L1200" s="17" t="n">
        <v>25.86</v>
      </c>
      <c r="M1200" s="17" t="n">
        <v>0</v>
      </c>
      <c r="N1200" s="17">
        <f>K1200*0.08+L1200*0.08</f>
        <v/>
      </c>
      <c r="O1200" s="17">
        <f>-(K1200*0.025+L1200*0.025)</f>
        <v/>
      </c>
      <c r="P1200" s="17">
        <f>32</f>
        <v/>
      </c>
      <c r="Q1200" s="17">
        <f>J1200+L1200+N1200+O1200-P1200-M1200</f>
        <v/>
      </c>
    </row>
    <row r="1201">
      <c r="A1201" s="16" t="inlineStr">
        <is>
          <t>5.15-5.21</t>
        </is>
      </c>
      <c r="B1201" s="16" t="inlineStr">
        <is>
          <t>PO-128-14486458386553284</t>
        </is>
      </c>
      <c r="C1201" s="16" t="inlineStr">
        <is>
          <t>Shipped</t>
        </is>
      </c>
      <c r="D1201" s="16" t="inlineStr">
        <is>
          <t>128-14486492465273284</t>
        </is>
      </c>
      <c r="E1201" s="16" t="inlineStr">
        <is>
          <t>Shipped</t>
        </is>
      </c>
      <c r="F1201" s="16" t="inlineStr">
        <is>
          <t>KTS-2031</t>
        </is>
      </c>
      <c r="G1201" s="16" t="inlineStr">
        <is>
          <t>Bocina inalámbrica de 3 pulgadas con linterna multifuncional y panel solar integrado.Altavoz Portátil con Linterna LED 4 Modos, Radio FM, Bluetooth, Carga Solar, Ideal para Apagones, Emergencias, Campo y Exteriores</t>
        </is>
      </c>
      <c r="H1201" s="16" t="inlineStr">
        <is>
          <t>NEGRO</t>
        </is>
      </c>
      <c r="I1201" s="16" t="n">
        <v>1</v>
      </c>
      <c r="J1201" s="17" t="n">
        <v>77</v>
      </c>
      <c r="K1201" s="17" t="n">
        <v>86.22</v>
      </c>
      <c r="L1201" s="17" t="n">
        <v>25.86</v>
      </c>
      <c r="M1201" s="17" t="n">
        <v>0</v>
      </c>
      <c r="N1201" s="17">
        <f>K1201*0.08+L1201*0.08</f>
        <v/>
      </c>
      <c r="O1201" s="17">
        <f>-(K1201*0.025+L1201*0.025)</f>
        <v/>
      </c>
      <c r="P1201" s="17">
        <f>32</f>
        <v/>
      </c>
      <c r="Q1201" s="17">
        <f>J1201+L1201+N1201+O1201-P1201-M1201</f>
        <v/>
      </c>
    </row>
    <row r="1202">
      <c r="A1202" s="16" t="inlineStr">
        <is>
          <t>5.15-5.21</t>
        </is>
      </c>
      <c r="B1202" s="16" t="inlineStr">
        <is>
          <t>PO-128-14548451602553877</t>
        </is>
      </c>
      <c r="C1202" s="16" t="inlineStr">
        <is>
          <t>Shipped</t>
        </is>
      </c>
      <c r="D1202" s="16" t="inlineStr">
        <is>
          <t>128-14548527624313877</t>
        </is>
      </c>
      <c r="E1202" s="16" t="inlineStr">
        <is>
          <t>Shipped</t>
        </is>
      </c>
      <c r="F1202" s="16" t="inlineStr">
        <is>
          <t>LV54W25</t>
        </is>
      </c>
      <c r="G1202" s="16" t="inlineStr">
        <is>
          <t>TIANLAI Lámpara Ventilador E27 2 en 1, Silenciosa, LED Alta Luminosidad 180°, Instalación Rápida, Ahorro Energético para Dormitorio y Interiores Pequeños</t>
        </is>
      </c>
      <c r="H1202" s="16" t="inlineStr">
        <is>
          <t>1 Pieza</t>
        </is>
      </c>
      <c r="I1202" s="16" t="n">
        <v>2</v>
      </c>
      <c r="J1202" s="17" t="n">
        <v>148</v>
      </c>
      <c r="K1202" s="17" t="n">
        <v>154.24</v>
      </c>
      <c r="L1202" s="17" t="n">
        <v>25.86</v>
      </c>
      <c r="M1202" s="17" t="n">
        <v>0</v>
      </c>
      <c r="N1202" s="17">
        <f>K1202*0.08+L1202*0.08</f>
        <v/>
      </c>
      <c r="O1202" s="17">
        <f>-(K1202*0.025+L1202*0.025)</f>
        <v/>
      </c>
      <c r="P1202" s="17">
        <f>32</f>
        <v/>
      </c>
      <c r="Q1202" s="17">
        <f>J1202+L1202+N1202+O1202-P1202-M1202</f>
        <v/>
      </c>
    </row>
    <row r="1203">
      <c r="A1203" s="16" t="inlineStr">
        <is>
          <t>5.15-5.21</t>
        </is>
      </c>
      <c r="B1203" s="16" t="inlineStr">
        <is>
          <t>PO-128-14863981704311930</t>
        </is>
      </c>
      <c r="C1203" s="16" t="inlineStr">
        <is>
          <t>Shipped</t>
        </is>
      </c>
      <c r="D1203" s="16" t="inlineStr">
        <is>
          <t>128-14863976461431930</t>
        </is>
      </c>
      <c r="E1203" s="16" t="inlineStr">
        <is>
          <t>Shipped</t>
        </is>
      </c>
      <c r="F1203" s="16" t="inlineStr">
        <is>
          <t>VB349T</t>
        </is>
      </c>
      <c r="G1203" s="16" t="inlineStr">
        <is>
          <t>LINKBITS Altavoz Portátil de Doble Altavoz - 3 Pulgadas, Sonido HD, Emparejamiento Rápido de Bluetooth, Conectividad TWS, Reproducción Multimodo (Micro SD/USB/Radio FM) - Perfecto para Oficina, Viajes y Espacios Pequeños</t>
        </is>
      </c>
      <c r="H1203" s="16" t="inlineStr">
        <is>
          <t>NEGRO</t>
        </is>
      </c>
      <c r="I1203" s="16" t="n">
        <v>1</v>
      </c>
      <c r="J1203" s="17" t="n">
        <v>81</v>
      </c>
      <c r="K1203" s="17" t="n">
        <v>94.26000000000001</v>
      </c>
      <c r="L1203" s="17" t="n">
        <v>25.86</v>
      </c>
      <c r="M1203" s="17" t="n">
        <v>0</v>
      </c>
      <c r="N1203" s="17">
        <f>K1203*0.08+L1203*0.08</f>
        <v/>
      </c>
      <c r="O1203" s="17">
        <f>-(K1203*0.025+L1203*0.025)</f>
        <v/>
      </c>
      <c r="P1203" s="17">
        <f>32</f>
        <v/>
      </c>
      <c r="Q1203" s="17">
        <f>J1203+L1203+N1203+O1203-P1203-M1203</f>
        <v/>
      </c>
    </row>
    <row r="1204">
      <c r="A1204" s="16" t="inlineStr">
        <is>
          <t>5.15-5.21</t>
        </is>
      </c>
      <c r="B1204" s="16" t="inlineStr">
        <is>
          <t>PO-128-14930665772151599</t>
        </is>
      </c>
      <c r="C1204" s="16" t="inlineStr">
        <is>
          <t>Shipped</t>
        </is>
      </c>
      <c r="D1204" s="16" t="inlineStr">
        <is>
          <t>128-14930686743671599</t>
        </is>
      </c>
      <c r="E1204" s="16" t="inlineStr">
        <is>
          <t>Shipped</t>
        </is>
      </c>
      <c r="F1204" s="16" t="inlineStr">
        <is>
          <t>LV64W25</t>
        </is>
      </c>
      <c r="G12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04" s="16" t="inlineStr">
        <is>
          <t>Blanco</t>
        </is>
      </c>
      <c r="I1204" s="16" t="n">
        <v>1</v>
      </c>
      <c r="J1204" s="17" t="n">
        <v>125</v>
      </c>
      <c r="K1204" s="17" t="n">
        <v>57.05</v>
      </c>
      <c r="L1204" s="17" t="n">
        <v>25.86</v>
      </c>
      <c r="M1204" s="17" t="n">
        <v>0</v>
      </c>
      <c r="N1204" s="17">
        <f>K1204*0.08+L1204*0.08</f>
        <v/>
      </c>
      <c r="O1204" s="17">
        <f>-(K1204*0.025+L1204*0.025)</f>
        <v/>
      </c>
      <c r="P1204" s="17">
        <f>32</f>
        <v/>
      </c>
      <c r="Q1204" s="17">
        <f>J1204+L1204+N1204+O1204-P1204-M1204</f>
        <v/>
      </c>
    </row>
    <row r="1205">
      <c r="A1205" s="16" t="inlineStr">
        <is>
          <t>5.15-5.21</t>
        </is>
      </c>
      <c r="B1205" s="16" t="inlineStr">
        <is>
          <t>PO-128-14933876401271578</t>
        </is>
      </c>
      <c r="C1205" s="16" t="inlineStr">
        <is>
          <t>Shipped</t>
        </is>
      </c>
      <c r="D1205" s="16" t="inlineStr">
        <is>
          <t>128-14933834458231578</t>
        </is>
      </c>
      <c r="E1205" s="16" t="inlineStr">
        <is>
          <t>Shipped</t>
        </is>
      </c>
      <c r="F1205" s="16" t="inlineStr">
        <is>
          <t>BSC07</t>
        </is>
      </c>
      <c r="G1205" s="16" t="inlineStr">
        <is>
          <t>TIANLAI Báscula Digital BSC04/BSC07, Alta Precisión, Fácil Operación, Ligera y Portátil, Función Tara, Unidad Dual oz/g, Ideal para Cocina, Control de Porciones, Sellos y Objetos Pequeños, Uso en Hogar y Viaje</t>
        </is>
      </c>
      <c r="H1205" s="16" t="inlineStr">
        <is>
          <t>1g/White</t>
        </is>
      </c>
      <c r="I1205" s="16" t="n">
        <v>2</v>
      </c>
      <c r="J1205" s="17" t="n">
        <v>76</v>
      </c>
      <c r="K1205" s="17" t="n">
        <v>14.24</v>
      </c>
      <c r="L1205" s="17" t="n">
        <v>25.86</v>
      </c>
      <c r="M1205" s="17" t="n">
        <v>0</v>
      </c>
      <c r="N1205" s="17">
        <f>K1205*0.08+L1205*0.08</f>
        <v/>
      </c>
      <c r="O1205" s="17">
        <f>-(K1205*0.025+L1205*0.025)</f>
        <v/>
      </c>
      <c r="P1205" s="17">
        <f>32</f>
        <v/>
      </c>
      <c r="Q1205" s="17">
        <f>J1205+L1205+N1205+O1205-P1205-M1205</f>
        <v/>
      </c>
    </row>
    <row r="1206">
      <c r="A1206" s="16" t="inlineStr">
        <is>
          <t>5.15-5.21</t>
        </is>
      </c>
      <c r="B1206" s="16" t="inlineStr">
        <is>
          <t>PO-128-14668852073592071</t>
        </is>
      </c>
      <c r="C1206" s="16" t="inlineStr">
        <is>
          <t>Shipped</t>
        </is>
      </c>
      <c r="D1206" s="16" t="inlineStr">
        <is>
          <t>128-14668857316472071</t>
        </is>
      </c>
      <c r="E1206" s="16" t="inlineStr">
        <is>
          <t>Shipped</t>
        </is>
      </c>
      <c r="F1206" s="16" t="inlineStr">
        <is>
          <t>LV64W25</t>
        </is>
      </c>
      <c r="G12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06" s="16" t="inlineStr">
        <is>
          <t>Blanco</t>
        </is>
      </c>
      <c r="I1206" s="16" t="n">
        <v>2</v>
      </c>
      <c r="J1206" s="17" t="n">
        <v>250</v>
      </c>
      <c r="K1206" s="17" t="n">
        <v>236.1</v>
      </c>
      <c r="L1206" s="17" t="n">
        <v>0</v>
      </c>
      <c r="M1206" s="17" t="n">
        <v>0</v>
      </c>
      <c r="N1206" s="17">
        <f>K1206*0.08+L1206*0.08</f>
        <v/>
      </c>
      <c r="O1206" s="17">
        <f>-(K1206*0.025+L1206*0.025)</f>
        <v/>
      </c>
      <c r="P1206" s="17">
        <f>32</f>
        <v/>
      </c>
      <c r="Q1206" s="17">
        <f>J1206+L1206+N1206+O1206-P1206-M1206</f>
        <v/>
      </c>
    </row>
    <row r="1207">
      <c r="A1207" s="16" t="inlineStr">
        <is>
          <t>5.15-5.21</t>
        </is>
      </c>
      <c r="B1207" s="16" t="inlineStr">
        <is>
          <t>PO-128-15027242366070127</t>
        </is>
      </c>
      <c r="C1207" s="16" t="inlineStr">
        <is>
          <t>Shipped</t>
        </is>
      </c>
      <c r="D1207" s="16" t="inlineStr">
        <is>
          <t>128-15027284309110127</t>
        </is>
      </c>
      <c r="E1207" s="16" t="inlineStr">
        <is>
          <t>Shipped</t>
        </is>
      </c>
      <c r="F1207" s="16" t="inlineStr">
        <is>
          <t>KTS-2031</t>
        </is>
      </c>
      <c r="G1207" s="16" t="inlineStr">
        <is>
          <t>Bocina inalámbrica de 3 pulgadas con linterna multifuncional y panel solar integrado.Altavoz Portátil con Linterna LED 4 Modos, Radio FM, Bluetooth, Carga Solar, Ideal para Apagones, Emergencias, Campo y Exteriores</t>
        </is>
      </c>
      <c r="H1207" s="16" t="inlineStr">
        <is>
          <t>NEGRO</t>
        </is>
      </c>
      <c r="I1207" s="16" t="n">
        <v>1</v>
      </c>
      <c r="J1207" s="17" t="n">
        <v>77</v>
      </c>
      <c r="K1207" s="17" t="n">
        <v>0.01</v>
      </c>
      <c r="L1207" s="17" t="n">
        <v>25.86</v>
      </c>
      <c r="M1207" s="17" t="n">
        <v>0</v>
      </c>
      <c r="N1207" s="17">
        <f>K1207*0.08+L1207*0.08</f>
        <v/>
      </c>
      <c r="O1207" s="17">
        <f>-(K1207*0.025+L1207*0.025)</f>
        <v/>
      </c>
      <c r="P1207" s="17">
        <f>32</f>
        <v/>
      </c>
      <c r="Q1207" s="17">
        <f>J1207+L1207+N1207+O1207-P1207-M1207</f>
        <v/>
      </c>
    </row>
    <row r="1208">
      <c r="A1208" s="16" t="inlineStr">
        <is>
          <t>5.15-5.21</t>
        </is>
      </c>
      <c r="B1208" s="16" t="inlineStr">
        <is>
          <t>PO-128-14864082194551930</t>
        </is>
      </c>
      <c r="C1208" s="16" t="inlineStr">
        <is>
          <t>Shipped</t>
        </is>
      </c>
      <c r="D1208" s="16" t="inlineStr">
        <is>
          <t>128-14864040251511930</t>
        </is>
      </c>
      <c r="E1208" s="16" t="inlineStr">
        <is>
          <t>Shipped</t>
        </is>
      </c>
      <c r="F1208" s="16" t="inlineStr">
        <is>
          <t>SB428T</t>
        </is>
      </c>
      <c r="G1208" s="16" t="inlineStr">
        <is>
          <t>LINK BITS Bocina Portátil con 2 Altavoces de 4" (5W×2), Sonido Potente, Luces LED, Bluetooth, USB/TF/FM - Ideal para Reuniones, Fiestas y Picnics en México</t>
        </is>
      </c>
      <c r="H1208" s="16" t="inlineStr">
        <is>
          <t>SB428T</t>
        </is>
      </c>
      <c r="I1208" s="16" t="n">
        <v>1</v>
      </c>
      <c r="J1208" s="17" t="n">
        <v>97</v>
      </c>
      <c r="K1208" s="17" t="n">
        <v>115.49</v>
      </c>
      <c r="L1208" s="17" t="n">
        <v>25.86</v>
      </c>
      <c r="M1208" s="17" t="n">
        <v>0</v>
      </c>
      <c r="N1208" s="17">
        <f>K1208*0.08+L1208*0.08</f>
        <v/>
      </c>
      <c r="O1208" s="17">
        <f>-(K1208*0.025+L1208*0.025)</f>
        <v/>
      </c>
      <c r="P1208" s="17">
        <f>32</f>
        <v/>
      </c>
      <c r="Q1208" s="17">
        <f>J1208+L1208+N1208+O1208-P1208-M1208</f>
        <v/>
      </c>
    </row>
    <row r="1209">
      <c r="A1209" s="16" t="inlineStr">
        <is>
          <t>5.15-5.21</t>
        </is>
      </c>
      <c r="B1209" s="16" t="inlineStr">
        <is>
          <t>PO-128-14928227873911549</t>
        </is>
      </c>
      <c r="C1209" s="16" t="inlineStr">
        <is>
          <t>Shipped</t>
        </is>
      </c>
      <c r="D1209" s="16" t="inlineStr">
        <is>
          <t>128-14928233116791549</t>
        </is>
      </c>
      <c r="E1209" s="16" t="inlineStr">
        <is>
          <t>Shipped</t>
        </is>
      </c>
      <c r="F1209" s="16" t="inlineStr">
        <is>
          <t>LV64W25</t>
        </is>
      </c>
      <c r="G12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09" s="16" t="inlineStr">
        <is>
          <t>Blanco</t>
        </is>
      </c>
      <c r="I1209" s="16" t="n">
        <v>1</v>
      </c>
      <c r="J1209" s="17" t="n">
        <v>125</v>
      </c>
      <c r="K1209" s="17" t="n">
        <v>128.94</v>
      </c>
      <c r="L1209" s="17" t="n">
        <v>25.86</v>
      </c>
      <c r="M1209" s="17" t="n">
        <v>0</v>
      </c>
      <c r="N1209" s="17">
        <f>K1209*0.08+L1209*0.08</f>
        <v/>
      </c>
      <c r="O1209" s="17">
        <f>-(K1209*0.025+L1209*0.025)</f>
        <v/>
      </c>
      <c r="P1209" s="17">
        <f>32</f>
        <v/>
      </c>
      <c r="Q1209" s="17">
        <f>J1209+L1209+N1209+O1209-P1209-M1209</f>
        <v/>
      </c>
    </row>
    <row r="1210">
      <c r="A1210" s="16" t="inlineStr">
        <is>
          <t>5.15-5.21</t>
        </is>
      </c>
      <c r="B1210" s="16" t="inlineStr">
        <is>
          <t>PO-128-14459679429753380</t>
        </is>
      </c>
      <c r="C1210" s="16" t="inlineStr">
        <is>
          <t>Shipped</t>
        </is>
      </c>
      <c r="D1210" s="16" t="inlineStr">
        <is>
          <t>128-14459658458233380</t>
        </is>
      </c>
      <c r="E1210" s="16" t="inlineStr">
        <is>
          <t>Shipped</t>
        </is>
      </c>
      <c r="F1210" s="16" t="inlineStr">
        <is>
          <t>LV54W25</t>
        </is>
      </c>
      <c r="G1210" s="16" t="inlineStr">
        <is>
          <t>TIANLAI Lámpara Ventilador E27 2 en 1, Silenciosa, LED Alta Luminosidad 180°, Instalación Rápida, Ahorro Energético para Dormitorio y Interiores Pequeños</t>
        </is>
      </c>
      <c r="H1210" s="16" t="inlineStr">
        <is>
          <t>1 Pieza</t>
        </is>
      </c>
      <c r="I1210" s="16" t="n">
        <v>1</v>
      </c>
      <c r="J1210" s="17" t="n">
        <v>74</v>
      </c>
      <c r="K1210" s="17" t="n">
        <v>85.68000000000001</v>
      </c>
      <c r="L1210" s="17" t="n">
        <v>25.86</v>
      </c>
      <c r="M1210" s="17" t="n">
        <v>0</v>
      </c>
      <c r="N1210" s="17">
        <f>K1210*0.08+L1210*0.08</f>
        <v/>
      </c>
      <c r="O1210" s="17">
        <f>-(K1210*0.025+L1210*0.025)</f>
        <v/>
      </c>
      <c r="P1210" s="17">
        <f>32</f>
        <v/>
      </c>
      <c r="Q1210" s="17">
        <f>J1210+L1210+N1210+O1210-P1210-M1210</f>
        <v/>
      </c>
    </row>
    <row r="1211">
      <c r="A1211" s="16" t="inlineStr">
        <is>
          <t>5.15-5.21</t>
        </is>
      </c>
      <c r="B1211" s="16" t="inlineStr">
        <is>
          <t>PO-128-14443463201913543</t>
        </is>
      </c>
      <c r="C1211" s="16" t="inlineStr">
        <is>
          <t>Shipped</t>
        </is>
      </c>
      <c r="D1211" s="16" t="inlineStr">
        <is>
          <t>128-14443363587193543</t>
        </is>
      </c>
      <c r="E1211" s="16" t="inlineStr">
        <is>
          <t>Shipped</t>
        </is>
      </c>
      <c r="F1211" s="16" t="inlineStr">
        <is>
          <t>LV54W25</t>
        </is>
      </c>
      <c r="G1211" s="16" t="inlineStr">
        <is>
          <t>TIANLAI Lámpara Ventilador E27 2 en 1, Silenciosa, LED Alta Luminosidad 180°, Instalación Rápida, Ahorro Energético para Dormitorio y Interiores Pequeños</t>
        </is>
      </c>
      <c r="H1211" s="16" t="inlineStr">
        <is>
          <t>1 Pieza</t>
        </is>
      </c>
      <c r="I1211" s="16" t="n">
        <v>5</v>
      </c>
      <c r="J1211" s="17" t="n">
        <v>370</v>
      </c>
      <c r="K1211" s="17" t="n">
        <v>293.55</v>
      </c>
      <c r="L1211" s="17" t="n">
        <v>0</v>
      </c>
      <c r="M1211" s="17" t="n">
        <v>0</v>
      </c>
      <c r="N1211" s="17">
        <f>K1211*0.08+L1211*0.08</f>
        <v/>
      </c>
      <c r="O1211" s="17">
        <f>-(K1211*0.025+L1211*0.025)</f>
        <v/>
      </c>
      <c r="P1211" s="17">
        <f>32</f>
        <v/>
      </c>
      <c r="Q1211" s="17">
        <f>J1211+L1211+N1211+O1211-P1211-M1211</f>
        <v/>
      </c>
    </row>
    <row r="1212">
      <c r="A1212" s="16" t="inlineStr">
        <is>
          <t>5.15-5.21</t>
        </is>
      </c>
      <c r="B1212" s="16" t="inlineStr">
        <is>
          <t>PO-128-14632264758392353</t>
        </is>
      </c>
      <c r="C1212" s="16" t="inlineStr">
        <is>
          <t>Shipped</t>
        </is>
      </c>
      <c r="D1212" s="16" t="inlineStr">
        <is>
          <t>128-14632296215672353</t>
        </is>
      </c>
      <c r="E1212" s="16" t="inlineStr">
        <is>
          <t>Shipped</t>
        </is>
      </c>
      <c r="F1212" s="16" t="inlineStr">
        <is>
          <t>LV54W25</t>
        </is>
      </c>
      <c r="G1212" s="16" t="inlineStr">
        <is>
          <t>TIANLAI Lámpara Ventilador E27 2 en 1, Silenciosa, LED Alta Luminosidad 180°, Instalación Rápida, Ahorro Energético para Dormitorio y Interiores Pequeños</t>
        </is>
      </c>
      <c r="H1212" s="16" t="inlineStr">
        <is>
          <t>1 Pieza</t>
        </is>
      </c>
      <c r="I1212" s="16" t="n">
        <v>2</v>
      </c>
      <c r="J1212" s="17" t="n">
        <v>148</v>
      </c>
      <c r="K1212" s="17" t="n">
        <v>154.24</v>
      </c>
      <c r="L1212" s="17" t="n">
        <v>25.86</v>
      </c>
      <c r="M1212" s="17" t="n">
        <v>0</v>
      </c>
      <c r="N1212" s="17">
        <f>K1212*0.08+L1212*0.08</f>
        <v/>
      </c>
      <c r="O1212" s="17">
        <f>-(K1212*0.025+L1212*0.025)</f>
        <v/>
      </c>
      <c r="P1212" s="17">
        <f>32</f>
        <v/>
      </c>
      <c r="Q1212" s="17">
        <f>J1212+L1212+N1212+O1212-P1212-M1212</f>
        <v/>
      </c>
    </row>
    <row r="1213">
      <c r="A1213" s="16" t="inlineStr">
        <is>
          <t>5.15-5.21</t>
        </is>
      </c>
      <c r="B1213" s="16" t="inlineStr">
        <is>
          <t>PO-128-14731030131832917</t>
        </is>
      </c>
      <c r="C1213" s="16" t="inlineStr">
        <is>
          <t>Shipped</t>
        </is>
      </c>
      <c r="D1213" s="16" t="inlineStr">
        <is>
          <t>128-14730988188792917</t>
        </is>
      </c>
      <c r="E1213" s="16" t="inlineStr">
        <is>
          <t>Shipped</t>
        </is>
      </c>
      <c r="F1213" s="16" t="inlineStr">
        <is>
          <t>KTS-2031</t>
        </is>
      </c>
      <c r="G1213" s="16" t="inlineStr">
        <is>
          <t>Bocina inalámbrica de 3 pulgadas con linterna multifuncional y panel solar integrado.Altavoz Portátil con Linterna LED 4 Modos, Radio FM, Bluetooth, Carga Solar, Ideal para Apagones, Emergencias, Campo y Exteriores</t>
        </is>
      </c>
      <c r="H1213" s="16" t="inlineStr">
        <is>
          <t>NEGRO</t>
        </is>
      </c>
      <c r="I1213" s="16" t="n">
        <v>1</v>
      </c>
      <c r="J1213" s="17" t="n">
        <v>77</v>
      </c>
      <c r="K1213" s="17" t="n">
        <v>3.46</v>
      </c>
      <c r="L1213" s="17" t="n">
        <v>25.86</v>
      </c>
      <c r="M1213" s="17" t="n">
        <v>0</v>
      </c>
      <c r="N1213" s="17">
        <f>K1213*0.08+L1213*0.08</f>
        <v/>
      </c>
      <c r="O1213" s="17">
        <f>-(K1213*0.025+L1213*0.025)</f>
        <v/>
      </c>
      <c r="P1213" s="17">
        <f>32</f>
        <v/>
      </c>
      <c r="Q1213" s="17">
        <f>J1213+L1213+N1213+O1213-P1213-M1213</f>
        <v/>
      </c>
    </row>
    <row r="1214">
      <c r="A1214" s="16" t="inlineStr">
        <is>
          <t>5.15-5.21</t>
        </is>
      </c>
      <c r="B1214" s="16" t="inlineStr">
        <is>
          <t>PO-128-14552137782393919</t>
        </is>
      </c>
      <c r="C1214" s="16" t="inlineStr">
        <is>
          <t>Shipped</t>
        </is>
      </c>
      <c r="D1214" s="16" t="inlineStr">
        <is>
          <t>128-14552158631033919</t>
        </is>
      </c>
      <c r="E1214" s="16" t="inlineStr">
        <is>
          <t>Shipped</t>
        </is>
      </c>
      <c r="F1214" s="16" t="inlineStr">
        <is>
          <t>KTS-2031</t>
        </is>
      </c>
      <c r="G1214" s="16" t="inlineStr">
        <is>
          <t>Bocina inalámbrica de 3 pulgadas con linterna multifuncional y panel solar integrado.Altavoz Portátil con Linterna LED 4 Modos, Radio FM, Bluetooth, Carga Solar, Ideal para Apagones, Emergencias, Campo y Exteriores</t>
        </is>
      </c>
      <c r="H1214" s="16" t="inlineStr">
        <is>
          <t>NEGRO</t>
        </is>
      </c>
      <c r="I1214" s="16" t="n">
        <v>1</v>
      </c>
      <c r="J1214" s="17" t="n">
        <v>77</v>
      </c>
      <c r="K1214" s="17" t="n">
        <v>86.22</v>
      </c>
      <c r="L1214" s="17" t="n">
        <v>25.86</v>
      </c>
      <c r="M1214" s="17" t="n">
        <v>0</v>
      </c>
      <c r="N1214" s="17">
        <f>K1214*0.08+L1214*0.08</f>
        <v/>
      </c>
      <c r="O1214" s="17">
        <f>-(K1214*0.025+L1214*0.025)</f>
        <v/>
      </c>
      <c r="P1214" s="17">
        <f>32</f>
        <v/>
      </c>
      <c r="Q1214" s="17">
        <f>J1214+L1214+N1214+O1214-P1214-M1214</f>
        <v/>
      </c>
    </row>
    <row r="1215">
      <c r="A1215" s="16" t="inlineStr">
        <is>
          <t>5.15-5.21</t>
        </is>
      </c>
      <c r="B1215" s="16" t="inlineStr">
        <is>
          <t>PO-128-14980759168630338</t>
        </is>
      </c>
      <c r="C1215" s="16" t="inlineStr">
        <is>
          <t>Shipped</t>
        </is>
      </c>
      <c r="D1215" s="16" t="inlineStr">
        <is>
          <t>128-14980827326070338</t>
        </is>
      </c>
      <c r="E1215" s="16" t="inlineStr">
        <is>
          <t>Shipped</t>
        </is>
      </c>
      <c r="F1215" s="16" t="inlineStr">
        <is>
          <t>TL1412N17C</t>
        </is>
      </c>
      <c r="G1215" s="16" t="inlineStr">
        <is>
          <t>Linkbits, Soporte de Pared Fijo para TV y Monitor de 14"-43", Ultra Delgado 2.3cm, Fuerte Capacidad de Peso de 25KG, Fácil Instalación con Accesorios Completos</t>
        </is>
      </c>
      <c r="H1215" s="16" t="inlineStr">
        <is>
          <t>NEGRO</t>
        </is>
      </c>
      <c r="I1215" s="16" t="n">
        <v>1</v>
      </c>
      <c r="J1215" s="17" t="n">
        <v>36.84</v>
      </c>
      <c r="K1215" s="17" t="n">
        <v>48.54</v>
      </c>
      <c r="L1215" s="17" t="n">
        <v>25.86</v>
      </c>
      <c r="M1215" s="17" t="n">
        <v>0</v>
      </c>
      <c r="N1215" s="17">
        <f>K1215*0.08+L1215*0.08</f>
        <v/>
      </c>
      <c r="O1215" s="17">
        <f>-(K1215*0.025+L1215*0.025)</f>
        <v/>
      </c>
      <c r="P1215" s="17">
        <f>32</f>
        <v/>
      </c>
      <c r="Q1215" s="17">
        <f>J1215+L1215+N1215+O1215-P1215-M1215</f>
        <v/>
      </c>
    </row>
    <row r="1216">
      <c r="A1216" s="16" t="inlineStr">
        <is>
          <t>5.15-5.21</t>
        </is>
      </c>
      <c r="B1216" s="16" t="inlineStr">
        <is>
          <t>PO-128-14697772232312987</t>
        </is>
      </c>
      <c r="C1216" s="16" t="inlineStr">
        <is>
          <t>Shipped</t>
        </is>
      </c>
      <c r="D1216" s="16" t="inlineStr">
        <is>
          <t>128-14697819418232987</t>
        </is>
      </c>
      <c r="E1216" s="16" t="inlineStr">
        <is>
          <t>Shipped</t>
        </is>
      </c>
      <c r="F1216" s="16" t="inlineStr">
        <is>
          <t>LV64W25</t>
        </is>
      </c>
      <c r="G12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16" s="16" t="inlineStr">
        <is>
          <t>Blanco</t>
        </is>
      </c>
      <c r="I1216" s="16" t="n">
        <v>1</v>
      </c>
      <c r="J1216" s="17" t="n">
        <v>125</v>
      </c>
      <c r="K1216" s="17" t="n">
        <v>128.94</v>
      </c>
      <c r="L1216" s="17" t="n">
        <v>25.86</v>
      </c>
      <c r="M1216" s="17" t="n">
        <v>0</v>
      </c>
      <c r="N1216" s="17">
        <f>K1216*0.08+L1216*0.08</f>
        <v/>
      </c>
      <c r="O1216" s="17">
        <f>-(K1216*0.025+L1216*0.025)</f>
        <v/>
      </c>
      <c r="P1216" s="17">
        <f>32</f>
        <v/>
      </c>
      <c r="Q1216" s="17">
        <f>J1216+L1216+N1216+O1216-P1216-M1216</f>
        <v/>
      </c>
    </row>
    <row r="1217">
      <c r="A1217" s="16" t="inlineStr">
        <is>
          <t>5.15-5.21</t>
        </is>
      </c>
      <c r="B1217" s="16" t="inlineStr">
        <is>
          <t>PO-128-14491697889913319</t>
        </is>
      </c>
      <c r="C1217" s="16" t="inlineStr">
        <is>
          <t>Shipped</t>
        </is>
      </c>
      <c r="D1217" s="16" t="inlineStr">
        <is>
          <t>128-14491739587193319</t>
        </is>
      </c>
      <c r="E1217" s="16" t="inlineStr">
        <is>
          <t>Shipped</t>
        </is>
      </c>
      <c r="F1217" s="16" t="inlineStr">
        <is>
          <t>TL2663N18C</t>
        </is>
      </c>
      <c r="G1217" s="16" t="inlineStr">
        <is>
          <t>Linkbits，Soporte de pared fijo para televisores de 26"-63", Ultra-Delgado Compatible con VESA 400x400mm, Capacidad de Peso Fuerte de 25KG, Instalación Fácil Sin Electricidad</t>
        </is>
      </c>
      <c r="H1217" s="16" t="inlineStr">
        <is>
          <t>NEGRO</t>
        </is>
      </c>
      <c r="I1217" s="16" t="n">
        <v>2</v>
      </c>
      <c r="J1217" s="17" t="n">
        <v>107.6</v>
      </c>
      <c r="K1217" s="17" t="n">
        <v>137.54</v>
      </c>
      <c r="L1217" s="17" t="n">
        <v>25.86</v>
      </c>
      <c r="M1217" s="17" t="n">
        <v>0</v>
      </c>
      <c r="N1217" s="17">
        <f>K1217*0.08+L1217*0.08</f>
        <v/>
      </c>
      <c r="O1217" s="17">
        <f>-(K1217*0.025+L1217*0.025)</f>
        <v/>
      </c>
      <c r="P1217" s="17">
        <f>32</f>
        <v/>
      </c>
      <c r="Q1217" s="17">
        <f>J1217+L1217+N1217+O1217-P1217-M1217</f>
        <v/>
      </c>
    </row>
    <row r="1218">
      <c r="A1218" s="16" t="inlineStr">
        <is>
          <t>5.15-5.21</t>
        </is>
      </c>
      <c r="B1218" s="16" t="inlineStr">
        <is>
          <t>PO-128-14942255268471656</t>
        </is>
      </c>
      <c r="C1218" s="16" t="inlineStr">
        <is>
          <t>Shipped</t>
        </is>
      </c>
      <c r="D1218" s="16" t="inlineStr">
        <is>
          <t>128-14942213325431656</t>
        </is>
      </c>
      <c r="E1218" s="16" t="inlineStr">
        <is>
          <t>Shipped</t>
        </is>
      </c>
      <c r="F1218" s="16" t="inlineStr">
        <is>
          <t>KTS-2031</t>
        </is>
      </c>
      <c r="G1218" s="16" t="inlineStr">
        <is>
          <t>Bocina inalámbrica de 3 pulgadas con linterna multifuncional y panel solar integrado.Altavoz Portátil con Linterna LED 4 Modos, Radio FM, Bluetooth, Carga Solar, Ideal para Apagones, Emergencias, Campo y Exteriores</t>
        </is>
      </c>
      <c r="H1218" s="16" t="inlineStr">
        <is>
          <t>NEGRO</t>
        </is>
      </c>
      <c r="I1218" s="16" t="n">
        <v>1</v>
      </c>
      <c r="J1218" s="17" t="n">
        <v>77</v>
      </c>
      <c r="K1218" s="17" t="n">
        <v>0.01</v>
      </c>
      <c r="L1218" s="17" t="n">
        <v>25.86</v>
      </c>
      <c r="M1218" s="17" t="n">
        <v>0</v>
      </c>
      <c r="N1218" s="17">
        <f>K1218*0.08+L1218*0.08</f>
        <v/>
      </c>
      <c r="O1218" s="17">
        <f>-(K1218*0.025+L1218*0.025)</f>
        <v/>
      </c>
      <c r="P1218" s="17">
        <f>32</f>
        <v/>
      </c>
      <c r="Q1218" s="17">
        <f>J1218+L1218+N1218+O1218-P1218-M1218</f>
        <v/>
      </c>
    </row>
    <row r="1219">
      <c r="A1219" s="16" t="inlineStr">
        <is>
          <t>5.15-5.21</t>
        </is>
      </c>
      <c r="B1219" s="16" t="inlineStr">
        <is>
          <t>PO-128-14858081869431135</t>
        </is>
      </c>
      <c r="C1219" s="16" t="inlineStr">
        <is>
          <t>Shipped</t>
        </is>
      </c>
      <c r="D1219" s="16" t="inlineStr">
        <is>
          <t>128-14858092355191135</t>
        </is>
      </c>
      <c r="E1219" s="16" t="inlineStr">
        <is>
          <t>Shipped</t>
        </is>
      </c>
      <c r="F1219" s="16" t="inlineStr">
        <is>
          <t>TLCD08-16P-N</t>
        </is>
      </c>
      <c r="G1219"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H1219" s="16" t="inlineStr">
        <is>
          <t>NEGRO</t>
        </is>
      </c>
      <c r="I1219" s="16" t="n">
        <v>4</v>
      </c>
      <c r="J1219" s="17" t="n">
        <v>248</v>
      </c>
      <c r="K1219" s="17" t="n">
        <v>257.55</v>
      </c>
      <c r="L1219" s="17" t="n">
        <v>0</v>
      </c>
      <c r="M1219" s="17" t="n">
        <v>0</v>
      </c>
      <c r="N1219" s="17">
        <f>K1219*0.08+L1219*0.08</f>
        <v/>
      </c>
      <c r="O1219" s="17">
        <f>-(K1219*0.025+L1219*0.025)</f>
        <v/>
      </c>
      <c r="P1219" s="17">
        <f>32</f>
        <v/>
      </c>
      <c r="Q1219" s="17">
        <f>J1219+L1219+N1219+O1219-P1219-M1219</f>
        <v/>
      </c>
    </row>
    <row r="1220">
      <c r="A1220" s="16" t="inlineStr">
        <is>
          <t>5.15-5.21</t>
        </is>
      </c>
      <c r="B1220" s="16" t="inlineStr">
        <is>
          <t>PO-128-14894126172791881</t>
        </is>
      </c>
      <c r="C1220" s="16" t="inlineStr">
        <is>
          <t>Shipped</t>
        </is>
      </c>
      <c r="D1220" s="16" t="inlineStr">
        <is>
          <t>128-14894084229751881</t>
        </is>
      </c>
      <c r="E1220" s="16" t="inlineStr">
        <is>
          <t>Shipped</t>
        </is>
      </c>
      <c r="F1220" s="16" t="inlineStr">
        <is>
          <t>VA371T</t>
        </is>
      </c>
      <c r="G1220" s="16" t="inlineStr">
        <is>
          <t>Linkbits Bocina Bluetooth Portátil 3" de Alta Gama，Hi-Res Audio y Graves Potentes，Luces LED + Soporte USB/TF/FM/TWS，Ideal para Hogar y Aire Libre</t>
        </is>
      </c>
      <c r="H1220" s="16" t="inlineStr">
        <is>
          <t>VA371T</t>
        </is>
      </c>
      <c r="I1220" s="16" t="n">
        <v>1</v>
      </c>
      <c r="J1220" s="17" t="n">
        <v>45.8</v>
      </c>
      <c r="K1220" s="17" t="n">
        <v>54.16</v>
      </c>
      <c r="L1220" s="17" t="n">
        <v>25.86</v>
      </c>
      <c r="M1220" s="17" t="n">
        <v>0</v>
      </c>
      <c r="N1220" s="17">
        <f>K1220*0.08+L1220*0.08</f>
        <v/>
      </c>
      <c r="O1220" s="17">
        <f>-(K1220*0.025+L1220*0.025)</f>
        <v/>
      </c>
      <c r="P1220" s="17">
        <f>32</f>
        <v/>
      </c>
      <c r="Q1220" s="17">
        <f>J1220+L1220+N1220+O1220-P1220-M1220</f>
        <v/>
      </c>
    </row>
    <row r="1221">
      <c r="A1221" s="16" t="inlineStr">
        <is>
          <t>5.15-5.21</t>
        </is>
      </c>
      <c r="B1221" s="16" t="inlineStr">
        <is>
          <t>PO-128-14656637082232270</t>
        </is>
      </c>
      <c r="C1221" s="16" t="inlineStr">
        <is>
          <t>Shipped</t>
        </is>
      </c>
      <c r="D1221" s="16" t="inlineStr">
        <is>
          <t>128-14656679025272270</t>
        </is>
      </c>
      <c r="E1221" s="16" t="inlineStr">
        <is>
          <t>Shipped</t>
        </is>
      </c>
      <c r="F1221" s="16" t="inlineStr">
        <is>
          <t>KTS-2031</t>
        </is>
      </c>
      <c r="G1221" s="16" t="inlineStr">
        <is>
          <t>Bocina inalámbrica de 3 pulgadas con linterna multifuncional y panel solar integrado.Altavoz Portátil con Linterna LED 4 Modos, Radio FM, Bluetooth, Carga Solar, Ideal para Apagones, Emergencias, Campo y Exteriores</t>
        </is>
      </c>
      <c r="H1221" s="16" t="inlineStr">
        <is>
          <t>NEGRO</t>
        </is>
      </c>
      <c r="I1221" s="16" t="n">
        <v>1</v>
      </c>
      <c r="J1221" s="17" t="n">
        <v>77</v>
      </c>
      <c r="K1221" s="17" t="n">
        <v>0.01</v>
      </c>
      <c r="L1221" s="17" t="n">
        <v>25.86</v>
      </c>
      <c r="M1221" s="17" t="n">
        <v>0</v>
      </c>
      <c r="N1221" s="17">
        <f>K1221*0.08+L1221*0.08</f>
        <v/>
      </c>
      <c r="O1221" s="17">
        <f>-(K1221*0.025+L1221*0.025)</f>
        <v/>
      </c>
      <c r="P1221" s="17">
        <f>32</f>
        <v/>
      </c>
      <c r="Q1221" s="17">
        <f>J1221+L1221+N1221+O1221-P1221-M1221</f>
        <v/>
      </c>
    </row>
    <row r="1222">
      <c r="A1222" s="16" t="inlineStr">
        <is>
          <t>5.15-5.21</t>
        </is>
      </c>
      <c r="B1222" s="16" t="inlineStr">
        <is>
          <t>PO-128-14856545705591145</t>
        </is>
      </c>
      <c r="C1222" s="16" t="inlineStr">
        <is>
          <t>Shipped</t>
        </is>
      </c>
      <c r="D1222" s="16" t="inlineStr">
        <is>
          <t>128-14856503762551145</t>
        </is>
      </c>
      <c r="E1222" s="16" t="inlineStr">
        <is>
          <t>Shipped</t>
        </is>
      </c>
      <c r="F1222" s="16" t="inlineStr">
        <is>
          <t>BSC07</t>
        </is>
      </c>
      <c r="G1222" s="16" t="inlineStr">
        <is>
          <t>TIANLAI Báscula Digital BSC04/BSC07, Alta Precisión, Fácil Operación, Ligera y Portátil, Función Tara, Unidad Dual oz/g, Ideal para Cocina, Control de Porciones, Sellos y Objetos Pequeños, Uso en Hogar y Viaje</t>
        </is>
      </c>
      <c r="H1222" s="16" t="inlineStr">
        <is>
          <t>1g/White</t>
        </is>
      </c>
      <c r="I1222" s="16" t="n">
        <v>1</v>
      </c>
      <c r="J1222" s="17" t="n">
        <v>38</v>
      </c>
      <c r="K1222" s="17" t="n">
        <v>50.22</v>
      </c>
      <c r="L1222" s="17" t="n">
        <v>25.86</v>
      </c>
      <c r="M1222" s="17" t="n">
        <v>0</v>
      </c>
      <c r="N1222" s="17">
        <f>K1222*0.08+L1222*0.08</f>
        <v/>
      </c>
      <c r="O1222" s="17">
        <f>-(K1222*0.025+L1222*0.025)</f>
        <v/>
      </c>
      <c r="P1222" s="17">
        <f>32</f>
        <v/>
      </c>
      <c r="Q1222" s="17">
        <f>J1222+L1222+N1222+O1222-P1222-M1222</f>
        <v/>
      </c>
    </row>
    <row r="1223">
      <c r="A1223" s="16" t="inlineStr">
        <is>
          <t>5.15-5.21</t>
        </is>
      </c>
      <c r="B1223" s="16" t="inlineStr">
        <is>
          <t>PO-128-14982045645430333</t>
        </is>
      </c>
      <c r="C1223" s="16" t="inlineStr">
        <is>
          <t>Shipped</t>
        </is>
      </c>
      <c r="D1223" s="16" t="inlineStr">
        <is>
          <t>128-14982035159670333</t>
        </is>
      </c>
      <c r="E1223" s="16" t="inlineStr">
        <is>
          <t>Shipped</t>
        </is>
      </c>
      <c r="F1223" s="16" t="inlineStr">
        <is>
          <t>LV64W25</t>
        </is>
      </c>
      <c r="G12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23" s="16" t="inlineStr">
        <is>
          <t>Blanco</t>
        </is>
      </c>
      <c r="I1223" s="16" t="n">
        <v>2</v>
      </c>
      <c r="J1223" s="17" t="n">
        <v>250</v>
      </c>
      <c r="K1223" s="17" t="n">
        <v>247.02</v>
      </c>
      <c r="L1223" s="17" t="n">
        <v>0</v>
      </c>
      <c r="M1223" s="17" t="n">
        <v>0</v>
      </c>
      <c r="N1223" s="17">
        <f>K1223*0.08+L1223*0.08</f>
        <v/>
      </c>
      <c r="O1223" s="17">
        <f>-(K1223*0.025+L1223*0.025)</f>
        <v/>
      </c>
      <c r="P1223" s="17">
        <f>32</f>
        <v/>
      </c>
      <c r="Q1223" s="17">
        <f>J1223+L1223+N1223+O1223-P1223-M1223</f>
        <v/>
      </c>
    </row>
    <row r="1224">
      <c r="A1224" s="16" t="inlineStr">
        <is>
          <t>5.15-5.21</t>
        </is>
      </c>
      <c r="B1224" s="16" t="inlineStr">
        <is>
          <t>PO-128-14840542935671046</t>
        </is>
      </c>
      <c r="C1224" s="16" t="inlineStr">
        <is>
          <t>Shipped</t>
        </is>
      </c>
      <c r="D1224" s="16" t="inlineStr">
        <is>
          <t>128-14840618957431046</t>
        </is>
      </c>
      <c r="E1224" s="16" t="inlineStr">
        <is>
          <t>Shipped</t>
        </is>
      </c>
      <c r="F1224" s="16" t="inlineStr">
        <is>
          <t>LV54W25</t>
        </is>
      </c>
      <c r="G1224" s="16" t="inlineStr">
        <is>
          <t>TIANLAI Lámpara Ventilador E27 2 en 1, Silenciosa, LED Alta Luminosidad 180°, Instalación Rápida, Ahorro Energético para Dormitorio y Interiores Pequeños</t>
        </is>
      </c>
      <c r="H1224" s="16" t="inlineStr">
        <is>
          <t>1 Pieza</t>
        </is>
      </c>
      <c r="I1224" s="16" t="n">
        <v>1</v>
      </c>
      <c r="J1224" s="17" t="n">
        <v>74</v>
      </c>
      <c r="K1224" s="17" t="n">
        <v>67.37</v>
      </c>
      <c r="L1224" s="17" t="n">
        <v>25.86</v>
      </c>
      <c r="M1224" s="17" t="n">
        <v>0</v>
      </c>
      <c r="N1224" s="17">
        <f>K1224*0.08+L1224*0.08</f>
        <v/>
      </c>
      <c r="O1224" s="17">
        <f>-(K1224*0.025+L1224*0.025)</f>
        <v/>
      </c>
      <c r="P1224" s="17">
        <f>32</f>
        <v/>
      </c>
      <c r="Q1224" s="17">
        <f>J1224+L1224+N1224+O1224-P1224-M1224</f>
        <v/>
      </c>
    </row>
    <row r="1225">
      <c r="A1225" s="16" t="inlineStr">
        <is>
          <t>5.15-5.21</t>
        </is>
      </c>
      <c r="B1225" s="16" t="inlineStr">
        <is>
          <t>PO-128-14494384471673303</t>
        </is>
      </c>
      <c r="C1225" s="16" t="inlineStr">
        <is>
          <t>Shipped</t>
        </is>
      </c>
      <c r="D1225" s="16" t="inlineStr">
        <is>
          <t>128-14494426414713303</t>
        </is>
      </c>
      <c r="E1225" s="16" t="inlineStr">
        <is>
          <t>Shipped</t>
        </is>
      </c>
      <c r="F1225" s="16" t="inlineStr">
        <is>
          <t>LV64W25</t>
        </is>
      </c>
      <c r="G12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25" s="16" t="inlineStr">
        <is>
          <t>Blanco</t>
        </is>
      </c>
      <c r="I1225" s="16" t="n">
        <v>2</v>
      </c>
      <c r="J1225" s="17" t="n">
        <v>250</v>
      </c>
      <c r="K1225" s="17" t="n">
        <v>257.87</v>
      </c>
      <c r="L1225" s="17" t="n">
        <v>0</v>
      </c>
      <c r="M1225" s="17" t="n">
        <v>0</v>
      </c>
      <c r="N1225" s="17">
        <f>K1225*0.08+L1225*0.08</f>
        <v/>
      </c>
      <c r="O1225" s="17">
        <f>-(K1225*0.025+L1225*0.025)</f>
        <v/>
      </c>
      <c r="P1225" s="17">
        <f>32</f>
        <v/>
      </c>
      <c r="Q1225" s="17">
        <f>J1225+L1225+N1225+O1225-P1225-M1225</f>
        <v/>
      </c>
    </row>
    <row r="1226">
      <c r="A1226" s="16" t="inlineStr">
        <is>
          <t>5.15-5.21</t>
        </is>
      </c>
      <c r="B1226" s="16" t="inlineStr">
        <is>
          <t>PO-128-14979143245430348</t>
        </is>
      </c>
      <c r="C1226" s="16" t="inlineStr">
        <is>
          <t>Shipped</t>
        </is>
      </c>
      <c r="D1226" s="16" t="inlineStr">
        <is>
          <t>128-14979164216950348</t>
        </is>
      </c>
      <c r="E1226" s="16" t="inlineStr">
        <is>
          <t>Shipped</t>
        </is>
      </c>
      <c r="F1226" s="16" t="inlineStr">
        <is>
          <t>TL1455N20B</t>
        </is>
      </c>
      <c r="G1226" s="16" t="inlineStr">
        <is>
          <t>LINK BITS Soporte para TV 14 A 55 Pulgadas, Base para TV Pantalla Articulado Inclinable y Giratorio, MAX VESA 400×400 mm, Soporta hasta 18kg, adaptarse a la mayoría de los televisores de 14 Pulgadas/20 Pulgadas/32 Pulgadas/42 Pulgadas/55 pulgadas</t>
        </is>
      </c>
      <c r="H1226" s="16" t="inlineStr">
        <is>
          <t>TL1455N20B</t>
        </is>
      </c>
      <c r="I1226" s="16" t="n">
        <v>1</v>
      </c>
      <c r="J1226" s="17" t="n">
        <v>115</v>
      </c>
      <c r="K1226" s="17" t="n">
        <v>125.02</v>
      </c>
      <c r="L1226" s="17" t="n">
        <v>25.86</v>
      </c>
      <c r="M1226" s="17" t="n">
        <v>0</v>
      </c>
      <c r="N1226" s="17">
        <f>K1226*0.08+L1226*0.08</f>
        <v/>
      </c>
      <c r="O1226" s="17">
        <f>-(K1226*0.025+L1226*0.025)</f>
        <v/>
      </c>
      <c r="P1226" s="17">
        <f>32</f>
        <v/>
      </c>
      <c r="Q1226" s="17">
        <f>J1226+L1226+N1226+O1226-P1226-M1226</f>
        <v/>
      </c>
    </row>
    <row r="1227">
      <c r="A1227" s="16" t="inlineStr">
        <is>
          <t>5.15-5.21</t>
        </is>
      </c>
      <c r="B1227" s="16" t="inlineStr">
        <is>
          <t>PO-128-14565823401593773</t>
        </is>
      </c>
      <c r="C1227" s="16" t="inlineStr">
        <is>
          <t>Shipped</t>
        </is>
      </c>
      <c r="D1227" s="16" t="inlineStr">
        <is>
          <t>128-14565833887353773</t>
        </is>
      </c>
      <c r="E1227" s="16" t="inlineStr">
        <is>
          <t>Shipped</t>
        </is>
      </c>
      <c r="F1227" s="16" t="inlineStr">
        <is>
          <t>TL2663N18C</t>
        </is>
      </c>
      <c r="G1227" s="16" t="inlineStr">
        <is>
          <t>Linkbits，Soporte de pared fijo para televisores de 26"-63", Ultra-Delgado Compatible con VESA 400x400mm, Capacidad de Peso Fuerte de 25KG, Instalación Fácil Sin Electricidad</t>
        </is>
      </c>
      <c r="H1227" s="16" t="inlineStr">
        <is>
          <t>NEGRO</t>
        </is>
      </c>
      <c r="I1227" s="16" t="n">
        <v>6</v>
      </c>
      <c r="J1227" s="17" t="n">
        <v>322.8</v>
      </c>
      <c r="K1227" s="17" t="n">
        <v>412.62</v>
      </c>
      <c r="L1227" s="17" t="n">
        <v>0</v>
      </c>
      <c r="M1227" s="17" t="n">
        <v>0</v>
      </c>
      <c r="N1227" s="17">
        <f>K1227*0.08+L1227*0.08</f>
        <v/>
      </c>
      <c r="O1227" s="17">
        <f>-(K1227*0.025+L1227*0.025)</f>
        <v/>
      </c>
      <c r="P1227" s="17">
        <f>32</f>
        <v/>
      </c>
      <c r="Q1227" s="17">
        <f>J1227+L1227+N1227+O1227-P1227-M1227</f>
        <v/>
      </c>
    </row>
    <row r="1228">
      <c r="A1228" s="16" t="inlineStr">
        <is>
          <t>5.15-5.21</t>
        </is>
      </c>
      <c r="B1228" s="16" t="inlineStr">
        <is>
          <t>PO-128-15006418094710251</t>
        </is>
      </c>
      <c r="C1228" s="16" t="inlineStr">
        <is>
          <t>Shipped</t>
        </is>
      </c>
      <c r="D1228" s="16" t="inlineStr">
        <is>
          <t>128-15006397123190251</t>
        </is>
      </c>
      <c r="E1228" s="16" t="inlineStr">
        <is>
          <t>Shipped</t>
        </is>
      </c>
      <c r="F1228" s="16" t="inlineStr">
        <is>
          <t>TL1412N17C</t>
        </is>
      </c>
      <c r="G1228" s="16" t="inlineStr">
        <is>
          <t>Linkbits, Soporte de Pared Fijo para TV y Monitor de 14"-43", Ultra Delgado 2.3cm, Fuerte Capacidad de Peso de 25KG, Fácil Instalación con Accesorios Completos</t>
        </is>
      </c>
      <c r="H1228" s="16" t="inlineStr">
        <is>
          <t>NEGRO</t>
        </is>
      </c>
      <c r="I1228" s="16" t="n">
        <v>2</v>
      </c>
      <c r="J1228" s="17" t="n">
        <v>73.68000000000001</v>
      </c>
      <c r="K1228" s="17" t="n">
        <v>82.52</v>
      </c>
      <c r="L1228" s="17" t="n">
        <v>25.86</v>
      </c>
      <c r="M1228" s="17" t="n">
        <v>0</v>
      </c>
      <c r="N1228" s="17">
        <f>K1228*0.08+L1228*0.08</f>
        <v/>
      </c>
      <c r="O1228" s="17">
        <f>-(K1228*0.025+L1228*0.025)</f>
        <v/>
      </c>
      <c r="P1228" s="17">
        <f>32</f>
        <v/>
      </c>
      <c r="Q1228" s="17">
        <f>J1228+L1228+N1228+O1228-P1228-M1228</f>
        <v/>
      </c>
    </row>
    <row r="1229">
      <c r="A1229" s="16" t="inlineStr">
        <is>
          <t>5.15-5.21</t>
        </is>
      </c>
      <c r="B1229" s="16" t="inlineStr">
        <is>
          <t>PO-128-14833641687671217</t>
        </is>
      </c>
      <c r="C1229" s="16" t="inlineStr">
        <is>
          <t>Shipped</t>
        </is>
      </c>
      <c r="D1229" s="16" t="inlineStr">
        <is>
          <t>128-14833578773111217</t>
        </is>
      </c>
      <c r="E1229" s="16" t="inlineStr">
        <is>
          <t>Shipped</t>
        </is>
      </c>
      <c r="F1229" s="16" t="inlineStr">
        <is>
          <t>LV64W25</t>
        </is>
      </c>
      <c r="G12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29" s="16" t="inlineStr">
        <is>
          <t>Blanco</t>
        </is>
      </c>
      <c r="I1229" s="16" t="n">
        <v>2</v>
      </c>
      <c r="J1229" s="17" t="n">
        <v>250</v>
      </c>
      <c r="K1229" s="17" t="n">
        <v>257.88</v>
      </c>
      <c r="L1229" s="17" t="n">
        <v>0</v>
      </c>
      <c r="M1229" s="17" t="n">
        <v>0</v>
      </c>
      <c r="N1229" s="17">
        <f>K1229*0.08+L1229*0.08</f>
        <v/>
      </c>
      <c r="O1229" s="17">
        <f>-(K1229*0.025+L1229*0.025)</f>
        <v/>
      </c>
      <c r="P1229" s="17">
        <f>32</f>
        <v/>
      </c>
      <c r="Q1229" s="17">
        <f>J1229+L1229+N1229+O1229-P1229-M1229</f>
        <v/>
      </c>
    </row>
    <row r="1230">
      <c r="A1230" s="16" t="inlineStr">
        <is>
          <t>5.15-5.21</t>
        </is>
      </c>
      <c r="B1230" s="16" t="inlineStr">
        <is>
          <t>PO-128-15067071969910848</t>
        </is>
      </c>
      <c r="C1230" s="16" t="inlineStr">
        <is>
          <t>Shipped</t>
        </is>
      </c>
      <c r="D1230" s="16" t="inlineStr">
        <is>
          <t>128-15066977598070848</t>
        </is>
      </c>
      <c r="E1230" s="16" t="inlineStr">
        <is>
          <t>Shipped</t>
        </is>
      </c>
      <c r="F1230" s="16" t="inlineStr">
        <is>
          <t>i12-V</t>
        </is>
      </c>
      <c r="G1230" s="16" t="inlineStr">
        <is>
          <t>Auriculares Inalámbricos TWS - Ideales para Usuarios Android e iPhone, Entusiastas del Deporte &amp; Música, Controles Táctiles, Audífonos Para Correr y Jugar</t>
        </is>
      </c>
      <c r="H1230" s="16" t="inlineStr">
        <is>
          <t>VERDE</t>
        </is>
      </c>
      <c r="I1230" s="16" t="n">
        <v>1</v>
      </c>
      <c r="J1230" s="17" t="n">
        <v>45</v>
      </c>
      <c r="K1230" s="17" t="n">
        <v>58.61</v>
      </c>
      <c r="L1230" s="17" t="n">
        <v>25.86</v>
      </c>
      <c r="M1230" s="17" t="n">
        <v>0</v>
      </c>
      <c r="N1230" s="17">
        <f>K1230*0.08+L1230*0.08</f>
        <v/>
      </c>
      <c r="O1230" s="17">
        <f>-(K1230*0.025+L1230*0.025)</f>
        <v/>
      </c>
      <c r="P1230" s="17">
        <f>32</f>
        <v/>
      </c>
      <c r="Q1230" s="17">
        <f>J1230+L1230+N1230+O1230-P1230-M1230</f>
        <v/>
      </c>
    </row>
    <row r="1231">
      <c r="A1231" s="16" t="inlineStr">
        <is>
          <t>5.15-5.21</t>
        </is>
      </c>
      <c r="B1231" s="16" t="inlineStr">
        <is>
          <t>PO-128-14506606229113164</t>
        </is>
      </c>
      <c r="C1231" s="16" t="inlineStr">
        <is>
          <t>Shipped</t>
        </is>
      </c>
      <c r="D1231" s="16" t="inlineStr">
        <is>
          <t>128-14506637686393164</t>
        </is>
      </c>
      <c r="E1231" s="16" t="inlineStr">
        <is>
          <t>Shipped</t>
        </is>
      </c>
      <c r="F1231" s="16" t="inlineStr">
        <is>
          <t>KTS-2031</t>
        </is>
      </c>
      <c r="G1231" s="16" t="inlineStr">
        <is>
          <t>Bocina inalámbrica de 3 pulgadas con linterna multifuncional y panel solar integrado.Altavoz Portátil con Linterna LED 4 Modos, Radio FM, Bluetooth, Carga Solar, Ideal para Apagones, Emergencias, Campo y Exteriores</t>
        </is>
      </c>
      <c r="H1231" s="16" t="inlineStr">
        <is>
          <t>NEGRO</t>
        </is>
      </c>
      <c r="I1231" s="16" t="n">
        <v>1</v>
      </c>
      <c r="J1231" s="17" t="n">
        <v>77</v>
      </c>
      <c r="K1231" s="17" t="n">
        <v>86.22</v>
      </c>
      <c r="L1231" s="17" t="n">
        <v>25.86</v>
      </c>
      <c r="M1231" s="17" t="n">
        <v>0</v>
      </c>
      <c r="N1231" s="17">
        <f>K1231*0.08+L1231*0.08</f>
        <v/>
      </c>
      <c r="O1231" s="17">
        <f>-(K1231*0.025+L1231*0.025)</f>
        <v/>
      </c>
      <c r="P1231" s="17">
        <f>32</f>
        <v/>
      </c>
      <c r="Q1231" s="17">
        <f>J1231+L1231+N1231+O1231-P1231-M1231</f>
        <v/>
      </c>
    </row>
    <row r="1232">
      <c r="A1232" s="16" t="inlineStr">
        <is>
          <t>5.15-5.21</t>
        </is>
      </c>
      <c r="B1232" s="16" t="inlineStr">
        <is>
          <t>PO-128-15006579722870248</t>
        </is>
      </c>
      <c r="C1232" s="16" t="inlineStr">
        <is>
          <t>Shipped</t>
        </is>
      </c>
      <c r="D1232" s="16" t="inlineStr">
        <is>
          <t>128-15006563994230248</t>
        </is>
      </c>
      <c r="E1232" s="16" t="inlineStr">
        <is>
          <t>Shipped</t>
        </is>
      </c>
      <c r="F1232" s="16" t="inlineStr">
        <is>
          <t>KTS-2031</t>
        </is>
      </c>
      <c r="G1232" s="16" t="inlineStr">
        <is>
          <t>Bocina inalámbrica de 3 pulgadas con linterna multifuncional y panel solar integrado.Altavoz Portátil con Linterna LED 4 Modos, Radio FM, Bluetooth, Carga Solar, Ideal para Apagones, Emergencias, Campo y Exteriores</t>
        </is>
      </c>
      <c r="H1232" s="16" t="inlineStr">
        <is>
          <t>NEGRO</t>
        </is>
      </c>
      <c r="I1232" s="16" t="n">
        <v>3</v>
      </c>
      <c r="J1232" s="17" t="n">
        <v>231</v>
      </c>
      <c r="K1232" s="17" t="n">
        <v>249.19</v>
      </c>
      <c r="L1232" s="17" t="n">
        <v>0</v>
      </c>
      <c r="M1232" s="17" t="n">
        <v>0</v>
      </c>
      <c r="N1232" s="17">
        <f>K1232*0.08+L1232*0.08</f>
        <v/>
      </c>
      <c r="O1232" s="17">
        <f>-(K1232*0.025+L1232*0.025)</f>
        <v/>
      </c>
      <c r="P1232" s="17">
        <f>32</f>
        <v/>
      </c>
      <c r="Q1232" s="17">
        <f>J1232+L1232+N1232+O1232-P1232-M1232</f>
        <v/>
      </c>
    </row>
    <row r="1233">
      <c r="A1233" s="16" t="inlineStr">
        <is>
          <t>5.15-5.21</t>
        </is>
      </c>
      <c r="B1233" s="16" t="inlineStr">
        <is>
          <t>PO-128-14631158252152358</t>
        </is>
      </c>
      <c r="C1233" s="16" t="inlineStr">
        <is>
          <t>Shipped</t>
        </is>
      </c>
      <c r="D1233" s="16" t="inlineStr">
        <is>
          <t>128-14631105823352358</t>
        </is>
      </c>
      <c r="E1233" s="16" t="inlineStr">
        <is>
          <t>Shipped</t>
        </is>
      </c>
      <c r="F1233" s="16" t="inlineStr">
        <is>
          <t>LV64W25</t>
        </is>
      </c>
      <c r="G12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33" s="16" t="inlineStr">
        <is>
          <t>Blanco</t>
        </is>
      </c>
      <c r="I1233" s="16" t="n">
        <v>1</v>
      </c>
      <c r="J1233" s="17" t="n">
        <v>125</v>
      </c>
      <c r="K1233" s="17" t="n">
        <v>130.37</v>
      </c>
      <c r="L1233" s="17" t="n">
        <v>25.86</v>
      </c>
      <c r="M1233" s="17" t="n">
        <v>0</v>
      </c>
      <c r="N1233" s="17">
        <f>K1233*0.08+L1233*0.08</f>
        <v/>
      </c>
      <c r="O1233" s="17">
        <f>-(K1233*0.025+L1233*0.025)</f>
        <v/>
      </c>
      <c r="P1233" s="17">
        <f>32</f>
        <v/>
      </c>
      <c r="Q1233" s="17">
        <f>J1233+L1233+N1233+O1233-P1233-M1233</f>
        <v/>
      </c>
    </row>
    <row r="1234">
      <c r="A1234" s="16" t="inlineStr">
        <is>
          <t>5.15-5.21</t>
        </is>
      </c>
      <c r="B1234" s="16" t="inlineStr">
        <is>
          <t>PO-128-14451801933433557</t>
        </is>
      </c>
      <c r="C1234" s="16" t="inlineStr">
        <is>
          <t>Shipped</t>
        </is>
      </c>
      <c r="D1234" s="16" t="inlineStr">
        <is>
          <t>128-14451843876473557</t>
        </is>
      </c>
      <c r="E1234" s="16" t="inlineStr">
        <is>
          <t>Shipped</t>
        </is>
      </c>
      <c r="F1234" s="16" t="inlineStr">
        <is>
          <t>LV54W25</t>
        </is>
      </c>
      <c r="G1234" s="16" t="inlineStr">
        <is>
          <t>TIANLAI Lámpara Ventilador E27 2 en 1, Silenciosa, LED Alta Luminosidad 180°, Instalación Rápida, Ahorro Energético para Dormitorio y Interiores Pequeños</t>
        </is>
      </c>
      <c r="H1234" s="16" t="inlineStr">
        <is>
          <t>1 Pieza</t>
        </is>
      </c>
      <c r="I1234" s="16" t="n">
        <v>2</v>
      </c>
      <c r="J1234" s="17" t="n">
        <v>148</v>
      </c>
      <c r="K1234" s="17" t="n">
        <v>109.42</v>
      </c>
      <c r="L1234" s="17" t="n">
        <v>25.86</v>
      </c>
      <c r="M1234" s="17" t="n">
        <v>0</v>
      </c>
      <c r="N1234" s="17">
        <f>K1234*0.08+L1234*0.08</f>
        <v/>
      </c>
      <c r="O1234" s="17">
        <f>-(K1234*0.025+L1234*0.025)</f>
        <v/>
      </c>
      <c r="P1234" s="17">
        <f>32</f>
        <v/>
      </c>
      <c r="Q1234" s="17">
        <f>J1234+L1234+N1234+O1234-P1234-M1234</f>
        <v/>
      </c>
    </row>
    <row r="1235">
      <c r="A1235" s="16" t="inlineStr">
        <is>
          <t>5.15-5.21</t>
        </is>
      </c>
      <c r="B1235" s="16" t="inlineStr">
        <is>
          <t>PO-128-14460542577273377</t>
        </is>
      </c>
      <c r="C1235" s="16" t="inlineStr">
        <is>
          <t>Shipped</t>
        </is>
      </c>
      <c r="D1235" s="16" t="inlineStr">
        <is>
          <t>128-14460568791673377</t>
        </is>
      </c>
      <c r="E1235" s="16" t="inlineStr">
        <is>
          <t>Shipped</t>
        </is>
      </c>
      <c r="F1235" s="16" t="inlineStr">
        <is>
          <t>LV54W25</t>
        </is>
      </c>
      <c r="G1235" s="16" t="inlineStr">
        <is>
          <t>TIANLAI Lámpara Ventilador E27 2 en 1, Silenciosa, LED Alta Luminosidad 180°, Instalación Rápida, Ahorro Energético para Dormitorio y Interiores Pequeños</t>
        </is>
      </c>
      <c r="H1235" s="16" t="inlineStr">
        <is>
          <t>1 Pieza</t>
        </is>
      </c>
      <c r="I1235" s="16" t="n">
        <v>1</v>
      </c>
      <c r="J1235" s="17" t="n">
        <v>74</v>
      </c>
      <c r="K1235" s="17" t="n">
        <v>49.03</v>
      </c>
      <c r="L1235" s="17" t="n">
        <v>25.86</v>
      </c>
      <c r="M1235" s="17" t="n">
        <v>0</v>
      </c>
      <c r="N1235" s="17">
        <f>K1235*0.08+L1235*0.08</f>
        <v/>
      </c>
      <c r="O1235" s="17">
        <f>-(K1235*0.025+L1235*0.025)</f>
        <v/>
      </c>
      <c r="P1235" s="17">
        <f>32</f>
        <v/>
      </c>
      <c r="Q1235" s="17">
        <f>J1235+L1235+N1235+O1235-P1235-M1235</f>
        <v/>
      </c>
    </row>
    <row r="1236">
      <c r="A1236" s="16" t="inlineStr">
        <is>
          <t>5.15-5.21</t>
        </is>
      </c>
      <c r="B1236" s="16" t="inlineStr">
        <is>
          <t>PO-128-14557604403833948</t>
        </is>
      </c>
      <c r="C1236" s="16" t="inlineStr">
        <is>
          <t>Shipped</t>
        </is>
      </c>
      <c r="D1236" s="16" t="inlineStr">
        <is>
          <t>128-14557740718713948</t>
        </is>
      </c>
      <c r="E1236" s="16" t="inlineStr">
        <is>
          <t>Shipped</t>
        </is>
      </c>
      <c r="F1236" s="16" t="inlineStr">
        <is>
          <t>KTS-2031</t>
        </is>
      </c>
      <c r="G1236" s="16" t="inlineStr">
        <is>
          <t>Bocina inalámbrica de 3 pulgadas con linterna multifuncional y panel solar integrado.Altavoz Portátil con Linterna LED 4 Modos, Radio FM, Bluetooth, Carga Solar, Ideal para Apagones, Emergencias, Campo y Exteriores</t>
        </is>
      </c>
      <c r="H1236" s="16" t="inlineStr">
        <is>
          <t>NEGRO</t>
        </is>
      </c>
      <c r="I1236" s="16" t="n">
        <v>1</v>
      </c>
      <c r="J1236" s="17" t="n">
        <v>77</v>
      </c>
      <c r="K1236" s="17" t="n">
        <v>86.22</v>
      </c>
      <c r="L1236" s="17" t="n">
        <v>25.86</v>
      </c>
      <c r="M1236" s="17" t="n">
        <v>0</v>
      </c>
      <c r="N1236" s="17">
        <f>K1236*0.08+L1236*0.08</f>
        <v/>
      </c>
      <c r="O1236" s="17">
        <f>-(K1236*0.025+L1236*0.025)</f>
        <v/>
      </c>
      <c r="P1236" s="17">
        <f>32</f>
        <v/>
      </c>
      <c r="Q1236" s="17">
        <f>J1236+L1236+N1236+O1236-P1236-M1236</f>
        <v/>
      </c>
    </row>
    <row r="1237">
      <c r="A1237" s="16" t="inlineStr">
        <is>
          <t>5.15-5.21</t>
        </is>
      </c>
      <c r="B1237" s="16" t="inlineStr">
        <is>
          <t>PO-128-14558237819513947</t>
        </is>
      </c>
      <c r="C1237" s="16" t="inlineStr">
        <is>
          <t>Shipped</t>
        </is>
      </c>
      <c r="D1237" s="16" t="inlineStr">
        <is>
          <t>128-14558195876473947</t>
        </is>
      </c>
      <c r="E1237" s="16" t="inlineStr">
        <is>
          <t>Shipped</t>
        </is>
      </c>
      <c r="F1237" s="16" t="inlineStr">
        <is>
          <t>KTS-2031</t>
        </is>
      </c>
      <c r="G1237" s="16" t="inlineStr">
        <is>
          <t>Bocina inalámbrica de 3 pulgadas con linterna multifuncional y panel solar integrado.Altavoz Portátil con Linterna LED 4 Modos, Radio FM, Bluetooth, Carga Solar, Ideal para Apagones, Emergencias, Campo y Exteriores</t>
        </is>
      </c>
      <c r="H1237" s="16" t="inlineStr">
        <is>
          <t>NEGRO</t>
        </is>
      </c>
      <c r="I1237" s="16" t="n">
        <v>2</v>
      </c>
      <c r="J1237" s="17" t="n">
        <v>154</v>
      </c>
      <c r="K1237" s="17" t="n">
        <v>172.44</v>
      </c>
      <c r="L1237" s="17" t="n">
        <v>25.86</v>
      </c>
      <c r="M1237" s="17" t="n">
        <v>0</v>
      </c>
      <c r="N1237" s="17">
        <f>K1237*0.08+L1237*0.08</f>
        <v/>
      </c>
      <c r="O1237" s="17">
        <f>-(K1237*0.025+L1237*0.025)</f>
        <v/>
      </c>
      <c r="P1237" s="17">
        <f>32</f>
        <v/>
      </c>
      <c r="Q1237" s="17">
        <f>J1237+L1237+N1237+O1237-P1237-M1237</f>
        <v/>
      </c>
    </row>
    <row r="1238">
      <c r="A1238" s="16" t="inlineStr">
        <is>
          <t>5.15-5.21</t>
        </is>
      </c>
      <c r="B1238" s="16" t="inlineStr">
        <is>
          <t>PO-128-14710658151032844</t>
        </is>
      </c>
      <c r="C1238" s="16" t="inlineStr">
        <is>
          <t>Shipped</t>
        </is>
      </c>
      <c r="D1238" s="16" t="inlineStr">
        <is>
          <t>128-14710626693752844</t>
        </is>
      </c>
      <c r="E1238" s="16" t="inlineStr">
        <is>
          <t>Shipped</t>
        </is>
      </c>
      <c r="F1238" s="16" t="inlineStr">
        <is>
          <t>KTS-2031</t>
        </is>
      </c>
      <c r="G1238" s="16" t="inlineStr">
        <is>
          <t>Bocina inalámbrica de 3 pulgadas con linterna multifuncional y panel solar integrado.Altavoz Portátil con Linterna LED 4 Modos, Radio FM, Bluetooth, Carga Solar, Ideal para Apagones, Emergencias, Campo y Exteriores</t>
        </is>
      </c>
      <c r="H1238" s="16" t="inlineStr">
        <is>
          <t>NEGRO</t>
        </is>
      </c>
      <c r="I1238" s="16" t="n">
        <v>3</v>
      </c>
      <c r="J1238" s="17" t="n">
        <v>231</v>
      </c>
      <c r="K1238" s="17" t="n">
        <v>258.66</v>
      </c>
      <c r="L1238" s="17" t="n">
        <v>0</v>
      </c>
      <c r="M1238" s="17" t="n">
        <v>0</v>
      </c>
      <c r="N1238" s="17">
        <f>K1238*0.08+L1238*0.08</f>
        <v/>
      </c>
      <c r="O1238" s="17">
        <f>-(K1238*0.025+L1238*0.025)</f>
        <v/>
      </c>
      <c r="P1238" s="17">
        <f>32</f>
        <v/>
      </c>
      <c r="Q1238" s="17">
        <f>J1238+L1238+N1238+O1238-P1238-M1238</f>
        <v/>
      </c>
    </row>
    <row r="1239">
      <c r="A1239" s="16" t="inlineStr">
        <is>
          <t>5.15-5.21</t>
        </is>
      </c>
      <c r="B1239" s="16" t="inlineStr">
        <is>
          <t>PO-128-14692982236792950</t>
        </is>
      </c>
      <c r="C1239" s="16" t="inlineStr">
        <is>
          <t>Shipped</t>
        </is>
      </c>
      <c r="D1239" s="16" t="inlineStr">
        <is>
          <t>128-14692971751032950</t>
        </is>
      </c>
      <c r="E1239" s="16" t="inlineStr">
        <is>
          <t>Shipped</t>
        </is>
      </c>
      <c r="F1239" s="16" t="inlineStr">
        <is>
          <t>LV64W25</t>
        </is>
      </c>
      <c r="G12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39" s="16" t="inlineStr">
        <is>
          <t>Blanco</t>
        </is>
      </c>
      <c r="I1239" s="16" t="n">
        <v>5</v>
      </c>
      <c r="J1239" s="17" t="n">
        <v>625</v>
      </c>
      <c r="K1239" s="17" t="n">
        <v>644.7</v>
      </c>
      <c r="L1239" s="17" t="n">
        <v>0</v>
      </c>
      <c r="M1239" s="17" t="n">
        <v>0</v>
      </c>
      <c r="N1239" s="17">
        <f>K1239*0.08+L1239*0.08</f>
        <v/>
      </c>
      <c r="O1239" s="17">
        <f>-(K1239*0.025+L1239*0.025)</f>
        <v/>
      </c>
      <c r="P1239" s="17">
        <f>32</f>
        <v/>
      </c>
      <c r="Q1239" s="17">
        <f>J1239+L1239+N1239+O1239-P1239-M1239</f>
        <v/>
      </c>
    </row>
    <row r="1240">
      <c r="A1240" s="16" t="inlineStr">
        <is>
          <t>5.15-5.21</t>
        </is>
      </c>
      <c r="B1240" s="16" t="inlineStr">
        <is>
          <t>PO-128-14944168673911644</t>
        </is>
      </c>
      <c r="C1240" s="16" t="inlineStr">
        <is>
          <t>Shipped</t>
        </is>
      </c>
      <c r="D1240" s="16" t="inlineStr">
        <is>
          <t>128-14944273531511644</t>
        </is>
      </c>
      <c r="E1240" s="16" t="inlineStr">
        <is>
          <t>Shipped</t>
        </is>
      </c>
      <c r="F1240" s="16" t="inlineStr">
        <is>
          <t>LV54W25</t>
        </is>
      </c>
      <c r="G1240" s="16" t="inlineStr">
        <is>
          <t>TIANLAI Lámpara Ventilador E27 2 en 1, Silenciosa, LED Alta Luminosidad 180°, Instalación Rápida, Ahorro Energético para Dormitorio y Interiores Pequeños</t>
        </is>
      </c>
      <c r="H1240" s="16" t="inlineStr">
        <is>
          <t>1 Pieza</t>
        </is>
      </c>
      <c r="I1240" s="16" t="n">
        <v>1</v>
      </c>
      <c r="J1240" s="17" t="n">
        <v>74</v>
      </c>
      <c r="K1240" s="17" t="n">
        <v>76.26000000000001</v>
      </c>
      <c r="L1240" s="17" t="n">
        <v>25.86</v>
      </c>
      <c r="M1240" s="17" t="n">
        <v>0</v>
      </c>
      <c r="N1240" s="17">
        <f>K1240*0.08+L1240*0.08</f>
        <v/>
      </c>
      <c r="O1240" s="17">
        <f>-(K1240*0.025+L1240*0.025)</f>
        <v/>
      </c>
      <c r="P1240" s="17">
        <f>32</f>
        <v/>
      </c>
      <c r="Q1240" s="17">
        <f>J1240+L1240+N1240+O1240-P1240-M1240</f>
        <v/>
      </c>
    </row>
    <row r="1241">
      <c r="A1241" s="16" t="inlineStr">
        <is>
          <t>5.15-5.21</t>
        </is>
      </c>
      <c r="B1241" s="16" t="inlineStr">
        <is>
          <t>PO-128-14876203054711987</t>
        </is>
      </c>
      <c r="C1241" s="16" t="inlineStr">
        <is>
          <t>Shipped</t>
        </is>
      </c>
      <c r="D1241" s="16" t="inlineStr">
        <is>
          <t>128-14876255483511987</t>
        </is>
      </c>
      <c r="E1241" s="16" t="inlineStr">
        <is>
          <t>Shipped</t>
        </is>
      </c>
      <c r="F1241" s="16" t="inlineStr">
        <is>
          <t>LV54W25</t>
        </is>
      </c>
      <c r="G1241" s="16" t="inlineStr">
        <is>
          <t>TIANLAI Lámpara Ventilador E27 2 en 1, Silenciosa, LED Alta Luminosidad 180°, Instalación Rápida, Ahorro Energético para Dormitorio y Interiores Pequeños</t>
        </is>
      </c>
      <c r="H1241" s="16" t="inlineStr">
        <is>
          <t>1 Pieza</t>
        </is>
      </c>
      <c r="I1241" s="16" t="n">
        <v>3</v>
      </c>
      <c r="J1241" s="17" t="n">
        <v>222</v>
      </c>
      <c r="K1241" s="17" t="n">
        <v>228.78</v>
      </c>
      <c r="L1241" s="17" t="n">
        <v>25.86</v>
      </c>
      <c r="M1241" s="17" t="n">
        <v>0</v>
      </c>
      <c r="N1241" s="17">
        <f>K1241*0.08+L1241*0.08</f>
        <v/>
      </c>
      <c r="O1241" s="17">
        <f>-(K1241*0.025+L1241*0.025)</f>
        <v/>
      </c>
      <c r="P1241" s="17">
        <f>32</f>
        <v/>
      </c>
      <c r="Q1241" s="17">
        <f>J1241+L1241+N1241+O1241-P1241-M1241</f>
        <v/>
      </c>
    </row>
    <row r="1242">
      <c r="A1242" s="16" t="inlineStr">
        <is>
          <t>5.15-5.21</t>
        </is>
      </c>
      <c r="B1242" s="16" t="inlineStr">
        <is>
          <t>PO-128-14613836565112527</t>
        </is>
      </c>
      <c r="C1242" s="16" t="inlineStr">
        <is>
          <t>Shipped</t>
        </is>
      </c>
      <c r="D1242" s="16" t="inlineStr">
        <is>
          <t>128-14613877525112527</t>
        </is>
      </c>
      <c r="E1242" s="16" t="inlineStr">
        <is>
          <t>Shipped</t>
        </is>
      </c>
      <c r="F1242" s="16" t="inlineStr">
        <is>
          <t>LV64W25</t>
        </is>
      </c>
      <c r="G12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42" s="16" t="inlineStr">
        <is>
          <t>Blanco</t>
        </is>
      </c>
      <c r="I1242" s="16" t="n">
        <v>1</v>
      </c>
      <c r="J1242" s="17" t="n">
        <v>125</v>
      </c>
      <c r="K1242" s="17" t="n">
        <v>130.37</v>
      </c>
      <c r="L1242" s="17" t="n">
        <v>25.86</v>
      </c>
      <c r="M1242" s="17" t="n">
        <v>0</v>
      </c>
      <c r="N1242" s="17">
        <f>K1242*0.08+L1242*0.08</f>
        <v/>
      </c>
      <c r="O1242" s="17">
        <f>-(K1242*0.025+L1242*0.025)</f>
        <v/>
      </c>
      <c r="P1242" s="17">
        <f>32</f>
        <v/>
      </c>
      <c r="Q1242" s="17">
        <f>J1242+L1242+N1242+O1242-P1242-M1242</f>
        <v/>
      </c>
    </row>
    <row r="1243">
      <c r="A1243" s="16" t="inlineStr">
        <is>
          <t>5.15-5.21</t>
        </is>
      </c>
      <c r="B1243" s="16" t="inlineStr">
        <is>
          <t>PO-128-14500966840953134</t>
        </is>
      </c>
      <c r="C1243" s="16" t="inlineStr">
        <is>
          <t>Shipped</t>
        </is>
      </c>
      <c r="D1243" s="16" t="inlineStr">
        <is>
          <t>128-14500914412153134</t>
        </is>
      </c>
      <c r="E1243" s="16" t="inlineStr">
        <is>
          <t>Shipped</t>
        </is>
      </c>
      <c r="F1243" s="16" t="inlineStr">
        <is>
          <t>LV64W25</t>
        </is>
      </c>
      <c r="G12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43" s="16" t="inlineStr">
        <is>
          <t>Blanco</t>
        </is>
      </c>
      <c r="I1243" s="16" t="n">
        <v>3</v>
      </c>
      <c r="J1243" s="17" t="n">
        <v>375</v>
      </c>
      <c r="K1243" s="17" t="n">
        <v>386.82</v>
      </c>
      <c r="L1243" s="17" t="n">
        <v>0</v>
      </c>
      <c r="M1243" s="17" t="n">
        <v>0</v>
      </c>
      <c r="N1243" s="17">
        <f>K1243*0.08+L1243*0.08</f>
        <v/>
      </c>
      <c r="O1243" s="17">
        <f>-(K1243*0.025+L1243*0.025)</f>
        <v/>
      </c>
      <c r="P1243" s="17">
        <f>32</f>
        <v/>
      </c>
      <c r="Q1243" s="17">
        <f>J1243+L1243+N1243+O1243-P1243-M1243</f>
        <v/>
      </c>
    </row>
    <row r="1244">
      <c r="A1244" s="16" t="inlineStr">
        <is>
          <t>5.15-5.21</t>
        </is>
      </c>
      <c r="B1244" s="16" t="inlineStr">
        <is>
          <t>PO-128-15014087803510012</t>
        </is>
      </c>
      <c r="C1244" s="16" t="inlineStr">
        <is>
          <t>Shipped</t>
        </is>
      </c>
      <c r="D1244" s="16" t="inlineStr">
        <is>
          <t>128-15014093046390012</t>
        </is>
      </c>
      <c r="E1244" s="16" t="inlineStr">
        <is>
          <t>Shipped</t>
        </is>
      </c>
      <c r="F1244" s="16" t="inlineStr">
        <is>
          <t>LV54W25</t>
        </is>
      </c>
      <c r="G1244" s="16" t="inlineStr">
        <is>
          <t>TIANLAI Lámpara Ventilador E27 2 en 1, Silenciosa, LED Alta Luminosidad 180°, Instalación Rápida, Ahorro Energético para Dormitorio y Interiores Pequeños</t>
        </is>
      </c>
      <c r="H1244" s="16" t="inlineStr">
        <is>
          <t>1 Pieza</t>
        </is>
      </c>
      <c r="I1244" s="16" t="n">
        <v>1</v>
      </c>
      <c r="J1244" s="17" t="n">
        <v>74</v>
      </c>
      <c r="K1244" s="17" t="n">
        <v>77.12</v>
      </c>
      <c r="L1244" s="17" t="n">
        <v>25.86</v>
      </c>
      <c r="M1244" s="17" t="n">
        <v>0</v>
      </c>
      <c r="N1244" s="17">
        <f>K1244*0.08+L1244*0.08</f>
        <v/>
      </c>
      <c r="O1244" s="17">
        <f>-(K1244*0.025+L1244*0.025)</f>
        <v/>
      </c>
      <c r="P1244" s="17">
        <f>32</f>
        <v/>
      </c>
      <c r="Q1244" s="17">
        <f>J1244+L1244+N1244+O1244-P1244-M1244</f>
        <v/>
      </c>
    </row>
    <row r="1245">
      <c r="A1245" s="16" t="inlineStr">
        <is>
          <t>5.15-5.21</t>
        </is>
      </c>
      <c r="B1245" s="16" t="inlineStr">
        <is>
          <t>PO-128-15050583409271010</t>
        </is>
      </c>
      <c r="C1245" s="16" t="inlineStr">
        <is>
          <t>Shipped</t>
        </is>
      </c>
      <c r="D1245" s="16" t="inlineStr">
        <is>
          <t>128-15050625352311010</t>
        </is>
      </c>
      <c r="E1245" s="16" t="inlineStr">
        <is>
          <t>Shipped</t>
        </is>
      </c>
      <c r="F1245" s="16" t="inlineStr">
        <is>
          <t>LV54W25</t>
        </is>
      </c>
      <c r="G1245" s="16" t="inlineStr">
        <is>
          <t>TIANLAI Lámpara Ventilador E27 2 en 1, Silenciosa, LED Alta Luminosidad 180°, Instalación Rápida, Ahorro Energético para Dormitorio y Interiores Pequeños</t>
        </is>
      </c>
      <c r="H1245" s="16" t="inlineStr">
        <is>
          <t>1 Pieza</t>
        </is>
      </c>
      <c r="I1245" s="16" t="n">
        <v>1</v>
      </c>
      <c r="J1245" s="17" t="n">
        <v>74</v>
      </c>
      <c r="K1245" s="17" t="n">
        <v>76.26000000000001</v>
      </c>
      <c r="L1245" s="17" t="n">
        <v>25.86</v>
      </c>
      <c r="M1245" s="17" t="n">
        <v>0</v>
      </c>
      <c r="N1245" s="17">
        <f>K1245*0.08+L1245*0.08</f>
        <v/>
      </c>
      <c r="O1245" s="17">
        <f>-(K1245*0.025+L1245*0.025)</f>
        <v/>
      </c>
      <c r="P1245" s="17">
        <f>32</f>
        <v/>
      </c>
      <c r="Q1245" s="17">
        <f>J1245+L1245+N1245+O1245-P1245-M1245</f>
        <v/>
      </c>
    </row>
    <row r="1246">
      <c r="A1246" s="16" t="inlineStr">
        <is>
          <t>5.15-5.21</t>
        </is>
      </c>
      <c r="B1246" s="16" t="inlineStr">
        <is>
          <t>PO-128-14485023811193295</t>
        </is>
      </c>
      <c r="C1246" s="16" t="inlineStr">
        <is>
          <t>Shipped</t>
        </is>
      </c>
      <c r="D1246" s="16" t="inlineStr">
        <is>
          <t>128-14485065754233295</t>
        </is>
      </c>
      <c r="E1246" s="16" t="inlineStr">
        <is>
          <t>Shipped</t>
        </is>
      </c>
      <c r="F1246" s="16" t="inlineStr">
        <is>
          <t>KTS-2031</t>
        </is>
      </c>
      <c r="G1246" s="16" t="inlineStr">
        <is>
          <t>Bocina inalámbrica de 3 pulgadas con linterna multifuncional y panel solar integrado.Altavoz Portátil con Linterna LED 4 Modos, Radio FM, Bluetooth, Carga Solar, Ideal para Apagones, Emergencias, Campo y Exteriores</t>
        </is>
      </c>
      <c r="H1246" s="16" t="inlineStr">
        <is>
          <t>NEGRO</t>
        </is>
      </c>
      <c r="I1246" s="16" t="n">
        <v>6</v>
      </c>
      <c r="J1246" s="17" t="n">
        <v>462</v>
      </c>
      <c r="K1246" s="17" t="n">
        <v>474.22</v>
      </c>
      <c r="L1246" s="17" t="n">
        <v>0</v>
      </c>
      <c r="M1246" s="17" t="n">
        <v>0</v>
      </c>
      <c r="N1246" s="17">
        <f>K1246*0.08+L1246*0.08</f>
        <v/>
      </c>
      <c r="O1246" s="17">
        <f>-(K1246*0.025+L1246*0.025)</f>
        <v/>
      </c>
      <c r="P1246" s="17">
        <f>32</f>
        <v/>
      </c>
      <c r="Q1246" s="17">
        <f>J1246+L1246+N1246+O1246-P1246-M1246</f>
        <v/>
      </c>
    </row>
    <row r="1247">
      <c r="A1247" s="16" t="inlineStr">
        <is>
          <t>5.15-5.21</t>
        </is>
      </c>
      <c r="B1247" s="16" t="inlineStr">
        <is>
          <t>PO-128-14777486838391422</t>
        </is>
      </c>
      <c r="C1247" s="16" t="inlineStr">
        <is>
          <t>Shipped</t>
        </is>
      </c>
      <c r="D1247" s="16" t="inlineStr">
        <is>
          <t>128-14777507809911422</t>
        </is>
      </c>
      <c r="E1247" s="16" t="inlineStr">
        <is>
          <t>Shipped</t>
        </is>
      </c>
      <c r="F1247" s="16" t="inlineStr">
        <is>
          <t>KTS-2031</t>
        </is>
      </c>
      <c r="G1247" s="16" t="inlineStr">
        <is>
          <t>Bocina inalámbrica de 3 pulgadas con linterna multifuncional y panel solar integrado.Altavoz Portátil con Linterna LED 4 Modos, Radio FM, Bluetooth, Carga Solar, Ideal para Apagones, Emergencias, Campo y Exteriores</t>
        </is>
      </c>
      <c r="H1247" s="16" t="inlineStr">
        <is>
          <t>NEGRO</t>
        </is>
      </c>
      <c r="I1247" s="16" t="n">
        <v>1</v>
      </c>
      <c r="J1247" s="17" t="n">
        <v>77</v>
      </c>
      <c r="K1247" s="17" t="n">
        <v>86.22</v>
      </c>
      <c r="L1247" s="17" t="n">
        <v>13.72</v>
      </c>
      <c r="M1247" s="17" t="n">
        <v>0</v>
      </c>
      <c r="N1247" s="17">
        <f>K1247*0.08+L1247*0.08</f>
        <v/>
      </c>
      <c r="O1247" s="17">
        <f>-(K1247*0.025+L1247*0.025)</f>
        <v/>
      </c>
      <c r="P1247" s="17">
        <f>32</f>
        <v/>
      </c>
      <c r="Q1247" s="17">
        <f>J1247+L1247+N1247+O1247-P1247-M1247</f>
        <v/>
      </c>
    </row>
    <row r="1248">
      <c r="A1248" s="16" t="inlineStr">
        <is>
          <t>5.15-5.21</t>
        </is>
      </c>
      <c r="B1248" s="16" t="inlineStr">
        <is>
          <t>PO-128-14777486838391422</t>
        </is>
      </c>
      <c r="C1248" s="16" t="inlineStr">
        <is>
          <t>Shipped</t>
        </is>
      </c>
      <c r="D1248" s="16" t="inlineStr">
        <is>
          <t>128-14777423923831422</t>
        </is>
      </c>
      <c r="E1248" s="16" t="inlineStr">
        <is>
          <t>Shipped</t>
        </is>
      </c>
      <c r="F1248" s="16" t="inlineStr">
        <is>
          <t>LV54W25</t>
        </is>
      </c>
      <c r="G1248" s="16" t="inlineStr">
        <is>
          <t>TIANLAI Lámpara Ventilador E27 2 en 1, Silenciosa, LED Alta Luminosidad 180°, Instalación Rápida, Ahorro Energético para Dormitorio y Interiores Pequeños</t>
        </is>
      </c>
      <c r="H1248" s="16" t="inlineStr">
        <is>
          <t>1 Pieza</t>
        </is>
      </c>
      <c r="I1248" s="16" t="n">
        <v>1</v>
      </c>
      <c r="J1248" s="17" t="n">
        <v>74</v>
      </c>
      <c r="K1248" s="17" t="n">
        <v>76.26000000000001</v>
      </c>
      <c r="L1248" s="17" t="n">
        <v>12.14</v>
      </c>
      <c r="M1248" s="17" t="n">
        <v>0</v>
      </c>
      <c r="N1248" s="17">
        <f>K1248*0.08+L1248*0.08</f>
        <v/>
      </c>
      <c r="O1248" s="17">
        <f>-(K1248*0.025+L1248*0.025)</f>
        <v/>
      </c>
      <c r="P1248" s="17">
        <f>32</f>
        <v/>
      </c>
      <c r="Q1248" s="17">
        <f>J1248+L1248+N1248+O1248-P1248-M1248</f>
        <v/>
      </c>
    </row>
    <row r="1249">
      <c r="A1249" s="16" t="inlineStr">
        <is>
          <t>5.15-5.21</t>
        </is>
      </c>
      <c r="B1249" s="16" t="inlineStr">
        <is>
          <t>PO-128-14617675674232502</t>
        </is>
      </c>
      <c r="C1249" s="16" t="inlineStr">
        <is>
          <t>Shipped</t>
        </is>
      </c>
      <c r="D1249" s="16" t="inlineStr">
        <is>
          <t>128-14617780531832502</t>
        </is>
      </c>
      <c r="E1249" s="16" t="inlineStr">
        <is>
          <t>Shipped</t>
        </is>
      </c>
      <c r="F1249" s="16" t="inlineStr">
        <is>
          <t>B03W10-10PZS</t>
        </is>
      </c>
      <c r="G124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249" s="16" t="inlineStr">
        <is>
          <t>B03W10</t>
        </is>
      </c>
      <c r="I1249" s="16" t="n">
        <v>2</v>
      </c>
      <c r="J1249" s="17" t="n">
        <v>154</v>
      </c>
      <c r="K1249" s="17" t="n">
        <v>163.7</v>
      </c>
      <c r="L1249" s="17" t="n">
        <v>25.86</v>
      </c>
      <c r="M1249" s="17" t="n">
        <v>0</v>
      </c>
      <c r="N1249" s="17">
        <f>K1249*0.08+L1249*0.08</f>
        <v/>
      </c>
      <c r="O1249" s="17">
        <f>-(K1249*0.025+L1249*0.025)</f>
        <v/>
      </c>
      <c r="P1249" s="17">
        <f>32</f>
        <v/>
      </c>
      <c r="Q1249" s="17">
        <f>J1249+L1249+N1249+O1249-P1249-M1249</f>
        <v/>
      </c>
    </row>
    <row r="1250">
      <c r="A1250" s="16" t="inlineStr">
        <is>
          <t>5.15-5.21</t>
        </is>
      </c>
      <c r="B1250" s="16" t="inlineStr">
        <is>
          <t>PO-128-15046188498550972</t>
        </is>
      </c>
      <c r="C1250" s="16" t="inlineStr">
        <is>
          <t>Shipped</t>
        </is>
      </c>
      <c r="D1250" s="16" t="inlineStr">
        <is>
          <t>128-15046264520310972</t>
        </is>
      </c>
      <c r="E1250" s="16" t="inlineStr">
        <is>
          <t>Shipped</t>
        </is>
      </c>
      <c r="F1250" s="16" t="inlineStr">
        <is>
          <t>BSC04</t>
        </is>
      </c>
      <c r="G1250" s="16" t="inlineStr">
        <is>
          <t>TIANLAI Báscula Digital BSC04/BSC07, Alta Precisión, Fácil Operación, Ligera y Portátil, Función Tara, Unidad Dual oz/g, Ideal para Cocina, Control de Porciones, Sellos y Objetos Pequeños, Uso en Hogar y Viaje</t>
        </is>
      </c>
      <c r="H1250" s="16" t="inlineStr">
        <is>
          <t>5g/White</t>
        </is>
      </c>
      <c r="I1250" s="16" t="n">
        <v>1</v>
      </c>
      <c r="J1250" s="17" t="n">
        <v>58</v>
      </c>
      <c r="K1250" s="17" t="n">
        <v>59.44</v>
      </c>
      <c r="L1250" s="17" t="n">
        <v>25.86</v>
      </c>
      <c r="M1250" s="17" t="n">
        <v>0</v>
      </c>
      <c r="N1250" s="17">
        <f>K1250*0.08+L1250*0.08</f>
        <v/>
      </c>
      <c r="O1250" s="17">
        <f>-(K1250*0.025+L1250*0.025)</f>
        <v/>
      </c>
      <c r="P1250" s="17">
        <f>32</f>
        <v/>
      </c>
      <c r="Q1250" s="17">
        <f>J1250+L1250+N1250+O1250-P1250-M1250</f>
        <v/>
      </c>
    </row>
    <row r="1251">
      <c r="A1251" s="16" t="inlineStr">
        <is>
          <t>5.15-5.21</t>
        </is>
      </c>
      <c r="B1251" s="16" t="inlineStr">
        <is>
          <t>PO-128-14507062359673162</t>
        </is>
      </c>
      <c r="C1251" s="16" t="inlineStr">
        <is>
          <t>Shipped</t>
        </is>
      </c>
      <c r="D1251" s="16" t="inlineStr">
        <is>
          <t>128-14507020416633162</t>
        </is>
      </c>
      <c r="E1251" s="16" t="inlineStr">
        <is>
          <t>Shipped</t>
        </is>
      </c>
      <c r="F1251" s="16" t="inlineStr">
        <is>
          <t>KTS-2031</t>
        </is>
      </c>
      <c r="G1251" s="16" t="inlineStr">
        <is>
          <t>Bocina inalámbrica de 3 pulgadas con linterna multifuncional y panel solar integrado.Altavoz Portátil con Linterna LED 4 Modos, Radio FM, Bluetooth, Carga Solar, Ideal para Apagones, Emergencias, Campo y Exteriores</t>
        </is>
      </c>
      <c r="H1251" s="16" t="inlineStr">
        <is>
          <t>NEGRO</t>
        </is>
      </c>
      <c r="I1251" s="16" t="n">
        <v>1</v>
      </c>
      <c r="J1251" s="17" t="n">
        <v>77</v>
      </c>
      <c r="K1251" s="17" t="n">
        <v>0.01</v>
      </c>
      <c r="L1251" s="17" t="n">
        <v>25.86</v>
      </c>
      <c r="M1251" s="17" t="n">
        <v>0</v>
      </c>
      <c r="N1251" s="17">
        <f>K1251*0.08+L1251*0.08</f>
        <v/>
      </c>
      <c r="O1251" s="17">
        <f>-(K1251*0.025+L1251*0.025)</f>
        <v/>
      </c>
      <c r="P1251" s="17">
        <f>32</f>
        <v/>
      </c>
      <c r="Q1251" s="17">
        <f>J1251+L1251+N1251+O1251-P1251-M1251</f>
        <v/>
      </c>
    </row>
    <row r="1252">
      <c r="A1252" s="16" t="inlineStr">
        <is>
          <t>5.15-5.21</t>
        </is>
      </c>
      <c r="B1252" s="16" t="inlineStr">
        <is>
          <t>PO-128-14765322363512646</t>
        </is>
      </c>
      <c r="C1252" s="16" t="inlineStr">
        <is>
          <t>Shipped</t>
        </is>
      </c>
      <c r="D1252" s="16" t="inlineStr">
        <is>
          <t>128-14765427221112646</t>
        </is>
      </c>
      <c r="E1252" s="16" t="inlineStr">
        <is>
          <t>Shipped</t>
        </is>
      </c>
      <c r="F1252" s="16" t="inlineStr">
        <is>
          <t>KTS-2031</t>
        </is>
      </c>
      <c r="G1252" s="16" t="inlineStr">
        <is>
          <t>Bocina inalámbrica de 3 pulgadas con linterna multifuncional y panel solar integrado.Altavoz Portátil con Linterna LED 4 Modos, Radio FM, Bluetooth, Carga Solar, Ideal para Apagones, Emergencias, Campo y Exteriores</t>
        </is>
      </c>
      <c r="H1252" s="16" t="inlineStr">
        <is>
          <t>NEGRO</t>
        </is>
      </c>
      <c r="I1252" s="16" t="n">
        <v>3</v>
      </c>
      <c r="J1252" s="17" t="n">
        <v>231</v>
      </c>
      <c r="K1252" s="17" t="n">
        <v>258.66</v>
      </c>
      <c r="L1252" s="17" t="n">
        <v>0</v>
      </c>
      <c r="M1252" s="17" t="n">
        <v>0</v>
      </c>
      <c r="N1252" s="17">
        <f>K1252*0.08+L1252*0.08</f>
        <v/>
      </c>
      <c r="O1252" s="17">
        <f>-(K1252*0.025+L1252*0.025)</f>
        <v/>
      </c>
      <c r="P1252" s="17">
        <f>32</f>
        <v/>
      </c>
      <c r="Q1252" s="17">
        <f>J1252+L1252+N1252+O1252-P1252-M1252</f>
        <v/>
      </c>
    </row>
    <row r="1253">
      <c r="A1253" s="16" t="inlineStr">
        <is>
          <t>5.15-5.21</t>
        </is>
      </c>
      <c r="B1253" s="16" t="inlineStr">
        <is>
          <t>PO-128-14657591393912264</t>
        </is>
      </c>
      <c r="C1253" s="16" t="inlineStr">
        <is>
          <t>Shipped</t>
        </is>
      </c>
      <c r="D1253" s="16" t="inlineStr">
        <is>
          <t>128-14657659551352264</t>
        </is>
      </c>
      <c r="E1253" s="16" t="inlineStr">
        <is>
          <t>Shipped</t>
        </is>
      </c>
      <c r="F1253" s="16" t="inlineStr">
        <is>
          <t>BSC04</t>
        </is>
      </c>
      <c r="G1253" s="16" t="inlineStr">
        <is>
          <t>TIANLAI Báscula Digital BSC04/BSC07, Alta Precisión, Fácil Operación, Ligera y Portátil, Función Tara, Unidad Dual oz/g, Ideal para Cocina, Control de Porciones, Sellos y Objetos Pequeños, Uso en Hogar y Viaje</t>
        </is>
      </c>
      <c r="H1253" s="16" t="inlineStr">
        <is>
          <t>5g/White</t>
        </is>
      </c>
      <c r="I1253" s="16" t="n">
        <v>1</v>
      </c>
      <c r="J1253" s="17" t="n">
        <v>58</v>
      </c>
      <c r="K1253" s="17" t="n">
        <v>74.29000000000001</v>
      </c>
      <c r="L1253" s="17" t="n">
        <v>25.86</v>
      </c>
      <c r="M1253" s="17" t="n">
        <v>0</v>
      </c>
      <c r="N1253" s="17">
        <f>K1253*0.08+L1253*0.08</f>
        <v/>
      </c>
      <c r="O1253" s="17">
        <f>-(K1253*0.025+L1253*0.025)</f>
        <v/>
      </c>
      <c r="P1253" s="17">
        <f>32</f>
        <v/>
      </c>
      <c r="Q1253" s="17">
        <f>J1253+L1253+N1253+O1253-P1253-M1253</f>
        <v/>
      </c>
    </row>
    <row r="1254">
      <c r="A1254" s="16" t="inlineStr">
        <is>
          <t>5.15-5.21</t>
        </is>
      </c>
      <c r="B1254" s="16" t="inlineStr">
        <is>
          <t>PO-128-15055055529590793</t>
        </is>
      </c>
      <c r="C1254" s="16" t="inlineStr">
        <is>
          <t>Shipped</t>
        </is>
      </c>
      <c r="D1254" s="16" t="inlineStr">
        <is>
          <t>128-15055107958390793</t>
        </is>
      </c>
      <c r="E1254" s="16" t="inlineStr">
        <is>
          <t>Shipped</t>
        </is>
      </c>
      <c r="F1254" s="16" t="inlineStr">
        <is>
          <t>VB349T</t>
        </is>
      </c>
      <c r="G1254" s="16" t="inlineStr">
        <is>
          <t>LINKBITS Altavoz Portátil de Doble Altavoz - 3 Pulgadas, Sonido HD, Emparejamiento Rápido de Bluetooth, Conectividad TWS, Reproducción Multimodo (Micro SD/USB/Radio FM) - Perfecto para Oficina, Viajes y Espacios Pequeños</t>
        </is>
      </c>
      <c r="H1254" s="16" t="inlineStr">
        <is>
          <t>NEGRO</t>
        </is>
      </c>
      <c r="I1254" s="16" t="n">
        <v>1</v>
      </c>
      <c r="J1254" s="17" t="n">
        <v>81</v>
      </c>
      <c r="K1254" s="17" t="n">
        <v>94.26000000000001</v>
      </c>
      <c r="L1254" s="17" t="n">
        <v>25.86</v>
      </c>
      <c r="M1254" s="17" t="n">
        <v>0</v>
      </c>
      <c r="N1254" s="17">
        <f>K1254*0.08+L1254*0.08</f>
        <v/>
      </c>
      <c r="O1254" s="17">
        <f>-(K1254*0.025+L1254*0.025)</f>
        <v/>
      </c>
      <c r="P1254" s="17">
        <f>32</f>
        <v/>
      </c>
      <c r="Q1254" s="17">
        <f>J1254+L1254+N1254+O1254-P1254-M1254</f>
        <v/>
      </c>
    </row>
    <row r="1255">
      <c r="A1255" s="16" t="inlineStr">
        <is>
          <t>5.15-5.21</t>
        </is>
      </c>
      <c r="B1255" s="16" t="inlineStr">
        <is>
          <t>PO-128-15115544417910625</t>
        </is>
      </c>
      <c r="C1255" s="16" t="inlineStr">
        <is>
          <t>Shipped</t>
        </is>
      </c>
      <c r="D1255" s="16" t="inlineStr">
        <is>
          <t>128-15115565389430625</t>
        </is>
      </c>
      <c r="E1255" s="16" t="inlineStr">
        <is>
          <t>Shipped</t>
        </is>
      </c>
      <c r="F1255" s="16" t="inlineStr">
        <is>
          <t>LV64W25</t>
        </is>
      </c>
      <c r="G12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55" s="16" t="inlineStr">
        <is>
          <t>Blanco</t>
        </is>
      </c>
      <c r="I1255" s="16" t="n">
        <v>2</v>
      </c>
      <c r="J1255" s="17" t="n">
        <v>250</v>
      </c>
      <c r="K1255" s="17" t="n">
        <v>260.74</v>
      </c>
      <c r="L1255" s="17" t="n">
        <v>0</v>
      </c>
      <c r="M1255" s="17" t="n">
        <v>0</v>
      </c>
      <c r="N1255" s="17">
        <f>K1255*0.08+L1255*0.08</f>
        <v/>
      </c>
      <c r="O1255" s="17">
        <f>-(K1255*0.025+L1255*0.025)</f>
        <v/>
      </c>
      <c r="P1255" s="17">
        <f>32</f>
        <v/>
      </c>
      <c r="Q1255" s="17">
        <f>J1255+L1255+N1255+O1255-P1255-M1255</f>
        <v/>
      </c>
    </row>
    <row r="1256">
      <c r="A1256" s="16" t="inlineStr">
        <is>
          <t>5.15-5.21</t>
        </is>
      </c>
      <c r="B1256" s="16" t="inlineStr">
        <is>
          <t>PO-128-14917343181431740</t>
        </is>
      </c>
      <c r="C1256" s="16" t="inlineStr">
        <is>
          <t>Shipped</t>
        </is>
      </c>
      <c r="D1256" s="16" t="inlineStr">
        <is>
          <t>128-14917385124471740</t>
        </is>
      </c>
      <c r="E1256" s="16" t="inlineStr">
        <is>
          <t>Shipped</t>
        </is>
      </c>
      <c r="F1256" s="16" t="inlineStr">
        <is>
          <t>LV64W25</t>
        </is>
      </c>
      <c r="G12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56" s="16" t="inlineStr">
        <is>
          <t>Blanco</t>
        </is>
      </c>
      <c r="I1256" s="16" t="n">
        <v>2</v>
      </c>
      <c r="J1256" s="17" t="n">
        <v>250</v>
      </c>
      <c r="K1256" s="17" t="n">
        <v>260.74</v>
      </c>
      <c r="L1256" s="17" t="n">
        <v>0</v>
      </c>
      <c r="M1256" s="17" t="n">
        <v>0</v>
      </c>
      <c r="N1256" s="17">
        <f>K1256*0.08+L1256*0.08</f>
        <v/>
      </c>
      <c r="O1256" s="17">
        <f>-(K1256*0.025+L1256*0.025)</f>
        <v/>
      </c>
      <c r="P1256" s="17">
        <f>32</f>
        <v/>
      </c>
      <c r="Q1256" s="17">
        <f>J1256+L1256+N1256+O1256-P1256-M1256</f>
        <v/>
      </c>
    </row>
    <row r="1257">
      <c r="A1257" s="16" t="inlineStr">
        <is>
          <t>5.15-5.21</t>
        </is>
      </c>
      <c r="B1257" s="16" t="inlineStr">
        <is>
          <t>PO-128-14767619169912635</t>
        </is>
      </c>
      <c r="C1257" s="16" t="inlineStr">
        <is>
          <t>Shipped</t>
        </is>
      </c>
      <c r="D1257" s="16" t="inlineStr">
        <is>
          <t>128-14767577226872635</t>
        </is>
      </c>
      <c r="E1257" s="16" t="inlineStr">
        <is>
          <t>Shipped</t>
        </is>
      </c>
      <c r="F1257" s="16" t="inlineStr">
        <is>
          <t>KTS-2031</t>
        </is>
      </c>
      <c r="G1257" s="16" t="inlineStr">
        <is>
          <t>Bocina inalámbrica de 3 pulgadas con linterna multifuncional y panel solar integrado.Altavoz Portátil con Linterna LED 4 Modos, Radio FM, Bluetooth, Carga Solar, Ideal para Apagones, Emergencias, Campo y Exteriores</t>
        </is>
      </c>
      <c r="H1257" s="16" t="inlineStr">
        <is>
          <t>NEGRO</t>
        </is>
      </c>
      <c r="I1257" s="16" t="n">
        <v>1</v>
      </c>
      <c r="J1257" s="17" t="n">
        <v>77</v>
      </c>
      <c r="K1257" s="17" t="n">
        <v>86.22</v>
      </c>
      <c r="L1257" s="17" t="n">
        <v>25.86</v>
      </c>
      <c r="M1257" s="17" t="n">
        <v>0</v>
      </c>
      <c r="N1257" s="17">
        <f>K1257*0.08+L1257*0.08</f>
        <v/>
      </c>
      <c r="O1257" s="17">
        <f>-(K1257*0.025+L1257*0.025)</f>
        <v/>
      </c>
      <c r="P1257" s="17">
        <f>32</f>
        <v/>
      </c>
      <c r="Q1257" s="17">
        <f>J1257+L1257+N1257+O1257-P1257-M1257</f>
        <v/>
      </c>
    </row>
    <row r="1258">
      <c r="A1258" s="16" t="inlineStr">
        <is>
          <t>5.15-5.21</t>
        </is>
      </c>
      <c r="B1258" s="16" t="inlineStr">
        <is>
          <t>PO-128-14979112469110348</t>
        </is>
      </c>
      <c r="C1258" s="16" t="inlineStr">
        <is>
          <t>Shipped</t>
        </is>
      </c>
      <c r="D1258" s="16" t="inlineStr">
        <is>
          <t>128-14979091497590348</t>
        </is>
      </c>
      <c r="E1258" s="16" t="inlineStr">
        <is>
          <t>Shipped</t>
        </is>
      </c>
      <c r="F1258" s="16" t="inlineStr">
        <is>
          <t>LV64W25</t>
        </is>
      </c>
      <c r="G12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58" s="16" t="inlineStr">
        <is>
          <t>Blanco</t>
        </is>
      </c>
      <c r="I1258" s="16" t="n">
        <v>2</v>
      </c>
      <c r="J1258" s="17" t="n">
        <v>250</v>
      </c>
      <c r="K1258" s="17" t="n">
        <v>257.87</v>
      </c>
      <c r="L1258" s="17" t="n">
        <v>0</v>
      </c>
      <c r="M1258" s="17" t="n">
        <v>0</v>
      </c>
      <c r="N1258" s="17">
        <f>K1258*0.08+L1258*0.08</f>
        <v/>
      </c>
      <c r="O1258" s="17">
        <f>-(K1258*0.025+L1258*0.025)</f>
        <v/>
      </c>
      <c r="P1258" s="17">
        <f>32</f>
        <v/>
      </c>
      <c r="Q1258" s="17">
        <f>J1258+L1258+N1258+O1258-P1258-M1258</f>
        <v/>
      </c>
    </row>
    <row r="1259">
      <c r="A1259" s="16" t="inlineStr">
        <is>
          <t>5.15-5.21</t>
        </is>
      </c>
      <c r="B1259" s="16" t="inlineStr">
        <is>
          <t>PO-128-14836824489591260</t>
        </is>
      </c>
      <c r="C1259" s="16" t="inlineStr">
        <is>
          <t>Shipped</t>
        </is>
      </c>
      <c r="D1259" s="16" t="inlineStr">
        <is>
          <t>128-14836793032311260</t>
        </is>
      </c>
      <c r="E1259" s="16" t="inlineStr">
        <is>
          <t>Shipped</t>
        </is>
      </c>
      <c r="F1259" s="16" t="inlineStr">
        <is>
          <t>LV64W25</t>
        </is>
      </c>
      <c r="G12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59" s="16" t="inlineStr">
        <is>
          <t>Blanco</t>
        </is>
      </c>
      <c r="I1259" s="16" t="n">
        <v>1</v>
      </c>
      <c r="J1259" s="17" t="n">
        <v>125</v>
      </c>
      <c r="K1259" s="17" t="n">
        <v>128.94</v>
      </c>
      <c r="L1259" s="17" t="n">
        <v>25.86</v>
      </c>
      <c r="M1259" s="17" t="n">
        <v>0</v>
      </c>
      <c r="N1259" s="17">
        <f>K1259*0.08+L1259*0.08</f>
        <v/>
      </c>
      <c r="O1259" s="17">
        <f>-(K1259*0.025+L1259*0.025)</f>
        <v/>
      </c>
      <c r="P1259" s="17">
        <f>32</f>
        <v/>
      </c>
      <c r="Q1259" s="17">
        <f>J1259+L1259+N1259+O1259-P1259-M1259</f>
        <v/>
      </c>
    </row>
    <row r="1260">
      <c r="A1260" s="16" t="inlineStr">
        <is>
          <t>5.15-5.21</t>
        </is>
      </c>
      <c r="B1260" s="16" t="inlineStr">
        <is>
          <t>PO-128-14879455708792030</t>
        </is>
      </c>
      <c r="C1260" s="16" t="inlineStr">
        <is>
          <t>Shipped</t>
        </is>
      </c>
      <c r="D1260" s="16" t="inlineStr">
        <is>
          <t>128-14879445223032030</t>
        </is>
      </c>
      <c r="E1260" s="16" t="inlineStr">
        <is>
          <t>Shipped</t>
        </is>
      </c>
      <c r="F1260" s="16" t="inlineStr">
        <is>
          <t>LV54W25</t>
        </is>
      </c>
      <c r="G1260" s="16" t="inlineStr">
        <is>
          <t>TIANLAI Lámpara Ventilador E27 2 en 1, Silenciosa, LED Alta Luminosidad 180°, Instalación Rápida, Ahorro Energético para Dormitorio y Interiores Pequeños</t>
        </is>
      </c>
      <c r="H1260" s="16" t="inlineStr">
        <is>
          <t>1 Pieza</t>
        </is>
      </c>
      <c r="I1260" s="16" t="n">
        <v>1</v>
      </c>
      <c r="J1260" s="17" t="n">
        <v>74</v>
      </c>
      <c r="K1260" s="17" t="n">
        <v>85.68000000000001</v>
      </c>
      <c r="L1260" s="17" t="n">
        <v>25.86</v>
      </c>
      <c r="M1260" s="17" t="n">
        <v>0</v>
      </c>
      <c r="N1260" s="17">
        <f>K1260*0.08+L1260*0.08</f>
        <v/>
      </c>
      <c r="O1260" s="17">
        <f>-(K1260*0.025+L1260*0.025)</f>
        <v/>
      </c>
      <c r="P1260" s="17">
        <f>32</f>
        <v/>
      </c>
      <c r="Q1260" s="17">
        <f>J1260+L1260+N1260+O1260-P1260-M1260</f>
        <v/>
      </c>
    </row>
    <row r="1261">
      <c r="A1261" s="16" t="inlineStr">
        <is>
          <t>5.15-5.21</t>
        </is>
      </c>
      <c r="B1261" s="16" t="inlineStr">
        <is>
          <t>PO-128-14735904563832694</t>
        </is>
      </c>
      <c r="C1261" s="16" t="inlineStr">
        <is>
          <t>Shipped</t>
        </is>
      </c>
      <c r="D1261" s="16" t="inlineStr">
        <is>
          <t>128-14735862620792694</t>
        </is>
      </c>
      <c r="E1261" s="16" t="inlineStr">
        <is>
          <t>Shipped</t>
        </is>
      </c>
      <c r="F1261" s="16" t="inlineStr">
        <is>
          <t>B03W10-10PZS</t>
        </is>
      </c>
      <c r="G126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261" s="16" t="inlineStr">
        <is>
          <t>B03W10</t>
        </is>
      </c>
      <c r="I1261" s="16" t="n">
        <v>1</v>
      </c>
      <c r="J1261" s="17" t="n">
        <v>77</v>
      </c>
      <c r="K1261" s="17" t="n">
        <v>81.84999999999999</v>
      </c>
      <c r="L1261" s="17" t="n">
        <v>25.86</v>
      </c>
      <c r="M1261" s="17" t="n">
        <v>0</v>
      </c>
      <c r="N1261" s="17">
        <f>K1261*0.08+L1261*0.08</f>
        <v/>
      </c>
      <c r="O1261" s="17">
        <f>-(K1261*0.025+L1261*0.025)</f>
        <v/>
      </c>
      <c r="P1261" s="17">
        <f>32</f>
        <v/>
      </c>
      <c r="Q1261" s="17">
        <f>J1261+L1261+N1261+O1261-P1261-M1261</f>
        <v/>
      </c>
    </row>
    <row r="1262">
      <c r="A1262" s="16" t="inlineStr">
        <is>
          <t>5.15-5.21</t>
        </is>
      </c>
      <c r="B1262" s="16" t="inlineStr">
        <is>
          <t>PO-128-14588979364473635</t>
        </is>
      </c>
      <c r="C1262" s="16" t="inlineStr">
        <is>
          <t>Shipped</t>
        </is>
      </c>
      <c r="D1262" s="16" t="inlineStr">
        <is>
          <t>128-14589115679353635</t>
        </is>
      </c>
      <c r="E1262" s="16" t="inlineStr">
        <is>
          <t>Shipped</t>
        </is>
      </c>
      <c r="F1262" s="16" t="inlineStr">
        <is>
          <t>LV64W25</t>
        </is>
      </c>
      <c r="G12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62" s="16" t="inlineStr">
        <is>
          <t>Blanco</t>
        </is>
      </c>
      <c r="I1262" s="16" t="n">
        <v>2</v>
      </c>
      <c r="J1262" s="17" t="n">
        <v>250</v>
      </c>
      <c r="K1262" s="17" t="n">
        <v>260.74</v>
      </c>
      <c r="L1262" s="17" t="n">
        <v>0</v>
      </c>
      <c r="M1262" s="17" t="n">
        <v>0</v>
      </c>
      <c r="N1262" s="17">
        <f>K1262*0.08+L1262*0.08</f>
        <v/>
      </c>
      <c r="O1262" s="17">
        <f>-(K1262*0.025+L1262*0.025)</f>
        <v/>
      </c>
      <c r="P1262" s="17">
        <f>32</f>
        <v/>
      </c>
      <c r="Q1262" s="17">
        <f>J1262+L1262+N1262+O1262-P1262-M1262</f>
        <v/>
      </c>
    </row>
    <row r="1263">
      <c r="A1263" s="16" t="inlineStr">
        <is>
          <t>5.15-5.21</t>
        </is>
      </c>
      <c r="B1263" s="16" t="inlineStr">
        <is>
          <t>PO-128-14619427292792556</t>
        </is>
      </c>
      <c r="C1263" s="16" t="inlineStr">
        <is>
          <t>Shipped</t>
        </is>
      </c>
      <c r="D1263" s="16" t="inlineStr">
        <is>
          <t>128-14619479721592556</t>
        </is>
      </c>
      <c r="E1263" s="16" t="inlineStr">
        <is>
          <t>Shipped</t>
        </is>
      </c>
      <c r="F1263" s="16" t="inlineStr">
        <is>
          <t>B03W10-10PZS</t>
        </is>
      </c>
      <c r="G126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263" s="16" t="inlineStr">
        <is>
          <t>B03W10</t>
        </is>
      </c>
      <c r="I1263" s="16" t="n">
        <v>1</v>
      </c>
      <c r="J1263" s="17" t="n">
        <v>77</v>
      </c>
      <c r="K1263" s="17" t="n">
        <v>80.95</v>
      </c>
      <c r="L1263" s="17" t="n">
        <v>25.86</v>
      </c>
      <c r="M1263" s="17" t="n">
        <v>0</v>
      </c>
      <c r="N1263" s="17">
        <f>K1263*0.08+L1263*0.08</f>
        <v/>
      </c>
      <c r="O1263" s="17">
        <f>-(K1263*0.025+L1263*0.025)</f>
        <v/>
      </c>
      <c r="P1263" s="17">
        <f>32</f>
        <v/>
      </c>
      <c r="Q1263" s="17">
        <f>J1263+L1263+N1263+O1263-P1263-M1263</f>
        <v/>
      </c>
    </row>
    <row r="1264">
      <c r="A1264" s="16" t="inlineStr">
        <is>
          <t>5.15-5.21</t>
        </is>
      </c>
      <c r="B1264" s="16" t="inlineStr">
        <is>
          <t>PO-128-14492899989113310</t>
        </is>
      </c>
      <c r="C1264" s="16" t="inlineStr">
        <is>
          <t>Shipped</t>
        </is>
      </c>
      <c r="D1264" s="16" t="inlineStr">
        <is>
          <t>128-14492879017593310</t>
        </is>
      </c>
      <c r="E1264" s="16" t="inlineStr">
        <is>
          <t>Shipped</t>
        </is>
      </c>
      <c r="F1264" s="16" t="inlineStr">
        <is>
          <t>KTS-2031</t>
        </is>
      </c>
      <c r="G1264" s="16" t="inlineStr">
        <is>
          <t>Bocina inalámbrica de 3 pulgadas con linterna multifuncional y panel solar integrado.Altavoz Portátil con Linterna LED 4 Modos, Radio FM, Bluetooth, Carga Solar, Ideal para Apagones, Emergencias, Campo y Exteriores</t>
        </is>
      </c>
      <c r="H1264" s="16" t="inlineStr">
        <is>
          <t>NEGRO</t>
        </is>
      </c>
      <c r="I1264" s="16" t="n">
        <v>1</v>
      </c>
      <c r="J1264" s="17" t="n">
        <v>77</v>
      </c>
      <c r="K1264" s="17" t="n">
        <v>68.98</v>
      </c>
      <c r="L1264" s="17" t="n">
        <v>25.86</v>
      </c>
      <c r="M1264" s="17" t="n">
        <v>0</v>
      </c>
      <c r="N1264" s="17">
        <f>K1264*0.08+L1264*0.08</f>
        <v/>
      </c>
      <c r="O1264" s="17">
        <f>-(K1264*0.025+L1264*0.025)</f>
        <v/>
      </c>
      <c r="P1264" s="17">
        <f>32</f>
        <v/>
      </c>
      <c r="Q1264" s="17">
        <f>J1264+L1264+N1264+O1264-P1264-M1264</f>
        <v/>
      </c>
    </row>
    <row r="1265">
      <c r="A1265" s="16" t="inlineStr">
        <is>
          <t>5.15-5.21</t>
        </is>
      </c>
      <c r="B1265" s="16" t="inlineStr">
        <is>
          <t>PO-128-14534338734714089</t>
        </is>
      </c>
      <c r="C1265" s="16" t="inlineStr">
        <is>
          <t>Shipped</t>
        </is>
      </c>
      <c r="D1265" s="16" t="inlineStr">
        <is>
          <t>128-14534380677754089</t>
        </is>
      </c>
      <c r="E1265" s="16" t="inlineStr">
        <is>
          <t>Shipped</t>
        </is>
      </c>
      <c r="F1265" s="16" t="inlineStr">
        <is>
          <t>LV54W25</t>
        </is>
      </c>
      <c r="G1265" s="16" t="inlineStr">
        <is>
          <t>TIANLAI Lámpara Ventilador E27 2 en 1, Silenciosa, LED Alta Luminosidad 180°, Instalación Rápida, Ahorro Energético para Dormitorio y Interiores Pequeños</t>
        </is>
      </c>
      <c r="H1265" s="16" t="inlineStr">
        <is>
          <t>1 Pieza</t>
        </is>
      </c>
      <c r="I1265" s="16" t="n">
        <v>1</v>
      </c>
      <c r="J1265" s="17" t="n">
        <v>74</v>
      </c>
      <c r="K1265" s="17" t="n">
        <v>76.26000000000001</v>
      </c>
      <c r="L1265" s="17" t="n">
        <v>25.86</v>
      </c>
      <c r="M1265" s="17" t="n">
        <v>0</v>
      </c>
      <c r="N1265" s="17">
        <f>K1265*0.08+L1265*0.08</f>
        <v/>
      </c>
      <c r="O1265" s="17">
        <f>-(K1265*0.025+L1265*0.025)</f>
        <v/>
      </c>
      <c r="P1265" s="17">
        <f>32</f>
        <v/>
      </c>
      <c r="Q1265" s="17">
        <f>J1265+L1265+N1265+O1265-P1265-M1265</f>
        <v/>
      </c>
    </row>
    <row r="1266">
      <c r="A1266" s="16" t="inlineStr">
        <is>
          <t>5.15-5.21</t>
        </is>
      </c>
      <c r="B1266" s="16" t="inlineStr">
        <is>
          <t>PO-128-14437268670073514</t>
        </is>
      </c>
      <c r="C1266" s="16" t="inlineStr">
        <is>
          <t>Shipped</t>
        </is>
      </c>
      <c r="D1266" s="16" t="inlineStr">
        <is>
          <t>128-14437226727033514</t>
        </is>
      </c>
      <c r="E1266" s="16" t="inlineStr">
        <is>
          <t>Shipped</t>
        </is>
      </c>
      <c r="F1266" s="16" t="inlineStr">
        <is>
          <t>LV64W25</t>
        </is>
      </c>
      <c r="G12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66" s="16" t="inlineStr">
        <is>
          <t>Blanco</t>
        </is>
      </c>
      <c r="I1266" s="16" t="n">
        <v>1</v>
      </c>
      <c r="J1266" s="17" t="n">
        <v>125</v>
      </c>
      <c r="K1266" s="17" t="n">
        <v>143.26</v>
      </c>
      <c r="L1266" s="17" t="n">
        <v>25.86</v>
      </c>
      <c r="M1266" s="17" t="n">
        <v>0</v>
      </c>
      <c r="N1266" s="17">
        <f>K1266*0.08+L1266*0.08</f>
        <v/>
      </c>
      <c r="O1266" s="17">
        <f>-(K1266*0.025+L1266*0.025)</f>
        <v/>
      </c>
      <c r="P1266" s="17">
        <f>32</f>
        <v/>
      </c>
      <c r="Q1266" s="17">
        <f>J1266+L1266+N1266+O1266-P1266-M1266</f>
        <v/>
      </c>
    </row>
    <row r="1267">
      <c r="A1267" s="16" t="inlineStr">
        <is>
          <t>5.15-5.21</t>
        </is>
      </c>
      <c r="B1267" s="16" t="inlineStr">
        <is>
          <t>PO-128-15037958907510959</t>
        </is>
      </c>
      <c r="C1267" s="16" t="inlineStr">
        <is>
          <t>Shipped</t>
        </is>
      </c>
      <c r="D1267" s="16" t="inlineStr">
        <is>
          <t>128-15037948421750959</t>
        </is>
      </c>
      <c r="E1267" s="16" t="inlineStr">
        <is>
          <t>Shipped</t>
        </is>
      </c>
      <c r="F1267" s="16" t="inlineStr">
        <is>
          <t>LV64W25</t>
        </is>
      </c>
      <c r="G12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67" s="16" t="inlineStr">
        <is>
          <t>Blanco</t>
        </is>
      </c>
      <c r="I1267" s="16" t="n">
        <v>1</v>
      </c>
      <c r="J1267" s="17" t="n">
        <v>125</v>
      </c>
      <c r="K1267" s="17" t="n">
        <v>117.24</v>
      </c>
      <c r="L1267" s="17" t="n">
        <v>25.86</v>
      </c>
      <c r="M1267" s="17" t="n">
        <v>0</v>
      </c>
      <c r="N1267" s="17">
        <f>K1267*0.08+L1267*0.08</f>
        <v/>
      </c>
      <c r="O1267" s="17">
        <f>-(K1267*0.025+L1267*0.025)</f>
        <v/>
      </c>
      <c r="P1267" s="17">
        <f>32</f>
        <v/>
      </c>
      <c r="Q1267" s="17">
        <f>J1267+L1267+N1267+O1267-P1267-M1267</f>
        <v/>
      </c>
    </row>
    <row r="1268">
      <c r="A1268" s="16" t="inlineStr">
        <is>
          <t>5.15-5.21</t>
        </is>
      </c>
      <c r="B1268" s="16" t="inlineStr">
        <is>
          <t>PO-128-14606443315832443</t>
        </is>
      </c>
      <c r="C1268" s="16" t="inlineStr">
        <is>
          <t>Shipped</t>
        </is>
      </c>
      <c r="D1268" s="16" t="inlineStr">
        <is>
          <t>128-14606548173432443</t>
        </is>
      </c>
      <c r="E1268" s="16" t="inlineStr">
        <is>
          <t>Shipped</t>
        </is>
      </c>
      <c r="F1268" s="16" t="inlineStr">
        <is>
          <t>TL1455N20B</t>
        </is>
      </c>
      <c r="G1268" s="16" t="inlineStr">
        <is>
          <t>LINK BITS Soporte para TV 14 A 55 Pulgadas, Base para TV Pantalla Articulado Inclinable y Giratorio, MAX VESA 400×400 mm, Soporta hasta 18kg, adaptarse a la mayoría de los televisores de 14 Pulgadas/20 Pulgadas/32 Pulgadas/42 Pulgadas/55 pulgadas</t>
        </is>
      </c>
      <c r="H1268" s="16" t="inlineStr">
        <is>
          <t>TL1455N20B</t>
        </is>
      </c>
      <c r="I1268" s="16" t="n">
        <v>2</v>
      </c>
      <c r="J1268" s="17" t="n">
        <v>142</v>
      </c>
      <c r="K1268" s="17" t="n">
        <v>184.12</v>
      </c>
      <c r="L1268" s="17" t="n">
        <v>25.86</v>
      </c>
      <c r="M1268" s="17" t="n">
        <v>0</v>
      </c>
      <c r="N1268" s="17">
        <f>K1268*0.08+L1268*0.08</f>
        <v/>
      </c>
      <c r="O1268" s="17">
        <f>-(K1268*0.025+L1268*0.025)</f>
        <v/>
      </c>
      <c r="P1268" s="17">
        <f>32</f>
        <v/>
      </c>
      <c r="Q1268" s="17">
        <f>J1268+L1268+N1268+O1268-P1268-M1268</f>
        <v/>
      </c>
    </row>
    <row r="1269">
      <c r="A1269" s="16" t="inlineStr">
        <is>
          <t>5.15-5.21</t>
        </is>
      </c>
      <c r="B1269" s="16" t="inlineStr">
        <is>
          <t>PO-128-14492881075833310</t>
        </is>
      </c>
      <c r="C1269" s="16" t="inlineStr">
        <is>
          <t>Shipped</t>
        </is>
      </c>
      <c r="D1269" s="16" t="inlineStr">
        <is>
          <t>128-14492907290233310</t>
        </is>
      </c>
      <c r="E1269" s="16" t="inlineStr">
        <is>
          <t>Shipped</t>
        </is>
      </c>
      <c r="F1269" s="16" t="inlineStr">
        <is>
          <t>LV54W25</t>
        </is>
      </c>
      <c r="G1269" s="16" t="inlineStr">
        <is>
          <t>TIANLAI Lámpara Ventilador E27 2 en 1, Silenciosa, LED Alta Luminosidad 180°, Instalación Rápida, Ahorro Energético para Dormitorio y Interiores Pequeños</t>
        </is>
      </c>
      <c r="H1269" s="16" t="inlineStr">
        <is>
          <t>1 Pieza</t>
        </is>
      </c>
      <c r="I1269" s="16" t="n">
        <v>1</v>
      </c>
      <c r="J1269" s="17" t="n">
        <v>74</v>
      </c>
      <c r="K1269" s="17" t="n">
        <v>77.12</v>
      </c>
      <c r="L1269" s="17" t="n">
        <v>25.86</v>
      </c>
      <c r="M1269" s="17" t="n">
        <v>0</v>
      </c>
      <c r="N1269" s="17">
        <f>K1269*0.08+L1269*0.08</f>
        <v/>
      </c>
      <c r="O1269" s="17">
        <f>-(K1269*0.025+L1269*0.025)</f>
        <v/>
      </c>
      <c r="P1269" s="17">
        <f>32</f>
        <v/>
      </c>
      <c r="Q1269" s="17">
        <f>J1269+L1269+N1269+O1269-P1269-M1269</f>
        <v/>
      </c>
    </row>
    <row r="1270">
      <c r="A1270" s="16" t="inlineStr">
        <is>
          <t>5.15-5.21</t>
        </is>
      </c>
      <c r="B1270" s="16" t="inlineStr">
        <is>
          <t>PO-128-15028799678070116</t>
        </is>
      </c>
      <c r="C1270" s="16" t="inlineStr">
        <is>
          <t>Shipped</t>
        </is>
      </c>
      <c r="D1270" s="16" t="inlineStr">
        <is>
          <t>128-15028778706550116</t>
        </is>
      </c>
      <c r="E1270" s="16" t="inlineStr">
        <is>
          <t>Shipped</t>
        </is>
      </c>
      <c r="F1270" s="16" t="inlineStr">
        <is>
          <t>LV54W25</t>
        </is>
      </c>
      <c r="G1270" s="16" t="inlineStr">
        <is>
          <t>TIANLAI Lámpara Ventilador E27 2 en 1, Silenciosa, LED Alta Luminosidad 180°, Instalación Rápida, Ahorro Energético para Dormitorio y Interiores Pequeños</t>
        </is>
      </c>
      <c r="H1270" s="16" t="inlineStr">
        <is>
          <t>1 Pieza</t>
        </is>
      </c>
      <c r="I1270" s="16" t="n">
        <v>1</v>
      </c>
      <c r="J1270" s="17" t="n">
        <v>74</v>
      </c>
      <c r="K1270" s="17" t="n">
        <v>85.68000000000001</v>
      </c>
      <c r="L1270" s="17" t="n">
        <v>25.86</v>
      </c>
      <c r="M1270" s="17" t="n">
        <v>0</v>
      </c>
      <c r="N1270" s="17">
        <f>K1270*0.08+L1270*0.08</f>
        <v/>
      </c>
      <c r="O1270" s="17">
        <f>-(K1270*0.025+L1270*0.025)</f>
        <v/>
      </c>
      <c r="P1270" s="17">
        <f>32</f>
        <v/>
      </c>
      <c r="Q1270" s="17">
        <f>J1270+L1270+N1270+O1270-P1270-M1270</f>
        <v/>
      </c>
    </row>
    <row r="1271">
      <c r="A1271" s="16" t="inlineStr">
        <is>
          <t>5.15-5.21</t>
        </is>
      </c>
      <c r="B1271" s="16" t="inlineStr">
        <is>
          <t>PO-128-15115897042550623</t>
        </is>
      </c>
      <c r="C1271" s="16" t="inlineStr">
        <is>
          <t>Shipped</t>
        </is>
      </c>
      <c r="D1271" s="16" t="inlineStr">
        <is>
          <t>128-15115855099510623</t>
        </is>
      </c>
      <c r="E1271" s="16" t="inlineStr">
        <is>
          <t>Shipped</t>
        </is>
      </c>
      <c r="F1271" s="16" t="inlineStr">
        <is>
          <t>LV54W25</t>
        </is>
      </c>
      <c r="G1271" s="16" t="inlineStr">
        <is>
          <t>TIANLAI Lámpara Ventilador E27 2 en 1, Silenciosa, LED Alta Luminosidad 180°, Instalación Rápida, Ahorro Energético para Dormitorio y Interiores Pequeños</t>
        </is>
      </c>
      <c r="H1271" s="16" t="inlineStr">
        <is>
          <t>1 Pieza</t>
        </is>
      </c>
      <c r="I1271" s="16" t="n">
        <v>1</v>
      </c>
      <c r="J1271" s="17" t="n">
        <v>74</v>
      </c>
      <c r="K1271" s="17" t="n">
        <v>76.26000000000001</v>
      </c>
      <c r="L1271" s="17" t="n">
        <v>25.86</v>
      </c>
      <c r="M1271" s="17" t="n">
        <v>0</v>
      </c>
      <c r="N1271" s="17">
        <f>K1271*0.08+L1271*0.08</f>
        <v/>
      </c>
      <c r="O1271" s="17">
        <f>-(K1271*0.025+L1271*0.025)</f>
        <v/>
      </c>
      <c r="P1271" s="17">
        <f>32</f>
        <v/>
      </c>
      <c r="Q1271" s="17">
        <f>J1271+L1271+N1271+O1271-P1271-M1271</f>
        <v/>
      </c>
    </row>
    <row r="1272">
      <c r="A1272" s="16" t="inlineStr">
        <is>
          <t>5.15-5.21</t>
        </is>
      </c>
      <c r="B1272" s="16" t="inlineStr">
        <is>
          <t>PO-128-14864711537271926</t>
        </is>
      </c>
      <c r="C1272" s="16" t="inlineStr">
        <is>
          <t>Shipped</t>
        </is>
      </c>
      <c r="D1272" s="16" t="inlineStr">
        <is>
          <t>128-14864659108471926</t>
        </is>
      </c>
      <c r="E1272" s="16" t="inlineStr">
        <is>
          <t>Shipped</t>
        </is>
      </c>
      <c r="F1272" s="16" t="inlineStr">
        <is>
          <t>TL2663N18C</t>
        </is>
      </c>
      <c r="G1272" s="16" t="inlineStr">
        <is>
          <t>Linkbits，Soporte de pared fijo para televisores de 26"-63", Ultra-Delgado Compatible con VESA 400x400mm, Capacidad de Peso Fuerte de 25KG, Instalación Fácil Sin Electricidad</t>
        </is>
      </c>
      <c r="H1272" s="16" t="inlineStr">
        <is>
          <t>NEGRO</t>
        </is>
      </c>
      <c r="I1272" s="16" t="n">
        <v>5</v>
      </c>
      <c r="J1272" s="17" t="n">
        <v>269</v>
      </c>
      <c r="K1272" s="17" t="n">
        <v>343.85</v>
      </c>
      <c r="L1272" s="17" t="n">
        <v>0</v>
      </c>
      <c r="M1272" s="17" t="n">
        <v>0</v>
      </c>
      <c r="N1272" s="17">
        <f>K1272*0.08+L1272*0.08</f>
        <v/>
      </c>
      <c r="O1272" s="17">
        <f>-(K1272*0.025+L1272*0.025)</f>
        <v/>
      </c>
      <c r="P1272" s="17">
        <f>32</f>
        <v/>
      </c>
      <c r="Q1272" s="17">
        <f>J1272+L1272+N1272+O1272-P1272-M1272</f>
        <v/>
      </c>
    </row>
    <row r="1273">
      <c r="A1273" s="16" t="inlineStr">
        <is>
          <t>5.15-5.21</t>
        </is>
      </c>
      <c r="B1273" s="16" t="inlineStr">
        <is>
          <t>PO-128-14491284787833320</t>
        </is>
      </c>
      <c r="C1273" s="16" t="inlineStr">
        <is>
          <t>Shipped</t>
        </is>
      </c>
      <c r="D1273" s="16" t="inlineStr">
        <is>
          <t>128-14491242844793320</t>
        </is>
      </c>
      <c r="E1273" s="16" t="inlineStr">
        <is>
          <t>Shipped</t>
        </is>
      </c>
      <c r="F1273" s="16" t="inlineStr">
        <is>
          <t>LV64W25</t>
        </is>
      </c>
      <c r="G12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73" s="16" t="inlineStr">
        <is>
          <t>Blanco</t>
        </is>
      </c>
      <c r="I1273" s="16" t="n">
        <v>1</v>
      </c>
      <c r="J1273" s="17" t="n">
        <v>125</v>
      </c>
      <c r="K1273" s="17" t="n">
        <v>85.84</v>
      </c>
      <c r="L1273" s="17" t="n">
        <v>25.86</v>
      </c>
      <c r="M1273" s="17" t="n">
        <v>0</v>
      </c>
      <c r="N1273" s="17">
        <f>K1273*0.08+L1273*0.08</f>
        <v/>
      </c>
      <c r="O1273" s="17">
        <f>-(K1273*0.025+L1273*0.025)</f>
        <v/>
      </c>
      <c r="P1273" s="17">
        <f>32</f>
        <v/>
      </c>
      <c r="Q1273" s="17">
        <f>J1273+L1273+N1273+O1273-P1273-M1273</f>
        <v/>
      </c>
    </row>
    <row r="1274">
      <c r="A1274" s="16" t="inlineStr">
        <is>
          <t>5.15-5.21</t>
        </is>
      </c>
      <c r="B1274" s="16" t="inlineStr">
        <is>
          <t>PO-128-14493805225593307</t>
        </is>
      </c>
      <c r="C1274" s="16" t="inlineStr">
        <is>
          <t>Shipped</t>
        </is>
      </c>
      <c r="D1274" s="16" t="inlineStr">
        <is>
          <t>128-14493763282553307</t>
        </is>
      </c>
      <c r="E1274" s="16" t="inlineStr">
        <is>
          <t>Shipped</t>
        </is>
      </c>
      <c r="F1274" s="16" t="inlineStr">
        <is>
          <t>BSC07</t>
        </is>
      </c>
      <c r="G1274" s="16" t="inlineStr">
        <is>
          <t>TIANLAI Báscula Digital BSC04/BSC07, Alta Precisión, Fácil Operación, Ligera y Portátil, Función Tara, Unidad Dual oz/g, Ideal para Cocina, Control de Porciones, Sellos y Objetos Pequeños, Uso en Hogar y Viaje</t>
        </is>
      </c>
      <c r="H1274" s="16" t="inlineStr">
        <is>
          <t>1g/White</t>
        </is>
      </c>
      <c r="I1274" s="16" t="n">
        <v>2</v>
      </c>
      <c r="J1274" s="17" t="n">
        <v>76</v>
      </c>
      <c r="K1274" s="17" t="n">
        <v>10.15</v>
      </c>
      <c r="L1274" s="17" t="n">
        <v>25.86</v>
      </c>
      <c r="M1274" s="17" t="n">
        <v>0</v>
      </c>
      <c r="N1274" s="17">
        <f>K1274*0.08+L1274*0.08</f>
        <v/>
      </c>
      <c r="O1274" s="17">
        <f>-(K1274*0.025+L1274*0.025)</f>
        <v/>
      </c>
      <c r="P1274" s="17">
        <f>32</f>
        <v/>
      </c>
      <c r="Q1274" s="17">
        <f>J1274+L1274+N1274+O1274-P1274-M1274</f>
        <v/>
      </c>
    </row>
    <row r="1275">
      <c r="A1275" s="16" t="inlineStr">
        <is>
          <t>5.15-5.21</t>
        </is>
      </c>
      <c r="B1275" s="16" t="inlineStr">
        <is>
          <t>PO-128-14959383235190466</t>
        </is>
      </c>
      <c r="C1275" s="16" t="inlineStr">
        <is>
          <t>Shipped</t>
        </is>
      </c>
      <c r="D1275" s="16" t="inlineStr">
        <is>
          <t>128-14959341292150466</t>
        </is>
      </c>
      <c r="E1275" s="16" t="inlineStr">
        <is>
          <t>Shipped</t>
        </is>
      </c>
      <c r="F1275" s="16" t="inlineStr">
        <is>
          <t>LV64W25</t>
        </is>
      </c>
      <c r="G12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75" s="16" t="inlineStr">
        <is>
          <t>Blanco</t>
        </is>
      </c>
      <c r="I1275" s="16" t="n">
        <v>1</v>
      </c>
      <c r="J1275" s="17" t="n">
        <v>125</v>
      </c>
      <c r="K1275" s="17" t="n">
        <v>85.84</v>
      </c>
      <c r="L1275" s="17" t="n">
        <v>25.86</v>
      </c>
      <c r="M1275" s="17" t="n">
        <v>0</v>
      </c>
      <c r="N1275" s="17">
        <f>K1275*0.08+L1275*0.08</f>
        <v/>
      </c>
      <c r="O1275" s="17">
        <f>-(K1275*0.025+L1275*0.025)</f>
        <v/>
      </c>
      <c r="P1275" s="17">
        <f>32</f>
        <v/>
      </c>
      <c r="Q1275" s="17">
        <f>J1275+L1275+N1275+O1275-P1275-M1275</f>
        <v/>
      </c>
    </row>
    <row r="1276">
      <c r="A1276" s="16" t="inlineStr">
        <is>
          <t>5.15-5.21</t>
        </is>
      </c>
      <c r="B1276" s="16" t="inlineStr">
        <is>
          <t>PO-128-14977330944630297</t>
        </is>
      </c>
      <c r="C1276" s="16" t="inlineStr">
        <is>
          <t>Shipped</t>
        </is>
      </c>
      <c r="D1276" s="16" t="inlineStr">
        <is>
          <t>128-14977289001590297</t>
        </is>
      </c>
      <c r="E1276" s="16" t="inlineStr">
        <is>
          <t>Shipped</t>
        </is>
      </c>
      <c r="F1276" s="16" t="inlineStr">
        <is>
          <t>LV54W25</t>
        </is>
      </c>
      <c r="G1276" s="16" t="inlineStr">
        <is>
          <t>TIANLAI Lámpara Ventilador E27 2 en 1, Silenciosa, LED Alta Luminosidad 180°, Instalación Rápida, Ahorro Energético para Dormitorio y Interiores Pequeños</t>
        </is>
      </c>
      <c r="H1276" s="16" t="inlineStr">
        <is>
          <t>1 Pieza</t>
        </is>
      </c>
      <c r="I1276" s="16" t="n">
        <v>2</v>
      </c>
      <c r="J1276" s="17" t="n">
        <v>148</v>
      </c>
      <c r="K1276" s="17" t="n">
        <v>130.29</v>
      </c>
      <c r="L1276" s="17" t="n">
        <v>25.86</v>
      </c>
      <c r="M1276" s="17" t="n">
        <v>0</v>
      </c>
      <c r="N1276" s="17">
        <f>K1276*0.08+L1276*0.08</f>
        <v/>
      </c>
      <c r="O1276" s="17">
        <f>-(K1276*0.025+L1276*0.025)</f>
        <v/>
      </c>
      <c r="P1276" s="17">
        <f>32</f>
        <v/>
      </c>
      <c r="Q1276" s="17">
        <f>J1276+L1276+N1276+O1276-P1276-M1276</f>
        <v/>
      </c>
    </row>
    <row r="1277">
      <c r="A1277" s="16" t="inlineStr">
        <is>
          <t>5.15-5.21</t>
        </is>
      </c>
      <c r="B1277" s="16" t="inlineStr">
        <is>
          <t>PO-128-14458994243193384</t>
        </is>
      </c>
      <c r="C1277" s="16" t="inlineStr">
        <is>
          <t>Shipped</t>
        </is>
      </c>
      <c r="D1277" s="16" t="inlineStr">
        <is>
          <t>128-14458983757433384</t>
        </is>
      </c>
      <c r="E1277" s="16" t="inlineStr">
        <is>
          <t>Shipped</t>
        </is>
      </c>
      <c r="F1277" s="16" t="inlineStr">
        <is>
          <t>LV54W25</t>
        </is>
      </c>
      <c r="G1277" s="16" t="inlineStr">
        <is>
          <t>TIANLAI Lámpara Ventilador E27 2 en 1, Silenciosa, LED Alta Luminosidad 180°, Instalación Rápida, Ahorro Energético para Dormitorio y Interiores Pequeños</t>
        </is>
      </c>
      <c r="H1277" s="16" t="inlineStr">
        <is>
          <t>1 Pieza</t>
        </is>
      </c>
      <c r="I1277" s="16" t="n">
        <v>1</v>
      </c>
      <c r="J1277" s="17" t="n">
        <v>74</v>
      </c>
      <c r="K1277" s="17" t="n">
        <v>76.26000000000001</v>
      </c>
      <c r="L1277" s="17" t="n">
        <v>25.86</v>
      </c>
      <c r="M1277" s="17" t="n">
        <v>0</v>
      </c>
      <c r="N1277" s="17">
        <f>K1277*0.08+L1277*0.08</f>
        <v/>
      </c>
      <c r="O1277" s="17">
        <f>-(K1277*0.025+L1277*0.025)</f>
        <v/>
      </c>
      <c r="P1277" s="17">
        <f>32</f>
        <v/>
      </c>
      <c r="Q1277" s="17">
        <f>J1277+L1277+N1277+O1277-P1277-M1277</f>
        <v/>
      </c>
    </row>
    <row r="1278">
      <c r="A1278" s="16" t="inlineStr">
        <is>
          <t>5.15-5.21</t>
        </is>
      </c>
      <c r="B1278" s="16" t="inlineStr">
        <is>
          <t>PO-128-14633048295032349</t>
        </is>
      </c>
      <c r="C1278" s="16" t="inlineStr">
        <is>
          <t>Shipped</t>
        </is>
      </c>
      <c r="D1278" s="16" t="inlineStr">
        <is>
          <t>128-14633006351992349</t>
        </is>
      </c>
      <c r="E1278" s="16" t="inlineStr">
        <is>
          <t>Shipped</t>
        </is>
      </c>
      <c r="F1278" s="16" t="inlineStr">
        <is>
          <t>TL1455N20B</t>
        </is>
      </c>
      <c r="G1278" s="16" t="inlineStr">
        <is>
          <t>LINK BITS Soporte para TV 14 A 55 Pulgadas, Base para TV Pantalla Articulado Inclinable y Giratorio, MAX VESA 400×400 mm, Soporta hasta 18kg, adaptarse a la mayoría de los televisores de 14 Pulgadas/20 Pulgadas/32 Pulgadas/42 Pulgadas/55 pulgadas</t>
        </is>
      </c>
      <c r="H1278" s="16" t="inlineStr">
        <is>
          <t>TL1455N20B</t>
        </is>
      </c>
      <c r="I1278" s="16" t="n">
        <v>3</v>
      </c>
      <c r="J1278" s="17" t="n">
        <v>213</v>
      </c>
      <c r="K1278" s="17" t="n">
        <v>276.18</v>
      </c>
      <c r="L1278" s="17" t="n">
        <v>0</v>
      </c>
      <c r="M1278" s="17" t="n">
        <v>0</v>
      </c>
      <c r="N1278" s="17">
        <f>K1278*0.08+L1278*0.08</f>
        <v/>
      </c>
      <c r="O1278" s="17">
        <f>-(K1278*0.025+L1278*0.025)</f>
        <v/>
      </c>
      <c r="P1278" s="17">
        <f>32</f>
        <v/>
      </c>
      <c r="Q1278" s="17">
        <f>J1278+L1278+N1278+O1278-P1278-M1278</f>
        <v/>
      </c>
    </row>
    <row r="1279">
      <c r="A1279" s="16" t="inlineStr">
        <is>
          <t>5.15-5.21</t>
        </is>
      </c>
      <c r="B1279" s="16" t="inlineStr">
        <is>
          <t>PO-128-14490214072953326</t>
        </is>
      </c>
      <c r="C1279" s="16" t="inlineStr">
        <is>
          <t>Shipped</t>
        </is>
      </c>
      <c r="D1279" s="16" t="inlineStr">
        <is>
          <t>128-14490256015993326</t>
        </is>
      </c>
      <c r="E1279" s="16" t="inlineStr">
        <is>
          <t>Shipped</t>
        </is>
      </c>
      <c r="F1279" s="16" t="inlineStr">
        <is>
          <t>LV64W25</t>
        </is>
      </c>
      <c r="G12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79" s="16" t="inlineStr">
        <is>
          <t>Blanco</t>
        </is>
      </c>
      <c r="I1279" s="16" t="n">
        <v>3</v>
      </c>
      <c r="J1279" s="17" t="n">
        <v>375</v>
      </c>
      <c r="K1279" s="17" t="n">
        <v>136.67</v>
      </c>
      <c r="L1279" s="17" t="n">
        <v>0</v>
      </c>
      <c r="M1279" s="17" t="n">
        <v>0</v>
      </c>
      <c r="N1279" s="17">
        <f>K1279*0.08+L1279*0.08</f>
        <v/>
      </c>
      <c r="O1279" s="17">
        <f>-(K1279*0.025+L1279*0.025)</f>
        <v/>
      </c>
      <c r="P1279" s="17">
        <f>32</f>
        <v/>
      </c>
      <c r="Q1279" s="17">
        <f>J1279+L1279+N1279+O1279-P1279-M1279</f>
        <v/>
      </c>
    </row>
    <row r="1280">
      <c r="A1280" s="16" t="inlineStr">
        <is>
          <t>5.15-5.21</t>
        </is>
      </c>
      <c r="B1280" s="16" t="inlineStr">
        <is>
          <t>PO-128-15079389901430646</t>
        </is>
      </c>
      <c r="C1280" s="16" t="inlineStr">
        <is>
          <t>Shipped</t>
        </is>
      </c>
      <c r="D1280" s="16" t="inlineStr">
        <is>
          <t>128-15079395144310646</t>
        </is>
      </c>
      <c r="E1280" s="16" t="inlineStr">
        <is>
          <t>Shipped</t>
        </is>
      </c>
      <c r="F1280" s="16" t="inlineStr">
        <is>
          <t>LV54W25</t>
        </is>
      </c>
      <c r="G1280" s="16" t="inlineStr">
        <is>
          <t>TIANLAI Lámpara Ventilador E27 2 en 1, Silenciosa, LED Alta Luminosidad 180°, Instalación Rápida, Ahorro Energético para Dormitorio y Interiores Pequeños</t>
        </is>
      </c>
      <c r="H1280" s="16" t="inlineStr">
        <is>
          <t>1 Pieza</t>
        </is>
      </c>
      <c r="I1280" s="16" t="n">
        <v>2</v>
      </c>
      <c r="J1280" s="17" t="n">
        <v>148</v>
      </c>
      <c r="K1280" s="17" t="n">
        <v>154.24</v>
      </c>
      <c r="L1280" s="17" t="n">
        <v>25.86</v>
      </c>
      <c r="M1280" s="17" t="n">
        <v>0</v>
      </c>
      <c r="N1280" s="17">
        <f>K1280*0.08+L1280*0.08</f>
        <v/>
      </c>
      <c r="O1280" s="17">
        <f>-(K1280*0.025+L1280*0.025)</f>
        <v/>
      </c>
      <c r="P1280" s="17">
        <f>32</f>
        <v/>
      </c>
      <c r="Q1280" s="17">
        <f>J1280+L1280+N1280+O1280-P1280-M1280</f>
        <v/>
      </c>
    </row>
    <row r="1281">
      <c r="A1281" s="16" t="inlineStr">
        <is>
          <t>5.15-5.21</t>
        </is>
      </c>
      <c r="B1281" s="16" t="inlineStr">
        <is>
          <t>PO-128-14792324818551527</t>
        </is>
      </c>
      <c r="C1281" s="16" t="inlineStr">
        <is>
          <t>Shipped</t>
        </is>
      </c>
      <c r="D1281" s="16" t="inlineStr">
        <is>
          <t>128-14792324327031527</t>
        </is>
      </c>
      <c r="E1281" s="16" t="inlineStr">
        <is>
          <t>Shipped</t>
        </is>
      </c>
      <c r="F1281" s="16" t="inlineStr">
        <is>
          <t>KTS-2031</t>
        </is>
      </c>
      <c r="G1281" s="16" t="inlineStr">
        <is>
          <t>Bocina inalámbrica de 3 pulgadas con linterna multifuncional y panel solar integrado.Altavoz Portátil con Linterna LED 4 Modos, Radio FM, Bluetooth, Carga Solar, Ideal para Apagones, Emergencias, Campo y Exteriores</t>
        </is>
      </c>
      <c r="H1281" s="16" t="inlineStr">
        <is>
          <t>NEGRO</t>
        </is>
      </c>
      <c r="I1281" s="16" t="n">
        <v>1</v>
      </c>
      <c r="J1281" s="17" t="n">
        <v>77</v>
      </c>
      <c r="K1281" s="17" t="n">
        <v>71.31</v>
      </c>
      <c r="L1281" s="17" t="n">
        <v>25.86</v>
      </c>
      <c r="M1281" s="17" t="n">
        <v>0</v>
      </c>
      <c r="N1281" s="17">
        <f>K1281*0.08+L1281*0.08</f>
        <v/>
      </c>
      <c r="O1281" s="17">
        <f>-(K1281*0.025+L1281*0.025)</f>
        <v/>
      </c>
      <c r="P1281" s="17">
        <f>32</f>
        <v/>
      </c>
      <c r="Q1281" s="17">
        <f>J1281+L1281+N1281+O1281-P1281-M1281</f>
        <v/>
      </c>
    </row>
    <row r="1282">
      <c r="A1282" s="16" t="inlineStr">
        <is>
          <t>5.15-5.21</t>
        </is>
      </c>
      <c r="B1282" s="16" t="inlineStr">
        <is>
          <t>PO-128-14944833925751640</t>
        </is>
      </c>
      <c r="C1282" s="16" t="inlineStr">
        <is>
          <t>Shipped</t>
        </is>
      </c>
      <c r="D1282" s="16" t="inlineStr">
        <is>
          <t>128-14944847032951640</t>
        </is>
      </c>
      <c r="E1282" s="16" t="inlineStr">
        <is>
          <t>Shipped</t>
        </is>
      </c>
      <c r="F1282" s="16" t="inlineStr">
        <is>
          <t>LV54W25</t>
        </is>
      </c>
      <c r="G1282" s="16" t="inlineStr">
        <is>
          <t>TIANLAI Lámpara Ventilador E27 2 en 1, Silenciosa, LED Alta Luminosidad 180°, Instalación Rápida, Ahorro Energético para Dormitorio y Interiores Pequeños</t>
        </is>
      </c>
      <c r="H1282" s="16" t="inlineStr">
        <is>
          <t>1 Pieza</t>
        </is>
      </c>
      <c r="I1282" s="16" t="n">
        <v>1</v>
      </c>
      <c r="J1282" s="17" t="n">
        <v>74</v>
      </c>
      <c r="K1282" s="17" t="n">
        <v>61.7</v>
      </c>
      <c r="L1282" s="17" t="n">
        <v>25.86</v>
      </c>
      <c r="M1282" s="17" t="n">
        <v>0</v>
      </c>
      <c r="N1282" s="17">
        <f>K1282*0.08+L1282*0.08</f>
        <v/>
      </c>
      <c r="O1282" s="17">
        <f>-(K1282*0.025+L1282*0.025)</f>
        <v/>
      </c>
      <c r="P1282" s="17">
        <f>32</f>
        <v/>
      </c>
      <c r="Q1282" s="17">
        <f>J1282+L1282+N1282+O1282-P1282-M1282</f>
        <v/>
      </c>
    </row>
    <row r="1283">
      <c r="A1283" s="16" t="inlineStr">
        <is>
          <t>5.15-5.21</t>
        </is>
      </c>
      <c r="B1283" s="16" t="inlineStr">
        <is>
          <t>PO-128-14517636199033997</t>
        </is>
      </c>
      <c r="C1283" s="16" t="inlineStr">
        <is>
          <t>Shipped</t>
        </is>
      </c>
      <c r="D1283" s="16" t="inlineStr">
        <is>
          <t>128-14517594255993997</t>
        </is>
      </c>
      <c r="E1283" s="16" t="inlineStr">
        <is>
          <t>Shipped</t>
        </is>
      </c>
      <c r="F1283" s="16" t="inlineStr">
        <is>
          <t>KTS-2031</t>
        </is>
      </c>
      <c r="G1283" s="16" t="inlineStr">
        <is>
          <t>Bocina inalámbrica de 3 pulgadas con linterna multifuncional y panel solar integrado.Altavoz Portátil con Linterna LED 4 Modos, Radio FM, Bluetooth, Carga Solar, Ideal para Apagones, Emergencias, Campo y Exteriores</t>
        </is>
      </c>
      <c r="H1283" s="16" t="inlineStr">
        <is>
          <t>NEGRO</t>
        </is>
      </c>
      <c r="I1283" s="16" t="n">
        <v>1</v>
      </c>
      <c r="J1283" s="17" t="n">
        <v>77</v>
      </c>
      <c r="K1283" s="17" t="n">
        <v>86.22</v>
      </c>
      <c r="L1283" s="17" t="n">
        <v>25.86</v>
      </c>
      <c r="M1283" s="17" t="n">
        <v>0</v>
      </c>
      <c r="N1283" s="17">
        <f>K1283*0.08+L1283*0.08</f>
        <v/>
      </c>
      <c r="O1283" s="17">
        <f>-(K1283*0.025+L1283*0.025)</f>
        <v/>
      </c>
      <c r="P1283" s="17">
        <f>32</f>
        <v/>
      </c>
      <c r="Q1283" s="17">
        <f>J1283+L1283+N1283+O1283-P1283-M1283</f>
        <v/>
      </c>
    </row>
    <row r="1284">
      <c r="A1284" s="16" t="inlineStr">
        <is>
          <t>5.15-5.21</t>
        </is>
      </c>
      <c r="B1284" s="16" t="inlineStr">
        <is>
          <t>PO-128-14938999194231613</t>
        </is>
      </c>
      <c r="C1284" s="16" t="inlineStr">
        <is>
          <t>Shipped</t>
        </is>
      </c>
      <c r="D1284" s="16" t="inlineStr">
        <is>
          <t>128-14938957251191613</t>
        </is>
      </c>
      <c r="E1284" s="16" t="inlineStr">
        <is>
          <t>Shipped</t>
        </is>
      </c>
      <c r="F1284" s="16" t="inlineStr">
        <is>
          <t>VB349T</t>
        </is>
      </c>
      <c r="G1284" s="16" t="inlineStr">
        <is>
          <t>LINKBITS Altavoz Portátil de Doble Altavoz - 3 Pulgadas, Sonido HD, Emparejamiento Rápido de Bluetooth, Conectividad TWS, Reproducción Multimodo (Micro SD/USB/Radio FM) - Perfecto para Oficina, Viajes y Espacios Pequeños</t>
        </is>
      </c>
      <c r="H1284" s="16" t="inlineStr">
        <is>
          <t>NEGRO</t>
        </is>
      </c>
      <c r="I1284" s="16" t="n">
        <v>1</v>
      </c>
      <c r="J1284" s="17" t="n">
        <v>81</v>
      </c>
      <c r="K1284" s="17" t="n">
        <v>94.26000000000001</v>
      </c>
      <c r="L1284" s="17" t="n">
        <v>25.86</v>
      </c>
      <c r="M1284" s="17" t="n">
        <v>0</v>
      </c>
      <c r="N1284" s="17">
        <f>K1284*0.08+L1284*0.08</f>
        <v/>
      </c>
      <c r="O1284" s="17">
        <f>-(K1284*0.025+L1284*0.025)</f>
        <v/>
      </c>
      <c r="P1284" s="17">
        <f>32</f>
        <v/>
      </c>
      <c r="Q1284" s="17">
        <f>J1284+L1284+N1284+O1284-P1284-M1284</f>
        <v/>
      </c>
    </row>
    <row r="1285">
      <c r="A1285" s="16" t="inlineStr">
        <is>
          <t>5.15-5.21</t>
        </is>
      </c>
      <c r="B1285" s="16" t="inlineStr">
        <is>
          <t>PO-128-03999410665590128</t>
        </is>
      </c>
      <c r="C1285" s="16" t="inlineStr">
        <is>
          <t>Shipped</t>
        </is>
      </c>
      <c r="D1285" s="16" t="inlineStr">
        <is>
          <t>128-03999452608630128</t>
        </is>
      </c>
      <c r="E1285" s="16" t="inlineStr">
        <is>
          <t>Shipped</t>
        </is>
      </c>
      <c r="F1285" s="16" t="inlineStr">
        <is>
          <t>LV64W25</t>
        </is>
      </c>
      <c r="G12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85" s="16" t="inlineStr">
        <is>
          <t>Blanco</t>
        </is>
      </c>
      <c r="I1285" s="16" t="n">
        <v>4</v>
      </c>
      <c r="J1285" s="17" t="n">
        <v>500</v>
      </c>
      <c r="K1285" s="17" t="n">
        <v>515.76</v>
      </c>
      <c r="L1285" s="17" t="n">
        <v>0</v>
      </c>
      <c r="M1285" s="17" t="n">
        <v>0</v>
      </c>
      <c r="N1285" s="17">
        <f>K1285*0.08+L1285*0.08</f>
        <v/>
      </c>
      <c r="O1285" s="17">
        <f>-(K1285*0.025+L1285*0.025)</f>
        <v/>
      </c>
      <c r="P1285" s="17">
        <f>32</f>
        <v/>
      </c>
      <c r="Q1285" s="17">
        <f>J1285+L1285+N1285+O1285-P1285-M1285</f>
        <v/>
      </c>
    </row>
    <row r="1286">
      <c r="A1286" s="16" t="inlineStr">
        <is>
          <t>5.15-5.21</t>
        </is>
      </c>
      <c r="B1286" s="16" t="inlineStr">
        <is>
          <t>PO-128-03962948949110475</t>
        </is>
      </c>
      <c r="C1286" s="16" t="inlineStr">
        <is>
          <t>Shipped</t>
        </is>
      </c>
      <c r="D1286" s="16" t="inlineStr">
        <is>
          <t>128-03963024970870475</t>
        </is>
      </c>
      <c r="E1286" s="16" t="inlineStr">
        <is>
          <t>Shipped</t>
        </is>
      </c>
      <c r="F1286" s="16" t="inlineStr">
        <is>
          <t>TL1455N20B</t>
        </is>
      </c>
      <c r="G1286" s="16" t="inlineStr">
        <is>
          <t>LINK BITS Soporte para TV 14 A 55 Pulgadas, Base para TV Pantalla Articulado Inclinable y Giratorio, MAX VESA 400×400 mm, Soporta hasta 18kg, adaptarse a la mayoría de los televisores de 14 Pulgadas/20 Pulgadas/32 Pulgadas/42 Pulgadas/55 pulgadas</t>
        </is>
      </c>
      <c r="H1286" s="16" t="inlineStr">
        <is>
          <t>TL1455N20B</t>
        </is>
      </c>
      <c r="I1286" s="16" t="n">
        <v>1</v>
      </c>
      <c r="J1286" s="17" t="n">
        <v>71</v>
      </c>
      <c r="K1286" s="17" t="n">
        <v>92.06</v>
      </c>
      <c r="L1286" s="17" t="n">
        <v>25.86</v>
      </c>
      <c r="M1286" s="17" t="n">
        <v>0</v>
      </c>
      <c r="N1286" s="17">
        <f>K1286*0.08+L1286*0.08</f>
        <v/>
      </c>
      <c r="O1286" s="17">
        <f>-(K1286*0.025+L1286*0.025)</f>
        <v/>
      </c>
      <c r="P1286" s="17">
        <f>32</f>
        <v/>
      </c>
      <c r="Q1286" s="17">
        <f>J1286+L1286+N1286+O1286-P1286-M1286</f>
        <v/>
      </c>
    </row>
    <row r="1287">
      <c r="A1287" s="16" t="inlineStr">
        <is>
          <t>5.15-5.21</t>
        </is>
      </c>
      <c r="B1287" s="16" t="inlineStr">
        <is>
          <t>PO-128-03477020004473434</t>
        </is>
      </c>
      <c r="C1287" s="16" t="inlineStr">
        <is>
          <t>Shipped</t>
        </is>
      </c>
      <c r="D1287" s="16" t="inlineStr">
        <is>
          <t>128-03477040975993434</t>
        </is>
      </c>
      <c r="E1287" s="16" t="inlineStr">
        <is>
          <t>Shipped</t>
        </is>
      </c>
      <c r="F1287" s="16" t="inlineStr">
        <is>
          <t>BSC04</t>
        </is>
      </c>
      <c r="G1287" s="16" t="inlineStr">
        <is>
          <t>TIANLAI Báscula Digital BSC04/BSC07, Alta Precisión, Fácil Operación, Ligera y Portátil, Función Tara, Unidad Dual oz/g, Ideal para Cocina, Control de Porciones, Sellos y Objetos Pequeños, Uso en Hogar y Viaje</t>
        </is>
      </c>
      <c r="H1287" s="16" t="inlineStr">
        <is>
          <t>5g/White</t>
        </is>
      </c>
      <c r="I1287" s="16" t="n">
        <v>1</v>
      </c>
      <c r="J1287" s="17" t="n">
        <v>58</v>
      </c>
      <c r="K1287" s="17" t="n">
        <v>74.29000000000001</v>
      </c>
      <c r="L1287" s="17" t="n">
        <v>25.86</v>
      </c>
      <c r="M1287" s="17" t="n">
        <v>0</v>
      </c>
      <c r="N1287" s="17">
        <f>K1287*0.08+L1287*0.08</f>
        <v/>
      </c>
      <c r="O1287" s="17">
        <f>-(K1287*0.025+L1287*0.025)</f>
        <v/>
      </c>
      <c r="P1287" s="17">
        <f>32</f>
        <v/>
      </c>
      <c r="Q1287" s="17">
        <f>J1287+L1287+N1287+O1287-P1287-M1287</f>
        <v/>
      </c>
    </row>
    <row r="1288">
      <c r="A1288" s="16" t="inlineStr">
        <is>
          <t>5.15-5.21</t>
        </is>
      </c>
      <c r="B1288" s="16" t="inlineStr">
        <is>
          <t>PO-128-03472573476473396</t>
        </is>
      </c>
      <c r="C1288" s="16" t="inlineStr">
        <is>
          <t>Shipped</t>
        </is>
      </c>
      <c r="D1288" s="16" t="inlineStr">
        <is>
          <t>128-03472586583673396</t>
        </is>
      </c>
      <c r="E1288" s="16" t="inlineStr">
        <is>
          <t>Shipped</t>
        </is>
      </c>
      <c r="F1288" s="16" t="inlineStr">
        <is>
          <t>KTS-2031</t>
        </is>
      </c>
      <c r="G1288" s="16" t="inlineStr">
        <is>
          <t>Bocina inalámbrica de 3 pulgadas con linterna multifuncional y panel solar integrado.Altavoz Portátil con Linterna LED 4 Modos, Radio FM, Bluetooth, Carga Solar, Ideal para Apagones, Emergencias, Campo y Exteriores</t>
        </is>
      </c>
      <c r="H1288" s="16" t="inlineStr">
        <is>
          <t>NEGRO</t>
        </is>
      </c>
      <c r="I1288" s="16" t="n">
        <v>1</v>
      </c>
      <c r="J1288" s="17" t="n">
        <v>77</v>
      </c>
      <c r="K1288" s="17" t="n">
        <v>86.22</v>
      </c>
      <c r="L1288" s="17" t="n">
        <v>25.86</v>
      </c>
      <c r="M1288" s="17" t="n">
        <v>0</v>
      </c>
      <c r="N1288" s="17">
        <f>K1288*0.08+L1288*0.08</f>
        <v/>
      </c>
      <c r="O1288" s="17">
        <f>-(K1288*0.025+L1288*0.025)</f>
        <v/>
      </c>
      <c r="P1288" s="17">
        <f>32</f>
        <v/>
      </c>
      <c r="Q1288" s="17">
        <f>J1288+L1288+N1288+O1288-P1288-M1288</f>
        <v/>
      </c>
    </row>
    <row r="1289">
      <c r="A1289" s="16" t="inlineStr">
        <is>
          <t>5.15-5.21</t>
        </is>
      </c>
      <c r="B1289" s="16" t="inlineStr">
        <is>
          <t>PO-128-03795026660471474</t>
        </is>
      </c>
      <c r="C1289" s="16" t="inlineStr">
        <is>
          <t>Shipped</t>
        </is>
      </c>
      <c r="D1289" s="16" t="inlineStr">
        <is>
          <t>128-03795037146231474</t>
        </is>
      </c>
      <c r="E1289" s="16" t="inlineStr">
        <is>
          <t>Shipped</t>
        </is>
      </c>
      <c r="F1289" s="16" t="inlineStr">
        <is>
          <t>KTS-2031</t>
        </is>
      </c>
      <c r="G1289" s="16" t="inlineStr">
        <is>
          <t>Bocina inalámbrica de 3 pulgadas con linterna multifuncional y panel solar integrado.Altavoz Portátil con Linterna LED 4 Modos, Radio FM, Bluetooth, Carga Solar, Ideal para Apagones, Emergencias, Campo y Exteriores</t>
        </is>
      </c>
      <c r="H1289" s="16" t="inlineStr">
        <is>
          <t>NEGRO</t>
        </is>
      </c>
      <c r="I1289" s="16" t="n">
        <v>1</v>
      </c>
      <c r="J1289" s="17" t="n">
        <v>77</v>
      </c>
      <c r="K1289" s="17" t="n">
        <v>86.22</v>
      </c>
      <c r="L1289" s="17" t="n">
        <v>25.86</v>
      </c>
      <c r="M1289" s="17" t="n">
        <v>0</v>
      </c>
      <c r="N1289" s="17">
        <f>K1289*0.08+L1289*0.08</f>
        <v/>
      </c>
      <c r="O1289" s="17">
        <f>-(K1289*0.025+L1289*0.025)</f>
        <v/>
      </c>
      <c r="P1289" s="17">
        <f>32</f>
        <v/>
      </c>
      <c r="Q1289" s="17">
        <f>J1289+L1289+N1289+O1289-P1289-M1289</f>
        <v/>
      </c>
    </row>
    <row r="1290">
      <c r="A1290" s="16" t="inlineStr">
        <is>
          <t>5.15-5.21</t>
        </is>
      </c>
      <c r="B1290" s="16" t="inlineStr">
        <is>
          <t>PO-128-03553196864633876</t>
        </is>
      </c>
      <c r="C1290" s="16" t="inlineStr">
        <is>
          <t>Shipped</t>
        </is>
      </c>
      <c r="D1290" s="16" t="inlineStr">
        <is>
          <t>128-03553217836153876</t>
        </is>
      </c>
      <c r="E1290" s="16" t="inlineStr">
        <is>
          <t>Shipped</t>
        </is>
      </c>
      <c r="F1290" s="16" t="inlineStr">
        <is>
          <t>B03W10-10PZS</t>
        </is>
      </c>
      <c r="G129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290" s="16" t="inlineStr">
        <is>
          <t>B03W10</t>
        </is>
      </c>
      <c r="I1290" s="16" t="n">
        <v>1</v>
      </c>
      <c r="J1290" s="17" t="n">
        <v>77</v>
      </c>
      <c r="K1290" s="17" t="n">
        <v>80.95</v>
      </c>
      <c r="L1290" s="17" t="n">
        <v>25.86</v>
      </c>
      <c r="M1290" s="17" t="n">
        <v>0</v>
      </c>
      <c r="N1290" s="17">
        <f>K1290*0.08+L1290*0.08</f>
        <v/>
      </c>
      <c r="O1290" s="17">
        <f>-(K1290*0.025+L1290*0.025)</f>
        <v/>
      </c>
      <c r="P1290" s="17">
        <f>32</f>
        <v/>
      </c>
      <c r="Q1290" s="17">
        <f>J1290+L1290+N1290+O1290-P1290-M1290</f>
        <v/>
      </c>
    </row>
    <row r="1291">
      <c r="A1291" s="16" t="inlineStr">
        <is>
          <t>5.15-5.21</t>
        </is>
      </c>
      <c r="B1291" s="16" t="inlineStr">
        <is>
          <t>PO-128-03755854579832796</t>
        </is>
      </c>
      <c r="C1291" s="16" t="inlineStr">
        <is>
          <t>Shipped</t>
        </is>
      </c>
      <c r="D1291" s="16" t="inlineStr">
        <is>
          <t>128-03755913562232796</t>
        </is>
      </c>
      <c r="E1291" s="16" t="inlineStr">
        <is>
          <t>Shipped</t>
        </is>
      </c>
      <c r="F1291" s="16" t="inlineStr">
        <is>
          <t>LV54W25</t>
        </is>
      </c>
      <c r="G1291" s="16" t="inlineStr">
        <is>
          <t>TIANLAI Lámpara Ventilador E27 2 en 1, Silenciosa, LED Alta Luminosidad 180°, Instalación Rápida, Ahorro Energético para Dormitorio y Interiores Pequeños</t>
        </is>
      </c>
      <c r="H1291" s="16" t="inlineStr">
        <is>
          <t>1 Pieza</t>
        </is>
      </c>
      <c r="I1291" s="16" t="n">
        <v>1</v>
      </c>
      <c r="J1291" s="17" t="n">
        <v>74</v>
      </c>
      <c r="K1291" s="17" t="n">
        <v>77.12</v>
      </c>
      <c r="L1291" s="17" t="n">
        <v>25.86</v>
      </c>
      <c r="M1291" s="17" t="n">
        <v>0</v>
      </c>
      <c r="N1291" s="17">
        <f>K1291*0.08+L1291*0.08</f>
        <v/>
      </c>
      <c r="O1291" s="17">
        <f>-(K1291*0.025+L1291*0.025)</f>
        <v/>
      </c>
      <c r="P1291" s="17">
        <f>32</f>
        <v/>
      </c>
      <c r="Q1291" s="17">
        <f>J1291+L1291+N1291+O1291-P1291-M1291</f>
        <v/>
      </c>
    </row>
    <row r="1292">
      <c r="A1292" s="16" t="inlineStr">
        <is>
          <t>5.15-5.21</t>
        </is>
      </c>
      <c r="B1292" s="16" t="inlineStr">
        <is>
          <t>PO-128-03813435661431367</t>
        </is>
      </c>
      <c r="C1292" s="16" t="inlineStr">
        <is>
          <t>Shipped</t>
        </is>
      </c>
      <c r="D1292" s="16" t="inlineStr">
        <is>
          <t>128-03813393718391367</t>
        </is>
      </c>
      <c r="E1292" s="16" t="inlineStr">
        <is>
          <t>Shipped</t>
        </is>
      </c>
      <c r="F1292" s="16" t="inlineStr">
        <is>
          <t>LV54W25</t>
        </is>
      </c>
      <c r="G1292" s="16" t="inlineStr">
        <is>
          <t>TIANLAI Lámpara Ventilador E27 2 en 1, Silenciosa, LED Alta Luminosidad 180°, Instalación Rápida, Ahorro Energético para Dormitorio y Interiores Pequeños</t>
        </is>
      </c>
      <c r="H1292" s="16" t="inlineStr">
        <is>
          <t>1 Pieza</t>
        </is>
      </c>
      <c r="I1292" s="16" t="n">
        <v>2</v>
      </c>
      <c r="J1292" s="17" t="n">
        <v>148</v>
      </c>
      <c r="K1292" s="17" t="n">
        <v>152.52</v>
      </c>
      <c r="L1292" s="17" t="n">
        <v>25.86</v>
      </c>
      <c r="M1292" s="17" t="n">
        <v>0</v>
      </c>
      <c r="N1292" s="17">
        <f>K1292*0.08+L1292*0.08</f>
        <v/>
      </c>
      <c r="O1292" s="17">
        <f>-(K1292*0.025+L1292*0.025)</f>
        <v/>
      </c>
      <c r="P1292" s="17">
        <f>32</f>
        <v/>
      </c>
      <c r="Q1292" s="17">
        <f>J1292+L1292+N1292+O1292-P1292-M1292</f>
        <v/>
      </c>
    </row>
    <row r="1293">
      <c r="A1293" s="16" t="inlineStr">
        <is>
          <t>5.15-5.21</t>
        </is>
      </c>
      <c r="B1293" s="16" t="inlineStr">
        <is>
          <t>PO-128-03545567767673859</t>
        </is>
      </c>
      <c r="C1293" s="16" t="inlineStr">
        <is>
          <t>Shipped</t>
        </is>
      </c>
      <c r="D1293" s="16" t="inlineStr">
        <is>
          <t>128-03545672625273859</t>
        </is>
      </c>
      <c r="E1293" s="16" t="inlineStr">
        <is>
          <t>Shipped</t>
        </is>
      </c>
      <c r="F1293" s="16" t="inlineStr">
        <is>
          <t>VB349T</t>
        </is>
      </c>
      <c r="G1293" s="16" t="inlineStr">
        <is>
          <t>LINKBITS Altavoz Portátil de Doble Altavoz - 3 Pulgadas, Sonido HD, Emparejamiento Rápido de Bluetooth, Conectividad TWS, Reproducción Multimodo (Micro SD/USB/Radio FM) - Perfecto para Oficina, Viajes y Espacios Pequeños</t>
        </is>
      </c>
      <c r="H1293" s="16" t="inlineStr">
        <is>
          <t>NEGRO</t>
        </is>
      </c>
      <c r="I1293" s="16" t="n">
        <v>1</v>
      </c>
      <c r="J1293" s="17" t="n">
        <v>81</v>
      </c>
      <c r="K1293" s="17" t="n">
        <v>94.26000000000001</v>
      </c>
      <c r="L1293" s="17" t="n">
        <v>25.86</v>
      </c>
      <c r="M1293" s="17" t="n">
        <v>0</v>
      </c>
      <c r="N1293" s="17">
        <f>K1293*0.08+L1293*0.08</f>
        <v/>
      </c>
      <c r="O1293" s="17">
        <f>-(K1293*0.025+L1293*0.025)</f>
        <v/>
      </c>
      <c r="P1293" s="17">
        <f>32</f>
        <v/>
      </c>
      <c r="Q1293" s="17">
        <f>J1293+L1293+N1293+O1293-P1293-M1293</f>
        <v/>
      </c>
    </row>
    <row r="1294">
      <c r="A1294" s="16" t="inlineStr">
        <is>
          <t>5.15-5.21</t>
        </is>
      </c>
      <c r="B1294" s="16" t="inlineStr">
        <is>
          <t>PO-128-03996299553910149</t>
        </is>
      </c>
      <c r="C1294" s="16" t="inlineStr">
        <is>
          <t>Shipped</t>
        </is>
      </c>
      <c r="D1294" s="16" t="inlineStr">
        <is>
          <t>128-03996325768310149</t>
        </is>
      </c>
      <c r="E1294" s="16" t="inlineStr">
        <is>
          <t>Shipped</t>
        </is>
      </c>
      <c r="F1294" s="16" t="inlineStr">
        <is>
          <t>LV64W25</t>
        </is>
      </c>
      <c r="G12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94" s="16" t="inlineStr">
        <is>
          <t>Blanco</t>
        </is>
      </c>
      <c r="I1294" s="16" t="n">
        <v>2</v>
      </c>
      <c r="J1294" s="17" t="n">
        <v>250</v>
      </c>
      <c r="K1294" s="17" t="n">
        <v>250.7</v>
      </c>
      <c r="L1294" s="17" t="n">
        <v>0</v>
      </c>
      <c r="M1294" s="17" t="n">
        <v>0</v>
      </c>
      <c r="N1294" s="17">
        <f>K1294*0.08+L1294*0.08</f>
        <v/>
      </c>
      <c r="O1294" s="17">
        <f>-(K1294*0.025+L1294*0.025)</f>
        <v/>
      </c>
      <c r="P1294" s="17">
        <f>32</f>
        <v/>
      </c>
      <c r="Q1294" s="17">
        <f>J1294+L1294+N1294+O1294-P1294-M1294</f>
        <v/>
      </c>
    </row>
    <row r="1295">
      <c r="A1295" s="16" t="inlineStr">
        <is>
          <t>5.15-5.21</t>
        </is>
      </c>
      <c r="B1295" s="16" t="inlineStr">
        <is>
          <t>PO-128-03666621722232240</t>
        </is>
      </c>
      <c r="C1295" s="16" t="inlineStr">
        <is>
          <t>Shipped</t>
        </is>
      </c>
      <c r="D1295" s="16" t="inlineStr">
        <is>
          <t>128-03666655800952240</t>
        </is>
      </c>
      <c r="E1295" s="16" t="inlineStr">
        <is>
          <t>Shipped</t>
        </is>
      </c>
      <c r="F1295" s="16" t="inlineStr">
        <is>
          <t>KTS-2031</t>
        </is>
      </c>
      <c r="G1295" s="16" t="inlineStr">
        <is>
          <t>Bocina inalámbrica de 3 pulgadas con linterna multifuncional y panel solar integrado.Altavoz Portátil con Linterna LED 4 Modos, Radio FM, Bluetooth, Carga Solar, Ideal para Apagones, Emergencias, Campo y Exteriores</t>
        </is>
      </c>
      <c r="H1295" s="16" t="inlineStr">
        <is>
          <t>NEGRO</t>
        </is>
      </c>
      <c r="I1295" s="16" t="n">
        <v>1</v>
      </c>
      <c r="J1295" s="17" t="n">
        <v>77</v>
      </c>
      <c r="K1295" s="17" t="n">
        <v>86.22</v>
      </c>
      <c r="L1295" s="17" t="n">
        <v>25.86</v>
      </c>
      <c r="M1295" s="17" t="n">
        <v>0</v>
      </c>
      <c r="N1295" s="17">
        <f>K1295*0.08+L1295*0.08</f>
        <v/>
      </c>
      <c r="O1295" s="17">
        <f>-(K1295*0.025+L1295*0.025)</f>
        <v/>
      </c>
      <c r="P1295" s="17">
        <f>32</f>
        <v/>
      </c>
      <c r="Q1295" s="17">
        <f>J1295+L1295+N1295+O1295-P1295-M1295</f>
        <v/>
      </c>
    </row>
    <row r="1296">
      <c r="A1296" s="16" t="inlineStr">
        <is>
          <t>5.15-5.21</t>
        </is>
      </c>
      <c r="B1296" s="16" t="inlineStr">
        <is>
          <t>PO-128-03441355021433518</t>
        </is>
      </c>
      <c r="C1296" s="16" t="inlineStr">
        <is>
          <t>Shipped</t>
        </is>
      </c>
      <c r="D1296" s="16" t="inlineStr">
        <is>
          <t>128-03441491336313518</t>
        </is>
      </c>
      <c r="E1296" s="16" t="inlineStr">
        <is>
          <t>Shipped</t>
        </is>
      </c>
      <c r="F1296" s="16" t="inlineStr">
        <is>
          <t>LV64W25</t>
        </is>
      </c>
      <c r="G12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96" s="16" t="inlineStr">
        <is>
          <t>Blanco</t>
        </is>
      </c>
      <c r="I1296" s="16" t="n">
        <v>2</v>
      </c>
      <c r="J1296" s="17" t="n">
        <v>250</v>
      </c>
      <c r="K1296" s="17" t="n">
        <v>257.88</v>
      </c>
      <c r="L1296" s="17" t="n">
        <v>0</v>
      </c>
      <c r="M1296" s="17" t="n">
        <v>0</v>
      </c>
      <c r="N1296" s="17">
        <f>K1296*0.08+L1296*0.08</f>
        <v/>
      </c>
      <c r="O1296" s="17">
        <f>-(K1296*0.025+L1296*0.025)</f>
        <v/>
      </c>
      <c r="P1296" s="17">
        <f>32</f>
        <v/>
      </c>
      <c r="Q1296" s="17">
        <f>J1296+L1296+N1296+O1296-P1296-M1296</f>
        <v/>
      </c>
    </row>
    <row r="1297">
      <c r="A1297" s="16" t="inlineStr">
        <is>
          <t>5.15-5.21</t>
        </is>
      </c>
      <c r="B1297" s="16" t="inlineStr">
        <is>
          <t>PO-128-03911732895351677</t>
        </is>
      </c>
      <c r="C1297" s="16" t="inlineStr">
        <is>
          <t>Shipped</t>
        </is>
      </c>
      <c r="D1297" s="16" t="inlineStr">
        <is>
          <t>128-03911722409591677</t>
        </is>
      </c>
      <c r="E1297" s="16" t="inlineStr">
        <is>
          <t>Shipped</t>
        </is>
      </c>
      <c r="F1297" s="16" t="inlineStr">
        <is>
          <t>LV54W25</t>
        </is>
      </c>
      <c r="G1297" s="16" t="inlineStr">
        <is>
          <t>TIANLAI Lámpara Ventilador E27 2 en 1, Silenciosa, LED Alta Luminosidad 180°, Instalación Rápida, Ahorro Energético para Dormitorio y Interiores Pequeños</t>
        </is>
      </c>
      <c r="H1297" s="16" t="inlineStr">
        <is>
          <t>1 Pieza</t>
        </is>
      </c>
      <c r="I1297" s="16" t="n">
        <v>1</v>
      </c>
      <c r="J1297" s="17" t="n">
        <v>74</v>
      </c>
      <c r="K1297" s="17" t="n">
        <v>77.12</v>
      </c>
      <c r="L1297" s="17" t="n">
        <v>25.86</v>
      </c>
      <c r="M1297" s="17" t="n">
        <v>0</v>
      </c>
      <c r="N1297" s="17">
        <f>K1297*0.08+L1297*0.08</f>
        <v/>
      </c>
      <c r="O1297" s="17">
        <f>-(K1297*0.025+L1297*0.025)</f>
        <v/>
      </c>
      <c r="P1297" s="17">
        <f>32</f>
        <v/>
      </c>
      <c r="Q1297" s="17">
        <f>J1297+L1297+N1297+O1297-P1297-M1297</f>
        <v/>
      </c>
    </row>
    <row r="1298">
      <c r="A1298" s="16" t="inlineStr">
        <is>
          <t>5.15-5.21</t>
        </is>
      </c>
      <c r="B1298" s="16" t="inlineStr">
        <is>
          <t>PO-128-04026224184950032</t>
        </is>
      </c>
      <c r="C1298" s="16" t="inlineStr">
        <is>
          <t>Shipped</t>
        </is>
      </c>
      <c r="D1298" s="16" t="inlineStr">
        <is>
          <t>128-04026229427830032</t>
        </is>
      </c>
      <c r="E1298" s="16" t="inlineStr">
        <is>
          <t>Shipped</t>
        </is>
      </c>
      <c r="F1298" s="16" t="inlineStr">
        <is>
          <t>LV64W25</t>
        </is>
      </c>
      <c r="G12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98" s="16" t="inlineStr">
        <is>
          <t>Blanco</t>
        </is>
      </c>
      <c r="I1298" s="16" t="n">
        <v>1</v>
      </c>
      <c r="J1298" s="17" t="n">
        <v>125</v>
      </c>
      <c r="K1298" s="17" t="n">
        <v>143.26</v>
      </c>
      <c r="L1298" s="17" t="n">
        <v>25.86</v>
      </c>
      <c r="M1298" s="17" t="n">
        <v>0</v>
      </c>
      <c r="N1298" s="17">
        <f>K1298*0.08+L1298*0.08</f>
        <v/>
      </c>
      <c r="O1298" s="17">
        <f>-(K1298*0.025+L1298*0.025)</f>
        <v/>
      </c>
      <c r="P1298" s="17">
        <f>32</f>
        <v/>
      </c>
      <c r="Q1298" s="17">
        <f>J1298+L1298+N1298+O1298-P1298-M1298</f>
        <v/>
      </c>
    </row>
    <row r="1299">
      <c r="A1299" s="16" t="inlineStr">
        <is>
          <t>5.15-5.21</t>
        </is>
      </c>
      <c r="B1299" s="16" t="inlineStr">
        <is>
          <t>PO-128-03585157778553815</t>
        </is>
      </c>
      <c r="C1299" s="16" t="inlineStr">
        <is>
          <t>Shipped</t>
        </is>
      </c>
      <c r="D1299" s="16" t="inlineStr">
        <is>
          <t>128-03585160399993815</t>
        </is>
      </c>
      <c r="E1299" s="16" t="inlineStr">
        <is>
          <t>Shipped</t>
        </is>
      </c>
      <c r="F1299" s="16" t="inlineStr">
        <is>
          <t>LV64W25</t>
        </is>
      </c>
      <c r="G12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299" s="16" t="inlineStr">
        <is>
          <t>Blanco</t>
        </is>
      </c>
      <c r="I1299" s="16" t="n">
        <v>1</v>
      </c>
      <c r="J1299" s="17" t="n">
        <v>125</v>
      </c>
      <c r="K1299" s="17" t="n">
        <v>104.3</v>
      </c>
      <c r="L1299" s="17" t="n">
        <v>25.86</v>
      </c>
      <c r="M1299" s="17" t="n">
        <v>0</v>
      </c>
      <c r="N1299" s="17">
        <f>K1299*0.08+L1299*0.08</f>
        <v/>
      </c>
      <c r="O1299" s="17">
        <f>-(K1299*0.025+L1299*0.025)</f>
        <v/>
      </c>
      <c r="P1299" s="17">
        <f>32</f>
        <v/>
      </c>
      <c r="Q1299" s="17">
        <f>J1299+L1299+N1299+O1299-P1299-M1299</f>
        <v/>
      </c>
    </row>
    <row r="1300">
      <c r="A1300" s="16" t="inlineStr">
        <is>
          <t>5.15-5.21</t>
        </is>
      </c>
      <c r="B1300" s="16" t="inlineStr">
        <is>
          <t>PO-128-03564174810233938</t>
        </is>
      </c>
      <c r="C1300" s="16" t="inlineStr">
        <is>
          <t>Shipped</t>
        </is>
      </c>
      <c r="D1300" s="16" t="inlineStr">
        <is>
          <t>128-03564279667833938</t>
        </is>
      </c>
      <c r="E1300" s="16" t="inlineStr">
        <is>
          <t>Shipped</t>
        </is>
      </c>
      <c r="F1300" s="16" t="inlineStr">
        <is>
          <t>LV54W25</t>
        </is>
      </c>
      <c r="G1300" s="16" t="inlineStr">
        <is>
          <t>TIANLAI Lámpara Ventilador E27 2 en 1, Silenciosa, LED Alta Luminosidad 180°, Instalación Rápida, Ahorro Energético para Dormitorio y Interiores Pequeños</t>
        </is>
      </c>
      <c r="H1300" s="16" t="inlineStr">
        <is>
          <t>1 Pieza</t>
        </is>
      </c>
      <c r="I1300" s="16" t="n">
        <v>1</v>
      </c>
      <c r="J1300" s="17" t="n">
        <v>74</v>
      </c>
      <c r="K1300" s="17" t="n">
        <v>76.26000000000001</v>
      </c>
      <c r="L1300" s="17" t="n">
        <v>25.86</v>
      </c>
      <c r="M1300" s="17" t="n">
        <v>0</v>
      </c>
      <c r="N1300" s="17">
        <f>K1300*0.08+L1300*0.08</f>
        <v/>
      </c>
      <c r="O1300" s="17">
        <f>-(K1300*0.025+L1300*0.025)</f>
        <v/>
      </c>
      <c r="P1300" s="17">
        <f>32</f>
        <v/>
      </c>
      <c r="Q1300" s="17">
        <f>J1300+L1300+N1300+O1300-P1300-M1300</f>
        <v/>
      </c>
    </row>
    <row r="1301">
      <c r="A1301" s="16" t="inlineStr">
        <is>
          <t>5.15-5.21</t>
        </is>
      </c>
      <c r="B1301" s="16" t="inlineStr">
        <is>
          <t>PO-128-03795264382071475</t>
        </is>
      </c>
      <c r="C1301" s="16" t="inlineStr">
        <is>
          <t>Shipped</t>
        </is>
      </c>
      <c r="D1301" s="16" t="inlineStr">
        <is>
          <t>128-03795332539511475</t>
        </is>
      </c>
      <c r="E1301" s="16" t="inlineStr">
        <is>
          <t>Shipped</t>
        </is>
      </c>
      <c r="F1301" s="16" t="inlineStr">
        <is>
          <t>LV64W25</t>
        </is>
      </c>
      <c r="G13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01" s="16" t="inlineStr">
        <is>
          <t>Blanco</t>
        </is>
      </c>
      <c r="I1301" s="16" t="n">
        <v>2</v>
      </c>
      <c r="J1301" s="17" t="n">
        <v>250</v>
      </c>
      <c r="K1301" s="17" t="n">
        <v>257.88</v>
      </c>
      <c r="L1301" s="17" t="n">
        <v>0</v>
      </c>
      <c r="M1301" s="17" t="n">
        <v>0</v>
      </c>
      <c r="N1301" s="17">
        <f>K1301*0.08+L1301*0.08</f>
        <v/>
      </c>
      <c r="O1301" s="17">
        <f>-(K1301*0.025+L1301*0.025)</f>
        <v/>
      </c>
      <c r="P1301" s="17">
        <f>32</f>
        <v/>
      </c>
      <c r="Q1301" s="17">
        <f>J1301+L1301+N1301+O1301-P1301-M1301</f>
        <v/>
      </c>
    </row>
    <row r="1302">
      <c r="A1302" s="16" t="inlineStr">
        <is>
          <t>5.15-5.21</t>
        </is>
      </c>
      <c r="B1302" s="16" t="inlineStr">
        <is>
          <t>PO-128-03523895150713986</t>
        </is>
      </c>
      <c r="C1302" s="16" t="inlineStr">
        <is>
          <t>Shipped</t>
        </is>
      </c>
      <c r="D1302" s="16" t="inlineStr">
        <is>
          <t>128-03523910879353986</t>
        </is>
      </c>
      <c r="E1302" s="16" t="inlineStr">
        <is>
          <t>Shipped</t>
        </is>
      </c>
      <c r="F1302" s="16" t="inlineStr">
        <is>
          <t>LV54W25</t>
        </is>
      </c>
      <c r="G1302" s="16" t="inlineStr">
        <is>
          <t>TIANLAI Lámpara Ventilador E27 2 en 1, Silenciosa, LED Alta Luminosidad 180°, Instalación Rápida, Ahorro Energético para Dormitorio y Interiores Pequeños</t>
        </is>
      </c>
      <c r="H1302" s="16" t="inlineStr">
        <is>
          <t>1 Pieza</t>
        </is>
      </c>
      <c r="I1302" s="16" t="n">
        <v>1</v>
      </c>
      <c r="J1302" s="17" t="n">
        <v>74</v>
      </c>
      <c r="K1302" s="17" t="n">
        <v>76.26000000000001</v>
      </c>
      <c r="L1302" s="17" t="n">
        <v>25.86</v>
      </c>
      <c r="M1302" s="17" t="n">
        <v>0</v>
      </c>
      <c r="N1302" s="17">
        <f>K1302*0.08+L1302*0.08</f>
        <v/>
      </c>
      <c r="O1302" s="17">
        <f>-(K1302*0.025+L1302*0.025)</f>
        <v/>
      </c>
      <c r="P1302" s="17">
        <f>32</f>
        <v/>
      </c>
      <c r="Q1302" s="17">
        <f>J1302+L1302+N1302+O1302-P1302-M1302</f>
        <v/>
      </c>
    </row>
    <row r="1303">
      <c r="A1303" s="16" t="inlineStr">
        <is>
          <t>5.15-5.21</t>
        </is>
      </c>
      <c r="B1303" s="16" t="inlineStr">
        <is>
          <t>PO-128-04039236175990917</t>
        </is>
      </c>
      <c r="C1303" s="16" t="inlineStr">
        <is>
          <t>Shipped</t>
        </is>
      </c>
      <c r="D1303" s="16" t="inlineStr">
        <is>
          <t>128-04039257147510917</t>
        </is>
      </c>
      <c r="E1303" s="16" t="inlineStr">
        <is>
          <t>Shipped</t>
        </is>
      </c>
      <c r="F1303" s="16" t="inlineStr">
        <is>
          <t>TL1455N20B</t>
        </is>
      </c>
      <c r="G1303" s="16" t="inlineStr">
        <is>
          <t>LINK BITS Soporte para TV 14 A 55 Pulgadas, Base para TV Pantalla Articulado Inclinable y Giratorio, MAX VESA 400×400 mm, Soporta hasta 18kg, adaptarse a la mayoría de los televisores de 14 Pulgadas/20 Pulgadas/32 Pulgadas/42 Pulgadas/55 pulgadas</t>
        </is>
      </c>
      <c r="H1303" s="16" t="inlineStr">
        <is>
          <t>TL1455N20B</t>
        </is>
      </c>
      <c r="I1303" s="16" t="n">
        <v>3</v>
      </c>
      <c r="J1303" s="17" t="n">
        <v>213</v>
      </c>
      <c r="K1303" s="17" t="n">
        <v>276.18</v>
      </c>
      <c r="L1303" s="17" t="n">
        <v>0</v>
      </c>
      <c r="M1303" s="17" t="n">
        <v>0</v>
      </c>
      <c r="N1303" s="17">
        <f>K1303*0.08+L1303*0.08</f>
        <v/>
      </c>
      <c r="O1303" s="17">
        <f>-(K1303*0.025+L1303*0.025)</f>
        <v/>
      </c>
      <c r="P1303" s="17">
        <f>32</f>
        <v/>
      </c>
      <c r="Q1303" s="17">
        <f>J1303+L1303+N1303+O1303-P1303-M1303</f>
        <v/>
      </c>
    </row>
    <row r="1304">
      <c r="A1304" s="16" t="inlineStr">
        <is>
          <t>5.15-5.21</t>
        </is>
      </c>
      <c r="B1304" s="16" t="inlineStr">
        <is>
          <t>PO-128-03571671381113766</t>
        </is>
      </c>
      <c r="C1304" s="16" t="inlineStr">
        <is>
          <t>Shipped</t>
        </is>
      </c>
      <c r="D1304" s="16" t="inlineStr">
        <is>
          <t>128-03571681866873766</t>
        </is>
      </c>
      <c r="E1304" s="16" t="inlineStr">
        <is>
          <t>Shipped</t>
        </is>
      </c>
      <c r="F1304" s="16" t="inlineStr">
        <is>
          <t>LV64W25</t>
        </is>
      </c>
      <c r="G13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04" s="16" t="inlineStr">
        <is>
          <t>Blanco</t>
        </is>
      </c>
      <c r="I1304" s="16" t="n">
        <v>2</v>
      </c>
      <c r="J1304" s="17" t="n">
        <v>250</v>
      </c>
      <c r="K1304" s="17" t="n">
        <v>260.74</v>
      </c>
      <c r="L1304" s="17" t="n">
        <v>0</v>
      </c>
      <c r="M1304" s="17" t="n">
        <v>0</v>
      </c>
      <c r="N1304" s="17">
        <f>K1304*0.08+L1304*0.08</f>
        <v/>
      </c>
      <c r="O1304" s="17">
        <f>-(K1304*0.025+L1304*0.025)</f>
        <v/>
      </c>
      <c r="P1304" s="17">
        <f>32</f>
        <v/>
      </c>
      <c r="Q1304" s="17">
        <f>J1304+L1304+N1304+O1304-P1304-M1304</f>
        <v/>
      </c>
    </row>
    <row r="1305">
      <c r="A1305" s="16" t="inlineStr">
        <is>
          <t>5.15-5.21</t>
        </is>
      </c>
      <c r="B1305" s="16" t="inlineStr">
        <is>
          <t>PO-128-03670753846392281</t>
        </is>
      </c>
      <c r="C1305" s="16" t="inlineStr">
        <is>
          <t>Shipped</t>
        </is>
      </c>
      <c r="D1305" s="16" t="inlineStr">
        <is>
          <t>128-03670732874872281</t>
        </is>
      </c>
      <c r="E1305" s="16" t="inlineStr">
        <is>
          <t>Shipped</t>
        </is>
      </c>
      <c r="F1305" s="16" t="inlineStr">
        <is>
          <t>TL1455N20B</t>
        </is>
      </c>
      <c r="G1305" s="16" t="inlineStr">
        <is>
          <t>LINK BITS Soporte para TV 14 A 55 Pulgadas, Base para TV Pantalla Articulado Inclinable y Giratorio, MAX VESA 400×400 mm, Soporta hasta 18kg, adaptarse a la mayoría de los televisores de 14 Pulgadas/20 Pulgadas/32 Pulgadas/42 Pulgadas/55 pulgadas</t>
        </is>
      </c>
      <c r="H1305" s="16" t="inlineStr">
        <is>
          <t>TL1455N20B</t>
        </is>
      </c>
      <c r="I1305" s="16" t="n">
        <v>2</v>
      </c>
      <c r="J1305" s="17" t="n">
        <v>142</v>
      </c>
      <c r="K1305" s="17" t="n">
        <v>184.12</v>
      </c>
      <c r="L1305" s="17" t="n">
        <v>25.86</v>
      </c>
      <c r="M1305" s="17" t="n">
        <v>0</v>
      </c>
      <c r="N1305" s="17">
        <f>K1305*0.08+L1305*0.08</f>
        <v/>
      </c>
      <c r="O1305" s="17">
        <f>-(K1305*0.025+L1305*0.025)</f>
        <v/>
      </c>
      <c r="P1305" s="17">
        <f>32</f>
        <v/>
      </c>
      <c r="Q1305" s="17">
        <f>J1305+L1305+N1305+O1305-P1305-M1305</f>
        <v/>
      </c>
    </row>
    <row r="1306">
      <c r="A1306" s="16" t="inlineStr">
        <is>
          <t>5.15-5.21</t>
        </is>
      </c>
      <c r="B1306" s="16" t="inlineStr">
        <is>
          <t>PO-128-03445713505913492</t>
        </is>
      </c>
      <c r="C1306" s="16" t="inlineStr">
        <is>
          <t>Shipped</t>
        </is>
      </c>
      <c r="D1306" s="16" t="inlineStr">
        <is>
          <t>128-03445714161273492</t>
        </is>
      </c>
      <c r="E1306" s="16" t="inlineStr">
        <is>
          <t>Shipped</t>
        </is>
      </c>
      <c r="F1306" s="16" t="inlineStr">
        <is>
          <t>B03W10-10PZS</t>
        </is>
      </c>
      <c r="G130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306" s="16" t="inlineStr">
        <is>
          <t>B03W10</t>
        </is>
      </c>
      <c r="I1306" s="16" t="n">
        <v>1</v>
      </c>
      <c r="J1306" s="17" t="n">
        <v>77</v>
      </c>
      <c r="K1306" s="17" t="n">
        <v>80.95</v>
      </c>
      <c r="L1306" s="17" t="n">
        <v>25.86</v>
      </c>
      <c r="M1306" s="17" t="n">
        <v>0</v>
      </c>
      <c r="N1306" s="17">
        <f>K1306*0.08+L1306*0.08</f>
        <v/>
      </c>
      <c r="O1306" s="17">
        <f>-(K1306*0.025+L1306*0.025)</f>
        <v/>
      </c>
      <c r="P1306" s="17">
        <f>32</f>
        <v/>
      </c>
      <c r="Q1306" s="17">
        <f>J1306+L1306+N1306+O1306-P1306-M1306</f>
        <v/>
      </c>
    </row>
    <row r="1307">
      <c r="A1307" s="16" t="inlineStr">
        <is>
          <t>5.15-5.21</t>
        </is>
      </c>
      <c r="B1307" s="16" t="inlineStr">
        <is>
          <t>PO-128-03833855053431245</t>
        </is>
      </c>
      <c r="C1307" s="16" t="inlineStr">
        <is>
          <t>Shipped</t>
        </is>
      </c>
      <c r="D1307" s="16" t="inlineStr">
        <is>
          <t>128-03833923210871245</t>
        </is>
      </c>
      <c r="E1307" s="16" t="inlineStr">
        <is>
          <t>Shipped</t>
        </is>
      </c>
      <c r="F1307" s="16" t="inlineStr">
        <is>
          <t>LV64W25</t>
        </is>
      </c>
      <c r="G13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07" s="16" t="inlineStr">
        <is>
          <t>Blanco</t>
        </is>
      </c>
      <c r="I1307" s="16" t="n">
        <v>4</v>
      </c>
      <c r="J1307" s="17" t="n">
        <v>500</v>
      </c>
      <c r="K1307" s="17" t="n">
        <v>521.48</v>
      </c>
      <c r="L1307" s="17" t="n">
        <v>0</v>
      </c>
      <c r="M1307" s="17" t="n">
        <v>0</v>
      </c>
      <c r="N1307" s="17">
        <f>K1307*0.08+L1307*0.08</f>
        <v/>
      </c>
      <c r="O1307" s="17">
        <f>-(K1307*0.025+L1307*0.025)</f>
        <v/>
      </c>
      <c r="P1307" s="17">
        <f>32</f>
        <v/>
      </c>
      <c r="Q1307" s="17">
        <f>J1307+L1307+N1307+O1307-P1307-M1307</f>
        <v/>
      </c>
    </row>
    <row r="1308">
      <c r="A1308" s="16" t="inlineStr">
        <is>
          <t>5.15-5.21</t>
        </is>
      </c>
      <c r="B1308" s="16" t="inlineStr">
        <is>
          <t>PO-128-03946385943671660</t>
        </is>
      </c>
      <c r="C1308" s="16" t="inlineStr">
        <is>
          <t>Shipped</t>
        </is>
      </c>
      <c r="D1308" s="16" t="inlineStr">
        <is>
          <t>128-03946427886711660</t>
        </is>
      </c>
      <c r="E1308" s="16" t="inlineStr">
        <is>
          <t>Shipped</t>
        </is>
      </c>
      <c r="F1308" s="16" t="inlineStr">
        <is>
          <t>LV64W25</t>
        </is>
      </c>
      <c r="G13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08" s="16" t="inlineStr">
        <is>
          <t>Blanco</t>
        </is>
      </c>
      <c r="I1308" s="16" t="n">
        <v>4</v>
      </c>
      <c r="J1308" s="17" t="n">
        <v>500</v>
      </c>
      <c r="K1308" s="17" t="n">
        <v>521.48</v>
      </c>
      <c r="L1308" s="17" t="n">
        <v>0</v>
      </c>
      <c r="M1308" s="17" t="n">
        <v>0</v>
      </c>
      <c r="N1308" s="17">
        <f>K1308*0.08+L1308*0.08</f>
        <v/>
      </c>
      <c r="O1308" s="17">
        <f>-(K1308*0.025+L1308*0.025)</f>
        <v/>
      </c>
      <c r="P1308" s="17">
        <f>32</f>
        <v/>
      </c>
      <c r="Q1308" s="17">
        <f>J1308+L1308+N1308+O1308-P1308-M1308</f>
        <v/>
      </c>
    </row>
    <row r="1309">
      <c r="A1309" s="16" t="inlineStr">
        <is>
          <t>5.15-5.21</t>
        </is>
      </c>
      <c r="B1309" s="16" t="inlineStr">
        <is>
          <t>PO-128-03935128773751537</t>
        </is>
      </c>
      <c r="C1309" s="16" t="inlineStr">
        <is>
          <t>Shipped</t>
        </is>
      </c>
      <c r="D1309" s="16" t="inlineStr">
        <is>
          <t>128-03935233631351537</t>
        </is>
      </c>
      <c r="E1309" s="16" t="inlineStr">
        <is>
          <t>Shipped</t>
        </is>
      </c>
      <c r="F1309" s="16" t="inlineStr">
        <is>
          <t>LV64W25</t>
        </is>
      </c>
      <c r="G13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09" s="16" t="inlineStr">
        <is>
          <t>Blanco</t>
        </is>
      </c>
      <c r="I1309" s="16" t="n">
        <v>1</v>
      </c>
      <c r="J1309" s="17" t="n">
        <v>125</v>
      </c>
      <c r="K1309" s="17" t="n">
        <v>114.61</v>
      </c>
      <c r="L1309" s="17" t="n">
        <v>25.86</v>
      </c>
      <c r="M1309" s="17" t="n">
        <v>0</v>
      </c>
      <c r="N1309" s="17">
        <f>K1309*0.08+L1309*0.08</f>
        <v/>
      </c>
      <c r="O1309" s="17">
        <f>-(K1309*0.025+L1309*0.025)</f>
        <v/>
      </c>
      <c r="P1309" s="17">
        <f>32</f>
        <v/>
      </c>
      <c r="Q1309" s="17">
        <f>J1309+L1309+N1309+O1309-P1309-M1309</f>
        <v/>
      </c>
    </row>
    <row r="1310">
      <c r="A1310" s="16" t="inlineStr">
        <is>
          <t>5.15-5.21</t>
        </is>
      </c>
      <c r="B1310" s="16" t="inlineStr">
        <is>
          <t>PO-128-04007684099190209</t>
        </is>
      </c>
      <c r="C1310" s="16" t="inlineStr">
        <is>
          <t>Shipped</t>
        </is>
      </c>
      <c r="D1310" s="16" t="inlineStr">
        <is>
          <t>128-04007710313590209</t>
        </is>
      </c>
      <c r="E1310" s="16" t="inlineStr">
        <is>
          <t>Shipped</t>
        </is>
      </c>
      <c r="F1310" s="16" t="inlineStr">
        <is>
          <t>LV64W25</t>
        </is>
      </c>
      <c r="G13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10" s="16" t="inlineStr">
        <is>
          <t>Blanco</t>
        </is>
      </c>
      <c r="I1310" s="16" t="n">
        <v>1</v>
      </c>
      <c r="J1310" s="17" t="n">
        <v>125</v>
      </c>
      <c r="K1310" s="17" t="n">
        <v>130.37</v>
      </c>
      <c r="L1310" s="17" t="n">
        <v>25.86</v>
      </c>
      <c r="M1310" s="17" t="n">
        <v>0</v>
      </c>
      <c r="N1310" s="17">
        <f>K1310*0.08+L1310*0.08</f>
        <v/>
      </c>
      <c r="O1310" s="17">
        <f>-(K1310*0.025+L1310*0.025)</f>
        <v/>
      </c>
      <c r="P1310" s="17">
        <f>32</f>
        <v/>
      </c>
      <c r="Q1310" s="17">
        <f>J1310+L1310+N1310+O1310-P1310-M1310</f>
        <v/>
      </c>
    </row>
    <row r="1311">
      <c r="A1311" s="16" t="inlineStr">
        <is>
          <t>5.15-5.21</t>
        </is>
      </c>
      <c r="B1311" s="16" t="inlineStr">
        <is>
          <t>PO-128-03489671744633294</t>
        </is>
      </c>
      <c r="C1311" s="16" t="inlineStr">
        <is>
          <t>Shipped</t>
        </is>
      </c>
      <c r="D1311" s="16" t="inlineStr">
        <is>
          <t>128-03489808059513294</t>
        </is>
      </c>
      <c r="E1311" s="16" t="inlineStr">
        <is>
          <t>Shipped</t>
        </is>
      </c>
      <c r="F1311" s="16" t="inlineStr">
        <is>
          <t>LV64W25</t>
        </is>
      </c>
      <c r="G13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11" s="16" t="inlineStr">
        <is>
          <t>Blanco</t>
        </is>
      </c>
      <c r="I1311" s="16" t="n">
        <v>2</v>
      </c>
      <c r="J1311" s="17" t="n">
        <v>250</v>
      </c>
      <c r="K1311" s="17" t="n">
        <v>217.64</v>
      </c>
      <c r="L1311" s="17" t="n">
        <v>0</v>
      </c>
      <c r="M1311" s="17" t="n">
        <v>0</v>
      </c>
      <c r="N1311" s="17">
        <f>K1311*0.08+L1311*0.08</f>
        <v/>
      </c>
      <c r="O1311" s="17">
        <f>-(K1311*0.025+L1311*0.025)</f>
        <v/>
      </c>
      <c r="P1311" s="17">
        <f>32</f>
        <v/>
      </c>
      <c r="Q1311" s="17">
        <f>J1311+L1311+N1311+O1311-P1311-M1311</f>
        <v/>
      </c>
    </row>
    <row r="1312">
      <c r="A1312" s="16" t="inlineStr">
        <is>
          <t>5.15-5.21</t>
        </is>
      </c>
      <c r="B1312" s="16" t="inlineStr">
        <is>
          <t>PO-128-03782417452151422</t>
        </is>
      </c>
      <c r="C1312" s="16" t="inlineStr">
        <is>
          <t>Shipped</t>
        </is>
      </c>
      <c r="D1312" s="16" t="inlineStr">
        <is>
          <t>128-03782375509111422</t>
        </is>
      </c>
      <c r="E1312" s="16" t="inlineStr">
        <is>
          <t>Shipped</t>
        </is>
      </c>
      <c r="F1312" s="16" t="inlineStr">
        <is>
          <t>LV64W25</t>
        </is>
      </c>
      <c r="G13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12" s="16" t="inlineStr">
        <is>
          <t>Blanco</t>
        </is>
      </c>
      <c r="I1312" s="16" t="n">
        <v>1</v>
      </c>
      <c r="J1312" s="17" t="n">
        <v>125</v>
      </c>
      <c r="K1312" s="17" t="n">
        <v>128.94</v>
      </c>
      <c r="L1312" s="17" t="n">
        <v>25.86</v>
      </c>
      <c r="M1312" s="17" t="n">
        <v>0</v>
      </c>
      <c r="N1312" s="17">
        <f>K1312*0.08+L1312*0.08</f>
        <v/>
      </c>
      <c r="O1312" s="17">
        <f>-(K1312*0.025+L1312*0.025)</f>
        <v/>
      </c>
      <c r="P1312" s="17">
        <f>32</f>
        <v/>
      </c>
      <c r="Q1312" s="17">
        <f>J1312+L1312+N1312+O1312-P1312-M1312</f>
        <v/>
      </c>
    </row>
    <row r="1313">
      <c r="A1313" s="16" t="inlineStr">
        <is>
          <t>5.15-5.21</t>
        </is>
      </c>
      <c r="B1313" s="16" t="inlineStr">
        <is>
          <t>PO-128-03697384164472952</t>
        </is>
      </c>
      <c r="C1313" s="16" t="inlineStr">
        <is>
          <t>Shipped</t>
        </is>
      </c>
      <c r="D1313" s="16" t="inlineStr">
        <is>
          <t>128-03697383181432952</t>
        </is>
      </c>
      <c r="E1313" s="16" t="inlineStr">
        <is>
          <t>Shipped</t>
        </is>
      </c>
      <c r="F1313" s="16" t="inlineStr">
        <is>
          <t>KTS-2031</t>
        </is>
      </c>
      <c r="G1313" s="16" t="inlineStr">
        <is>
          <t>Bocina inalámbrica de 3 pulgadas con linterna multifuncional y panel solar integrado.Altavoz Portátil con Linterna LED 4 Modos, Radio FM, Bluetooth, Carga Solar, Ideal para Apagones, Emergencias, Campo y Exteriores</t>
        </is>
      </c>
      <c r="H1313" s="16" t="inlineStr">
        <is>
          <t>NEGRO</t>
        </is>
      </c>
      <c r="I1313" s="16" t="n">
        <v>1</v>
      </c>
      <c r="J1313" s="17" t="n">
        <v>77</v>
      </c>
      <c r="K1313" s="17" t="n">
        <v>86.22</v>
      </c>
      <c r="L1313" s="17" t="n">
        <v>25.86</v>
      </c>
      <c r="M1313" s="17" t="n">
        <v>0</v>
      </c>
      <c r="N1313" s="17">
        <f>K1313*0.08+L1313*0.08</f>
        <v/>
      </c>
      <c r="O1313" s="17">
        <f>-(K1313*0.025+L1313*0.025)</f>
        <v/>
      </c>
      <c r="P1313" s="17">
        <f>32</f>
        <v/>
      </c>
      <c r="Q1313" s="17">
        <f>J1313+L1313+N1313+O1313-P1313-M1313</f>
        <v/>
      </c>
    </row>
    <row r="1314">
      <c r="A1314" s="16" t="inlineStr">
        <is>
          <t>5.15-5.21</t>
        </is>
      </c>
      <c r="B1314" s="16" t="inlineStr">
        <is>
          <t>PO-128-03811278953591314</t>
        </is>
      </c>
      <c r="C1314" s="16" t="inlineStr">
        <is>
          <t>Shipped</t>
        </is>
      </c>
      <c r="D1314" s="16" t="inlineStr">
        <is>
          <t>128-03811257982071314</t>
        </is>
      </c>
      <c r="E1314" s="16" t="inlineStr">
        <is>
          <t>Shipped</t>
        </is>
      </c>
      <c r="F1314" s="16" t="inlineStr">
        <is>
          <t>LV64W25</t>
        </is>
      </c>
      <c r="G13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14" s="16" t="inlineStr">
        <is>
          <t>Blanco</t>
        </is>
      </c>
      <c r="I1314" s="16" t="n">
        <v>2</v>
      </c>
      <c r="J1314" s="17" t="n">
        <v>250</v>
      </c>
      <c r="K1314" s="17" t="n">
        <v>260.74</v>
      </c>
      <c r="L1314" s="17" t="n">
        <v>0</v>
      </c>
      <c r="M1314" s="17" t="n">
        <v>0</v>
      </c>
      <c r="N1314" s="17">
        <f>K1314*0.08+L1314*0.08</f>
        <v/>
      </c>
      <c r="O1314" s="17">
        <f>-(K1314*0.025+L1314*0.025)</f>
        <v/>
      </c>
      <c r="P1314" s="17">
        <f>32</f>
        <v/>
      </c>
      <c r="Q1314" s="17">
        <f>J1314+L1314+N1314+O1314-P1314-M1314</f>
        <v/>
      </c>
    </row>
    <row r="1315">
      <c r="A1315" s="16" t="inlineStr">
        <is>
          <t>5.15-5.21</t>
        </is>
      </c>
      <c r="B1315" s="16" t="inlineStr">
        <is>
          <t>PO-128-03811278953591314</t>
        </is>
      </c>
      <c r="C1315" s="16" t="inlineStr">
        <is>
          <t>Shipped</t>
        </is>
      </c>
      <c r="D1315" s="16" t="inlineStr">
        <is>
          <t>128-03811237010551314</t>
        </is>
      </c>
      <c r="E1315" s="16" t="inlineStr">
        <is>
          <t>Shipped</t>
        </is>
      </c>
      <c r="F1315" s="16" t="inlineStr">
        <is>
          <t>LV54W25</t>
        </is>
      </c>
      <c r="G1315" s="16" t="inlineStr">
        <is>
          <t>TIANLAI Lámpara Ventilador E27 2 en 1, Silenciosa, LED Alta Luminosidad 180°, Instalación Rápida, Ahorro Energético para Dormitorio y Interiores Pequeños</t>
        </is>
      </c>
      <c r="H1315" s="16" t="inlineStr">
        <is>
          <t>1 Pieza</t>
        </is>
      </c>
      <c r="I1315" s="16" t="n">
        <v>2</v>
      </c>
      <c r="J1315" s="17" t="n">
        <v>148</v>
      </c>
      <c r="K1315" s="17" t="n">
        <v>154.24</v>
      </c>
      <c r="L1315" s="17" t="n">
        <v>0</v>
      </c>
      <c r="M1315" s="17" t="n">
        <v>0</v>
      </c>
      <c r="N1315" s="17">
        <f>K1315*0.08+L1315*0.08</f>
        <v/>
      </c>
      <c r="O1315" s="17">
        <f>-(K1315*0.025+L1315*0.025)</f>
        <v/>
      </c>
      <c r="P1315" s="17">
        <f>32</f>
        <v/>
      </c>
      <c r="Q1315" s="17">
        <f>J1315+L1315+N1315+O1315-P1315-M1315</f>
        <v/>
      </c>
    </row>
    <row r="1316">
      <c r="A1316" s="16" t="inlineStr">
        <is>
          <t>5.15-5.21</t>
        </is>
      </c>
      <c r="B1316" s="16" t="inlineStr">
        <is>
          <t>PO-128-03577843643513795</t>
        </is>
      </c>
      <c r="C1316" s="16" t="inlineStr">
        <is>
          <t>Shipped</t>
        </is>
      </c>
      <c r="D1316" s="16" t="inlineStr">
        <is>
          <t>128-03577775486073795</t>
        </is>
      </c>
      <c r="E1316" s="16" t="inlineStr">
        <is>
          <t>Shipped</t>
        </is>
      </c>
      <c r="F1316" s="16" t="inlineStr">
        <is>
          <t>BSC07</t>
        </is>
      </c>
      <c r="G1316" s="16" t="inlineStr">
        <is>
          <t>TIANLAI Báscula Digital BSC04/BSC07, Alta Precisión, Fácil Operación, Ligera y Portátil, Función Tara, Unidad Dual oz/g, Ideal para Cocina, Control de Porciones, Sellos y Objetos Pequeños, Uso en Hogar y Viaje</t>
        </is>
      </c>
      <c r="H1316" s="16" t="inlineStr">
        <is>
          <t>1g/White</t>
        </is>
      </c>
      <c r="I1316" s="16" t="n">
        <v>1</v>
      </c>
      <c r="J1316" s="17" t="n">
        <v>38</v>
      </c>
      <c r="K1316" s="17" t="n">
        <v>50.22</v>
      </c>
      <c r="L1316" s="17" t="n">
        <v>25.86</v>
      </c>
      <c r="M1316" s="17" t="n">
        <v>0</v>
      </c>
      <c r="N1316" s="17">
        <f>K1316*0.08+L1316*0.08</f>
        <v/>
      </c>
      <c r="O1316" s="17">
        <f>-(K1316*0.025+L1316*0.025)</f>
        <v/>
      </c>
      <c r="P1316" s="17">
        <f>32</f>
        <v/>
      </c>
      <c r="Q1316" s="17">
        <f>J1316+L1316+N1316+O1316-P1316-M1316</f>
        <v/>
      </c>
    </row>
    <row r="1317">
      <c r="A1317" s="16" t="inlineStr">
        <is>
          <t>5.15-5.21</t>
        </is>
      </c>
      <c r="B1317" s="16" t="inlineStr">
        <is>
          <t>PO-128-03574072620153753</t>
        </is>
      </c>
      <c r="C1317" s="16" t="inlineStr">
        <is>
          <t>Shipped</t>
        </is>
      </c>
      <c r="D1317" s="16" t="inlineStr">
        <is>
          <t>128-03574177477753753</t>
        </is>
      </c>
      <c r="E1317" s="16" t="inlineStr">
        <is>
          <t>Shipped</t>
        </is>
      </c>
      <c r="F1317" s="16" t="inlineStr">
        <is>
          <t>LV54W25</t>
        </is>
      </c>
      <c r="G1317" s="16" t="inlineStr">
        <is>
          <t>TIANLAI Lámpara Ventilador E27 2 en 1, Silenciosa, LED Alta Luminosidad 180°, Instalación Rápida, Ahorro Energético para Dormitorio y Interiores Pequeños</t>
        </is>
      </c>
      <c r="H1317" s="16" t="inlineStr">
        <is>
          <t>1 Pieza</t>
        </is>
      </c>
      <c r="I1317" s="16" t="n">
        <v>1</v>
      </c>
      <c r="J1317" s="17" t="n">
        <v>74</v>
      </c>
      <c r="K1317" s="17" t="n">
        <v>33.16</v>
      </c>
      <c r="L1317" s="17" t="n">
        <v>25.86</v>
      </c>
      <c r="M1317" s="17" t="n">
        <v>0</v>
      </c>
      <c r="N1317" s="17">
        <f>K1317*0.08+L1317*0.08</f>
        <v/>
      </c>
      <c r="O1317" s="17">
        <f>-(K1317*0.025+L1317*0.025)</f>
        <v/>
      </c>
      <c r="P1317" s="17">
        <f>32</f>
        <v/>
      </c>
      <c r="Q1317" s="17">
        <f>J1317+L1317+N1317+O1317-P1317-M1317</f>
        <v/>
      </c>
    </row>
    <row r="1318">
      <c r="A1318" s="16" t="inlineStr">
        <is>
          <t>5.15-5.21</t>
        </is>
      </c>
      <c r="B1318" s="16" t="inlineStr">
        <is>
          <t>PO-128-04097216402550763</t>
        </is>
      </c>
      <c r="C1318" s="16" t="inlineStr">
        <is>
          <t>Shipped</t>
        </is>
      </c>
      <c r="D1318" s="16" t="inlineStr">
        <is>
          <t>128-04097258345590763</t>
        </is>
      </c>
      <c r="E1318" s="16" t="inlineStr">
        <is>
          <t>Shipped</t>
        </is>
      </c>
      <c r="F1318" s="16" t="inlineStr">
        <is>
          <t>LV54W25</t>
        </is>
      </c>
      <c r="G1318" s="16" t="inlineStr">
        <is>
          <t>TIANLAI Lámpara Ventilador E27 2 en 1, Silenciosa, LED Alta Luminosidad 180°, Instalación Rápida, Ahorro Energético para Dormitorio y Interiores Pequeños</t>
        </is>
      </c>
      <c r="H1318" s="16" t="inlineStr">
        <is>
          <t>1 Pieza</t>
        </is>
      </c>
      <c r="I1318" s="16" t="n">
        <v>4</v>
      </c>
      <c r="J1318" s="17" t="n">
        <v>296</v>
      </c>
      <c r="K1318" s="17" t="n">
        <v>305.04</v>
      </c>
      <c r="L1318" s="17" t="n">
        <v>0</v>
      </c>
      <c r="M1318" s="17" t="n">
        <v>0</v>
      </c>
      <c r="N1318" s="17">
        <f>K1318*0.08+L1318*0.08</f>
        <v/>
      </c>
      <c r="O1318" s="17">
        <f>-(K1318*0.025+L1318*0.025)</f>
        <v/>
      </c>
      <c r="P1318" s="17">
        <f>32</f>
        <v/>
      </c>
      <c r="Q1318" s="17">
        <f>J1318+L1318+N1318+O1318-P1318-M1318</f>
        <v/>
      </c>
    </row>
    <row r="1319">
      <c r="A1319" s="16" t="inlineStr">
        <is>
          <t>5.15-5.21</t>
        </is>
      </c>
      <c r="B1319" s="16" t="inlineStr">
        <is>
          <t>PO-128-03938771950711578</t>
        </is>
      </c>
      <c r="C1319" s="16" t="inlineStr">
        <is>
          <t>Shipped</t>
        </is>
      </c>
      <c r="D1319" s="16" t="inlineStr">
        <is>
          <t>128-03938750979191578</t>
        </is>
      </c>
      <c r="E1319" s="16" t="inlineStr">
        <is>
          <t>Shipped</t>
        </is>
      </c>
      <c r="F1319" s="16" t="inlineStr">
        <is>
          <t>TL1455N20B</t>
        </is>
      </c>
      <c r="G1319" s="16" t="inlineStr">
        <is>
          <t>LINK BITS Soporte para TV 14 A 55 Pulgadas, Base para TV Pantalla Articulado Inclinable y Giratorio, MAX VESA 400×400 mm, Soporta hasta 18kg, adaptarse a la mayoría de los televisores de 14 Pulgadas/20 Pulgadas/32 Pulgadas/42 Pulgadas/55 pulgadas</t>
        </is>
      </c>
      <c r="H1319" s="16" t="inlineStr">
        <is>
          <t>TL1455N20B</t>
        </is>
      </c>
      <c r="I1319" s="16" t="n">
        <v>1</v>
      </c>
      <c r="J1319" s="17" t="n">
        <v>71</v>
      </c>
      <c r="K1319" s="17" t="n">
        <v>92.06</v>
      </c>
      <c r="L1319" s="17" t="n">
        <v>25.86</v>
      </c>
      <c r="M1319" s="17" t="n">
        <v>0</v>
      </c>
      <c r="N1319" s="17">
        <f>K1319*0.08+L1319*0.08</f>
        <v/>
      </c>
      <c r="O1319" s="17">
        <f>-(K1319*0.025+L1319*0.025)</f>
        <v/>
      </c>
      <c r="P1319" s="17">
        <f>32</f>
        <v/>
      </c>
      <c r="Q1319" s="17">
        <f>J1319+L1319+N1319+O1319-P1319-M1319</f>
        <v/>
      </c>
    </row>
    <row r="1320">
      <c r="A1320" s="16" t="inlineStr">
        <is>
          <t>5.15-5.21</t>
        </is>
      </c>
      <c r="B1320" s="16" t="inlineStr">
        <is>
          <t>PO-128-03778482773112663</t>
        </is>
      </c>
      <c r="C1320" s="16" t="inlineStr">
        <is>
          <t>Shipped</t>
        </is>
      </c>
      <c r="D1320" s="16" t="inlineStr">
        <is>
          <t>128-03778562727032663</t>
        </is>
      </c>
      <c r="E1320" s="16" t="inlineStr">
        <is>
          <t>Shipped</t>
        </is>
      </c>
      <c r="F1320" s="16" t="inlineStr">
        <is>
          <t>LV54W25</t>
        </is>
      </c>
      <c r="G1320" s="16" t="inlineStr">
        <is>
          <t>TIANLAI Lámpara Ventilador E27 2 en 1, Silenciosa, LED Alta Luminosidad 180°, Instalación Rápida, Ahorro Energético para Dormitorio y Interiores Pequeños</t>
        </is>
      </c>
      <c r="H1320" s="16" t="inlineStr">
        <is>
          <t>1 Pieza</t>
        </is>
      </c>
      <c r="I1320" s="16" t="n">
        <v>1</v>
      </c>
      <c r="J1320" s="17" t="n">
        <v>74</v>
      </c>
      <c r="K1320" s="17" t="n">
        <v>77.12</v>
      </c>
      <c r="L1320" s="17" t="n">
        <v>25.86</v>
      </c>
      <c r="M1320" s="17" t="n">
        <v>0</v>
      </c>
      <c r="N1320" s="17">
        <f>K1320*0.08+L1320*0.08</f>
        <v/>
      </c>
      <c r="O1320" s="17">
        <f>-(K1320*0.025+L1320*0.025)</f>
        <v/>
      </c>
      <c r="P1320" s="17">
        <f>32</f>
        <v/>
      </c>
      <c r="Q1320" s="17">
        <f>J1320+L1320+N1320+O1320-P1320-M1320</f>
        <v/>
      </c>
    </row>
    <row r="1321">
      <c r="A1321" s="16" t="inlineStr">
        <is>
          <t>5.15-5.21</t>
        </is>
      </c>
      <c r="B1321" s="16" t="inlineStr">
        <is>
          <t>PO-128-03689718172792166</t>
        </is>
      </c>
      <c r="C1321" s="16" t="inlineStr">
        <is>
          <t>Shipped</t>
        </is>
      </c>
      <c r="D1321" s="16" t="inlineStr">
        <is>
          <t>128-03689760115832166</t>
        </is>
      </c>
      <c r="E1321" s="16" t="inlineStr">
        <is>
          <t>Shipped</t>
        </is>
      </c>
      <c r="F1321" s="16" t="inlineStr">
        <is>
          <t>LV54W25</t>
        </is>
      </c>
      <c r="G1321" s="16" t="inlineStr">
        <is>
          <t>TIANLAI Lámpara Ventilador E27 2 en 1, Silenciosa, LED Alta Luminosidad 180°, Instalación Rápida, Ahorro Energético para Dormitorio y Interiores Pequeños</t>
        </is>
      </c>
      <c r="H1321" s="16" t="inlineStr">
        <is>
          <t>1 Pieza</t>
        </is>
      </c>
      <c r="I1321" s="16" t="n">
        <v>1</v>
      </c>
      <c r="J1321" s="17" t="n">
        <v>74</v>
      </c>
      <c r="K1321" s="17" t="n">
        <v>77.12</v>
      </c>
      <c r="L1321" s="17" t="n">
        <v>25.86</v>
      </c>
      <c r="M1321" s="17" t="n">
        <v>0</v>
      </c>
      <c r="N1321" s="17">
        <f>K1321*0.08+L1321*0.08</f>
        <v/>
      </c>
      <c r="O1321" s="17">
        <f>-(K1321*0.025+L1321*0.025)</f>
        <v/>
      </c>
      <c r="P1321" s="17">
        <f>32</f>
        <v/>
      </c>
      <c r="Q1321" s="17">
        <f>J1321+L1321+N1321+O1321-P1321-M1321</f>
        <v/>
      </c>
    </row>
    <row r="1322">
      <c r="A1322" s="16" t="inlineStr">
        <is>
          <t>5.15-5.21</t>
        </is>
      </c>
      <c r="B1322" s="16" t="inlineStr">
        <is>
          <t>PO-128-03849617421431087</t>
        </is>
      </c>
      <c r="C1322" s="16" t="inlineStr">
        <is>
          <t>Shipped</t>
        </is>
      </c>
      <c r="D1322" s="16" t="inlineStr">
        <is>
          <t>128-03849613489271087</t>
        </is>
      </c>
      <c r="E1322" s="16" t="inlineStr">
        <is>
          <t>Shipped</t>
        </is>
      </c>
      <c r="F1322" s="16" t="inlineStr">
        <is>
          <t>LV64W25</t>
        </is>
      </c>
      <c r="G13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22" s="16" t="inlineStr">
        <is>
          <t>Blanco</t>
        </is>
      </c>
      <c r="I1322" s="16" t="n">
        <v>1</v>
      </c>
      <c r="J1322" s="17" t="n">
        <v>125</v>
      </c>
      <c r="K1322" s="17" t="n">
        <v>143.26</v>
      </c>
      <c r="L1322" s="17" t="n">
        <v>25.86</v>
      </c>
      <c r="M1322" s="17" t="n">
        <v>0</v>
      </c>
      <c r="N1322" s="17">
        <f>K1322*0.08+L1322*0.08</f>
        <v/>
      </c>
      <c r="O1322" s="17">
        <f>-(K1322*0.025+L1322*0.025)</f>
        <v/>
      </c>
      <c r="P1322" s="17">
        <f>32</f>
        <v/>
      </c>
      <c r="Q1322" s="17">
        <f>J1322+L1322+N1322+O1322-P1322-M1322</f>
        <v/>
      </c>
    </row>
    <row r="1323">
      <c r="A1323" s="16" t="inlineStr">
        <is>
          <t>5.15-5.21</t>
        </is>
      </c>
      <c r="B1323" s="16" t="inlineStr">
        <is>
          <t>PO-128-04058643909750993</t>
        </is>
      </c>
      <c r="C1323" s="16" t="inlineStr">
        <is>
          <t>Shipped</t>
        </is>
      </c>
      <c r="D1323" s="16" t="inlineStr">
        <is>
          <t>128-04058685852790993</t>
        </is>
      </c>
      <c r="E1323" s="16" t="inlineStr">
        <is>
          <t>Shipped</t>
        </is>
      </c>
      <c r="F1323" s="16" t="inlineStr">
        <is>
          <t>LV64W25</t>
        </is>
      </c>
      <c r="G13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23" s="16" t="inlineStr">
        <is>
          <t>Blanco</t>
        </is>
      </c>
      <c r="I1323" s="16" t="n">
        <v>1</v>
      </c>
      <c r="J1323" s="17" t="n">
        <v>125</v>
      </c>
      <c r="K1323" s="17" t="n">
        <v>128.94</v>
      </c>
      <c r="L1323" s="17" t="n">
        <v>25.86</v>
      </c>
      <c r="M1323" s="17" t="n">
        <v>0</v>
      </c>
      <c r="N1323" s="17">
        <f>K1323*0.08+L1323*0.08</f>
        <v/>
      </c>
      <c r="O1323" s="17">
        <f>-(K1323*0.025+L1323*0.025)</f>
        <v/>
      </c>
      <c r="P1323" s="17">
        <f>32</f>
        <v/>
      </c>
      <c r="Q1323" s="17">
        <f>J1323+L1323+N1323+O1323-P1323-M1323</f>
        <v/>
      </c>
    </row>
    <row r="1324">
      <c r="A1324" s="16" t="inlineStr">
        <is>
          <t>5.15-5.21</t>
        </is>
      </c>
      <c r="B1324" s="16" t="inlineStr">
        <is>
          <t>PO-128-03745489892472730</t>
        </is>
      </c>
      <c r="C1324" s="16" t="inlineStr">
        <is>
          <t>Shipped</t>
        </is>
      </c>
      <c r="D1324" s="16" t="inlineStr">
        <is>
          <t>128-03745500378232730</t>
        </is>
      </c>
      <c r="E1324" s="16" t="inlineStr">
        <is>
          <t>Shipped</t>
        </is>
      </c>
      <c r="F1324" s="16" t="inlineStr">
        <is>
          <t>KTS-2031</t>
        </is>
      </c>
      <c r="G1324" s="16" t="inlineStr">
        <is>
          <t>Bocina inalámbrica de 3 pulgadas con linterna multifuncional y panel solar integrado.Altavoz Portátil con Linterna LED 4 Modos, Radio FM, Bluetooth, Carga Solar, Ideal para Apagones, Emergencias, Campo y Exteriores</t>
        </is>
      </c>
      <c r="H1324" s="16" t="inlineStr">
        <is>
          <t>NEGRO</t>
        </is>
      </c>
      <c r="I1324" s="16" t="n">
        <v>1</v>
      </c>
      <c r="J1324" s="17" t="n">
        <v>77</v>
      </c>
      <c r="K1324" s="17" t="n">
        <v>86.22</v>
      </c>
      <c r="L1324" s="17" t="n">
        <v>25.86</v>
      </c>
      <c r="M1324" s="17" t="n">
        <v>0</v>
      </c>
      <c r="N1324" s="17">
        <f>K1324*0.08+L1324*0.08</f>
        <v/>
      </c>
      <c r="O1324" s="17">
        <f>-(K1324*0.025+L1324*0.025)</f>
        <v/>
      </c>
      <c r="P1324" s="17">
        <f>32</f>
        <v/>
      </c>
      <c r="Q1324" s="17">
        <f>J1324+L1324+N1324+O1324-P1324-M1324</f>
        <v/>
      </c>
    </row>
    <row r="1325">
      <c r="A1325" s="16" t="inlineStr">
        <is>
          <t>5.15-5.21</t>
        </is>
      </c>
      <c r="B1325" s="16" t="inlineStr">
        <is>
          <t>PO-128-03842010570871258</t>
        </is>
      </c>
      <c r="C1325" s="16" t="inlineStr">
        <is>
          <t>Shipped</t>
        </is>
      </c>
      <c r="D1325" s="16" t="inlineStr">
        <is>
          <t>128-03841989599351258</t>
        </is>
      </c>
      <c r="E1325" s="16" t="inlineStr">
        <is>
          <t>Shipped</t>
        </is>
      </c>
      <c r="F1325" s="16" t="inlineStr">
        <is>
          <t>LV64W25</t>
        </is>
      </c>
      <c r="G13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25" s="16" t="inlineStr">
        <is>
          <t>Blanco</t>
        </is>
      </c>
      <c r="I1325" s="16" t="n">
        <v>1</v>
      </c>
      <c r="J1325" s="17" t="n">
        <v>125</v>
      </c>
      <c r="K1325" s="17" t="n">
        <v>128.94</v>
      </c>
      <c r="L1325" s="17" t="n">
        <v>25.86</v>
      </c>
      <c r="M1325" s="17" t="n">
        <v>0</v>
      </c>
      <c r="N1325" s="17">
        <f>K1325*0.08+L1325*0.08</f>
        <v/>
      </c>
      <c r="O1325" s="17">
        <f>-(K1325*0.025+L1325*0.025)</f>
        <v/>
      </c>
      <c r="P1325" s="17">
        <f>32</f>
        <v/>
      </c>
      <c r="Q1325" s="17">
        <f>J1325+L1325+N1325+O1325-P1325-M1325</f>
        <v/>
      </c>
    </row>
    <row r="1326">
      <c r="A1326" s="16" t="inlineStr">
        <is>
          <t>5.15-5.21</t>
        </is>
      </c>
      <c r="B1326" s="16" t="inlineStr">
        <is>
          <t>PO-128-03491044396153286</t>
        </is>
      </c>
      <c r="C1326" s="16" t="inlineStr">
        <is>
          <t>Shipped</t>
        </is>
      </c>
      <c r="D1326" s="16" t="inlineStr">
        <is>
          <t>128-03491033910393286</t>
        </is>
      </c>
      <c r="E1326" s="16" t="inlineStr">
        <is>
          <t>Shipped</t>
        </is>
      </c>
      <c r="F1326" s="16" t="inlineStr">
        <is>
          <t>KTS-2031</t>
        </is>
      </c>
      <c r="G1326" s="16" t="inlineStr">
        <is>
          <t>Bocina inalámbrica de 3 pulgadas con linterna multifuncional y panel solar integrado.Altavoz Portátil con Linterna LED 4 Modos, Radio FM, Bluetooth, Carga Solar, Ideal para Apagones, Emergencias, Campo y Exteriores</t>
        </is>
      </c>
      <c r="H1326" s="16" t="inlineStr">
        <is>
          <t>NEGRO</t>
        </is>
      </c>
      <c r="I1326" s="16" t="n">
        <v>1</v>
      </c>
      <c r="J1326" s="17" t="n">
        <v>77</v>
      </c>
      <c r="K1326" s="17" t="n">
        <v>49.17</v>
      </c>
      <c r="L1326" s="17" t="n">
        <v>25.86</v>
      </c>
      <c r="M1326" s="17" t="n">
        <v>0</v>
      </c>
      <c r="N1326" s="17">
        <f>K1326*0.08+L1326*0.08</f>
        <v/>
      </c>
      <c r="O1326" s="17">
        <f>-(K1326*0.025+L1326*0.025)</f>
        <v/>
      </c>
      <c r="P1326" s="17">
        <f>32</f>
        <v/>
      </c>
      <c r="Q1326" s="17">
        <f>J1326+L1326+N1326+O1326-P1326-M1326</f>
        <v/>
      </c>
    </row>
    <row r="1327">
      <c r="A1327" s="16" t="inlineStr">
        <is>
          <t>5.15-5.21</t>
        </is>
      </c>
      <c r="B1327" s="16" t="inlineStr">
        <is>
          <t>PO-128-03938744988791578</t>
        </is>
      </c>
      <c r="C1327" s="16" t="inlineStr">
        <is>
          <t>Shipped</t>
        </is>
      </c>
      <c r="D1327" s="16" t="inlineStr">
        <is>
          <t>128-03938765960311578</t>
        </is>
      </c>
      <c r="E1327" s="16" t="inlineStr">
        <is>
          <t>Shipped</t>
        </is>
      </c>
      <c r="F1327" s="16" t="inlineStr">
        <is>
          <t>TLCD06-12P-R</t>
        </is>
      </c>
      <c r="G13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327" s="16" t="inlineStr">
        <is>
          <t>ROJO/pantalla de 12 pulgadas</t>
        </is>
      </c>
      <c r="I1327" s="16" t="n">
        <v>1</v>
      </c>
      <c r="J1327" s="17" t="n">
        <v>32</v>
      </c>
      <c r="K1327" s="17" t="n">
        <v>44.01</v>
      </c>
      <c r="L1327" s="17" t="n">
        <v>25.86</v>
      </c>
      <c r="M1327" s="17" t="n">
        <v>0</v>
      </c>
      <c r="N1327" s="17">
        <f>K1327*0.08+L1327*0.08</f>
        <v/>
      </c>
      <c r="O1327" s="17">
        <f>-(K1327*0.025+L1327*0.025)</f>
        <v/>
      </c>
      <c r="P1327" s="17">
        <f>32</f>
        <v/>
      </c>
      <c r="Q1327" s="17">
        <f>J1327+L1327+N1327+O1327-P1327-M1327</f>
        <v/>
      </c>
    </row>
    <row r="1328">
      <c r="A1328" s="16" t="inlineStr">
        <is>
          <t>5.15-5.21</t>
        </is>
      </c>
      <c r="B1328" s="16" t="inlineStr">
        <is>
          <t>PO-128-04046606257270937</t>
        </is>
      </c>
      <c r="C1328" s="16" t="inlineStr">
        <is>
          <t>Shipped</t>
        </is>
      </c>
      <c r="D1328" s="16" t="inlineStr">
        <is>
          <t>128-04046585285750937</t>
        </is>
      </c>
      <c r="E1328" s="16" t="inlineStr">
        <is>
          <t>Shipped</t>
        </is>
      </c>
      <c r="F1328" s="16" t="inlineStr">
        <is>
          <t>BSC04</t>
        </is>
      </c>
      <c r="G1328" s="16" t="inlineStr">
        <is>
          <t>TIANLAI Báscula Digital BSC04/BSC07, Alta Precisión, Fácil Operación, Ligera y Portátil, Función Tara, Unidad Dual oz/g, Ideal para Cocina, Control de Porciones, Sellos y Objetos Pequeños, Uso en Hogar y Viaje</t>
        </is>
      </c>
      <c r="H1328" s="16" t="inlineStr">
        <is>
          <t>5g/White</t>
        </is>
      </c>
      <c r="I1328" s="16" t="n">
        <v>1</v>
      </c>
      <c r="J1328" s="17" t="n">
        <v>58</v>
      </c>
      <c r="K1328" s="17" t="n">
        <v>74.29000000000001</v>
      </c>
      <c r="L1328" s="17" t="n">
        <v>25.86</v>
      </c>
      <c r="M1328" s="17" t="n">
        <v>0</v>
      </c>
      <c r="N1328" s="17">
        <f>K1328*0.08+L1328*0.08</f>
        <v/>
      </c>
      <c r="O1328" s="17">
        <f>-(K1328*0.025+L1328*0.025)</f>
        <v/>
      </c>
      <c r="P1328" s="17">
        <f>32</f>
        <v/>
      </c>
      <c r="Q1328" s="17">
        <f>J1328+L1328+N1328+O1328-P1328-M1328</f>
        <v/>
      </c>
    </row>
    <row r="1329">
      <c r="A1329" s="16" t="inlineStr">
        <is>
          <t>5.15-5.21</t>
        </is>
      </c>
      <c r="B1329" s="16" t="inlineStr">
        <is>
          <t>PO-128-04122098245750615</t>
        </is>
      </c>
      <c r="C1329" s="16" t="inlineStr">
        <is>
          <t>Shipped</t>
        </is>
      </c>
      <c r="D1329" s="16" t="inlineStr">
        <is>
          <t>128-04122155917430615</t>
        </is>
      </c>
      <c r="E1329" s="16" t="inlineStr">
        <is>
          <t>Shipped</t>
        </is>
      </c>
      <c r="F1329" s="16" t="inlineStr">
        <is>
          <t>LV64W25</t>
        </is>
      </c>
      <c r="G13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29" s="16" t="inlineStr">
        <is>
          <t>Blanco</t>
        </is>
      </c>
      <c r="I1329" s="16" t="n">
        <v>2</v>
      </c>
      <c r="J1329" s="17" t="n">
        <v>250</v>
      </c>
      <c r="K1329" s="17" t="n">
        <v>260.74</v>
      </c>
      <c r="L1329" s="17" t="n">
        <v>0</v>
      </c>
      <c r="M1329" s="17" t="n">
        <v>0</v>
      </c>
      <c r="N1329" s="17">
        <f>K1329*0.08+L1329*0.08</f>
        <v/>
      </c>
      <c r="O1329" s="17">
        <f>-(K1329*0.025+L1329*0.025)</f>
        <v/>
      </c>
      <c r="P1329" s="17">
        <f>32</f>
        <v/>
      </c>
      <c r="Q1329" s="17">
        <f>J1329+L1329+N1329+O1329-P1329-M1329</f>
        <v/>
      </c>
    </row>
    <row r="1330">
      <c r="A1330" s="16" t="inlineStr">
        <is>
          <t>5.15-5.21</t>
        </is>
      </c>
      <c r="B1330" s="16" t="inlineStr">
        <is>
          <t>PO-128-03536858555514039</t>
        </is>
      </c>
      <c r="C1330" s="16" t="inlineStr">
        <is>
          <t>Shipped</t>
        </is>
      </c>
      <c r="D1330" s="16" t="inlineStr">
        <is>
          <t>128-03536900498554039</t>
        </is>
      </c>
      <c r="E1330" s="16" t="inlineStr">
        <is>
          <t>Shipped</t>
        </is>
      </c>
      <c r="F1330" s="16" t="inlineStr">
        <is>
          <t>TL1455N20B</t>
        </is>
      </c>
      <c r="G1330" s="16" t="inlineStr">
        <is>
          <t>LINK BITS Soporte para TV 14 A 55 Pulgadas, Base para TV Pantalla Articulado Inclinable y Giratorio, MAX VESA 400×400 mm, Soporta hasta 18kg, adaptarse a la mayoría de los televisores de 14 Pulgadas/20 Pulgadas/32 Pulgadas/42 Pulgadas/55 pulgadas</t>
        </is>
      </c>
      <c r="H1330" s="16" t="inlineStr">
        <is>
          <t>TL1455N20B</t>
        </is>
      </c>
      <c r="I1330" s="16" t="n">
        <v>3</v>
      </c>
      <c r="J1330" s="17" t="n">
        <v>213</v>
      </c>
      <c r="K1330" s="17" t="n">
        <v>276.18</v>
      </c>
      <c r="L1330" s="17" t="n">
        <v>0</v>
      </c>
      <c r="M1330" s="17" t="n">
        <v>0</v>
      </c>
      <c r="N1330" s="17">
        <f>K1330*0.08+L1330*0.08</f>
        <v/>
      </c>
      <c r="O1330" s="17">
        <f>-(K1330*0.025+L1330*0.025)</f>
        <v/>
      </c>
      <c r="P1330" s="17">
        <f>32</f>
        <v/>
      </c>
      <c r="Q1330" s="17">
        <f>J1330+L1330+N1330+O1330-P1330-M1330</f>
        <v/>
      </c>
    </row>
    <row r="1331">
      <c r="A1331" s="16" t="inlineStr">
        <is>
          <t>5.15-5.21</t>
        </is>
      </c>
      <c r="B1331" s="16" t="inlineStr">
        <is>
          <t>PO-128-03583943734393823</t>
        </is>
      </c>
      <c r="C1331" s="16" t="inlineStr">
        <is>
          <t>Shipped</t>
        </is>
      </c>
      <c r="D1331" s="16" t="inlineStr">
        <is>
          <t>128-03583901791353823</t>
        </is>
      </c>
      <c r="E1331" s="16" t="inlineStr">
        <is>
          <t>Shipped</t>
        </is>
      </c>
      <c r="F1331" s="16" t="inlineStr">
        <is>
          <t>LV64W25</t>
        </is>
      </c>
      <c r="G13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31" s="16" t="inlineStr">
        <is>
          <t>Blanco</t>
        </is>
      </c>
      <c r="I1331" s="16" t="n">
        <v>1</v>
      </c>
      <c r="J1331" s="17" t="n">
        <v>125</v>
      </c>
      <c r="K1331" s="17" t="n">
        <v>128.94</v>
      </c>
      <c r="L1331" s="17" t="n">
        <v>25.86</v>
      </c>
      <c r="M1331" s="17" t="n">
        <v>0</v>
      </c>
      <c r="N1331" s="17">
        <f>K1331*0.08+L1331*0.08</f>
        <v/>
      </c>
      <c r="O1331" s="17">
        <f>-(K1331*0.025+L1331*0.025)</f>
        <v/>
      </c>
      <c r="P1331" s="17">
        <f>32</f>
        <v/>
      </c>
      <c r="Q1331" s="17">
        <f>J1331+L1331+N1331+O1331-P1331-M1331</f>
        <v/>
      </c>
    </row>
    <row r="1332">
      <c r="A1332" s="16" t="inlineStr">
        <is>
          <t>5.15-5.21</t>
        </is>
      </c>
      <c r="B1332" s="16" t="inlineStr">
        <is>
          <t>PO-128-03642808479352382</t>
        </is>
      </c>
      <c r="C1332" s="16" t="inlineStr">
        <is>
          <t>Shipped</t>
        </is>
      </c>
      <c r="D1332" s="16" t="inlineStr">
        <is>
          <t>128-03642766536312382</t>
        </is>
      </c>
      <c r="E1332" s="16" t="inlineStr">
        <is>
          <t>Shipped</t>
        </is>
      </c>
      <c r="F1332" s="16" t="inlineStr">
        <is>
          <t>KTS-2031</t>
        </is>
      </c>
      <c r="G1332" s="16" t="inlineStr">
        <is>
          <t>Bocina inalámbrica de 3 pulgadas con linterna multifuncional y panel solar integrado.Altavoz Portátil con Linterna LED 4 Modos, Radio FM, Bluetooth, Carga Solar, Ideal para Apagones, Emergencias, Campo y Exteriores</t>
        </is>
      </c>
      <c r="H1332" s="16" t="inlineStr">
        <is>
          <t>NEGRO</t>
        </is>
      </c>
      <c r="I1332" s="16" t="n">
        <v>3</v>
      </c>
      <c r="J1332" s="17" t="n">
        <v>231</v>
      </c>
      <c r="K1332" s="17" t="n">
        <v>258.66</v>
      </c>
      <c r="L1332" s="17" t="n">
        <v>0</v>
      </c>
      <c r="M1332" s="17" t="n">
        <v>0</v>
      </c>
      <c r="N1332" s="17">
        <f>K1332*0.08+L1332*0.08</f>
        <v/>
      </c>
      <c r="O1332" s="17">
        <f>-(K1332*0.025+L1332*0.025)</f>
        <v/>
      </c>
      <c r="P1332" s="17">
        <f>32</f>
        <v/>
      </c>
      <c r="Q1332" s="17">
        <f>J1332+L1332+N1332+O1332-P1332-M1332</f>
        <v/>
      </c>
    </row>
    <row r="1333">
      <c r="A1333" s="16" t="inlineStr">
        <is>
          <t>5.15-5.21</t>
        </is>
      </c>
      <c r="B1333" s="16" t="inlineStr">
        <is>
          <t>PO-128-04076997153910882</t>
        </is>
      </c>
      <c r="C1333" s="16" t="inlineStr">
        <is>
          <t>Shipped</t>
        </is>
      </c>
      <c r="D1333" s="16" t="inlineStr">
        <is>
          <t>128-04077023368310882</t>
        </is>
      </c>
      <c r="E1333" s="16" t="inlineStr">
        <is>
          <t>Shipped</t>
        </is>
      </c>
      <c r="F1333" s="16" t="inlineStr">
        <is>
          <t>LV54W25</t>
        </is>
      </c>
      <c r="G1333" s="16" t="inlineStr">
        <is>
          <t>TIANLAI Lámpara Ventilador E27 2 en 1, Silenciosa, LED Alta Luminosidad 180°, Instalación Rápida, Ahorro Energético para Dormitorio y Interiores Pequeños</t>
        </is>
      </c>
      <c r="H1333" s="16" t="inlineStr">
        <is>
          <t>1 Pieza</t>
        </is>
      </c>
      <c r="I1333" s="16" t="n">
        <v>1</v>
      </c>
      <c r="J1333" s="17" t="n">
        <v>74</v>
      </c>
      <c r="K1333" s="17" t="n">
        <v>57.19</v>
      </c>
      <c r="L1333" s="17" t="n">
        <v>25.86</v>
      </c>
      <c r="M1333" s="17" t="n">
        <v>0</v>
      </c>
      <c r="N1333" s="17">
        <f>K1333*0.08+L1333*0.08</f>
        <v/>
      </c>
      <c r="O1333" s="17">
        <f>-(K1333*0.025+L1333*0.025)</f>
        <v/>
      </c>
      <c r="P1333" s="17">
        <f>32</f>
        <v/>
      </c>
      <c r="Q1333" s="17">
        <f>J1333+L1333+N1333+O1333-P1333-M1333</f>
        <v/>
      </c>
    </row>
    <row r="1334">
      <c r="A1334" s="16" t="inlineStr">
        <is>
          <t>5.15-5.21</t>
        </is>
      </c>
      <c r="B1334" s="16" t="inlineStr">
        <is>
          <t>PO-128-03807617395831337</t>
        </is>
      </c>
      <c r="C1334" s="16" t="inlineStr">
        <is>
          <t>Shipped</t>
        </is>
      </c>
      <c r="D1334" s="16" t="inlineStr">
        <is>
          <t>128-03807601667191337</t>
        </is>
      </c>
      <c r="E1334" s="16" t="inlineStr">
        <is>
          <t>Shipped</t>
        </is>
      </c>
      <c r="F1334" s="16" t="inlineStr">
        <is>
          <t>LV54W25</t>
        </is>
      </c>
      <c r="G1334" s="16" t="inlineStr">
        <is>
          <t>TIANLAI Lámpara Ventilador E27 2 en 1, Silenciosa, LED Alta Luminosidad 180°, Instalación Rápida, Ahorro Energético para Dormitorio y Interiores Pequeños</t>
        </is>
      </c>
      <c r="H1334" s="16" t="inlineStr">
        <is>
          <t>1 Pieza</t>
        </is>
      </c>
      <c r="I1334" s="16" t="n">
        <v>1</v>
      </c>
      <c r="J1334" s="17" t="n">
        <v>74</v>
      </c>
      <c r="K1334" s="17" t="n">
        <v>76.26000000000001</v>
      </c>
      <c r="L1334" s="17" t="n">
        <v>25.86</v>
      </c>
      <c r="M1334" s="17" t="n">
        <v>0</v>
      </c>
      <c r="N1334" s="17">
        <f>K1334*0.08+L1334*0.08</f>
        <v/>
      </c>
      <c r="O1334" s="17">
        <f>-(K1334*0.025+L1334*0.025)</f>
        <v/>
      </c>
      <c r="P1334" s="17">
        <f>32</f>
        <v/>
      </c>
      <c r="Q1334" s="17">
        <f>J1334+L1334+N1334+O1334-P1334-M1334</f>
        <v/>
      </c>
    </row>
    <row r="1335">
      <c r="A1335" s="16" t="inlineStr">
        <is>
          <t>5.15-5.21</t>
        </is>
      </c>
      <c r="B1335" s="16" t="inlineStr">
        <is>
          <t>PO-128-03908015693431891</t>
        </is>
      </c>
      <c r="C1335" s="16" t="inlineStr">
        <is>
          <t>Shipped</t>
        </is>
      </c>
      <c r="D1335" s="16" t="inlineStr">
        <is>
          <t>128-03908068122231891</t>
        </is>
      </c>
      <c r="E1335" s="16" t="inlineStr">
        <is>
          <t>Shipped</t>
        </is>
      </c>
      <c r="F1335" s="16" t="inlineStr">
        <is>
          <t>LV64W25</t>
        </is>
      </c>
      <c r="G13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35" s="16" t="inlineStr">
        <is>
          <t>Blanco</t>
        </is>
      </c>
      <c r="I1335" s="16" t="n">
        <v>2</v>
      </c>
      <c r="J1335" s="17" t="n">
        <v>250</v>
      </c>
      <c r="K1335" s="17" t="n">
        <v>257.88</v>
      </c>
      <c r="L1335" s="17" t="n">
        <v>0</v>
      </c>
      <c r="M1335" s="17" t="n">
        <v>0</v>
      </c>
      <c r="N1335" s="17">
        <f>K1335*0.08+L1335*0.08</f>
        <v/>
      </c>
      <c r="O1335" s="17">
        <f>-(K1335*0.025+L1335*0.025)</f>
        <v/>
      </c>
      <c r="P1335" s="17">
        <f>32</f>
        <v/>
      </c>
      <c r="Q1335" s="17">
        <f>J1335+L1335+N1335+O1335-P1335-M1335</f>
        <v/>
      </c>
    </row>
    <row r="1336">
      <c r="A1336" s="16" t="inlineStr">
        <is>
          <t>5.15-5.21</t>
        </is>
      </c>
      <c r="B1336" s="16" t="inlineStr">
        <is>
          <t>PO-128-03793562627191485</t>
        </is>
      </c>
      <c r="C1336" s="16" t="inlineStr">
        <is>
          <t>Shipped</t>
        </is>
      </c>
      <c r="D1336" s="16" t="inlineStr">
        <is>
          <t>128-03793541655671485</t>
        </is>
      </c>
      <c r="E1336" s="16" t="inlineStr">
        <is>
          <t>Shipped</t>
        </is>
      </c>
      <c r="F1336" s="16" t="inlineStr">
        <is>
          <t>TL1455N20B</t>
        </is>
      </c>
      <c r="G1336" s="16" t="inlineStr">
        <is>
          <t>LINK BITS Soporte para TV 14 A 55 Pulgadas, Base para TV Pantalla Articulado Inclinable y Giratorio, MAX VESA 400×400 mm, Soporta hasta 18kg, adaptarse a la mayoría de los televisores de 14 Pulgadas/20 Pulgadas/32 Pulgadas/42 Pulgadas/55 pulgadas</t>
        </is>
      </c>
      <c r="H1336" s="16" t="inlineStr">
        <is>
          <t>TL1455N20B</t>
        </is>
      </c>
      <c r="I1336" s="16" t="n">
        <v>1</v>
      </c>
      <c r="J1336" s="17" t="n">
        <v>71</v>
      </c>
      <c r="K1336" s="17" t="n">
        <v>92.06</v>
      </c>
      <c r="L1336" s="17" t="n">
        <v>25.86</v>
      </c>
      <c r="M1336" s="17" t="n">
        <v>0</v>
      </c>
      <c r="N1336" s="17">
        <f>K1336*0.08+L1336*0.08</f>
        <v/>
      </c>
      <c r="O1336" s="17">
        <f>-(K1336*0.025+L1336*0.025)</f>
        <v/>
      </c>
      <c r="P1336" s="17">
        <f>32</f>
        <v/>
      </c>
      <c r="Q1336" s="17">
        <f>J1336+L1336+N1336+O1336-P1336-M1336</f>
        <v/>
      </c>
    </row>
    <row r="1337">
      <c r="A1337" s="16" t="inlineStr">
        <is>
          <t>5.15-5.21</t>
        </is>
      </c>
      <c r="B1337" s="16" t="inlineStr">
        <is>
          <t>PO-128-03603918441593703</t>
        </is>
      </c>
      <c r="C1337" s="16" t="inlineStr">
        <is>
          <t>Shipped</t>
        </is>
      </c>
      <c r="D1337" s="16" t="inlineStr">
        <is>
          <t>128-03603952520313703</t>
        </is>
      </c>
      <c r="E1337" s="16" t="inlineStr">
        <is>
          <t>Shipped</t>
        </is>
      </c>
      <c r="F1337" s="16" t="inlineStr">
        <is>
          <t>LV54W25</t>
        </is>
      </c>
      <c r="G1337" s="16" t="inlineStr">
        <is>
          <t>TIANLAI Lámpara Ventilador E27 2 en 1, Silenciosa, LED Alta Luminosidad 180°, Instalación Rápida, Ahorro Energético para Dormitorio y Interiores Pequeños</t>
        </is>
      </c>
      <c r="H1337" s="16" t="inlineStr">
        <is>
          <t>1 Pieza</t>
        </is>
      </c>
      <c r="I1337" s="16" t="n">
        <v>2</v>
      </c>
      <c r="J1337" s="17" t="n">
        <v>148</v>
      </c>
      <c r="K1337" s="17" t="n">
        <v>152.52</v>
      </c>
      <c r="L1337" s="17" t="n">
        <v>25.86</v>
      </c>
      <c r="M1337" s="17" t="n">
        <v>0</v>
      </c>
      <c r="N1337" s="17">
        <f>K1337*0.08+L1337*0.08</f>
        <v/>
      </c>
      <c r="O1337" s="17">
        <f>-(K1337*0.025+L1337*0.025)</f>
        <v/>
      </c>
      <c r="P1337" s="17">
        <f>32</f>
        <v/>
      </c>
      <c r="Q1337" s="17">
        <f>J1337+L1337+N1337+O1337-P1337-M1337</f>
        <v/>
      </c>
    </row>
    <row r="1338">
      <c r="A1338" s="16" t="inlineStr">
        <is>
          <t>5.15-5.21</t>
        </is>
      </c>
      <c r="B1338" s="16" t="inlineStr">
        <is>
          <t>PO-128-03650833139832206</t>
        </is>
      </c>
      <c r="C1338" s="16" t="inlineStr">
        <is>
          <t>Shipped</t>
        </is>
      </c>
      <c r="D1338" s="16" t="inlineStr">
        <is>
          <t>128-03650854111352206</t>
        </is>
      </c>
      <c r="E1338" s="16" t="inlineStr">
        <is>
          <t>Shipped</t>
        </is>
      </c>
      <c r="F1338" s="16" t="inlineStr">
        <is>
          <t>LV54W25</t>
        </is>
      </c>
      <c r="G1338" s="16" t="inlineStr">
        <is>
          <t>TIANLAI Lámpara Ventilador E27 2 en 1, Silenciosa, LED Alta Luminosidad 180°, Instalación Rápida, Ahorro Energético para Dormitorio y Interiores Pequeños</t>
        </is>
      </c>
      <c r="H1338" s="16" t="inlineStr">
        <is>
          <t>1 Pieza</t>
        </is>
      </c>
      <c r="I1338" s="16" t="n">
        <v>1</v>
      </c>
      <c r="J1338" s="17" t="n">
        <v>74</v>
      </c>
      <c r="K1338" s="17" t="n">
        <v>77.12</v>
      </c>
      <c r="L1338" s="17" t="n">
        <v>25.86</v>
      </c>
      <c r="M1338" s="17" t="n">
        <v>0</v>
      </c>
      <c r="N1338" s="17">
        <f>K1338*0.08+L1338*0.08</f>
        <v/>
      </c>
      <c r="O1338" s="17">
        <f>-(K1338*0.025+L1338*0.025)</f>
        <v/>
      </c>
      <c r="P1338" s="17">
        <f>32</f>
        <v/>
      </c>
      <c r="Q1338" s="17">
        <f>J1338+L1338+N1338+O1338-P1338-M1338</f>
        <v/>
      </c>
    </row>
    <row r="1339">
      <c r="A1339" s="16" t="inlineStr">
        <is>
          <t>5.15-5.21</t>
        </is>
      </c>
      <c r="B1339" s="16" t="inlineStr">
        <is>
          <t>PO-128-03659591314552218</t>
        </is>
      </c>
      <c r="C1339" s="16" t="inlineStr">
        <is>
          <t>Shipped</t>
        </is>
      </c>
      <c r="D1339" s="16" t="inlineStr">
        <is>
          <t>128-03659549371512218</t>
        </is>
      </c>
      <c r="E1339" s="16" t="inlineStr">
        <is>
          <t>Shipped</t>
        </is>
      </c>
      <c r="F1339" s="16" t="inlineStr">
        <is>
          <t>LV54W25</t>
        </is>
      </c>
      <c r="G1339" s="16" t="inlineStr">
        <is>
          <t>TIANLAI Lámpara Ventilador E27 2 en 1, Silenciosa, LED Alta Luminosidad 180°, Instalación Rápida, Ahorro Energético para Dormitorio y Interiores Pequeños</t>
        </is>
      </c>
      <c r="H1339" s="16" t="inlineStr">
        <is>
          <t>1 Pieza</t>
        </is>
      </c>
      <c r="I1339" s="16" t="n">
        <v>1</v>
      </c>
      <c r="J1339" s="17" t="n">
        <v>74</v>
      </c>
      <c r="K1339" s="17" t="n">
        <v>22.81</v>
      </c>
      <c r="L1339" s="17" t="n">
        <v>25.86</v>
      </c>
      <c r="M1339" s="17" t="n">
        <v>0</v>
      </c>
      <c r="N1339" s="17">
        <f>K1339*0.08+L1339*0.08</f>
        <v/>
      </c>
      <c r="O1339" s="17">
        <f>-(K1339*0.025+L1339*0.025)</f>
        <v/>
      </c>
      <c r="P1339" s="17">
        <f>32</f>
        <v/>
      </c>
      <c r="Q1339" s="17">
        <f>J1339+L1339+N1339+O1339-P1339-M1339</f>
        <v/>
      </c>
    </row>
    <row r="1340">
      <c r="A1340" s="16" t="inlineStr">
        <is>
          <t>5.15-5.21</t>
        </is>
      </c>
      <c r="B1340" s="16" t="inlineStr">
        <is>
          <t>PO-128-03696979287672957</t>
        </is>
      </c>
      <c r="C1340" s="16" t="inlineStr">
        <is>
          <t>Shipped</t>
        </is>
      </c>
      <c r="D1340" s="16" t="inlineStr">
        <is>
          <t>128-03696989773432957</t>
        </is>
      </c>
      <c r="E1340" s="16" t="inlineStr">
        <is>
          <t>Shipped</t>
        </is>
      </c>
      <c r="F1340" s="16" t="inlineStr">
        <is>
          <t>LV54W25</t>
        </is>
      </c>
      <c r="G1340" s="16" t="inlineStr">
        <is>
          <t>TIANLAI Lámpara Ventilador E27 2 en 1, Silenciosa, LED Alta Luminosidad 180°, Instalación Rápida, Ahorro Energético para Dormitorio y Interiores Pequeños</t>
        </is>
      </c>
      <c r="H1340" s="16" t="inlineStr">
        <is>
          <t>1 Pieza</t>
        </is>
      </c>
      <c r="I1340" s="16" t="n">
        <v>1</v>
      </c>
      <c r="J1340" s="17" t="n">
        <v>74</v>
      </c>
      <c r="K1340" s="17" t="n">
        <v>77.12</v>
      </c>
      <c r="L1340" s="17" t="n">
        <v>25.86</v>
      </c>
      <c r="M1340" s="17" t="n">
        <v>0</v>
      </c>
      <c r="N1340" s="17">
        <f>K1340*0.08+L1340*0.08</f>
        <v/>
      </c>
      <c r="O1340" s="17">
        <f>-(K1340*0.025+L1340*0.025)</f>
        <v/>
      </c>
      <c r="P1340" s="17">
        <f>32</f>
        <v/>
      </c>
      <c r="Q1340" s="17">
        <f>J1340+L1340+N1340+O1340-P1340-M1340</f>
        <v/>
      </c>
    </row>
    <row r="1341">
      <c r="A1341" s="16" t="inlineStr">
        <is>
          <t>5.15-5.21</t>
        </is>
      </c>
      <c r="B1341" s="16" t="inlineStr">
        <is>
          <t>PO-128-03973869161590280</t>
        </is>
      </c>
      <c r="C1341" s="16" t="inlineStr">
        <is>
          <t>Shipped</t>
        </is>
      </c>
      <c r="D1341" s="16" t="inlineStr">
        <is>
          <t>128-03974005476470280</t>
        </is>
      </c>
      <c r="E1341" s="16" t="inlineStr">
        <is>
          <t>Shipped</t>
        </is>
      </c>
      <c r="F1341" s="16" t="inlineStr">
        <is>
          <t>LV54W25</t>
        </is>
      </c>
      <c r="G1341" s="16" t="inlineStr">
        <is>
          <t>TIANLAI Lámpara Ventilador E27 2 en 1, Silenciosa, LED Alta Luminosidad 180°, Instalación Rápida, Ahorro Energético para Dormitorio y Interiores Pequeños</t>
        </is>
      </c>
      <c r="H1341" s="16" t="inlineStr">
        <is>
          <t>1 Pieza</t>
        </is>
      </c>
      <c r="I1341" s="16" t="n">
        <v>5</v>
      </c>
      <c r="J1341" s="17" t="n">
        <v>370</v>
      </c>
      <c r="K1341" s="17" t="n">
        <v>381.3</v>
      </c>
      <c r="L1341" s="17" t="n">
        <v>0</v>
      </c>
      <c r="M1341" s="17" t="n">
        <v>0</v>
      </c>
      <c r="N1341" s="17">
        <f>K1341*0.08+L1341*0.08</f>
        <v/>
      </c>
      <c r="O1341" s="17">
        <f>-(K1341*0.025+L1341*0.025)</f>
        <v/>
      </c>
      <c r="P1341" s="17">
        <f>32</f>
        <v/>
      </c>
      <c r="Q1341" s="17">
        <f>J1341+L1341+N1341+O1341-P1341-M1341</f>
        <v/>
      </c>
    </row>
    <row r="1342">
      <c r="A1342" s="16" t="inlineStr">
        <is>
          <t>5.15-5.21</t>
        </is>
      </c>
      <c r="B1342" s="16" t="inlineStr">
        <is>
          <t>PO-128-03713670812793049</t>
        </is>
      </c>
      <c r="C1342" s="16" t="inlineStr">
        <is>
          <t>Shipped</t>
        </is>
      </c>
      <c r="D1342" s="16" t="inlineStr">
        <is>
          <t>128-03713775670393049</t>
        </is>
      </c>
      <c r="E1342" s="16" t="inlineStr">
        <is>
          <t>Shipped</t>
        </is>
      </c>
      <c r="F1342" s="16" t="inlineStr">
        <is>
          <t>LV64W25</t>
        </is>
      </c>
      <c r="G13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42" s="16" t="inlineStr">
        <is>
          <t>Blanco</t>
        </is>
      </c>
      <c r="I1342" s="16" t="n">
        <v>1</v>
      </c>
      <c r="J1342" s="17" t="n">
        <v>125</v>
      </c>
      <c r="K1342" s="17" t="n">
        <v>42.73</v>
      </c>
      <c r="L1342" s="17" t="n">
        <v>25.86</v>
      </c>
      <c r="M1342" s="17" t="n">
        <v>0</v>
      </c>
      <c r="N1342" s="17">
        <f>K1342*0.08+L1342*0.08</f>
        <v/>
      </c>
      <c r="O1342" s="17">
        <f>-(K1342*0.025+L1342*0.025)</f>
        <v/>
      </c>
      <c r="P1342" s="17">
        <f>32</f>
        <v/>
      </c>
      <c r="Q1342" s="17">
        <f>J1342+L1342+N1342+O1342-P1342-M1342</f>
        <v/>
      </c>
    </row>
    <row r="1343">
      <c r="A1343" s="16" t="inlineStr">
        <is>
          <t>5.15-5.21</t>
        </is>
      </c>
      <c r="B1343" s="16" t="inlineStr">
        <is>
          <t>PO-128-03596640648313619</t>
        </is>
      </c>
      <c r="C1343" s="16" t="inlineStr">
        <is>
          <t>Shipped</t>
        </is>
      </c>
      <c r="D1343" s="16" t="inlineStr">
        <is>
          <t>128-03596695698553619</t>
        </is>
      </c>
      <c r="E1343" s="16" t="inlineStr">
        <is>
          <t>Shipped</t>
        </is>
      </c>
      <c r="F1343" s="16" t="inlineStr">
        <is>
          <t>TL1412N17C</t>
        </is>
      </c>
      <c r="G1343" s="16" t="inlineStr">
        <is>
          <t>Linkbits, Soporte de Pared Fijo para TV y Monitor de 14"-43", Ultra Delgado 2.3cm, Fuerte Capacidad de Peso de 25KG, Fácil Instalación con Accesorios Completos</t>
        </is>
      </c>
      <c r="H1343" s="16" t="inlineStr">
        <is>
          <t>NEGRO</t>
        </is>
      </c>
      <c r="I1343" s="16" t="n">
        <v>1</v>
      </c>
      <c r="J1343" s="17" t="n">
        <v>36.84</v>
      </c>
      <c r="K1343" s="17" t="n">
        <v>48.54</v>
      </c>
      <c r="L1343" s="17" t="n">
        <v>25.86</v>
      </c>
      <c r="M1343" s="17" t="n">
        <v>0</v>
      </c>
      <c r="N1343" s="17">
        <f>K1343*0.08+L1343*0.08</f>
        <v/>
      </c>
      <c r="O1343" s="17">
        <f>-(K1343*0.025+L1343*0.025)</f>
        <v/>
      </c>
      <c r="P1343" s="17">
        <f>32</f>
        <v/>
      </c>
      <c r="Q1343" s="17">
        <f>J1343+L1343+N1343+O1343-P1343-M1343</f>
        <v/>
      </c>
    </row>
    <row r="1344">
      <c r="A1344" s="16" t="inlineStr">
        <is>
          <t>5.15-5.21</t>
        </is>
      </c>
      <c r="B1344" s="16" t="inlineStr">
        <is>
          <t>PO-128-03943646487671615</t>
        </is>
      </c>
      <c r="C1344" s="16" t="inlineStr">
        <is>
          <t>Shipped</t>
        </is>
      </c>
      <c r="D1344" s="16" t="inlineStr">
        <is>
          <t>128-03943604544631615</t>
        </is>
      </c>
      <c r="E1344" s="16" t="inlineStr">
        <is>
          <t>Shipped</t>
        </is>
      </c>
      <c r="F1344" s="16" t="inlineStr">
        <is>
          <t>KTS-2031</t>
        </is>
      </c>
      <c r="G1344" s="16" t="inlineStr">
        <is>
          <t>Bocina inalámbrica de 3 pulgadas con linterna multifuncional y panel solar integrado.Altavoz Portátil con Linterna LED 4 Modos, Radio FM, Bluetooth, Carga Solar, Ideal para Apagones, Emergencias, Campo y Exteriores</t>
        </is>
      </c>
      <c r="H1344" s="16" t="inlineStr">
        <is>
          <t>NEGRO</t>
        </is>
      </c>
      <c r="I1344" s="16" t="n">
        <v>3</v>
      </c>
      <c r="J1344" s="17" t="n">
        <v>231</v>
      </c>
      <c r="K1344" s="17" t="n">
        <v>258.66</v>
      </c>
      <c r="L1344" s="17" t="n">
        <v>0</v>
      </c>
      <c r="M1344" s="17" t="n">
        <v>0</v>
      </c>
      <c r="N1344" s="17">
        <f>K1344*0.08+L1344*0.08</f>
        <v/>
      </c>
      <c r="O1344" s="17">
        <f>-(K1344*0.025+L1344*0.025)</f>
        <v/>
      </c>
      <c r="P1344" s="17">
        <f>32</f>
        <v/>
      </c>
      <c r="Q1344" s="17">
        <f>J1344+L1344+N1344+O1344-P1344-M1344</f>
        <v/>
      </c>
    </row>
    <row r="1345">
      <c r="A1345" s="16" t="inlineStr">
        <is>
          <t>5.15-5.21</t>
        </is>
      </c>
      <c r="B1345" s="16" t="inlineStr">
        <is>
          <t>PO-128-03646853635192422</t>
        </is>
      </c>
      <c r="C1345" s="16" t="inlineStr">
        <is>
          <t>Shipped</t>
        </is>
      </c>
      <c r="D1345" s="16" t="inlineStr">
        <is>
          <t>128-03646811692152422</t>
        </is>
      </c>
      <c r="E1345" s="16" t="inlineStr">
        <is>
          <t>Shipped</t>
        </is>
      </c>
      <c r="F1345" s="16" t="inlineStr">
        <is>
          <t>LV64W25</t>
        </is>
      </c>
      <c r="G13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45" s="16" t="inlineStr">
        <is>
          <t>Blanco</t>
        </is>
      </c>
      <c r="I1345" s="16" t="n">
        <v>1</v>
      </c>
      <c r="J1345" s="17" t="n">
        <v>125</v>
      </c>
      <c r="K1345" s="17" t="n">
        <v>104.3</v>
      </c>
      <c r="L1345" s="17" t="n">
        <v>25.86</v>
      </c>
      <c r="M1345" s="17" t="n">
        <v>0</v>
      </c>
      <c r="N1345" s="17">
        <f>K1345*0.08+L1345*0.08</f>
        <v/>
      </c>
      <c r="O1345" s="17">
        <f>-(K1345*0.025+L1345*0.025)</f>
        <v/>
      </c>
      <c r="P1345" s="17">
        <f>32</f>
        <v/>
      </c>
      <c r="Q1345" s="17">
        <f>J1345+L1345+N1345+O1345-P1345-M1345</f>
        <v/>
      </c>
    </row>
    <row r="1346">
      <c r="A1346" s="16" t="inlineStr">
        <is>
          <t>5.15-5.21</t>
        </is>
      </c>
      <c r="B1346" s="16" t="inlineStr">
        <is>
          <t>PO-128-03926577011831778</t>
        </is>
      </c>
      <c r="C1346" s="16" t="inlineStr">
        <is>
          <t>Shipped</t>
        </is>
      </c>
      <c r="D1346" s="16" t="inlineStr">
        <is>
          <t>128-03926556040311778</t>
        </is>
      </c>
      <c r="E1346" s="16" t="inlineStr">
        <is>
          <t>Shipped</t>
        </is>
      </c>
      <c r="F1346" s="16" t="inlineStr">
        <is>
          <t>LV64W25</t>
        </is>
      </c>
      <c r="G13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46" s="16" t="inlineStr">
        <is>
          <t>Blanco</t>
        </is>
      </c>
      <c r="I1346" s="16" t="n">
        <v>1</v>
      </c>
      <c r="J1346" s="17" t="n">
        <v>125</v>
      </c>
      <c r="K1346" s="17" t="n">
        <v>128.94</v>
      </c>
      <c r="L1346" s="17" t="n">
        <v>25.86</v>
      </c>
      <c r="M1346" s="17" t="n">
        <v>0</v>
      </c>
      <c r="N1346" s="17">
        <f>K1346*0.08+L1346*0.08</f>
        <v/>
      </c>
      <c r="O1346" s="17">
        <f>-(K1346*0.025+L1346*0.025)</f>
        <v/>
      </c>
      <c r="P1346" s="17">
        <f>32</f>
        <v/>
      </c>
      <c r="Q1346" s="17">
        <f>J1346+L1346+N1346+O1346-P1346-M1346</f>
        <v/>
      </c>
    </row>
    <row r="1347">
      <c r="A1347" s="16" t="inlineStr">
        <is>
          <t>5.15-5.21</t>
        </is>
      </c>
      <c r="B1347" s="16" t="inlineStr">
        <is>
          <t>PO-128-03921130202231749</t>
        </is>
      </c>
      <c r="C1347" s="16" t="inlineStr">
        <is>
          <t>Shipped</t>
        </is>
      </c>
      <c r="D1347" s="16" t="inlineStr">
        <is>
          <t>128-03921088259191749</t>
        </is>
      </c>
      <c r="E1347" s="16" t="inlineStr">
        <is>
          <t>Shipped</t>
        </is>
      </c>
      <c r="F1347" s="16" t="inlineStr">
        <is>
          <t>LV54W25</t>
        </is>
      </c>
      <c r="G1347" s="16" t="inlineStr">
        <is>
          <t>TIANLAI Lámpara Ventilador E27 2 en 1, Silenciosa, LED Alta Luminosidad 180°, Instalación Rápida, Ahorro Energético para Dormitorio y Interiores Pequeños</t>
        </is>
      </c>
      <c r="H1347" s="16" t="inlineStr">
        <is>
          <t>1 Pieza</t>
        </is>
      </c>
      <c r="I1347" s="16" t="n">
        <v>1</v>
      </c>
      <c r="J1347" s="17" t="n">
        <v>74</v>
      </c>
      <c r="K1347" s="17" t="n">
        <v>16.78</v>
      </c>
      <c r="L1347" s="17" t="n">
        <v>25.86</v>
      </c>
      <c r="M1347" s="17" t="n">
        <v>0</v>
      </c>
      <c r="N1347" s="17">
        <f>K1347*0.08+L1347*0.08</f>
        <v/>
      </c>
      <c r="O1347" s="17">
        <f>-(K1347*0.025+L1347*0.025)</f>
        <v/>
      </c>
      <c r="P1347" s="17">
        <f>32</f>
        <v/>
      </c>
      <c r="Q1347" s="17">
        <f>J1347+L1347+N1347+O1347-P1347-M1347</f>
        <v/>
      </c>
    </row>
    <row r="1348">
      <c r="A1348" s="16" t="inlineStr">
        <is>
          <t>5.15-5.21</t>
        </is>
      </c>
      <c r="B1348" s="16" t="inlineStr">
        <is>
          <t>PO-128-03670231445112282</t>
        </is>
      </c>
      <c r="C1348" s="16" t="inlineStr">
        <is>
          <t>Shipped</t>
        </is>
      </c>
      <c r="D1348" s="16" t="inlineStr">
        <is>
          <t>128-03670215716472282</t>
        </is>
      </c>
      <c r="E1348" s="16" t="inlineStr">
        <is>
          <t>Shipped</t>
        </is>
      </c>
      <c r="F1348" s="16" t="inlineStr">
        <is>
          <t>KTS-2031</t>
        </is>
      </c>
      <c r="G1348" s="16" t="inlineStr">
        <is>
          <t>Bocina inalámbrica de 3 pulgadas con linterna multifuncional y panel solar integrado.Altavoz Portátil con Linterna LED 4 Modos, Radio FM, Bluetooth, Carga Solar, Ideal para Apagones, Emergencias, Campo y Exteriores</t>
        </is>
      </c>
      <c r="H1348" s="16" t="inlineStr">
        <is>
          <t>NEGRO</t>
        </is>
      </c>
      <c r="I1348" s="16" t="n">
        <v>1</v>
      </c>
      <c r="J1348" s="17" t="n">
        <v>77</v>
      </c>
      <c r="K1348" s="17" t="n">
        <v>86.22</v>
      </c>
      <c r="L1348" s="17" t="n">
        <v>25.86</v>
      </c>
      <c r="M1348" s="17" t="n">
        <v>0</v>
      </c>
      <c r="N1348" s="17">
        <f>K1348*0.08+L1348*0.08</f>
        <v/>
      </c>
      <c r="O1348" s="17">
        <f>-(K1348*0.025+L1348*0.025)</f>
        <v/>
      </c>
      <c r="P1348" s="17">
        <f>32</f>
        <v/>
      </c>
      <c r="Q1348" s="17">
        <f>J1348+L1348+N1348+O1348-P1348-M1348</f>
        <v/>
      </c>
    </row>
    <row r="1349">
      <c r="A1349" s="16" t="inlineStr">
        <is>
          <t>5.15-5.21</t>
        </is>
      </c>
      <c r="B1349" s="16" t="inlineStr">
        <is>
          <t>PO-128-03667531361912298</t>
        </is>
      </c>
      <c r="C1349" s="16" t="inlineStr">
        <is>
          <t>Shipped</t>
        </is>
      </c>
      <c r="D1349" s="16" t="inlineStr">
        <is>
          <t>128-03667636219512298</t>
        </is>
      </c>
      <c r="E1349" s="16" t="inlineStr">
        <is>
          <t>Shipped</t>
        </is>
      </c>
      <c r="F1349" s="16" t="inlineStr">
        <is>
          <t>LV64W25</t>
        </is>
      </c>
      <c r="G13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49" s="16" t="inlineStr">
        <is>
          <t>Blanco</t>
        </is>
      </c>
      <c r="I1349" s="16" t="n">
        <v>2</v>
      </c>
      <c r="J1349" s="17" t="n">
        <v>250</v>
      </c>
      <c r="K1349" s="17" t="n">
        <v>260.74</v>
      </c>
      <c r="L1349" s="17" t="n">
        <v>0</v>
      </c>
      <c r="M1349" s="17" t="n">
        <v>0</v>
      </c>
      <c r="N1349" s="17">
        <f>K1349*0.08+L1349*0.08</f>
        <v/>
      </c>
      <c r="O1349" s="17">
        <f>-(K1349*0.025+L1349*0.025)</f>
        <v/>
      </c>
      <c r="P1349" s="17">
        <f>32</f>
        <v/>
      </c>
      <c r="Q1349" s="17">
        <f>J1349+L1349+N1349+O1349-P1349-M1349</f>
        <v/>
      </c>
    </row>
    <row r="1350">
      <c r="A1350" s="16" t="inlineStr">
        <is>
          <t>5.15-5.21</t>
        </is>
      </c>
      <c r="B1350" s="16" t="inlineStr">
        <is>
          <t>PO-128-03933223652471549</t>
        </is>
      </c>
      <c r="C1350" s="16" t="inlineStr">
        <is>
          <t>Shipped</t>
        </is>
      </c>
      <c r="D1350" s="16" t="inlineStr">
        <is>
          <t>128-03933181709431549</t>
        </is>
      </c>
      <c r="E1350" s="16" t="inlineStr">
        <is>
          <t>Shipped</t>
        </is>
      </c>
      <c r="F1350" s="16" t="inlineStr">
        <is>
          <t>LV54W25</t>
        </is>
      </c>
      <c r="G1350" s="16" t="inlineStr">
        <is>
          <t>TIANLAI Lámpara Ventilador E27 2 en 1, Silenciosa, LED Alta Luminosidad 180°, Instalación Rápida, Ahorro Energético para Dormitorio y Interiores Pequeños</t>
        </is>
      </c>
      <c r="H1350" s="16" t="inlineStr">
        <is>
          <t>1 Pieza</t>
        </is>
      </c>
      <c r="I1350" s="16" t="n">
        <v>1</v>
      </c>
      <c r="J1350" s="17" t="n">
        <v>74</v>
      </c>
      <c r="K1350" s="17" t="n">
        <v>76.26000000000001</v>
      </c>
      <c r="L1350" s="17" t="n">
        <v>25.86</v>
      </c>
      <c r="M1350" s="17" t="n">
        <v>0</v>
      </c>
      <c r="N1350" s="17">
        <f>K1350*0.08+L1350*0.08</f>
        <v/>
      </c>
      <c r="O1350" s="17">
        <f>-(K1350*0.025+L1350*0.025)</f>
        <v/>
      </c>
      <c r="P1350" s="17">
        <f>32</f>
        <v/>
      </c>
      <c r="Q1350" s="17">
        <f>J1350+L1350+N1350+O1350-P1350-M1350</f>
        <v/>
      </c>
    </row>
    <row r="1351">
      <c r="A1351" s="16" t="inlineStr">
        <is>
          <t>5.15-5.21</t>
        </is>
      </c>
      <c r="B1351" s="16" t="inlineStr">
        <is>
          <t>PO-128-03913672952951665</t>
        </is>
      </c>
      <c r="C1351" s="16" t="inlineStr">
        <is>
          <t>Shipped</t>
        </is>
      </c>
      <c r="D1351" s="16" t="inlineStr">
        <is>
          <t>128-03913657224311665</t>
        </is>
      </c>
      <c r="E1351" s="16" t="inlineStr">
        <is>
          <t>Shipped</t>
        </is>
      </c>
      <c r="F1351" s="16" t="inlineStr">
        <is>
          <t>LV64W25</t>
        </is>
      </c>
      <c r="G13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51" s="16" t="inlineStr">
        <is>
          <t>Blanco</t>
        </is>
      </c>
      <c r="I1351" s="16" t="n">
        <v>1</v>
      </c>
      <c r="J1351" s="17" t="n">
        <v>125</v>
      </c>
      <c r="K1351" s="17" t="n">
        <v>130.37</v>
      </c>
      <c r="L1351" s="17" t="n">
        <v>25.86</v>
      </c>
      <c r="M1351" s="17" t="n">
        <v>0</v>
      </c>
      <c r="N1351" s="17">
        <f>K1351*0.08+L1351*0.08</f>
        <v/>
      </c>
      <c r="O1351" s="17">
        <f>-(K1351*0.025+L1351*0.025)</f>
        <v/>
      </c>
      <c r="P1351" s="17">
        <f>32</f>
        <v/>
      </c>
      <c r="Q1351" s="17">
        <f>J1351+L1351+N1351+O1351-P1351-M1351</f>
        <v/>
      </c>
    </row>
    <row r="1352">
      <c r="A1352" s="16" t="inlineStr">
        <is>
          <t>5.15-5.21</t>
        </is>
      </c>
      <c r="B1352" s="16" t="inlineStr">
        <is>
          <t>PO-128-03561044790393959</t>
        </is>
      </c>
      <c r="C1352" s="16" t="inlineStr">
        <is>
          <t>Shipped</t>
        </is>
      </c>
      <c r="D1352" s="16" t="inlineStr">
        <is>
          <t>128-03561086733433959</t>
        </is>
      </c>
      <c r="E1352" s="16" t="inlineStr">
        <is>
          <t>Shipped</t>
        </is>
      </c>
      <c r="F1352" s="16" t="inlineStr">
        <is>
          <t>LV54W25</t>
        </is>
      </c>
      <c r="G1352" s="16" t="inlineStr">
        <is>
          <t>TIANLAI Lámpara Ventilador E27 2 en 1, Silenciosa, LED Alta Luminosidad 180°, Instalación Rápida, Ahorro Energético para Dormitorio y Interiores Pequeños</t>
        </is>
      </c>
      <c r="H1352" s="16" t="inlineStr">
        <is>
          <t>1 Pieza</t>
        </is>
      </c>
      <c r="I1352" s="16" t="n">
        <v>1</v>
      </c>
      <c r="J1352" s="17" t="n">
        <v>74</v>
      </c>
      <c r="K1352" s="17" t="n">
        <v>2.92</v>
      </c>
      <c r="L1352" s="17" t="n">
        <v>25.86</v>
      </c>
      <c r="M1352" s="17" t="n">
        <v>0</v>
      </c>
      <c r="N1352" s="17">
        <f>K1352*0.08+L1352*0.08</f>
        <v/>
      </c>
      <c r="O1352" s="17">
        <f>-(K1352*0.025+L1352*0.025)</f>
        <v/>
      </c>
      <c r="P1352" s="17">
        <f>32</f>
        <v/>
      </c>
      <c r="Q1352" s="17">
        <f>J1352+L1352+N1352+O1352-P1352-M1352</f>
        <v/>
      </c>
    </row>
    <row r="1353">
      <c r="A1353" s="16" t="inlineStr">
        <is>
          <t>5.15-5.21</t>
        </is>
      </c>
      <c r="B1353" s="16" t="inlineStr">
        <is>
          <t>PO-128-03450039831673533</t>
        </is>
      </c>
      <c r="C1353" s="16" t="inlineStr">
        <is>
          <t>Shipped</t>
        </is>
      </c>
      <c r="D1353" s="16" t="inlineStr">
        <is>
          <t>128-03449997888633533</t>
        </is>
      </c>
      <c r="E1353" s="16" t="inlineStr">
        <is>
          <t>Shipped</t>
        </is>
      </c>
      <c r="F1353" s="16" t="inlineStr">
        <is>
          <t>VA371T</t>
        </is>
      </c>
      <c r="G1353" s="16" t="inlineStr">
        <is>
          <t>Linkbits Bocina Bluetooth Portátil 3" de Alta Gama，Hi-Res Audio y Graves Potentes，Luces LED + Soporte USB/TF/FM/TWS，Ideal para Hogar y Aire Libre</t>
        </is>
      </c>
      <c r="H1353" s="16" t="inlineStr">
        <is>
          <t>VA371T</t>
        </is>
      </c>
      <c r="I1353" s="16" t="n">
        <v>1</v>
      </c>
      <c r="J1353" s="17" t="n">
        <v>45.8</v>
      </c>
      <c r="K1353" s="17" t="n">
        <v>2.44</v>
      </c>
      <c r="L1353" s="17" t="n">
        <v>25.86</v>
      </c>
      <c r="M1353" s="17" t="n">
        <v>0</v>
      </c>
      <c r="N1353" s="17">
        <f>K1353*0.08+L1353*0.08</f>
        <v/>
      </c>
      <c r="O1353" s="17">
        <f>-(K1353*0.025+L1353*0.025)</f>
        <v/>
      </c>
      <c r="P1353" s="17">
        <f>32</f>
        <v/>
      </c>
      <c r="Q1353" s="17">
        <f>J1353+L1353+N1353+O1353-P1353-M1353</f>
        <v/>
      </c>
    </row>
    <row r="1354">
      <c r="A1354" s="16" t="inlineStr">
        <is>
          <t>5.15-5.21</t>
        </is>
      </c>
      <c r="B1354" s="16" t="inlineStr">
        <is>
          <t>PO-128-03888912745591813</t>
        </is>
      </c>
      <c r="C1354" s="16" t="inlineStr">
        <is>
          <t>Shipped</t>
        </is>
      </c>
      <c r="D1354" s="16" t="inlineStr">
        <is>
          <t>128-03888933717111813</t>
        </is>
      </c>
      <c r="E1354" s="16" t="inlineStr">
        <is>
          <t>Shipped</t>
        </is>
      </c>
      <c r="F1354" s="16" t="inlineStr">
        <is>
          <t>KTS-2031</t>
        </is>
      </c>
      <c r="G1354" s="16" t="inlineStr">
        <is>
          <t>Bocina inalámbrica de 3 pulgadas con linterna multifuncional y panel solar integrado.Altavoz Portátil con Linterna LED 4 Modos, Radio FM, Bluetooth, Carga Solar, Ideal para Apagones, Emergencias, Campo y Exteriores</t>
        </is>
      </c>
      <c r="H1354" s="16" t="inlineStr">
        <is>
          <t>NEGRO</t>
        </is>
      </c>
      <c r="I1354" s="16" t="n">
        <v>1</v>
      </c>
      <c r="J1354" s="17" t="n">
        <v>77</v>
      </c>
      <c r="K1354" s="17" t="n">
        <v>86.22</v>
      </c>
      <c r="L1354" s="17" t="n">
        <v>25.86</v>
      </c>
      <c r="M1354" s="17" t="n">
        <v>0</v>
      </c>
      <c r="N1354" s="17">
        <f>K1354*0.08+L1354*0.08</f>
        <v/>
      </c>
      <c r="O1354" s="17">
        <f>-(K1354*0.025+L1354*0.025)</f>
        <v/>
      </c>
      <c r="P1354" s="17">
        <f>32</f>
        <v/>
      </c>
      <c r="Q1354" s="17">
        <f>J1354+L1354+N1354+O1354-P1354-M1354</f>
        <v/>
      </c>
    </row>
    <row r="1355">
      <c r="A1355" s="16" t="inlineStr">
        <is>
          <t>5.15-5.21</t>
        </is>
      </c>
      <c r="B1355" s="16" t="inlineStr">
        <is>
          <t>PO-128-04096126508150704</t>
        </is>
      </c>
      <c r="C1355" s="16" t="inlineStr">
        <is>
          <t>Shipped</t>
        </is>
      </c>
      <c r="D1355" s="16" t="inlineStr">
        <is>
          <t>128-04096084565110704</t>
        </is>
      </c>
      <c r="E1355" s="16" t="inlineStr">
        <is>
          <t>Shipped</t>
        </is>
      </c>
      <c r="F1355" s="16" t="inlineStr">
        <is>
          <t>LV54W25</t>
        </is>
      </c>
      <c r="G1355" s="16" t="inlineStr">
        <is>
          <t>TIANLAI Lámpara Ventilador E27 2 en 1, Silenciosa, LED Alta Luminosidad 180°, Instalación Rápida, Ahorro Energético para Dormitorio y Interiores Pequeños</t>
        </is>
      </c>
      <c r="H1355" s="16" t="inlineStr">
        <is>
          <t>1 Pieza</t>
        </is>
      </c>
      <c r="I1355" s="16" t="n">
        <v>2</v>
      </c>
      <c r="J1355" s="17" t="n">
        <v>148</v>
      </c>
      <c r="K1355" s="17" t="n">
        <v>171.36</v>
      </c>
      <c r="L1355" s="17" t="n">
        <v>25.86</v>
      </c>
      <c r="M1355" s="17" t="n">
        <v>0</v>
      </c>
      <c r="N1355" s="17">
        <f>K1355*0.08+L1355*0.08</f>
        <v/>
      </c>
      <c r="O1355" s="17">
        <f>-(K1355*0.025+L1355*0.025)</f>
        <v/>
      </c>
      <c r="P1355" s="17">
        <f>32</f>
        <v/>
      </c>
      <c r="Q1355" s="17">
        <f>J1355+L1355+N1355+O1355-P1355-M1355</f>
        <v/>
      </c>
    </row>
    <row r="1356">
      <c r="A1356" s="16" t="inlineStr">
        <is>
          <t>5.15-5.21</t>
        </is>
      </c>
      <c r="B1356" s="16" t="inlineStr">
        <is>
          <t>PO-128-04089121828470683</t>
        </is>
      </c>
      <c r="C1356" s="16" t="inlineStr">
        <is>
          <t>Shipped</t>
        </is>
      </c>
      <c r="D1356" s="16" t="inlineStr">
        <is>
          <t>128-04089153285750683</t>
        </is>
      </c>
      <c r="E1356" s="16" t="inlineStr">
        <is>
          <t>Shipped</t>
        </is>
      </c>
      <c r="F1356" s="16" t="inlineStr">
        <is>
          <t>LV64W25</t>
        </is>
      </c>
      <c r="G13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56" s="16" t="inlineStr">
        <is>
          <t>Blanco</t>
        </is>
      </c>
      <c r="I1356" s="16" t="n">
        <v>1</v>
      </c>
      <c r="J1356" s="17" t="n">
        <v>125</v>
      </c>
      <c r="K1356" s="17" t="n">
        <v>128.94</v>
      </c>
      <c r="L1356" s="17" t="n">
        <v>25.86</v>
      </c>
      <c r="M1356" s="17" t="n">
        <v>0</v>
      </c>
      <c r="N1356" s="17">
        <f>K1356*0.08+L1356*0.08</f>
        <v/>
      </c>
      <c r="O1356" s="17">
        <f>-(K1356*0.025+L1356*0.025)</f>
        <v/>
      </c>
      <c r="P1356" s="17">
        <f>32</f>
        <v/>
      </c>
      <c r="Q1356" s="17">
        <f>J1356+L1356+N1356+O1356-P1356-M1356</f>
        <v/>
      </c>
    </row>
    <row r="1357">
      <c r="A1357" s="16" t="inlineStr">
        <is>
          <t>5.15-5.21</t>
        </is>
      </c>
      <c r="B1357" s="16" t="inlineStr">
        <is>
          <t>PO-128-03817466688631407</t>
        </is>
      </c>
      <c r="C1357" s="16" t="inlineStr">
        <is>
          <t>Shipped</t>
        </is>
      </c>
      <c r="D1357" s="16" t="inlineStr">
        <is>
          <t>128-03817424745591407</t>
        </is>
      </c>
      <c r="E1357" s="16" t="inlineStr">
        <is>
          <t>Shipped</t>
        </is>
      </c>
      <c r="F1357" s="16" t="inlineStr">
        <is>
          <t>LV54W25</t>
        </is>
      </c>
      <c r="G1357" s="16" t="inlineStr">
        <is>
          <t>TIANLAI Lámpara Ventilador E27 2 en 1, Silenciosa, LED Alta Luminosidad 180°, Instalación Rápida, Ahorro Energético para Dormitorio y Interiores Pequeños</t>
        </is>
      </c>
      <c r="H1357" s="16" t="inlineStr">
        <is>
          <t>1 Pieza</t>
        </is>
      </c>
      <c r="I1357" s="16" t="n">
        <v>1</v>
      </c>
      <c r="J1357" s="17" t="n">
        <v>74</v>
      </c>
      <c r="K1357" s="17" t="n">
        <v>76.26000000000001</v>
      </c>
      <c r="L1357" s="17" t="n">
        <v>25.86</v>
      </c>
      <c r="M1357" s="17" t="n">
        <v>0</v>
      </c>
      <c r="N1357" s="17">
        <f>K1357*0.08+L1357*0.08</f>
        <v/>
      </c>
      <c r="O1357" s="17">
        <f>-(K1357*0.025+L1357*0.025)</f>
        <v/>
      </c>
      <c r="P1357" s="17">
        <f>32</f>
        <v/>
      </c>
      <c r="Q1357" s="17">
        <f>J1357+L1357+N1357+O1357-P1357-M1357</f>
        <v/>
      </c>
    </row>
    <row r="1358">
      <c r="A1358" s="16" t="inlineStr">
        <is>
          <t>5.15-5.21</t>
        </is>
      </c>
      <c r="B1358" s="16" t="inlineStr">
        <is>
          <t>PO-128-04002657439350175</t>
        </is>
      </c>
      <c r="C1358" s="16" t="inlineStr">
        <is>
          <t>Shipped</t>
        </is>
      </c>
      <c r="D1358" s="16" t="inlineStr">
        <is>
          <t>128-04002678410870175</t>
        </is>
      </c>
      <c r="E1358" s="16" t="inlineStr">
        <is>
          <t>Shipped</t>
        </is>
      </c>
      <c r="F1358" s="16" t="inlineStr">
        <is>
          <t>TL2663N18C</t>
        </is>
      </c>
      <c r="G1358" s="16" t="inlineStr">
        <is>
          <t>Linkbits，Soporte de pared fijo para televisores de 26"-63", Ultra-Delgado Compatible con VESA 400x400mm, Capacidad de Peso Fuerte de 25KG, Instalación Fácil Sin Electricidad</t>
        </is>
      </c>
      <c r="H1358" s="16" t="inlineStr">
        <is>
          <t>NEGRO</t>
        </is>
      </c>
      <c r="I1358" s="16" t="n">
        <v>1</v>
      </c>
      <c r="J1358" s="17" t="n">
        <v>53.8</v>
      </c>
      <c r="K1358" s="17" t="n">
        <v>68.77</v>
      </c>
      <c r="L1358" s="17" t="n">
        <v>25.86</v>
      </c>
      <c r="M1358" s="17" t="n">
        <v>0</v>
      </c>
      <c r="N1358" s="17">
        <f>K1358*0.08+L1358*0.08</f>
        <v/>
      </c>
      <c r="O1358" s="17">
        <f>-(K1358*0.025+L1358*0.025)</f>
        <v/>
      </c>
      <c r="P1358" s="17">
        <f>32</f>
        <v/>
      </c>
      <c r="Q1358" s="17">
        <f>J1358+L1358+N1358+O1358-P1358-M1358</f>
        <v/>
      </c>
    </row>
    <row r="1359">
      <c r="A1359" s="16" t="inlineStr">
        <is>
          <t>5.15-5.21</t>
        </is>
      </c>
      <c r="B1359" s="16" t="inlineStr">
        <is>
          <t>PO-128-04027904822390086</t>
        </is>
      </c>
      <c r="C1359" s="16" t="inlineStr">
        <is>
          <t>Shipped</t>
        </is>
      </c>
      <c r="D1359" s="16" t="inlineStr">
        <is>
          <t>128-04027910065270086</t>
        </is>
      </c>
      <c r="E1359" s="16" t="inlineStr">
        <is>
          <t>Shipped</t>
        </is>
      </c>
      <c r="F1359" s="16" t="inlineStr">
        <is>
          <t>LV54W25</t>
        </is>
      </c>
      <c r="G1359" s="16" t="inlineStr">
        <is>
          <t>TIANLAI Lámpara Ventilador E27 2 en 1, Silenciosa, LED Alta Luminosidad 180°, Instalación Rápida, Ahorro Energético para Dormitorio y Interiores Pequeños</t>
        </is>
      </c>
      <c r="H1359" s="16" t="inlineStr">
        <is>
          <t>1 Pieza</t>
        </is>
      </c>
      <c r="I1359" s="16" t="n">
        <v>1</v>
      </c>
      <c r="J1359" s="17" t="n">
        <v>74</v>
      </c>
      <c r="K1359" s="17" t="n">
        <v>77.12</v>
      </c>
      <c r="L1359" s="17" t="n">
        <v>25.86</v>
      </c>
      <c r="M1359" s="17" t="n">
        <v>0</v>
      </c>
      <c r="N1359" s="17">
        <f>K1359*0.08+L1359*0.08</f>
        <v/>
      </c>
      <c r="O1359" s="17">
        <f>-(K1359*0.025+L1359*0.025)</f>
        <v/>
      </c>
      <c r="P1359" s="17">
        <f>32</f>
        <v/>
      </c>
      <c r="Q1359" s="17">
        <f>J1359+L1359+N1359+O1359-P1359-M1359</f>
        <v/>
      </c>
    </row>
    <row r="1360">
      <c r="A1360" s="16" t="inlineStr">
        <is>
          <t>5.15-5.21</t>
        </is>
      </c>
      <c r="B1360" s="16" t="inlineStr">
        <is>
          <t>PO-128-03473042673273394</t>
        </is>
      </c>
      <c r="C1360" s="16" t="inlineStr">
        <is>
          <t>Shipped</t>
        </is>
      </c>
      <c r="D1360" s="16" t="inlineStr">
        <is>
          <t>128-03473021701753394</t>
        </is>
      </c>
      <c r="E1360" s="16" t="inlineStr">
        <is>
          <t>Shipped</t>
        </is>
      </c>
      <c r="F1360" s="16" t="inlineStr">
        <is>
          <t>LV64W25</t>
        </is>
      </c>
      <c r="G13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60" s="16" t="inlineStr">
        <is>
          <t>Blanco</t>
        </is>
      </c>
      <c r="I1360" s="16" t="n">
        <v>1</v>
      </c>
      <c r="J1360" s="17" t="n">
        <v>125</v>
      </c>
      <c r="K1360" s="17" t="n">
        <v>128.94</v>
      </c>
      <c r="L1360" s="17" t="n">
        <v>25.86</v>
      </c>
      <c r="M1360" s="17" t="n">
        <v>0</v>
      </c>
      <c r="N1360" s="17">
        <f>K1360*0.08+L1360*0.08</f>
        <v/>
      </c>
      <c r="O1360" s="17">
        <f>-(K1360*0.025+L1360*0.025)</f>
        <v/>
      </c>
      <c r="P1360" s="17">
        <f>32</f>
        <v/>
      </c>
      <c r="Q1360" s="17">
        <f>J1360+L1360+N1360+O1360-P1360-M1360</f>
        <v/>
      </c>
    </row>
    <row r="1361">
      <c r="A1361" s="16" t="inlineStr">
        <is>
          <t>5.15-5.21</t>
        </is>
      </c>
      <c r="B1361" s="16" t="inlineStr">
        <is>
          <t>PO-128-03929578327671760</t>
        </is>
      </c>
      <c r="C1361" s="16" t="inlineStr">
        <is>
          <t>Shipped</t>
        </is>
      </c>
      <c r="D1361" s="16" t="inlineStr">
        <is>
          <t>128-03929609784951760</t>
        </is>
      </c>
      <c r="E1361" s="16" t="inlineStr">
        <is>
          <t>Shipped</t>
        </is>
      </c>
      <c r="F1361" s="16" t="inlineStr">
        <is>
          <t>LV64W25</t>
        </is>
      </c>
      <c r="G13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61" s="16" t="inlineStr">
        <is>
          <t>Blanco</t>
        </is>
      </c>
      <c r="I1361" s="16" t="n">
        <v>1</v>
      </c>
      <c r="J1361" s="17" t="n">
        <v>125</v>
      </c>
      <c r="K1361" s="17" t="n">
        <v>114.61</v>
      </c>
      <c r="L1361" s="17" t="n">
        <v>25.86</v>
      </c>
      <c r="M1361" s="17" t="n">
        <v>0</v>
      </c>
      <c r="N1361" s="17">
        <f>K1361*0.08+L1361*0.08</f>
        <v/>
      </c>
      <c r="O1361" s="17">
        <f>-(K1361*0.025+L1361*0.025)</f>
        <v/>
      </c>
      <c r="P1361" s="17">
        <f>32</f>
        <v/>
      </c>
      <c r="Q1361" s="17">
        <f>J1361+L1361+N1361+O1361-P1361-M1361</f>
        <v/>
      </c>
    </row>
    <row r="1362">
      <c r="A1362" s="16" t="inlineStr">
        <is>
          <t>5.15-5.21</t>
        </is>
      </c>
      <c r="B1362" s="16" t="inlineStr">
        <is>
          <t>PO-128-03617856481912466</t>
        </is>
      </c>
      <c r="C1362" s="16" t="inlineStr">
        <is>
          <t>Shipped</t>
        </is>
      </c>
      <c r="D1362" s="16" t="inlineStr">
        <is>
          <t>128-03617992796792466</t>
        </is>
      </c>
      <c r="E1362" s="16" t="inlineStr">
        <is>
          <t>Shipped</t>
        </is>
      </c>
      <c r="F1362" s="16" t="inlineStr">
        <is>
          <t>KTS-2031</t>
        </is>
      </c>
      <c r="G1362" s="16" t="inlineStr">
        <is>
          <t>Bocina inalámbrica de 3 pulgadas con linterna multifuncional y panel solar integrado.Altavoz Portátil con Linterna LED 4 Modos, Radio FM, Bluetooth, Carga Solar, Ideal para Apagones, Emergencias, Campo y Exteriores</t>
        </is>
      </c>
      <c r="H1362" s="16" t="inlineStr">
        <is>
          <t>NEGRO</t>
        </is>
      </c>
      <c r="I1362" s="16" t="n">
        <v>1</v>
      </c>
      <c r="J1362" s="17" t="n">
        <v>77</v>
      </c>
      <c r="K1362" s="17" t="n">
        <v>0.01</v>
      </c>
      <c r="L1362" s="17" t="n">
        <v>25.86</v>
      </c>
      <c r="M1362" s="17" t="n">
        <v>0</v>
      </c>
      <c r="N1362" s="17">
        <f>K1362*0.08+L1362*0.08</f>
        <v/>
      </c>
      <c r="O1362" s="17">
        <f>-(K1362*0.025+L1362*0.025)</f>
        <v/>
      </c>
      <c r="P1362" s="17">
        <f>32</f>
        <v/>
      </c>
      <c r="Q1362" s="17">
        <f>J1362+L1362+N1362+O1362-P1362-M1362</f>
        <v/>
      </c>
    </row>
    <row r="1363">
      <c r="A1363" s="16" t="inlineStr">
        <is>
          <t>5.15-5.21</t>
        </is>
      </c>
      <c r="B1363" s="16" t="inlineStr">
        <is>
          <t>PO-128-03685603164792129</t>
        </is>
      </c>
      <c r="C1363" s="16" t="inlineStr">
        <is>
          <t>Shipped</t>
        </is>
      </c>
      <c r="D1363" s="16" t="inlineStr">
        <is>
          <t>128-03685608407672129</t>
        </is>
      </c>
      <c r="E1363" s="16" t="inlineStr">
        <is>
          <t>Shipped</t>
        </is>
      </c>
      <c r="F1363" s="16" t="inlineStr">
        <is>
          <t>KTS-2031</t>
        </is>
      </c>
      <c r="G1363" s="16" t="inlineStr">
        <is>
          <t>Bocina inalámbrica de 3 pulgadas con linterna multifuncional y panel solar integrado.Altavoz Portátil con Linterna LED 4 Modos, Radio FM, Bluetooth, Carga Solar, Ideal para Apagones, Emergencias, Campo y Exteriores</t>
        </is>
      </c>
      <c r="H1363" s="16" t="inlineStr">
        <is>
          <t>NEGRO</t>
        </is>
      </c>
      <c r="I1363" s="16" t="n">
        <v>1</v>
      </c>
      <c r="J1363" s="17" t="n">
        <v>77</v>
      </c>
      <c r="K1363" s="17" t="n">
        <v>86.22</v>
      </c>
      <c r="L1363" s="17" t="n">
        <v>25.86</v>
      </c>
      <c r="M1363" s="17" t="n">
        <v>0</v>
      </c>
      <c r="N1363" s="17">
        <f>K1363*0.08+L1363*0.08</f>
        <v/>
      </c>
      <c r="O1363" s="17">
        <f>-(K1363*0.025+L1363*0.025)</f>
        <v/>
      </c>
      <c r="P1363" s="17">
        <f>32</f>
        <v/>
      </c>
      <c r="Q1363" s="17">
        <f>J1363+L1363+N1363+O1363-P1363-M1363</f>
        <v/>
      </c>
    </row>
    <row r="1364">
      <c r="A1364" s="16" t="inlineStr">
        <is>
          <t>5.15-5.21</t>
        </is>
      </c>
      <c r="B1364" s="16" t="inlineStr">
        <is>
          <t>PO-128-04079111926390871</t>
        </is>
      </c>
      <c r="C1364" s="16" t="inlineStr">
        <is>
          <t>Shipped</t>
        </is>
      </c>
      <c r="D1364" s="16" t="inlineStr">
        <is>
          <t>128-04079132897910871</t>
        </is>
      </c>
      <c r="E1364" s="16" t="inlineStr">
        <is>
          <t>Shipped</t>
        </is>
      </c>
      <c r="F1364" s="16" t="inlineStr">
        <is>
          <t>TL2663N18C</t>
        </is>
      </c>
      <c r="G1364" s="16" t="inlineStr">
        <is>
          <t>Linkbits，Soporte de pared fijo para televisores de 26"-63", Ultra-Delgado Compatible con VESA 400x400mm, Capacidad de Peso Fuerte de 25KG, Instalación Fácil Sin Electricidad</t>
        </is>
      </c>
      <c r="H1364" s="16" t="inlineStr">
        <is>
          <t>NEGRO</t>
        </is>
      </c>
      <c r="I1364" s="16" t="n">
        <v>1</v>
      </c>
      <c r="J1364" s="17" t="n">
        <v>53.8</v>
      </c>
      <c r="K1364" s="17" t="n">
        <v>55.3</v>
      </c>
      <c r="L1364" s="17" t="n">
        <v>25.86</v>
      </c>
      <c r="M1364" s="17" t="n">
        <v>0</v>
      </c>
      <c r="N1364" s="17">
        <f>K1364*0.08+L1364*0.08</f>
        <v/>
      </c>
      <c r="O1364" s="17">
        <f>-(K1364*0.025+L1364*0.025)</f>
        <v/>
      </c>
      <c r="P1364" s="17">
        <f>32</f>
        <v/>
      </c>
      <c r="Q1364" s="17">
        <f>J1364+L1364+N1364+O1364-P1364-M1364</f>
        <v/>
      </c>
    </row>
    <row r="1365">
      <c r="A1365" s="16" t="inlineStr">
        <is>
          <t>5.15-5.21</t>
        </is>
      </c>
      <c r="B1365" s="16" t="inlineStr">
        <is>
          <t>PO-128-03777768709752667</t>
        </is>
      </c>
      <c r="C1365" s="16" t="inlineStr">
        <is>
          <t>Shipped</t>
        </is>
      </c>
      <c r="D1365" s="16" t="inlineStr">
        <is>
          <t>128-03777766743672667</t>
        </is>
      </c>
      <c r="E1365" s="16" t="inlineStr">
        <is>
          <t>Shipped</t>
        </is>
      </c>
      <c r="F1365" s="16" t="inlineStr">
        <is>
          <t>LV54W25</t>
        </is>
      </c>
      <c r="G1365" s="16" t="inlineStr">
        <is>
          <t>TIANLAI Lámpara Ventilador E27 2 en 1, Silenciosa, LED Alta Luminosidad 180°, Instalación Rápida, Ahorro Energético para Dormitorio y Interiores Pequeños</t>
        </is>
      </c>
      <c r="H1365" s="16" t="inlineStr">
        <is>
          <t>1 Pieza</t>
        </is>
      </c>
      <c r="I1365" s="16" t="n">
        <v>2</v>
      </c>
      <c r="J1365" s="17" t="n">
        <v>152</v>
      </c>
      <c r="K1365" s="17" t="n">
        <v>156.08</v>
      </c>
      <c r="L1365" s="17" t="n">
        <v>25.86</v>
      </c>
      <c r="M1365" s="17" t="n">
        <v>0</v>
      </c>
      <c r="N1365" s="17">
        <f>K1365*0.08+L1365*0.08</f>
        <v/>
      </c>
      <c r="O1365" s="17">
        <f>-(K1365*0.025+L1365*0.025)</f>
        <v/>
      </c>
      <c r="P1365" s="17">
        <f>32</f>
        <v/>
      </c>
      <c r="Q1365" s="17">
        <f>J1365+L1365+N1365+O1365-P1365-M1365</f>
        <v/>
      </c>
    </row>
    <row r="1366">
      <c r="A1366" s="16" t="inlineStr">
        <is>
          <t>5.15-5.21</t>
        </is>
      </c>
      <c r="B1366" s="16" t="inlineStr">
        <is>
          <t>PO-128-03828649359991210</t>
        </is>
      </c>
      <c r="C1366" s="16" t="inlineStr">
        <is>
          <t>Shipped</t>
        </is>
      </c>
      <c r="D1366" s="16" t="inlineStr">
        <is>
          <t>128-03828725381751210</t>
        </is>
      </c>
      <c r="E1366" s="16" t="inlineStr">
        <is>
          <t>Shipped</t>
        </is>
      </c>
      <c r="F1366" s="16" t="inlineStr">
        <is>
          <t>KTS-2031</t>
        </is>
      </c>
      <c r="G1366" s="16" t="inlineStr">
        <is>
          <t>Bocina inalámbrica de 3 pulgadas con linterna multifuncional y panel solar integrado.Altavoz Portátil con Linterna LED 4 Modos, Radio FM, Bluetooth, Carga Solar, Ideal para Apagones, Emergencias, Campo y Exteriores</t>
        </is>
      </c>
      <c r="H1366" s="16" t="inlineStr">
        <is>
          <t>NEGRO</t>
        </is>
      </c>
      <c r="I1366" s="16" t="n">
        <v>1</v>
      </c>
      <c r="J1366" s="17" t="n">
        <v>77</v>
      </c>
      <c r="K1366" s="17" t="n">
        <v>86.22</v>
      </c>
      <c r="L1366" s="17" t="n">
        <v>25.86</v>
      </c>
      <c r="M1366" s="17" t="n">
        <v>0</v>
      </c>
      <c r="N1366" s="17">
        <f>K1366*0.08+L1366*0.08</f>
        <v/>
      </c>
      <c r="O1366" s="17">
        <f>-(K1366*0.025+L1366*0.025)</f>
        <v/>
      </c>
      <c r="P1366" s="17">
        <f>32</f>
        <v/>
      </c>
      <c r="Q1366" s="17">
        <f>J1366+L1366+N1366+O1366-P1366-M1366</f>
        <v/>
      </c>
    </row>
    <row r="1367">
      <c r="A1367" s="16" t="inlineStr">
        <is>
          <t>5.15-5.21</t>
        </is>
      </c>
      <c r="B1367" s="16" t="inlineStr">
        <is>
          <t>PO-128-03883245179512039</t>
        </is>
      </c>
      <c r="C1367" s="16" t="inlineStr">
        <is>
          <t>Shipped</t>
        </is>
      </c>
      <c r="D1367" s="16" t="inlineStr">
        <is>
          <t>128-03883203236472039</t>
        </is>
      </c>
      <c r="E1367" s="16" t="inlineStr">
        <is>
          <t>Shipped</t>
        </is>
      </c>
      <c r="F1367" s="16" t="inlineStr">
        <is>
          <t>LV54W25</t>
        </is>
      </c>
      <c r="G1367" s="16" t="inlineStr">
        <is>
          <t>TIANLAI Lámpara Ventilador E27 2 en 1, Silenciosa, LED Alta Luminosidad 180°, Instalación Rápida, Ahorro Energético para Dormitorio y Interiores Pequeños</t>
        </is>
      </c>
      <c r="H1367" s="16" t="inlineStr">
        <is>
          <t>1 Pieza</t>
        </is>
      </c>
      <c r="I1367" s="16" t="n">
        <v>1</v>
      </c>
      <c r="J1367" s="17" t="n">
        <v>76</v>
      </c>
      <c r="K1367" s="17" t="n">
        <v>78.04000000000001</v>
      </c>
      <c r="L1367" s="17" t="n">
        <v>25.86</v>
      </c>
      <c r="M1367" s="17" t="n">
        <v>0</v>
      </c>
      <c r="N1367" s="17">
        <f>K1367*0.08+L1367*0.08</f>
        <v/>
      </c>
      <c r="O1367" s="17">
        <f>-(K1367*0.025+L1367*0.025)</f>
        <v/>
      </c>
      <c r="P1367" s="17">
        <f>32</f>
        <v/>
      </c>
      <c r="Q1367" s="17">
        <f>J1367+L1367+N1367+O1367-P1367-M1367</f>
        <v/>
      </c>
    </row>
    <row r="1368">
      <c r="A1368" s="16" t="inlineStr">
        <is>
          <t>5.15-5.21</t>
        </is>
      </c>
      <c r="B1368" s="16" t="inlineStr">
        <is>
          <t>PO-128-04108785843830564</t>
        </is>
      </c>
      <c r="C1368" s="16" t="inlineStr">
        <is>
          <t>Shipped</t>
        </is>
      </c>
      <c r="D1368" s="16" t="inlineStr">
        <is>
          <t>128-04108819922550564</t>
        </is>
      </c>
      <c r="E1368" s="16" t="inlineStr">
        <is>
          <t>Shipped</t>
        </is>
      </c>
      <c r="F1368" s="16" t="inlineStr">
        <is>
          <t>BSC04</t>
        </is>
      </c>
      <c r="G1368" s="16" t="inlineStr">
        <is>
          <t>TIANLAI Báscula Digital BSC04/BSC07, Alta Precisión, Fácil Operación, Ligera y Portátil, Función Tara, Unidad Dual oz/g, Ideal para Cocina, Control de Porciones, Sellos y Objetos Pequeños, Uso en Hogar y Viaje</t>
        </is>
      </c>
      <c r="H1368" s="16" t="inlineStr">
        <is>
          <t>5g/White</t>
        </is>
      </c>
      <c r="I1368" s="16" t="n">
        <v>2</v>
      </c>
      <c r="J1368" s="17" t="n">
        <v>116</v>
      </c>
      <c r="K1368" s="17" t="n">
        <v>148.58</v>
      </c>
      <c r="L1368" s="17" t="n">
        <v>25.86</v>
      </c>
      <c r="M1368" s="17" t="n">
        <v>0</v>
      </c>
      <c r="N1368" s="17">
        <f>K1368*0.08+L1368*0.08</f>
        <v/>
      </c>
      <c r="O1368" s="17">
        <f>-(K1368*0.025+L1368*0.025)</f>
        <v/>
      </c>
      <c r="P1368" s="17">
        <f>32</f>
        <v/>
      </c>
      <c r="Q1368" s="17">
        <f>J1368+L1368+N1368+O1368-P1368-M1368</f>
        <v/>
      </c>
    </row>
    <row r="1369">
      <c r="A1369" s="16" t="inlineStr">
        <is>
          <t>5.15-5.21</t>
        </is>
      </c>
      <c r="B1369" s="16" t="inlineStr">
        <is>
          <t>PO-128-03985169306230343</t>
        </is>
      </c>
      <c r="C1369" s="16" t="inlineStr">
        <is>
          <t>Shipped</t>
        </is>
      </c>
      <c r="D1369" s="16" t="inlineStr">
        <is>
          <t>128-03985127363190343</t>
        </is>
      </c>
      <c r="E1369" s="16" t="inlineStr">
        <is>
          <t>Shipped</t>
        </is>
      </c>
      <c r="F1369" s="16" t="inlineStr">
        <is>
          <t>KTS-2031</t>
        </is>
      </c>
      <c r="G1369" s="16" t="inlineStr">
        <is>
          <t>Bocina inalámbrica de 3 pulgadas con linterna multifuncional y panel solar integrado.Altavoz Portátil con Linterna LED 4 Modos, Radio FM, Bluetooth, Carga Solar, Ideal para Apagones, Emergencias, Campo y Exteriores</t>
        </is>
      </c>
      <c r="H1369" s="16" t="inlineStr">
        <is>
          <t>NEGRO</t>
        </is>
      </c>
      <c r="I1369" s="16" t="n">
        <v>1</v>
      </c>
      <c r="J1369" s="17" t="n">
        <v>77</v>
      </c>
      <c r="K1369" s="17" t="n">
        <v>86.22</v>
      </c>
      <c r="L1369" s="17" t="n">
        <v>25.86</v>
      </c>
      <c r="M1369" s="17" t="n">
        <v>0</v>
      </c>
      <c r="N1369" s="17">
        <f>K1369*0.08+L1369*0.08</f>
        <v/>
      </c>
      <c r="O1369" s="17">
        <f>-(K1369*0.025+L1369*0.025)</f>
        <v/>
      </c>
      <c r="P1369" s="17">
        <f>32</f>
        <v/>
      </c>
      <c r="Q1369" s="17">
        <f>J1369+L1369+N1369+O1369-P1369-M1369</f>
        <v/>
      </c>
    </row>
    <row r="1370">
      <c r="A1370" s="16" t="inlineStr">
        <is>
          <t>5.15-5.21</t>
        </is>
      </c>
      <c r="B1370" s="16" t="inlineStr">
        <is>
          <t>PO-128-04010137626230192</t>
        </is>
      </c>
      <c r="C1370" s="16" t="inlineStr">
        <is>
          <t>Shipped</t>
        </is>
      </c>
      <c r="D1370" s="16" t="inlineStr">
        <is>
          <t>128-04010163840630192</t>
        </is>
      </c>
      <c r="E1370" s="16" t="inlineStr">
        <is>
          <t>Shipped</t>
        </is>
      </c>
      <c r="F1370" s="16" t="inlineStr">
        <is>
          <t>LV64W25</t>
        </is>
      </c>
      <c r="G13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70" s="16" t="inlineStr">
        <is>
          <t>Blanco</t>
        </is>
      </c>
      <c r="I1370" s="16" t="n">
        <v>2</v>
      </c>
      <c r="J1370" s="17" t="n">
        <v>250</v>
      </c>
      <c r="K1370" s="17" t="n">
        <v>286.52</v>
      </c>
      <c r="L1370" s="17" t="n">
        <v>0</v>
      </c>
      <c r="M1370" s="17" t="n">
        <v>0</v>
      </c>
      <c r="N1370" s="17">
        <f>K1370*0.08+L1370*0.08</f>
        <v/>
      </c>
      <c r="O1370" s="17">
        <f>-(K1370*0.025+L1370*0.025)</f>
        <v/>
      </c>
      <c r="P1370" s="17">
        <f>32</f>
        <v/>
      </c>
      <c r="Q1370" s="17">
        <f>J1370+L1370+N1370+O1370-P1370-M1370</f>
        <v/>
      </c>
    </row>
    <row r="1371">
      <c r="A1371" s="16" t="inlineStr">
        <is>
          <t>5.15-5.21</t>
        </is>
      </c>
      <c r="B1371" s="16" t="inlineStr">
        <is>
          <t>PO-128-03479114875513231</t>
        </is>
      </c>
      <c r="C1371" s="16" t="inlineStr">
        <is>
          <t>Shipped</t>
        </is>
      </c>
      <c r="D1371" s="16" t="inlineStr">
        <is>
          <t>128-03479219733113231</t>
        </is>
      </c>
      <c r="E1371" s="16" t="inlineStr">
        <is>
          <t>Shipped</t>
        </is>
      </c>
      <c r="F1371" s="16" t="inlineStr">
        <is>
          <t>SB428T</t>
        </is>
      </c>
      <c r="G1371" s="16" t="inlineStr">
        <is>
          <t>LINK BITS Bocina Portátil con 2 Altavoces de 4" (5W×2), Sonido Potente, Luces LED, Bluetooth, USB/TF/FM - Ideal para Reuniones, Fiestas y Picnics en México</t>
        </is>
      </c>
      <c r="H1371" s="16" t="inlineStr">
        <is>
          <t>SB428T</t>
        </is>
      </c>
      <c r="I1371" s="16" t="n">
        <v>1</v>
      </c>
      <c r="J1371" s="17" t="n">
        <v>97</v>
      </c>
      <c r="K1371" s="17" t="n">
        <v>115.49</v>
      </c>
      <c r="L1371" s="17" t="n">
        <v>25.86</v>
      </c>
      <c r="M1371" s="17" t="n">
        <v>0</v>
      </c>
      <c r="N1371" s="17">
        <f>K1371*0.08+L1371*0.08</f>
        <v/>
      </c>
      <c r="O1371" s="17">
        <f>-(K1371*0.025+L1371*0.025)</f>
        <v/>
      </c>
      <c r="P1371" s="17">
        <f>32</f>
        <v/>
      </c>
      <c r="Q1371" s="17">
        <f>J1371+L1371+N1371+O1371-P1371-M1371</f>
        <v/>
      </c>
    </row>
    <row r="1372">
      <c r="A1372" s="16" t="inlineStr">
        <is>
          <t>5.15-5.21</t>
        </is>
      </c>
      <c r="B1372" s="16" t="inlineStr">
        <is>
          <t>PO-128-03788355666551450</t>
        </is>
      </c>
      <c r="C1372" s="16" t="inlineStr">
        <is>
          <t>Shipped</t>
        </is>
      </c>
      <c r="D1372" s="16" t="inlineStr">
        <is>
          <t>128-03788366152311450</t>
        </is>
      </c>
      <c r="E1372" s="16" t="inlineStr">
        <is>
          <t>Shipped</t>
        </is>
      </c>
      <c r="F1372" s="16" t="inlineStr">
        <is>
          <t>LV54W25</t>
        </is>
      </c>
      <c r="G1372" s="16" t="inlineStr">
        <is>
          <t>TIANLAI Lámpara Ventilador E27 2 en 1, Silenciosa, LED Alta Luminosidad 180°, Instalación Rápida, Ahorro Energético para Dormitorio y Interiores Pequeños</t>
        </is>
      </c>
      <c r="H1372" s="16" t="inlineStr">
        <is>
          <t>1 Pieza</t>
        </is>
      </c>
      <c r="I1372" s="16" t="n">
        <v>1</v>
      </c>
      <c r="J1372" s="17" t="n">
        <v>76</v>
      </c>
      <c r="K1372" s="17" t="n">
        <v>78.91</v>
      </c>
      <c r="L1372" s="17" t="n">
        <v>25.86</v>
      </c>
      <c r="M1372" s="17" t="n">
        <v>0</v>
      </c>
      <c r="N1372" s="17">
        <f>K1372*0.08+L1372*0.08</f>
        <v/>
      </c>
      <c r="O1372" s="17">
        <f>-(K1372*0.025+L1372*0.025)</f>
        <v/>
      </c>
      <c r="P1372" s="17">
        <f>32</f>
        <v/>
      </c>
      <c r="Q1372" s="17">
        <f>J1372+L1372+N1372+O1372-P1372-M1372</f>
        <v/>
      </c>
    </row>
    <row r="1373">
      <c r="A1373" s="16" t="inlineStr">
        <is>
          <t>5.15-5.21</t>
        </is>
      </c>
      <c r="B1373" s="16" t="inlineStr">
        <is>
          <t>PO-128-03588647711353600</t>
        </is>
      </c>
      <c r="C1373" s="16" t="inlineStr">
        <is>
          <t>Shipped</t>
        </is>
      </c>
      <c r="D1373" s="16" t="inlineStr">
        <is>
          <t>128-03588813517433600</t>
        </is>
      </c>
      <c r="E1373" s="16" t="inlineStr">
        <is>
          <t>Shipped</t>
        </is>
      </c>
      <c r="F1373" s="16" t="inlineStr">
        <is>
          <t>KTS-2031</t>
        </is>
      </c>
      <c r="G1373" s="16" t="inlineStr">
        <is>
          <t>Bocina inalámbrica de 3 pulgadas con linterna multifuncional y panel solar integrado.Altavoz Portátil con Linterna LED 4 Modos, Radio FM, Bluetooth, Carga Solar, Ideal para Apagones, Emergencias, Campo y Exteriores</t>
        </is>
      </c>
      <c r="H1373" s="16" t="inlineStr">
        <is>
          <t>NEGRO</t>
        </is>
      </c>
      <c r="I1373" s="16" t="n">
        <v>1</v>
      </c>
      <c r="J1373" s="17" t="n">
        <v>77</v>
      </c>
      <c r="K1373" s="17" t="n">
        <v>86.22</v>
      </c>
      <c r="L1373" s="17" t="n">
        <v>25.86</v>
      </c>
      <c r="M1373" s="17" t="n">
        <v>0</v>
      </c>
      <c r="N1373" s="17">
        <f>K1373*0.08+L1373*0.08</f>
        <v/>
      </c>
      <c r="O1373" s="17">
        <f>-(K1373*0.025+L1373*0.025)</f>
        <v/>
      </c>
      <c r="P1373" s="17">
        <f>32</f>
        <v/>
      </c>
      <c r="Q1373" s="17">
        <f>J1373+L1373+N1373+O1373-P1373-M1373</f>
        <v/>
      </c>
    </row>
    <row r="1374">
      <c r="A1374" s="16" t="inlineStr">
        <is>
          <t>5.15-5.21</t>
        </is>
      </c>
      <c r="B1374" s="16" t="inlineStr">
        <is>
          <t>PO-128-04106924621430513</t>
        </is>
      </c>
      <c r="C1374" s="16" t="inlineStr">
        <is>
          <t>Shipped</t>
        </is>
      </c>
      <c r="D1374" s="16" t="inlineStr">
        <is>
          <t>128-04106929864310513</t>
        </is>
      </c>
      <c r="E1374" s="16" t="inlineStr">
        <is>
          <t>Shipped</t>
        </is>
      </c>
      <c r="F1374" s="16" t="inlineStr">
        <is>
          <t>TL1455N20B</t>
        </is>
      </c>
      <c r="G1374" s="16" t="inlineStr">
        <is>
          <t>LINK BITS Soporte para TV 14 A 55 Pulgadas, Base para TV Pantalla Articulado Inclinable y Giratorio, MAX VESA 400×400 mm, Soporta hasta 18kg, adaptarse a la mayoría de los televisores de 14 Pulgadas/20 Pulgadas/32 Pulgadas/42 Pulgadas/55 pulgadas</t>
        </is>
      </c>
      <c r="H1374" s="16" t="inlineStr">
        <is>
          <t>TL1455N20B</t>
        </is>
      </c>
      <c r="I1374" s="16" t="n">
        <v>1</v>
      </c>
      <c r="J1374" s="17" t="n">
        <v>71</v>
      </c>
      <c r="K1374" s="17" t="n">
        <v>92.06</v>
      </c>
      <c r="L1374" s="17" t="n">
        <v>25.86</v>
      </c>
      <c r="M1374" s="17" t="n">
        <v>0</v>
      </c>
      <c r="N1374" s="17">
        <f>K1374*0.08+L1374*0.08</f>
        <v/>
      </c>
      <c r="O1374" s="17">
        <f>-(K1374*0.025+L1374*0.025)</f>
        <v/>
      </c>
      <c r="P1374" s="17">
        <f>32</f>
        <v/>
      </c>
      <c r="Q1374" s="17">
        <f>J1374+L1374+N1374+O1374-P1374-M1374</f>
        <v/>
      </c>
    </row>
    <row r="1375">
      <c r="A1375" s="16" t="inlineStr">
        <is>
          <t>5.15-5.21</t>
        </is>
      </c>
      <c r="B1375" s="16" t="inlineStr">
        <is>
          <t>PO-128-03486167547513253</t>
        </is>
      </c>
      <c r="C1375" s="16" t="inlineStr">
        <is>
          <t>Shipped</t>
        </is>
      </c>
      <c r="D1375" s="16" t="inlineStr">
        <is>
          <t>128-03486272405113253</t>
        </is>
      </c>
      <c r="E1375" s="16" t="inlineStr">
        <is>
          <t>Shipped</t>
        </is>
      </c>
      <c r="F1375" s="16" t="inlineStr">
        <is>
          <t>KTS-2031</t>
        </is>
      </c>
      <c r="G1375" s="16" t="inlineStr">
        <is>
          <t>Bocina inalámbrica de 3 pulgadas con linterna multifuncional y panel solar integrado.Altavoz Portátil con Linterna LED 4 Modos, Radio FM, Bluetooth, Carga Solar, Ideal para Apagones, Emergencias, Campo y Exteriores</t>
        </is>
      </c>
      <c r="H1375" s="16" t="inlineStr">
        <is>
          <t>NEGRO</t>
        </is>
      </c>
      <c r="I1375" s="16" t="n">
        <v>1</v>
      </c>
      <c r="J1375" s="17" t="n">
        <v>77</v>
      </c>
      <c r="K1375" s="17" t="n">
        <v>86.22</v>
      </c>
      <c r="L1375" s="17" t="n">
        <v>25.86</v>
      </c>
      <c r="M1375" s="17" t="n">
        <v>0</v>
      </c>
      <c r="N1375" s="17">
        <f>K1375*0.08+L1375*0.08</f>
        <v/>
      </c>
      <c r="O1375" s="17">
        <f>-(K1375*0.025+L1375*0.025)</f>
        <v/>
      </c>
      <c r="P1375" s="17">
        <f>32</f>
        <v/>
      </c>
      <c r="Q1375" s="17">
        <f>J1375+L1375+N1375+O1375-P1375-M1375</f>
        <v/>
      </c>
    </row>
    <row r="1376">
      <c r="A1376" s="16" t="inlineStr">
        <is>
          <t>5.15-5.21</t>
        </is>
      </c>
      <c r="B1376" s="16" t="inlineStr">
        <is>
          <t>PO-128-03650497582712400</t>
        </is>
      </c>
      <c r="C1376" s="16" t="inlineStr">
        <is>
          <t>Shipped</t>
        </is>
      </c>
      <c r="D1376" s="16" t="inlineStr">
        <is>
          <t>128-03650518554232400</t>
        </is>
      </c>
      <c r="E1376" s="16" t="inlineStr">
        <is>
          <t>Shipped</t>
        </is>
      </c>
      <c r="F1376" s="16" t="inlineStr">
        <is>
          <t>LV64W25</t>
        </is>
      </c>
      <c r="G13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76" s="16" t="inlineStr">
        <is>
          <t>Blanco</t>
        </is>
      </c>
      <c r="I1376" s="16" t="n">
        <v>2</v>
      </c>
      <c r="J1376" s="17" t="n">
        <v>250</v>
      </c>
      <c r="K1376" s="17" t="n">
        <v>286.52</v>
      </c>
      <c r="L1376" s="17" t="n">
        <v>0</v>
      </c>
      <c r="M1376" s="17" t="n">
        <v>0</v>
      </c>
      <c r="N1376" s="17">
        <f>K1376*0.08+L1376*0.08</f>
        <v/>
      </c>
      <c r="O1376" s="17">
        <f>-(K1376*0.025+L1376*0.025)</f>
        <v/>
      </c>
      <c r="P1376" s="17">
        <f>32</f>
        <v/>
      </c>
      <c r="Q1376" s="17">
        <f>J1376+L1376+N1376+O1376-P1376-M1376</f>
        <v/>
      </c>
    </row>
    <row r="1377">
      <c r="A1377" s="16" t="inlineStr">
        <is>
          <t>5.15-5.21</t>
        </is>
      </c>
      <c r="B1377" s="16" t="inlineStr">
        <is>
          <t>PO-128-03722214031992868</t>
        </is>
      </c>
      <c r="C1377" s="16" t="inlineStr">
        <is>
          <t>Shipped</t>
        </is>
      </c>
      <c r="D1377" s="16" t="inlineStr">
        <is>
          <t>128-03722245489272868</t>
        </is>
      </c>
      <c r="E1377" s="16" t="inlineStr">
        <is>
          <t>Shipped</t>
        </is>
      </c>
      <c r="F1377" s="16" t="inlineStr">
        <is>
          <t>KTS-2031</t>
        </is>
      </c>
      <c r="G1377" s="16" t="inlineStr">
        <is>
          <t>Bocina inalámbrica de 3 pulgadas con linterna multifuncional y panel solar integrado.Altavoz Portátil con Linterna LED 4 Modos, Radio FM, Bluetooth, Carga Solar, Ideal para Apagones, Emergencias, Campo y Exteriores</t>
        </is>
      </c>
      <c r="H1377" s="16" t="inlineStr">
        <is>
          <t>NEGRO</t>
        </is>
      </c>
      <c r="I1377" s="16" t="n">
        <v>3</v>
      </c>
      <c r="J1377" s="17" t="n">
        <v>231</v>
      </c>
      <c r="K1377" s="17" t="n">
        <v>258.66</v>
      </c>
      <c r="L1377" s="17" t="n">
        <v>0</v>
      </c>
      <c r="M1377" s="17" t="n">
        <v>0</v>
      </c>
      <c r="N1377" s="17">
        <f>K1377*0.08+L1377*0.08</f>
        <v/>
      </c>
      <c r="O1377" s="17">
        <f>-(K1377*0.025+L1377*0.025)</f>
        <v/>
      </c>
      <c r="P1377" s="17">
        <f>32</f>
        <v/>
      </c>
      <c r="Q1377" s="17">
        <f>J1377+L1377+N1377+O1377-P1377-M1377</f>
        <v/>
      </c>
    </row>
    <row r="1378">
      <c r="A1378" s="16" t="inlineStr">
        <is>
          <t>5.15-5.21</t>
        </is>
      </c>
      <c r="B1378" s="16" t="inlineStr">
        <is>
          <t>PO-128-03935136266871537</t>
        </is>
      </c>
      <c r="C1378" s="16" t="inlineStr">
        <is>
          <t>Shipped</t>
        </is>
      </c>
      <c r="D1378" s="16" t="inlineStr">
        <is>
          <t>128-03935125781111537</t>
        </is>
      </c>
      <c r="E1378" s="16" t="inlineStr">
        <is>
          <t>Shipped</t>
        </is>
      </c>
      <c r="F1378" s="16" t="inlineStr">
        <is>
          <t>TL1455N20B</t>
        </is>
      </c>
      <c r="G1378" s="16" t="inlineStr">
        <is>
          <t>LINK BITS Soporte para TV 14 A 55 Pulgadas, Base para TV Pantalla Articulado Inclinable y Giratorio, MAX VESA 400×400 mm, Soporta hasta 18kg, adaptarse a la mayoría de los televisores de 14 Pulgadas/20 Pulgadas/32 Pulgadas/42 Pulgadas/55 pulgadas</t>
        </is>
      </c>
      <c r="H1378" s="16" t="inlineStr">
        <is>
          <t>TL1455N20B</t>
        </is>
      </c>
      <c r="I1378" s="16" t="n">
        <v>1</v>
      </c>
      <c r="J1378" s="17" t="n">
        <v>71</v>
      </c>
      <c r="K1378" s="17" t="n">
        <v>92.06</v>
      </c>
      <c r="L1378" s="17" t="n">
        <v>25.86</v>
      </c>
      <c r="M1378" s="17" t="n">
        <v>0</v>
      </c>
      <c r="N1378" s="17">
        <f>K1378*0.08+L1378*0.08</f>
        <v/>
      </c>
      <c r="O1378" s="17">
        <f>-(K1378*0.025+L1378*0.025)</f>
        <v/>
      </c>
      <c r="P1378" s="17">
        <f>32</f>
        <v/>
      </c>
      <c r="Q1378" s="17">
        <f>J1378+L1378+N1378+O1378-P1378-M1378</f>
        <v/>
      </c>
    </row>
    <row r="1379">
      <c r="A1379" s="16" t="inlineStr">
        <is>
          <t>5.15-5.21</t>
        </is>
      </c>
      <c r="B1379" s="16" t="inlineStr">
        <is>
          <t>PO-128-03861479383671142</t>
        </is>
      </c>
      <c r="C1379" s="16" t="inlineStr">
        <is>
          <t>Shipped</t>
        </is>
      </c>
      <c r="D1379" s="16" t="inlineStr">
        <is>
          <t>128-03861500355191142</t>
        </is>
      </c>
      <c r="E1379" s="16" t="inlineStr">
        <is>
          <t>Shipped</t>
        </is>
      </c>
      <c r="F1379" s="16" t="inlineStr">
        <is>
          <t>B03W10-10PZS</t>
        </is>
      </c>
      <c r="G137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379" s="16" t="inlineStr">
        <is>
          <t>B03W10</t>
        </is>
      </c>
      <c r="I1379" s="16" t="n">
        <v>2</v>
      </c>
      <c r="J1379" s="17" t="n">
        <v>154</v>
      </c>
      <c r="K1379" s="17" t="n">
        <v>157.4</v>
      </c>
      <c r="L1379" s="17" t="n">
        <v>25.86</v>
      </c>
      <c r="M1379" s="17" t="n">
        <v>0</v>
      </c>
      <c r="N1379" s="17">
        <f>K1379*0.08+L1379*0.08</f>
        <v/>
      </c>
      <c r="O1379" s="17">
        <f>-(K1379*0.025+L1379*0.025)</f>
        <v/>
      </c>
      <c r="P1379" s="17">
        <f>32</f>
        <v/>
      </c>
      <c r="Q1379" s="17">
        <f>J1379+L1379+N1379+O1379-P1379-M1379</f>
        <v/>
      </c>
    </row>
    <row r="1380">
      <c r="A1380" s="16" t="inlineStr">
        <is>
          <t>5.15-5.21</t>
        </is>
      </c>
      <c r="B1380" s="16" t="inlineStr">
        <is>
          <t>PO-128-03532608481914001</t>
        </is>
      </c>
      <c r="C1380" s="16" t="inlineStr">
        <is>
          <t>Shipped</t>
        </is>
      </c>
      <c r="D1380" s="16" t="inlineStr">
        <is>
          <t>128-03532597996154001</t>
        </is>
      </c>
      <c r="E1380" s="16" t="inlineStr">
        <is>
          <t>Shipped</t>
        </is>
      </c>
      <c r="F1380" s="16" t="inlineStr">
        <is>
          <t>LV64W25</t>
        </is>
      </c>
      <c r="G13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80" s="16" t="inlineStr">
        <is>
          <t>Blanco</t>
        </is>
      </c>
      <c r="I1380" s="16" t="n">
        <v>1</v>
      </c>
      <c r="J1380" s="17" t="n">
        <v>125</v>
      </c>
      <c r="K1380" s="17" t="n">
        <v>143.26</v>
      </c>
      <c r="L1380" s="17" t="n">
        <v>25.86</v>
      </c>
      <c r="M1380" s="17" t="n">
        <v>0</v>
      </c>
      <c r="N1380" s="17">
        <f>K1380*0.08+L1380*0.08</f>
        <v/>
      </c>
      <c r="O1380" s="17">
        <f>-(K1380*0.025+L1380*0.025)</f>
        <v/>
      </c>
      <c r="P1380" s="17">
        <f>32</f>
        <v/>
      </c>
      <c r="Q1380" s="17">
        <f>J1380+L1380+N1380+O1380-P1380-M1380</f>
        <v/>
      </c>
    </row>
    <row r="1381">
      <c r="A1381" s="16" t="inlineStr">
        <is>
          <t>5.15-5.21</t>
        </is>
      </c>
      <c r="B1381" s="16" t="inlineStr">
        <is>
          <t>PO-128-03974762885750277</t>
        </is>
      </c>
      <c r="C1381" s="16" t="inlineStr">
        <is>
          <t>Shipped</t>
        </is>
      </c>
      <c r="D1381" s="16" t="inlineStr">
        <is>
          <t>128-03974705214070277</t>
        </is>
      </c>
      <c r="E1381" s="16" t="inlineStr">
        <is>
          <t>Shipped</t>
        </is>
      </c>
      <c r="F1381" s="16" t="inlineStr">
        <is>
          <t>KTS-2031</t>
        </is>
      </c>
      <c r="G1381" s="16" t="inlineStr">
        <is>
          <t>Bocina inalámbrica de 3 pulgadas con linterna multifuncional y panel solar integrado.Altavoz Portátil con Linterna LED 4 Modos, Radio FM, Bluetooth, Carga Solar, Ideal para Apagones, Emergencias, Campo y Exteriores</t>
        </is>
      </c>
      <c r="H1381" s="16" t="inlineStr">
        <is>
          <t>NEGRO</t>
        </is>
      </c>
      <c r="I1381" s="16" t="n">
        <v>1</v>
      </c>
      <c r="J1381" s="17" t="n">
        <v>77</v>
      </c>
      <c r="K1381" s="17" t="n">
        <v>86.22</v>
      </c>
      <c r="L1381" s="17" t="n">
        <v>25.86</v>
      </c>
      <c r="M1381" s="17" t="n">
        <v>0</v>
      </c>
      <c r="N1381" s="17">
        <f>K1381*0.08+L1381*0.08</f>
        <v/>
      </c>
      <c r="O1381" s="17">
        <f>-(K1381*0.025+L1381*0.025)</f>
        <v/>
      </c>
      <c r="P1381" s="17">
        <f>32</f>
        <v/>
      </c>
      <c r="Q1381" s="17">
        <f>J1381+L1381+N1381+O1381-P1381-M1381</f>
        <v/>
      </c>
    </row>
    <row r="1382">
      <c r="A1382" s="16" t="inlineStr">
        <is>
          <t>5.15-5.21</t>
        </is>
      </c>
      <c r="B1382" s="16" t="inlineStr">
        <is>
          <t>PO-128-03558362276473911</t>
        </is>
      </c>
      <c r="C1382" s="16" t="inlineStr">
        <is>
          <t>Shipped</t>
        </is>
      </c>
      <c r="D1382" s="16" t="inlineStr">
        <is>
          <t>128-03558341304953911</t>
        </is>
      </c>
      <c r="E1382" s="16" t="inlineStr">
        <is>
          <t>Shipped</t>
        </is>
      </c>
      <c r="F1382" s="16" t="inlineStr">
        <is>
          <t>TL1455N20B</t>
        </is>
      </c>
      <c r="G1382" s="16" t="inlineStr">
        <is>
          <t>LINK BITS Soporte para TV 14 A 55 Pulgadas, Base para TV Pantalla Articulado Inclinable y Giratorio, MAX VESA 400×400 mm, Soporta hasta 18kg, adaptarse a la mayoría de los televisores de 14 Pulgadas/20 Pulgadas/32 Pulgadas/42 Pulgadas/55 pulgadas</t>
        </is>
      </c>
      <c r="H1382" s="16" t="inlineStr">
        <is>
          <t>TL1455N20B</t>
        </is>
      </c>
      <c r="I1382" s="16" t="n">
        <v>1</v>
      </c>
      <c r="J1382" s="17" t="n">
        <v>71</v>
      </c>
      <c r="K1382" s="17" t="n">
        <v>92.06</v>
      </c>
      <c r="L1382" s="17" t="n">
        <v>25.86</v>
      </c>
      <c r="M1382" s="17" t="n">
        <v>0</v>
      </c>
      <c r="N1382" s="17">
        <f>K1382*0.08+L1382*0.08</f>
        <v/>
      </c>
      <c r="O1382" s="17">
        <f>-(K1382*0.025+L1382*0.025)</f>
        <v/>
      </c>
      <c r="P1382" s="17">
        <f>32</f>
        <v/>
      </c>
      <c r="Q1382" s="17">
        <f>J1382+L1382+N1382+O1382-P1382-M1382</f>
        <v/>
      </c>
    </row>
    <row r="1383">
      <c r="A1383" s="16" t="inlineStr">
        <is>
          <t>5.15-5.21</t>
        </is>
      </c>
      <c r="B1383" s="16" t="inlineStr">
        <is>
          <t>PO-128-03910648463991683</t>
        </is>
      </c>
      <c r="C1383" s="16" t="inlineStr">
        <is>
          <t>Shipped</t>
        </is>
      </c>
      <c r="D1383" s="16" t="inlineStr">
        <is>
          <t>128-03910690407031683</t>
        </is>
      </c>
      <c r="E1383" s="16" t="inlineStr">
        <is>
          <t>Shipped</t>
        </is>
      </c>
      <c r="F1383" s="16" t="inlineStr">
        <is>
          <t>TL2663N18C</t>
        </is>
      </c>
      <c r="G1383" s="16" t="inlineStr">
        <is>
          <t>Linkbits，Soporte de pared fijo para televisores de 26"-63", Ultra-Delgado Compatible con VESA 400x400mm, Capacidad de Peso Fuerte de 25KG, Instalación Fácil Sin Electricidad</t>
        </is>
      </c>
      <c r="H1383" s="16" t="inlineStr">
        <is>
          <t>NEGRO</t>
        </is>
      </c>
      <c r="I1383" s="16" t="n">
        <v>4</v>
      </c>
      <c r="J1383" s="17" t="n">
        <v>215.2</v>
      </c>
      <c r="K1383" s="17" t="n">
        <v>275.08</v>
      </c>
      <c r="L1383" s="17" t="n">
        <v>0</v>
      </c>
      <c r="M1383" s="17" t="n">
        <v>0</v>
      </c>
      <c r="N1383" s="17">
        <f>K1383*0.08+L1383*0.08</f>
        <v/>
      </c>
      <c r="O1383" s="17">
        <f>-(K1383*0.025+L1383*0.025)</f>
        <v/>
      </c>
      <c r="P1383" s="17">
        <f>32</f>
        <v/>
      </c>
      <c r="Q1383" s="17">
        <f>J1383+L1383+N1383+O1383-P1383-M1383</f>
        <v/>
      </c>
    </row>
    <row r="1384">
      <c r="A1384" s="16" t="inlineStr">
        <is>
          <t>5.15-5.21</t>
        </is>
      </c>
      <c r="B1384" s="16" t="inlineStr">
        <is>
          <t>PO-128-03864321915511127</t>
        </is>
      </c>
      <c r="C1384" s="16" t="inlineStr">
        <is>
          <t>Shipped</t>
        </is>
      </c>
      <c r="D1384" s="16" t="inlineStr">
        <is>
          <t>128-03864426773111127</t>
        </is>
      </c>
      <c r="E1384" s="16" t="inlineStr">
        <is>
          <t>Shipped</t>
        </is>
      </c>
      <c r="F1384" s="16" t="inlineStr">
        <is>
          <t>LV54W25</t>
        </is>
      </c>
      <c r="G1384" s="16" t="inlineStr">
        <is>
          <t>TIANLAI Lámpara Ventilador E27 2 en 1, Silenciosa, LED Alta Luminosidad 180°, Instalación Rápida, Ahorro Energético para Dormitorio y Interiores Pequeños</t>
        </is>
      </c>
      <c r="H1384" s="16" t="inlineStr">
        <is>
          <t>1 Pieza</t>
        </is>
      </c>
      <c r="I1384" s="16" t="n">
        <v>1</v>
      </c>
      <c r="J1384" s="17" t="n">
        <v>76</v>
      </c>
      <c r="K1384" s="17" t="n">
        <v>78.04000000000001</v>
      </c>
      <c r="L1384" s="17" t="n">
        <v>25.86</v>
      </c>
      <c r="M1384" s="17" t="n">
        <v>0</v>
      </c>
      <c r="N1384" s="17">
        <f>K1384*0.08+L1384*0.08</f>
        <v/>
      </c>
      <c r="O1384" s="17">
        <f>-(K1384*0.025+L1384*0.025)</f>
        <v/>
      </c>
      <c r="P1384" s="17">
        <f>32</f>
        <v/>
      </c>
      <c r="Q1384" s="17">
        <f>J1384+L1384+N1384+O1384-P1384-M1384</f>
        <v/>
      </c>
    </row>
    <row r="1385">
      <c r="A1385" s="16" t="inlineStr">
        <is>
          <t>5.15-5.21</t>
        </is>
      </c>
      <c r="B1385" s="16" t="inlineStr">
        <is>
          <t>PO-128-04115351511670591</t>
        </is>
      </c>
      <c r="C1385" s="16" t="inlineStr">
        <is>
          <t>Shipped</t>
        </is>
      </c>
      <c r="D1385" s="16" t="inlineStr">
        <is>
          <t>128-04115330540150591</t>
        </is>
      </c>
      <c r="E1385" s="16" t="inlineStr">
        <is>
          <t>Shipped</t>
        </is>
      </c>
      <c r="F1385" s="16" t="inlineStr">
        <is>
          <t>KTS-2031</t>
        </is>
      </c>
      <c r="G1385" s="16" t="inlineStr">
        <is>
          <t>Bocina inalámbrica de 3 pulgadas con linterna multifuncional y panel solar integrado.Altavoz Portátil con Linterna LED 4 Modos, Radio FM, Bluetooth, Carga Solar, Ideal para Apagones, Emergencias, Campo y Exteriores</t>
        </is>
      </c>
      <c r="H1385" s="16" t="inlineStr">
        <is>
          <t>NEGRO</t>
        </is>
      </c>
      <c r="I1385" s="16" t="n">
        <v>1</v>
      </c>
      <c r="J1385" s="17" t="n">
        <v>77</v>
      </c>
      <c r="K1385" s="17" t="n">
        <v>86.22</v>
      </c>
      <c r="L1385" s="17" t="n">
        <v>25.86</v>
      </c>
      <c r="M1385" s="17" t="n">
        <v>0</v>
      </c>
      <c r="N1385" s="17">
        <f>K1385*0.08+L1385*0.08</f>
        <v/>
      </c>
      <c r="O1385" s="17">
        <f>-(K1385*0.025+L1385*0.025)</f>
        <v/>
      </c>
      <c r="P1385" s="17">
        <f>32</f>
        <v/>
      </c>
      <c r="Q1385" s="17">
        <f>J1385+L1385+N1385+O1385-P1385-M1385</f>
        <v/>
      </c>
    </row>
    <row r="1386">
      <c r="A1386" s="16" t="inlineStr">
        <is>
          <t>5.15-5.21</t>
        </is>
      </c>
      <c r="B1386" s="16" t="inlineStr">
        <is>
          <t>PO-128-03929403495031763</t>
        </is>
      </c>
      <c r="C1386" s="16" t="inlineStr">
        <is>
          <t>Shipped</t>
        </is>
      </c>
      <c r="D1386" s="16" t="inlineStr">
        <is>
          <t>128-03929412014711763</t>
        </is>
      </c>
      <c r="E1386" s="16" t="inlineStr">
        <is>
          <t>Shipped</t>
        </is>
      </c>
      <c r="F1386" s="16" t="inlineStr">
        <is>
          <t>LV54W25</t>
        </is>
      </c>
      <c r="G1386" s="16" t="inlineStr">
        <is>
          <t>TIANLAI Lámpara Ventilador E27 2 en 1, Silenciosa, LED Alta Luminosidad 180°, Instalación Rápida, Ahorro Energético para Dormitorio y Interiores Pequeños</t>
        </is>
      </c>
      <c r="H1386" s="16" t="inlineStr">
        <is>
          <t>1 Pieza</t>
        </is>
      </c>
      <c r="I1386" s="16" t="n">
        <v>1</v>
      </c>
      <c r="J1386" s="17" t="n">
        <v>76</v>
      </c>
      <c r="K1386" s="17" t="n">
        <v>66.13</v>
      </c>
      <c r="L1386" s="17" t="n">
        <v>25.86</v>
      </c>
      <c r="M1386" s="17" t="n">
        <v>1.51</v>
      </c>
      <c r="N1386" s="17">
        <f>K1386*0.08+L1386*0.08</f>
        <v/>
      </c>
      <c r="O1386" s="17">
        <f>-(K1386*0.025+L1386*0.025)</f>
        <v/>
      </c>
      <c r="P1386" s="17">
        <f>32</f>
        <v/>
      </c>
      <c r="Q1386" s="17">
        <f>J1386+L1386+N1386+O1386-P1386-M1386</f>
        <v/>
      </c>
    </row>
    <row r="1387">
      <c r="A1387" s="16" t="inlineStr">
        <is>
          <t>5.15-5.21</t>
        </is>
      </c>
      <c r="B1387" s="16" t="inlineStr">
        <is>
          <t>PO-128-03654864077432182</t>
        </is>
      </c>
      <c r="C1387" s="16" t="inlineStr">
        <is>
          <t>Shipped</t>
        </is>
      </c>
      <c r="D1387" s="16" t="inlineStr">
        <is>
          <t>128-03654885048952182</t>
        </is>
      </c>
      <c r="E1387" s="16" t="inlineStr">
        <is>
          <t>Shipped</t>
        </is>
      </c>
      <c r="F1387" s="16" t="inlineStr">
        <is>
          <t>LV64W25</t>
        </is>
      </c>
      <c r="G13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87" s="16" t="inlineStr">
        <is>
          <t>Blanco</t>
        </is>
      </c>
      <c r="I1387" s="16" t="n">
        <v>1</v>
      </c>
      <c r="J1387" s="17" t="n">
        <v>125</v>
      </c>
      <c r="K1387" s="17" t="n">
        <v>143.26</v>
      </c>
      <c r="L1387" s="17" t="n">
        <v>25.86</v>
      </c>
      <c r="M1387" s="17" t="n">
        <v>0</v>
      </c>
      <c r="N1387" s="17">
        <f>K1387*0.08+L1387*0.08</f>
        <v/>
      </c>
      <c r="O1387" s="17">
        <f>-(K1387*0.025+L1387*0.025)</f>
        <v/>
      </c>
      <c r="P1387" s="17">
        <f>32</f>
        <v/>
      </c>
      <c r="Q1387" s="17">
        <f>J1387+L1387+N1387+O1387-P1387-M1387</f>
        <v/>
      </c>
    </row>
    <row r="1388">
      <c r="A1388" s="16" t="inlineStr">
        <is>
          <t>5.15-5.21</t>
        </is>
      </c>
      <c r="B1388" s="16" t="inlineStr">
        <is>
          <t>PO-128-04090394302070674</t>
        </is>
      </c>
      <c r="C1388" s="16" t="inlineStr">
        <is>
          <t>Shipped</t>
        </is>
      </c>
      <c r="D1388" s="16" t="inlineStr">
        <is>
          <t>128-04090331387510674</t>
        </is>
      </c>
      <c r="E1388" s="16" t="inlineStr">
        <is>
          <t>Shipped</t>
        </is>
      </c>
      <c r="F1388" s="16" t="inlineStr">
        <is>
          <t>VB349T</t>
        </is>
      </c>
      <c r="G1388" s="16" t="inlineStr">
        <is>
          <t>LINKBITS Altavoz Portátil de Doble Altavoz - 3 Pulgadas, Sonido HD, Emparejamiento Rápido de Bluetooth, Conectividad TWS, Reproducción Multimodo (Micro SD/USB/Radio FM) - Perfecto para Oficina, Viajes y Espacios Pequeños</t>
        </is>
      </c>
      <c r="H1388" s="16" t="inlineStr">
        <is>
          <t>NEGRO</t>
        </is>
      </c>
      <c r="I1388" s="16" t="n">
        <v>1</v>
      </c>
      <c r="J1388" s="17" t="n">
        <v>81</v>
      </c>
      <c r="K1388" s="17" t="n">
        <v>94.26000000000001</v>
      </c>
      <c r="L1388" s="17" t="n">
        <v>25.86</v>
      </c>
      <c r="M1388" s="17" t="n">
        <v>0</v>
      </c>
      <c r="N1388" s="17">
        <f>K1388*0.08+L1388*0.08</f>
        <v/>
      </c>
      <c r="O1388" s="17">
        <f>-(K1388*0.025+L1388*0.025)</f>
        <v/>
      </c>
      <c r="P1388" s="17">
        <f>32</f>
        <v/>
      </c>
      <c r="Q1388" s="17">
        <f>J1388+L1388+N1388+O1388-P1388-M1388</f>
        <v/>
      </c>
    </row>
    <row r="1389">
      <c r="A1389" s="16" t="inlineStr">
        <is>
          <t>5.15-5.21</t>
        </is>
      </c>
      <c r="B1389" s="16" t="inlineStr">
        <is>
          <t>PO-128-03511770696313165</t>
        </is>
      </c>
      <c r="C1389" s="16" t="inlineStr">
        <is>
          <t>Shipped</t>
        </is>
      </c>
      <c r="D1389" s="16" t="inlineStr">
        <is>
          <t>128-03511785441913165</t>
        </is>
      </c>
      <c r="E1389" s="16" t="inlineStr">
        <is>
          <t>Shipped</t>
        </is>
      </c>
      <c r="F1389" s="16" t="inlineStr">
        <is>
          <t>LV54W25</t>
        </is>
      </c>
      <c r="G1389" s="16" t="inlineStr">
        <is>
          <t>TIANLAI Lámpara Ventilador E27 2 en 1, Silenciosa, LED Alta Luminosidad 180°, Instalación Rápida, Ahorro Energético para Dormitorio y Interiores Pequeños</t>
        </is>
      </c>
      <c r="H1389" s="16" t="inlineStr">
        <is>
          <t>1 Pieza</t>
        </is>
      </c>
      <c r="I1389" s="16" t="n">
        <v>2</v>
      </c>
      <c r="J1389" s="17" t="n">
        <v>152</v>
      </c>
      <c r="K1389" s="17" t="n">
        <v>156.08</v>
      </c>
      <c r="L1389" s="17" t="n">
        <v>25.86</v>
      </c>
      <c r="M1389" s="17" t="n">
        <v>0</v>
      </c>
      <c r="N1389" s="17">
        <f>K1389*0.08+L1389*0.08</f>
        <v/>
      </c>
      <c r="O1389" s="17">
        <f>-(K1389*0.025+L1389*0.025)</f>
        <v/>
      </c>
      <c r="P1389" s="17">
        <f>32</f>
        <v/>
      </c>
      <c r="Q1389" s="17">
        <f>J1389+L1389+N1389+O1389-P1389-M1389</f>
        <v/>
      </c>
    </row>
    <row r="1390">
      <c r="A1390" s="16" t="inlineStr">
        <is>
          <t>5.15-5.21</t>
        </is>
      </c>
      <c r="B1390" s="16" t="inlineStr">
        <is>
          <t>PO-128-03611493622392440</t>
        </is>
      </c>
      <c r="C1390" s="16" t="inlineStr">
        <is>
          <t>Shipped</t>
        </is>
      </c>
      <c r="D1390" s="16" t="inlineStr">
        <is>
          <t>128-03611514593912440</t>
        </is>
      </c>
      <c r="E1390" s="16" t="inlineStr">
        <is>
          <t>Shipped</t>
        </is>
      </c>
      <c r="F1390" s="16" t="inlineStr">
        <is>
          <t>TL2663N18C</t>
        </is>
      </c>
      <c r="G1390" s="16" t="inlineStr">
        <is>
          <t>Linkbits，Soporte de pared fijo para televisores de 26"-63", Ultra-Delgado Compatible con VESA 400x400mm, Capacidad de Peso Fuerte de 25KG, Instalación Fácil Sin Electricidad</t>
        </is>
      </c>
      <c r="H1390" s="16" t="inlineStr">
        <is>
          <t>NEGRO</t>
        </is>
      </c>
      <c r="I1390" s="16" t="n">
        <v>4</v>
      </c>
      <c r="J1390" s="17" t="n">
        <v>215.2</v>
      </c>
      <c r="K1390" s="17" t="n">
        <v>240.83</v>
      </c>
      <c r="L1390" s="17" t="n">
        <v>0</v>
      </c>
      <c r="M1390" s="17" t="n">
        <v>0</v>
      </c>
      <c r="N1390" s="17">
        <f>K1390*0.08+L1390*0.08</f>
        <v/>
      </c>
      <c r="O1390" s="17">
        <f>-(K1390*0.025+L1390*0.025)</f>
        <v/>
      </c>
      <c r="P1390" s="17">
        <f>32</f>
        <v/>
      </c>
      <c r="Q1390" s="17">
        <f>J1390+L1390+N1390+O1390-P1390-M1390</f>
        <v/>
      </c>
    </row>
    <row r="1391">
      <c r="A1391" s="16" t="inlineStr">
        <is>
          <t>5.15-5.21</t>
        </is>
      </c>
      <c r="B1391" s="16" t="inlineStr">
        <is>
          <t>PO-128-03544454185593864</t>
        </is>
      </c>
      <c r="C1391" s="16" t="inlineStr">
        <is>
          <t>Shipped</t>
        </is>
      </c>
      <c r="D1391" s="16" t="inlineStr">
        <is>
          <t>128-03544506614393864</t>
        </is>
      </c>
      <c r="E1391" s="16" t="inlineStr">
        <is>
          <t>Shipped</t>
        </is>
      </c>
      <c r="F1391" s="16" t="inlineStr">
        <is>
          <t>VB349T</t>
        </is>
      </c>
      <c r="G1391" s="16" t="inlineStr">
        <is>
          <t>LINKBITS Altavoz Portátil de Doble Altavoz - 3 Pulgadas, Sonido HD, Emparejamiento Rápido de Bluetooth, Conectividad TWS, Reproducción Multimodo (Micro SD/USB/Radio FM) - Perfecto para Oficina, Viajes y Espacios Pequeños</t>
        </is>
      </c>
      <c r="H1391" s="16" t="inlineStr">
        <is>
          <t>NEGRO</t>
        </is>
      </c>
      <c r="I1391" s="16" t="n">
        <v>1</v>
      </c>
      <c r="J1391" s="17" t="n">
        <v>81</v>
      </c>
      <c r="K1391" s="17" t="n">
        <v>94.26000000000001</v>
      </c>
      <c r="L1391" s="17" t="n">
        <v>25.86</v>
      </c>
      <c r="M1391" s="17" t="n">
        <v>0</v>
      </c>
      <c r="N1391" s="17">
        <f>K1391*0.08+L1391*0.08</f>
        <v/>
      </c>
      <c r="O1391" s="17">
        <f>-(K1391*0.025+L1391*0.025)</f>
        <v/>
      </c>
      <c r="P1391" s="17">
        <f>32</f>
        <v/>
      </c>
      <c r="Q1391" s="17">
        <f>J1391+L1391+N1391+O1391-P1391-M1391</f>
        <v/>
      </c>
    </row>
    <row r="1392">
      <c r="A1392" s="16" t="inlineStr">
        <is>
          <t>5.15-5.21</t>
        </is>
      </c>
      <c r="B1392" s="16" t="inlineStr">
        <is>
          <t>PO-128-03690056233592164</t>
        </is>
      </c>
      <c r="C1392" s="16" t="inlineStr">
        <is>
          <t>Shipped</t>
        </is>
      </c>
      <c r="D1392" s="16" t="inlineStr">
        <is>
          <t>128-03690045747832164</t>
        </is>
      </c>
      <c r="E1392" s="16" t="inlineStr">
        <is>
          <t>Shipped</t>
        </is>
      </c>
      <c r="F1392" s="16" t="inlineStr">
        <is>
          <t>LV54W25</t>
        </is>
      </c>
      <c r="G1392" s="16" t="inlineStr">
        <is>
          <t>TIANLAI Lámpara Ventilador E27 2 en 1, Silenciosa, LED Alta Luminosidad 180°, Instalación Rápida, Ahorro Energético para Dormitorio y Interiores Pequeños</t>
        </is>
      </c>
      <c r="H1392" s="16" t="inlineStr">
        <is>
          <t>1 Pieza</t>
        </is>
      </c>
      <c r="I1392" s="16" t="n">
        <v>1</v>
      </c>
      <c r="J1392" s="17" t="n">
        <v>76</v>
      </c>
      <c r="K1392" s="17" t="n">
        <v>78.91</v>
      </c>
      <c r="L1392" s="17" t="n">
        <v>25.86</v>
      </c>
      <c r="M1392" s="17" t="n">
        <v>0</v>
      </c>
      <c r="N1392" s="17">
        <f>K1392*0.08+L1392*0.08</f>
        <v/>
      </c>
      <c r="O1392" s="17">
        <f>-(K1392*0.025+L1392*0.025)</f>
        <v/>
      </c>
      <c r="P1392" s="17">
        <f>32</f>
        <v/>
      </c>
      <c r="Q1392" s="17">
        <f>J1392+L1392+N1392+O1392-P1392-M1392</f>
        <v/>
      </c>
    </row>
    <row r="1393">
      <c r="A1393" s="16" t="inlineStr">
        <is>
          <t>5.15-5.21</t>
        </is>
      </c>
      <c r="B1393" s="16" t="inlineStr">
        <is>
          <t>PO-128-04106332365430517</t>
        </is>
      </c>
      <c r="C1393" s="16" t="inlineStr">
        <is>
          <t>Shipped</t>
        </is>
      </c>
      <c r="D1393" s="16" t="inlineStr">
        <is>
          <t>128-04106353336950517</t>
        </is>
      </c>
      <c r="E1393" s="16" t="inlineStr">
        <is>
          <t>Shipped</t>
        </is>
      </c>
      <c r="F1393" s="16" t="inlineStr">
        <is>
          <t>KTS-2031</t>
        </is>
      </c>
      <c r="G1393" s="16" t="inlineStr">
        <is>
          <t>Bocina inalámbrica de 3 pulgadas con linterna multifuncional y panel solar integrado.Altavoz Portátil con Linterna LED 4 Modos, Radio FM, Bluetooth, Carga Solar, Ideal para Apagones, Emergencias, Campo y Exteriores</t>
        </is>
      </c>
      <c r="H1393" s="16" t="inlineStr">
        <is>
          <t>NEGRO</t>
        </is>
      </c>
      <c r="I1393" s="16" t="n">
        <v>1</v>
      </c>
      <c r="J1393" s="17" t="n">
        <v>77</v>
      </c>
      <c r="K1393" s="17" t="n">
        <v>86.22</v>
      </c>
      <c r="L1393" s="17" t="n">
        <v>25.86</v>
      </c>
      <c r="M1393" s="17" t="n">
        <v>0</v>
      </c>
      <c r="N1393" s="17">
        <f>K1393*0.08+L1393*0.08</f>
        <v/>
      </c>
      <c r="O1393" s="17">
        <f>-(K1393*0.025+L1393*0.025)</f>
        <v/>
      </c>
      <c r="P1393" s="17">
        <f>32</f>
        <v/>
      </c>
      <c r="Q1393" s="17">
        <f>J1393+L1393+N1393+O1393-P1393-M1393</f>
        <v/>
      </c>
    </row>
    <row r="1394">
      <c r="A1394" s="16" t="inlineStr">
        <is>
          <t>5.15-5.21</t>
        </is>
      </c>
      <c r="B1394" s="16" t="inlineStr">
        <is>
          <t>PO-128-03577672796793794</t>
        </is>
      </c>
      <c r="C1394" s="16" t="inlineStr">
        <is>
          <t>Shipped</t>
        </is>
      </c>
      <c r="D1394" s="16" t="inlineStr">
        <is>
          <t>128-03577725225593794</t>
        </is>
      </c>
      <c r="E1394" s="16" t="inlineStr">
        <is>
          <t>Shipped</t>
        </is>
      </c>
      <c r="F1394" s="16" t="inlineStr">
        <is>
          <t>i12-B</t>
        </is>
      </c>
      <c r="G1394" s="16" t="inlineStr">
        <is>
          <t>Auriculares Inalámbricos TWS - Ideales para Usuarios Android e iPhone, Entusiastas del Deporte &amp; Música, Controles Táctiles, Audífonos Para Correr y Jugar</t>
        </is>
      </c>
      <c r="H1394" s="16" t="inlineStr">
        <is>
          <t>Blanco</t>
        </is>
      </c>
      <c r="I1394" s="16" t="n">
        <v>1</v>
      </c>
      <c r="J1394" s="17" t="n">
        <v>44.8</v>
      </c>
      <c r="K1394" s="17" t="n">
        <v>60.97</v>
      </c>
      <c r="L1394" s="17" t="n">
        <v>25.86</v>
      </c>
      <c r="M1394" s="17" t="n">
        <v>0</v>
      </c>
      <c r="N1394" s="17">
        <f>K1394*0.08+L1394*0.08</f>
        <v/>
      </c>
      <c r="O1394" s="17">
        <f>-(K1394*0.025+L1394*0.025)</f>
        <v/>
      </c>
      <c r="P1394" s="17">
        <f>32</f>
        <v/>
      </c>
      <c r="Q1394" s="17">
        <f>J1394+L1394+N1394+O1394-P1394-M1394</f>
        <v/>
      </c>
    </row>
    <row r="1395">
      <c r="A1395" s="16" t="inlineStr">
        <is>
          <t>5.15-5.21</t>
        </is>
      </c>
      <c r="B1395" s="16" t="inlineStr">
        <is>
          <t>PO-128-03909794145911686</t>
        </is>
      </c>
      <c r="C1395" s="16" t="inlineStr">
        <is>
          <t>Shipped</t>
        </is>
      </c>
      <c r="D1395" s="16" t="inlineStr">
        <is>
          <t>128-03909773174391686</t>
        </is>
      </c>
      <c r="E1395" s="16" t="inlineStr">
        <is>
          <t>Shipped</t>
        </is>
      </c>
      <c r="F1395" s="16" t="inlineStr">
        <is>
          <t>LV54W25</t>
        </is>
      </c>
      <c r="G1395" s="16" t="inlineStr">
        <is>
          <t>TIANLAI Lámpara Ventilador E27 2 en 1, Silenciosa, LED Alta Luminosidad 180°, Instalación Rápida, Ahorro Energético para Dormitorio y Interiores Pequeños</t>
        </is>
      </c>
      <c r="H1395" s="16" t="inlineStr">
        <is>
          <t>1 Pieza</t>
        </is>
      </c>
      <c r="I1395" s="16" t="n">
        <v>1</v>
      </c>
      <c r="J1395" s="17" t="n">
        <v>76</v>
      </c>
      <c r="K1395" s="17" t="n">
        <v>78.04000000000001</v>
      </c>
      <c r="L1395" s="17" t="n">
        <v>25.86</v>
      </c>
      <c r="M1395" s="17" t="n">
        <v>0</v>
      </c>
      <c r="N1395" s="17">
        <f>K1395*0.08+L1395*0.08</f>
        <v/>
      </c>
      <c r="O1395" s="17">
        <f>-(K1395*0.025+L1395*0.025)</f>
        <v/>
      </c>
      <c r="P1395" s="17">
        <f>32</f>
        <v/>
      </c>
      <c r="Q1395" s="17">
        <f>J1395+L1395+N1395+O1395-P1395-M1395</f>
        <v/>
      </c>
    </row>
    <row r="1396">
      <c r="A1396" s="16" t="inlineStr">
        <is>
          <t>5.15-5.21</t>
        </is>
      </c>
      <c r="B1396" s="16" t="inlineStr">
        <is>
          <t>PO-128-03570642724473772</t>
        </is>
      </c>
      <c r="C1396" s="16" t="inlineStr">
        <is>
          <t>Shipped</t>
        </is>
      </c>
      <c r="D1396" s="16" t="inlineStr">
        <is>
          <t>128-03570568832633772</t>
        </is>
      </c>
      <c r="E1396" s="16" t="inlineStr">
        <is>
          <t>Shipped</t>
        </is>
      </c>
      <c r="F1396" s="16" t="inlineStr">
        <is>
          <t>KTS-2031</t>
        </is>
      </c>
      <c r="G1396" s="16" t="inlineStr">
        <is>
          <t>Bocina inalámbrica de 3 pulgadas con linterna multifuncional y panel solar integrado.Altavoz Portátil con Linterna LED 4 Modos, Radio FM, Bluetooth, Carga Solar, Ideal para Apagones, Emergencias, Campo y Exteriores</t>
        </is>
      </c>
      <c r="H1396" s="16" t="inlineStr">
        <is>
          <t>NEGRO</t>
        </is>
      </c>
      <c r="I1396" s="16" t="n">
        <v>1</v>
      </c>
      <c r="J1396" s="17" t="n">
        <v>77</v>
      </c>
      <c r="K1396" s="17" t="n">
        <v>81.75</v>
      </c>
      <c r="L1396" s="17" t="n">
        <v>25.86</v>
      </c>
      <c r="M1396" s="17" t="n">
        <v>0</v>
      </c>
      <c r="N1396" s="17">
        <f>K1396*0.08+L1396*0.08</f>
        <v/>
      </c>
      <c r="O1396" s="17">
        <f>-(K1396*0.025+L1396*0.025)</f>
        <v/>
      </c>
      <c r="P1396" s="17">
        <f>32</f>
        <v/>
      </c>
      <c r="Q1396" s="17">
        <f>J1396+L1396+N1396+O1396-P1396-M1396</f>
        <v/>
      </c>
    </row>
    <row r="1397">
      <c r="A1397" s="16" t="inlineStr">
        <is>
          <t>5.15-5.21</t>
        </is>
      </c>
      <c r="B1397" s="16" t="inlineStr">
        <is>
          <t>PO-128-03580488361593779</t>
        </is>
      </c>
      <c r="C1397" s="16" t="inlineStr">
        <is>
          <t>Shipped</t>
        </is>
      </c>
      <c r="D1397" s="16" t="inlineStr">
        <is>
          <t>128-03580456904313779</t>
        </is>
      </c>
      <c r="E1397" s="16" t="inlineStr">
        <is>
          <t>Shipped</t>
        </is>
      </c>
      <c r="F1397" s="16" t="inlineStr">
        <is>
          <t>TL1455N20B</t>
        </is>
      </c>
      <c r="G1397" s="16" t="inlineStr">
        <is>
          <t>LINK BITS Soporte para TV 14 A 55 Pulgadas, Base para TV Pantalla Articulado Inclinable y Giratorio, MAX VESA 400×400 mm, Soporta hasta 18kg, adaptarse a la mayoría de los televisores de 14 Pulgadas/20 Pulgadas/32 Pulgadas/42 Pulgadas/55 pulgadas</t>
        </is>
      </c>
      <c r="H1397" s="16" t="inlineStr">
        <is>
          <t>TL1455N20B</t>
        </is>
      </c>
      <c r="I1397" s="16" t="n">
        <v>1</v>
      </c>
      <c r="J1397" s="17" t="n">
        <v>71</v>
      </c>
      <c r="K1397" s="17" t="n">
        <v>92.06</v>
      </c>
      <c r="L1397" s="17" t="n">
        <v>25.86</v>
      </c>
      <c r="M1397" s="17" t="n">
        <v>0</v>
      </c>
      <c r="N1397" s="17">
        <f>K1397*0.08+L1397*0.08</f>
        <v/>
      </c>
      <c r="O1397" s="17">
        <f>-(K1397*0.025+L1397*0.025)</f>
        <v/>
      </c>
      <c r="P1397" s="17">
        <f>32</f>
        <v/>
      </c>
      <c r="Q1397" s="17">
        <f>J1397+L1397+N1397+O1397-P1397-M1397</f>
        <v/>
      </c>
    </row>
    <row r="1398">
      <c r="A1398" s="16" t="inlineStr">
        <is>
          <t>5.15-5.21</t>
        </is>
      </c>
      <c r="B1398" s="16" t="inlineStr">
        <is>
          <t>PO-128-03805203850871286</t>
        </is>
      </c>
      <c r="C1398" s="16" t="inlineStr">
        <is>
          <t>Shipped</t>
        </is>
      </c>
      <c r="D1398" s="16" t="inlineStr">
        <is>
          <t>128-03805161907831286</t>
        </is>
      </c>
      <c r="E1398" s="16" t="inlineStr">
        <is>
          <t>Shipped</t>
        </is>
      </c>
      <c r="F1398" s="16" t="inlineStr">
        <is>
          <t>LV64W25</t>
        </is>
      </c>
      <c r="G13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398" s="16" t="inlineStr">
        <is>
          <t>Blanco</t>
        </is>
      </c>
      <c r="I1398" s="16" t="n">
        <v>5</v>
      </c>
      <c r="J1398" s="17" t="n">
        <v>625</v>
      </c>
      <c r="K1398" s="17" t="n">
        <v>673.2</v>
      </c>
      <c r="L1398" s="17" t="n">
        <v>0</v>
      </c>
      <c r="M1398" s="17" t="n">
        <v>0</v>
      </c>
      <c r="N1398" s="17">
        <f>K1398*0.08+L1398*0.08</f>
        <v/>
      </c>
      <c r="O1398" s="17">
        <f>-(K1398*0.025+L1398*0.025)</f>
        <v/>
      </c>
      <c r="P1398" s="17">
        <f>32</f>
        <v/>
      </c>
      <c r="Q1398" s="17">
        <f>J1398+L1398+N1398+O1398-P1398-M1398</f>
        <v/>
      </c>
    </row>
    <row r="1399">
      <c r="A1399" s="16" t="inlineStr">
        <is>
          <t>5.15-5.21</t>
        </is>
      </c>
      <c r="B1399" s="16" t="inlineStr">
        <is>
          <t>PO-128-03640403497592396</t>
        </is>
      </c>
      <c r="C1399" s="16" t="inlineStr">
        <is>
          <t>Shipped</t>
        </is>
      </c>
      <c r="D1399" s="16" t="inlineStr">
        <is>
          <t>128-03640445440632396</t>
        </is>
      </c>
      <c r="E1399" s="16" t="inlineStr">
        <is>
          <t>Shipped</t>
        </is>
      </c>
      <c r="F1399" s="16" t="inlineStr">
        <is>
          <t>KTS-2031</t>
        </is>
      </c>
      <c r="G1399" s="16" t="inlineStr">
        <is>
          <t>Bocina inalámbrica de 3 pulgadas con linterna multifuncional y panel solar integrado.Altavoz Portátil con Linterna LED 4 Modos, Radio FM, Bluetooth, Carga Solar, Ideal para Apagones, Emergencias, Campo y Exteriores</t>
        </is>
      </c>
      <c r="H1399" s="16" t="inlineStr">
        <is>
          <t>NEGRO</t>
        </is>
      </c>
      <c r="I1399" s="16" t="n">
        <v>1</v>
      </c>
      <c r="J1399" s="17" t="n">
        <v>78</v>
      </c>
      <c r="K1399" s="17" t="n">
        <v>87.22</v>
      </c>
      <c r="L1399" s="17" t="n">
        <v>25.86</v>
      </c>
      <c r="M1399" s="17" t="n">
        <v>0</v>
      </c>
      <c r="N1399" s="17">
        <f>K1399*0.08+L1399*0.08</f>
        <v/>
      </c>
      <c r="O1399" s="17">
        <f>-(K1399*0.025+L1399*0.025)</f>
        <v/>
      </c>
      <c r="P1399" s="17">
        <f>32</f>
        <v/>
      </c>
      <c r="Q1399" s="17">
        <f>J1399+L1399+N1399+O1399-P1399-M1399</f>
        <v/>
      </c>
    </row>
    <row r="1400">
      <c r="A1400" s="16" t="inlineStr">
        <is>
          <t>5.15-5.21</t>
        </is>
      </c>
      <c r="B1400" s="16" t="inlineStr">
        <is>
          <t>PO-128-03514719857273147</t>
        </is>
      </c>
      <c r="C1400" s="16" t="inlineStr">
        <is>
          <t>Shipped</t>
        </is>
      </c>
      <c r="D1400" s="16" t="inlineStr">
        <is>
          <t>128-03514677914233147</t>
        </is>
      </c>
      <c r="E1400" s="16" t="inlineStr">
        <is>
          <t>Shipped</t>
        </is>
      </c>
      <c r="F1400" s="16" t="inlineStr">
        <is>
          <t>LV54W25</t>
        </is>
      </c>
      <c r="G1400" s="16" t="inlineStr">
        <is>
          <t>TIANLAI Lámpara Ventilador E27 2 en 1, Silenciosa, LED Alta Luminosidad 180°, Instalación Rápida, Ahorro Energético para Dormitorio y Interiores Pequeños</t>
        </is>
      </c>
      <c r="H1400" s="16" t="inlineStr">
        <is>
          <t>1 Pieza</t>
        </is>
      </c>
      <c r="I1400" s="16" t="n">
        <v>1</v>
      </c>
      <c r="J1400" s="17" t="n">
        <v>79</v>
      </c>
      <c r="K1400" s="17" t="n">
        <v>71.75</v>
      </c>
      <c r="L1400" s="17" t="n">
        <v>25.86</v>
      </c>
      <c r="M1400" s="17" t="n">
        <v>0</v>
      </c>
      <c r="N1400" s="17">
        <f>K1400*0.08+L1400*0.08</f>
        <v/>
      </c>
      <c r="O1400" s="17">
        <f>-(K1400*0.025+L1400*0.025)</f>
        <v/>
      </c>
      <c r="P1400" s="17">
        <f>32</f>
        <v/>
      </c>
      <c r="Q1400" s="17">
        <f>J1400+L1400+N1400+O1400-P1400-M1400</f>
        <v/>
      </c>
    </row>
    <row r="1401">
      <c r="A1401" s="16" t="inlineStr">
        <is>
          <t>5.15-5.21</t>
        </is>
      </c>
      <c r="B1401" s="16" t="inlineStr">
        <is>
          <t>PO-128-03537933988474033</t>
        </is>
      </c>
      <c r="C1401" s="16" t="inlineStr">
        <is>
          <t>Shipped</t>
        </is>
      </c>
      <c r="D1401" s="16" t="inlineStr">
        <is>
          <t>128-03537954959994033</t>
        </is>
      </c>
      <c r="E1401" s="16" t="inlineStr">
        <is>
          <t>Shipped</t>
        </is>
      </c>
      <c r="F1401" s="16" t="inlineStr">
        <is>
          <t>LV64W25</t>
        </is>
      </c>
      <c r="G14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01" s="16" t="inlineStr">
        <is>
          <t>Blanco</t>
        </is>
      </c>
      <c r="I1401" s="16" t="n">
        <v>3</v>
      </c>
      <c r="J1401" s="17" t="n">
        <v>375</v>
      </c>
      <c r="K1401" s="17" t="n">
        <v>429.78</v>
      </c>
      <c r="L1401" s="17" t="n">
        <v>0</v>
      </c>
      <c r="M1401" s="17" t="n">
        <v>0</v>
      </c>
      <c r="N1401" s="17">
        <f>K1401*0.08+L1401*0.08</f>
        <v/>
      </c>
      <c r="O1401" s="17">
        <f>-(K1401*0.025+L1401*0.025)</f>
        <v/>
      </c>
      <c r="P1401" s="17">
        <f>32</f>
        <v/>
      </c>
      <c r="Q1401" s="17">
        <f>J1401+L1401+N1401+O1401-P1401-M1401</f>
        <v/>
      </c>
    </row>
    <row r="1402">
      <c r="A1402" s="16" t="inlineStr">
        <is>
          <t>5.15-5.21</t>
        </is>
      </c>
      <c r="B1402" s="16" t="inlineStr">
        <is>
          <t>PO-128-03833252311671185</t>
        </is>
      </c>
      <c r="C1402" s="16" t="inlineStr">
        <is>
          <t>Shipped</t>
        </is>
      </c>
      <c r="D1402" s="16" t="inlineStr">
        <is>
          <t>128-03833231340151185</t>
        </is>
      </c>
      <c r="E1402" s="16" t="inlineStr">
        <is>
          <t>Shipped</t>
        </is>
      </c>
      <c r="F1402" s="16" t="inlineStr">
        <is>
          <t>LV54W25</t>
        </is>
      </c>
      <c r="G1402" s="16" t="inlineStr">
        <is>
          <t>TIANLAI Lámpara Ventilador E27 2 en 1, Silenciosa, LED Alta Luminosidad 180°, Instalación Rápida, Ahorro Energético para Dormitorio y Interiores Pequeños</t>
        </is>
      </c>
      <c r="H1402" s="16" t="inlineStr">
        <is>
          <t>1 Pieza</t>
        </is>
      </c>
      <c r="I1402" s="16" t="n">
        <v>1</v>
      </c>
      <c r="J1402" s="17" t="n">
        <v>79</v>
      </c>
      <c r="K1402" s="17" t="n">
        <v>80.70999999999999</v>
      </c>
      <c r="L1402" s="17" t="n">
        <v>25.86</v>
      </c>
      <c r="M1402" s="17" t="n">
        <v>0</v>
      </c>
      <c r="N1402" s="17">
        <f>K1402*0.08+L1402*0.08</f>
        <v/>
      </c>
      <c r="O1402" s="17">
        <f>-(K1402*0.025+L1402*0.025)</f>
        <v/>
      </c>
      <c r="P1402" s="17">
        <f>32</f>
        <v/>
      </c>
      <c r="Q1402" s="17">
        <f>J1402+L1402+N1402+O1402-P1402-M1402</f>
        <v/>
      </c>
    </row>
    <row r="1403">
      <c r="A1403" s="16" t="inlineStr">
        <is>
          <t>5.15-5.21</t>
        </is>
      </c>
      <c r="B1403" s="16" t="inlineStr">
        <is>
          <t>PO-128-04075668111990890</t>
        </is>
      </c>
      <c r="C1403" s="16" t="inlineStr">
        <is>
          <t>Shipped</t>
        </is>
      </c>
      <c r="D1403" s="16" t="inlineStr">
        <is>
          <t>128-04075626168950890</t>
        </is>
      </c>
      <c r="E1403" s="16" t="inlineStr">
        <is>
          <t>Shipped</t>
        </is>
      </c>
      <c r="F1403" s="16" t="inlineStr">
        <is>
          <t>LV64W25</t>
        </is>
      </c>
      <c r="G14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03" s="16" t="inlineStr">
        <is>
          <t>Blanco</t>
        </is>
      </c>
      <c r="I1403" s="16" t="n">
        <v>4</v>
      </c>
      <c r="J1403" s="17" t="n">
        <v>500</v>
      </c>
      <c r="K1403" s="17" t="n">
        <v>544.4</v>
      </c>
      <c r="L1403" s="17" t="n">
        <v>0</v>
      </c>
      <c r="M1403" s="17" t="n">
        <v>0</v>
      </c>
      <c r="N1403" s="17">
        <f>K1403*0.08+L1403*0.08</f>
        <v/>
      </c>
      <c r="O1403" s="17">
        <f>-(K1403*0.025+L1403*0.025)</f>
        <v/>
      </c>
      <c r="P1403" s="17">
        <f>32</f>
        <v/>
      </c>
      <c r="Q1403" s="17">
        <f>J1403+L1403+N1403+O1403-P1403-M1403</f>
        <v/>
      </c>
    </row>
    <row r="1404">
      <c r="A1404" s="16" t="inlineStr">
        <is>
          <t>5.15-5.21</t>
        </is>
      </c>
      <c r="B1404" s="16" t="inlineStr">
        <is>
          <t>PO-128-03765081846392615</t>
        </is>
      </c>
      <c r="C1404" s="16" t="inlineStr">
        <is>
          <t>Shipped</t>
        </is>
      </c>
      <c r="D1404" s="16" t="inlineStr">
        <is>
          <t>128-03765102817912615</t>
        </is>
      </c>
      <c r="E1404" s="16" t="inlineStr">
        <is>
          <t>Shipped</t>
        </is>
      </c>
      <c r="F1404" s="16" t="inlineStr">
        <is>
          <t>B03W10-10PZS</t>
        </is>
      </c>
      <c r="G140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404" s="16" t="inlineStr">
        <is>
          <t>B03W10</t>
        </is>
      </c>
      <c r="I1404" s="16" t="n">
        <v>1</v>
      </c>
      <c r="J1404" s="17" t="n">
        <v>77</v>
      </c>
      <c r="K1404" s="17" t="n">
        <v>80.95</v>
      </c>
      <c r="L1404" s="17" t="n">
        <v>25.86</v>
      </c>
      <c r="M1404" s="17" t="n">
        <v>0</v>
      </c>
      <c r="N1404" s="17">
        <f>K1404*0.08+L1404*0.08</f>
        <v/>
      </c>
      <c r="O1404" s="17">
        <f>-(K1404*0.025+L1404*0.025)</f>
        <v/>
      </c>
      <c r="P1404" s="17">
        <f>32</f>
        <v/>
      </c>
      <c r="Q1404" s="17">
        <f>J1404+L1404+N1404+O1404-P1404-M1404</f>
        <v/>
      </c>
    </row>
    <row r="1405">
      <c r="A1405" s="16" t="inlineStr">
        <is>
          <t>5.15-5.21</t>
        </is>
      </c>
      <c r="B1405" s="16" t="inlineStr">
        <is>
          <t>PO-128-03601077371513654</t>
        </is>
      </c>
      <c r="C1405" s="16" t="inlineStr">
        <is>
          <t>Shipped</t>
        </is>
      </c>
      <c r="D1405" s="16" t="inlineStr">
        <is>
          <t>128-03601087857273654</t>
        </is>
      </c>
      <c r="E1405" s="16" t="inlineStr">
        <is>
          <t>Shipped</t>
        </is>
      </c>
      <c r="F1405" s="16" t="inlineStr">
        <is>
          <t>TL1455N20B</t>
        </is>
      </c>
      <c r="G1405" s="16" t="inlineStr">
        <is>
          <t>LINK BITS Soporte para TV 14 A 55 Pulgadas, Base para TV Pantalla Articulado Inclinable y Giratorio, MAX VESA 400×400 mm, Soporta hasta 18kg, adaptarse a la mayoría de los televisores de 14 Pulgadas/20 Pulgadas/32 Pulgadas/42 Pulgadas/55 pulgadas</t>
        </is>
      </c>
      <c r="H1405" s="16" t="inlineStr">
        <is>
          <t>TL1455N20B</t>
        </is>
      </c>
      <c r="I1405" s="16" t="n">
        <v>1</v>
      </c>
      <c r="J1405" s="17" t="n">
        <v>71</v>
      </c>
      <c r="K1405" s="17" t="n">
        <v>92.06</v>
      </c>
      <c r="L1405" s="17" t="n">
        <v>25.86</v>
      </c>
      <c r="M1405" s="17" t="n">
        <v>0</v>
      </c>
      <c r="N1405" s="17">
        <f>K1405*0.08+L1405*0.08</f>
        <v/>
      </c>
      <c r="O1405" s="17">
        <f>-(K1405*0.025+L1405*0.025)</f>
        <v/>
      </c>
      <c r="P1405" s="17">
        <f>32</f>
        <v/>
      </c>
      <c r="Q1405" s="17">
        <f>J1405+L1405+N1405+O1405-P1405-M1405</f>
        <v/>
      </c>
    </row>
    <row r="1406">
      <c r="A1406" s="16" t="inlineStr">
        <is>
          <t>5.15-5.21</t>
        </is>
      </c>
      <c r="B1406" s="16" t="inlineStr">
        <is>
          <t>PO-128-03604375143033701</t>
        </is>
      </c>
      <c r="C1406" s="16" t="inlineStr">
        <is>
          <t>Shipped</t>
        </is>
      </c>
      <c r="D1406" s="16" t="inlineStr">
        <is>
          <t>128-03604333199993701</t>
        </is>
      </c>
      <c r="E1406" s="16" t="inlineStr">
        <is>
          <t>Shipped</t>
        </is>
      </c>
      <c r="F1406" s="16" t="inlineStr">
        <is>
          <t>LV54W25</t>
        </is>
      </c>
      <c r="G1406" s="16" t="inlineStr">
        <is>
          <t>TIANLAI Lámpara Ventilador E27 2 en 1, Silenciosa, LED Alta Luminosidad 180°, Instalación Rápida, Ahorro Energético para Dormitorio y Interiores Pequeños</t>
        </is>
      </c>
      <c r="H1406" s="16" t="inlineStr">
        <is>
          <t>1 Pieza</t>
        </is>
      </c>
      <c r="I1406" s="16" t="n">
        <v>1</v>
      </c>
      <c r="J1406" s="17" t="n">
        <v>79</v>
      </c>
      <c r="K1406" s="17" t="n">
        <v>80.70999999999999</v>
      </c>
      <c r="L1406" s="17" t="n">
        <v>25.86</v>
      </c>
      <c r="M1406" s="17" t="n">
        <v>0</v>
      </c>
      <c r="N1406" s="17">
        <f>K1406*0.08+L1406*0.08</f>
        <v/>
      </c>
      <c r="O1406" s="17">
        <f>-(K1406*0.025+L1406*0.025)</f>
        <v/>
      </c>
      <c r="P1406" s="17">
        <f>32</f>
        <v/>
      </c>
      <c r="Q1406" s="17">
        <f>J1406+L1406+N1406+O1406-P1406-M1406</f>
        <v/>
      </c>
    </row>
    <row r="1407">
      <c r="A1407" s="16" t="inlineStr">
        <is>
          <t>5.15-5.21</t>
        </is>
      </c>
      <c r="B1407" s="16" t="inlineStr">
        <is>
          <t>PO-128-18248174321271345</t>
        </is>
      </c>
      <c r="C1407" s="16" t="inlineStr">
        <is>
          <t>Shipped</t>
        </is>
      </c>
      <c r="D1407" s="16" t="inlineStr">
        <is>
          <t>128-18248137621111345</t>
        </is>
      </c>
      <c r="E1407" s="16" t="inlineStr">
        <is>
          <t>Shipped</t>
        </is>
      </c>
      <c r="F1407" s="16" t="inlineStr">
        <is>
          <t>BSC04</t>
        </is>
      </c>
      <c r="G1407" s="16" t="inlineStr">
        <is>
          <t>TIANLAI Báscula Digital BSC04/BSC07, Alta Precisión, Fácil Operación, Ligera y Portátil, Función Tara, Unidad Dual oz/g, Ideal para Cocina, Control de Porciones, Sellos y Objetos Pequeños, Uso en Hogar y Viaje</t>
        </is>
      </c>
      <c r="H1407" s="16" t="inlineStr">
        <is>
          <t>5g/White</t>
        </is>
      </c>
      <c r="I1407" s="16" t="n">
        <v>1</v>
      </c>
      <c r="J1407" s="17" t="n">
        <v>57.2</v>
      </c>
      <c r="K1407" s="17" t="n">
        <v>73.48999999999999</v>
      </c>
      <c r="L1407" s="17" t="n">
        <v>25.86</v>
      </c>
      <c r="M1407" s="17" t="n">
        <v>0</v>
      </c>
      <c r="N1407" s="17">
        <f>K1407*0.08+L1407*0.08</f>
        <v/>
      </c>
      <c r="O1407" s="17">
        <f>-(K1407*0.025+L1407*0.025)</f>
        <v/>
      </c>
      <c r="P1407" s="17">
        <f>32</f>
        <v/>
      </c>
      <c r="Q1407" s="17">
        <f>J1407+L1407+N1407+O1407-P1407-M1407</f>
        <v/>
      </c>
    </row>
    <row r="1408">
      <c r="A1408" s="16" t="inlineStr">
        <is>
          <t>5.15-5.21</t>
        </is>
      </c>
      <c r="B1408" s="16" t="inlineStr">
        <is>
          <t>PO-128-18394217226870472</t>
        </is>
      </c>
      <c r="C1408" s="16" t="inlineStr">
        <is>
          <t>Shipped</t>
        </is>
      </c>
      <c r="D1408" s="16" t="inlineStr">
        <is>
          <t>128-18394269655670472</t>
        </is>
      </c>
      <c r="E1408" s="16" t="inlineStr">
        <is>
          <t>Shipped</t>
        </is>
      </c>
      <c r="F1408" s="16" t="inlineStr">
        <is>
          <t>LV54W25</t>
        </is>
      </c>
      <c r="G1408" s="16" t="inlineStr">
        <is>
          <t>TIANLAI Lámpara Ventilador E27 2 en 1, Silenciosa, LED Alta Luminosidad 180°, Instalación Rápida, Ahorro Energético para Dormitorio y Interiores Pequeños</t>
        </is>
      </c>
      <c r="H1408" s="16" t="inlineStr">
        <is>
          <t>1 Pieza</t>
        </is>
      </c>
      <c r="I1408" s="16" t="n">
        <v>1</v>
      </c>
      <c r="J1408" s="17" t="n">
        <v>79</v>
      </c>
      <c r="K1408" s="17" t="n">
        <v>81.62</v>
      </c>
      <c r="L1408" s="17" t="n">
        <v>25.86</v>
      </c>
      <c r="M1408" s="17" t="n">
        <v>0</v>
      </c>
      <c r="N1408" s="17">
        <f>K1408*0.08+L1408*0.08</f>
        <v/>
      </c>
      <c r="O1408" s="17">
        <f>-(K1408*0.025+L1408*0.025)</f>
        <v/>
      </c>
      <c r="P1408" s="17">
        <f>32</f>
        <v/>
      </c>
      <c r="Q1408" s="17">
        <f>J1408+L1408+N1408+O1408-P1408-M1408</f>
        <v/>
      </c>
    </row>
    <row r="1409">
      <c r="A1409" s="16" t="inlineStr">
        <is>
          <t>5.15-5.21</t>
        </is>
      </c>
      <c r="B1409" s="16" t="inlineStr">
        <is>
          <t>PO-128-18532723599990737</t>
        </is>
      </c>
      <c r="C1409" s="16" t="inlineStr">
        <is>
          <t>Shipped</t>
        </is>
      </c>
      <c r="D1409" s="16" t="inlineStr">
        <is>
          <t>128-18532707840630737</t>
        </is>
      </c>
      <c r="E1409" s="16" t="inlineStr">
        <is>
          <t>Shipped</t>
        </is>
      </c>
      <c r="F1409" s="16" t="inlineStr">
        <is>
          <t>VB349T</t>
        </is>
      </c>
      <c r="G1409" s="16" t="inlineStr">
        <is>
          <t>LINKBITS Altavoz Portátil de Doble Altavoz - 3 Pulgadas, Sonido HD, Emparejamiento Rápido de Bluetooth, Conectividad TWS, Reproducción Multimodo (Micro SD/USB/Radio FM) - Perfecto para Oficina, Viajes y Espacios Pequeños</t>
        </is>
      </c>
      <c r="H1409" s="16" t="inlineStr">
        <is>
          <t>NEGRO</t>
        </is>
      </c>
      <c r="I1409" s="16" t="n">
        <v>1</v>
      </c>
      <c r="J1409" s="17" t="n">
        <v>81</v>
      </c>
      <c r="K1409" s="17" t="n">
        <v>94.26000000000001</v>
      </c>
      <c r="L1409" s="17" t="n">
        <v>25.86</v>
      </c>
      <c r="M1409" s="17" t="n">
        <v>0</v>
      </c>
      <c r="N1409" s="17">
        <f>K1409*0.08+L1409*0.08</f>
        <v/>
      </c>
      <c r="O1409" s="17">
        <f>-(K1409*0.025+L1409*0.025)</f>
        <v/>
      </c>
      <c r="P1409" s="17">
        <f>32</f>
        <v/>
      </c>
      <c r="Q1409" s="17">
        <f>J1409+L1409+N1409+O1409-P1409-M1409</f>
        <v/>
      </c>
    </row>
    <row r="1410">
      <c r="A1410" s="16" t="inlineStr">
        <is>
          <t>5.15-5.21</t>
        </is>
      </c>
      <c r="B1410" s="16" t="inlineStr">
        <is>
          <t>PO-128-17940177121913117</t>
        </is>
      </c>
      <c r="C1410" s="16" t="inlineStr">
        <is>
          <t>Shipped</t>
        </is>
      </c>
      <c r="D1410" s="16" t="inlineStr">
        <is>
          <t>128-17940135178873117</t>
        </is>
      </c>
      <c r="E1410" s="16" t="inlineStr">
        <is>
          <t>Shipped</t>
        </is>
      </c>
      <c r="F1410" s="16" t="inlineStr">
        <is>
          <t>LV54W25</t>
        </is>
      </c>
      <c r="G1410" s="16" t="inlineStr">
        <is>
          <t>TIANLAI Lámpara Ventilador E27 2 en 1, Silenciosa, LED Alta Luminosidad 180°, Instalación Rápida, Ahorro Energético para Dormitorio y Interiores Pequeños</t>
        </is>
      </c>
      <c r="H1410" s="16" t="inlineStr">
        <is>
          <t>1 Pieza</t>
        </is>
      </c>
      <c r="I1410" s="16" t="n">
        <v>1</v>
      </c>
      <c r="J1410" s="17" t="n">
        <v>79</v>
      </c>
      <c r="K1410" s="17" t="n">
        <v>80.70999999999999</v>
      </c>
      <c r="L1410" s="17" t="n">
        <v>25.86</v>
      </c>
      <c r="M1410" s="17" t="n">
        <v>0</v>
      </c>
      <c r="N1410" s="17">
        <f>K1410*0.08+L1410*0.08</f>
        <v/>
      </c>
      <c r="O1410" s="17">
        <f>-(K1410*0.025+L1410*0.025)</f>
        <v/>
      </c>
      <c r="P1410" s="17">
        <f>32</f>
        <v/>
      </c>
      <c r="Q1410" s="17">
        <f>J1410+L1410+N1410+O1410-P1410-M1410</f>
        <v/>
      </c>
    </row>
    <row r="1411">
      <c r="A1411" s="16" t="inlineStr">
        <is>
          <t>5.15-5.21</t>
        </is>
      </c>
      <c r="B1411" s="16" t="inlineStr">
        <is>
          <t>PO-128-18119431562872174</t>
        </is>
      </c>
      <c r="C1411" s="16" t="inlineStr">
        <is>
          <t>Shipped</t>
        </is>
      </c>
      <c r="D1411" s="16" t="inlineStr">
        <is>
          <t>128-18119421077112174</t>
        </is>
      </c>
      <c r="E1411" s="16" t="inlineStr">
        <is>
          <t>Shipped</t>
        </is>
      </c>
      <c r="F1411" s="16" t="inlineStr">
        <is>
          <t>LV54W25</t>
        </is>
      </c>
      <c r="G1411" s="16" t="inlineStr">
        <is>
          <t>TIANLAI Lámpara Ventilador E27 2 en 1, Silenciosa, LED Alta Luminosidad 180°, Instalación Rápida, Ahorro Energético para Dormitorio y Interiores Pequeños</t>
        </is>
      </c>
      <c r="H1411" s="16" t="inlineStr">
        <is>
          <t>1 Pieza</t>
        </is>
      </c>
      <c r="I1411" s="16" t="n">
        <v>1</v>
      </c>
      <c r="J1411" s="17" t="n">
        <v>79</v>
      </c>
      <c r="K1411" s="17" t="n">
        <v>80.70999999999999</v>
      </c>
      <c r="L1411" s="17" t="n">
        <v>25.86</v>
      </c>
      <c r="M1411" s="17" t="n">
        <v>0</v>
      </c>
      <c r="N1411" s="17">
        <f>K1411*0.08+L1411*0.08</f>
        <v/>
      </c>
      <c r="O1411" s="17">
        <f>-(K1411*0.025+L1411*0.025)</f>
        <v/>
      </c>
      <c r="P1411" s="17">
        <f>32</f>
        <v/>
      </c>
      <c r="Q1411" s="17">
        <f>J1411+L1411+N1411+O1411-P1411-M1411</f>
        <v/>
      </c>
    </row>
    <row r="1412">
      <c r="A1412" s="16" t="inlineStr">
        <is>
          <t>5.15-5.21</t>
        </is>
      </c>
      <c r="B1412" s="16" t="inlineStr">
        <is>
          <t>PO-128-18394360945270472</t>
        </is>
      </c>
      <c r="C1412" s="16" t="inlineStr">
        <is>
          <t>Shipped</t>
        </is>
      </c>
      <c r="D1412" s="16" t="inlineStr">
        <is>
          <t>128-18394277059190472</t>
        </is>
      </c>
      <c r="E1412" s="16" t="inlineStr">
        <is>
          <t>Shipped</t>
        </is>
      </c>
      <c r="F1412" s="16" t="inlineStr">
        <is>
          <t>LV64W25</t>
        </is>
      </c>
      <c r="G14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12" s="16" t="inlineStr">
        <is>
          <t>Blanco</t>
        </is>
      </c>
      <c r="I1412" s="16" t="n">
        <v>1</v>
      </c>
      <c r="J1412" s="17" t="n">
        <v>125</v>
      </c>
      <c r="K1412" s="17" t="n">
        <v>143.26</v>
      </c>
      <c r="L1412" s="17" t="n">
        <v>15.84</v>
      </c>
      <c r="M1412" s="17" t="n">
        <v>0</v>
      </c>
      <c r="N1412" s="17">
        <f>K1412*0.08+L1412*0.08</f>
        <v/>
      </c>
      <c r="O1412" s="17">
        <f>-(K1412*0.025+L1412*0.025)</f>
        <v/>
      </c>
      <c r="P1412" s="17">
        <f>32</f>
        <v/>
      </c>
      <c r="Q1412" s="17">
        <f>J1412+L1412+N1412+O1412-P1412-M1412</f>
        <v/>
      </c>
    </row>
    <row r="1413">
      <c r="A1413" s="16" t="inlineStr">
        <is>
          <t>5.15-5.21</t>
        </is>
      </c>
      <c r="B1413" s="16" t="inlineStr">
        <is>
          <t>PO-128-18394360945270472</t>
        </is>
      </c>
      <c r="C1413" s="16" t="inlineStr">
        <is>
          <t>Shipped</t>
        </is>
      </c>
      <c r="D1413" s="16" t="inlineStr">
        <is>
          <t>128-18394319002230472</t>
        </is>
      </c>
      <c r="E1413" s="16" t="inlineStr">
        <is>
          <t>Shipped</t>
        </is>
      </c>
      <c r="F1413" s="16" t="inlineStr">
        <is>
          <t>LV54W25</t>
        </is>
      </c>
      <c r="G1413" s="16" t="inlineStr">
        <is>
          <t>TIANLAI Lámpara Ventilador E27 2 en 1, Silenciosa, LED Alta Luminosidad 180°, Instalación Rápida, Ahorro Energético para Dormitorio y Interiores Pequeños</t>
        </is>
      </c>
      <c r="H1413" s="16" t="inlineStr">
        <is>
          <t>1 Pieza</t>
        </is>
      </c>
      <c r="I1413" s="16" t="n">
        <v>1</v>
      </c>
      <c r="J1413" s="17" t="n">
        <v>79</v>
      </c>
      <c r="K1413" s="17" t="n">
        <v>90.68000000000001</v>
      </c>
      <c r="L1413" s="17" t="n">
        <v>10.02</v>
      </c>
      <c r="M1413" s="17" t="n">
        <v>0</v>
      </c>
      <c r="N1413" s="17">
        <f>K1413*0.08+L1413*0.08</f>
        <v/>
      </c>
      <c r="O1413" s="17">
        <f>-(K1413*0.025+L1413*0.025)</f>
        <v/>
      </c>
      <c r="P1413" s="17">
        <f>32</f>
        <v/>
      </c>
      <c r="Q1413" s="17">
        <f>J1413+L1413+N1413+O1413-P1413-M1413</f>
        <v/>
      </c>
    </row>
    <row r="1414">
      <c r="A1414" s="16" t="inlineStr">
        <is>
          <t>5.15-5.21</t>
        </is>
      </c>
      <c r="B1414" s="16" t="inlineStr">
        <is>
          <t>PO-128-18273767803511254</t>
        </is>
      </c>
      <c r="C1414" s="16" t="inlineStr">
        <is>
          <t>Shipped</t>
        </is>
      </c>
      <c r="D1414" s="16" t="inlineStr">
        <is>
          <t>128-18273872661111254</t>
        </is>
      </c>
      <c r="E1414" s="16" t="inlineStr">
        <is>
          <t>Shipped</t>
        </is>
      </c>
      <c r="F1414" s="16" t="inlineStr">
        <is>
          <t>KTS-2031</t>
        </is>
      </c>
      <c r="G1414" s="16" t="inlineStr">
        <is>
          <t>Bocina inalámbrica de 3 pulgadas con linterna multifuncional y panel solar integrado.Altavoz Portátil con Linterna LED 4 Modos, Radio FM, Bluetooth, Carga Solar, Ideal para Apagones, Emergencias, Campo y Exteriores</t>
        </is>
      </c>
      <c r="H1414" s="16" t="inlineStr">
        <is>
          <t>NEGRO</t>
        </is>
      </c>
      <c r="I1414" s="16" t="n">
        <v>1</v>
      </c>
      <c r="J1414" s="17" t="n">
        <v>78</v>
      </c>
      <c r="K1414" s="17" t="n">
        <v>44.12</v>
      </c>
      <c r="L1414" s="17" t="n">
        <v>25.86</v>
      </c>
      <c r="M1414" s="17" t="n">
        <v>0</v>
      </c>
      <c r="N1414" s="17">
        <f>K1414*0.08+L1414*0.08</f>
        <v/>
      </c>
      <c r="O1414" s="17">
        <f>-(K1414*0.025+L1414*0.025)</f>
        <v/>
      </c>
      <c r="P1414" s="17">
        <f>32</f>
        <v/>
      </c>
      <c r="Q1414" s="17">
        <f>J1414+L1414+N1414+O1414-P1414-M1414</f>
        <v/>
      </c>
    </row>
    <row r="1415">
      <c r="A1415" s="16" t="inlineStr">
        <is>
          <t>5.15-5.21</t>
        </is>
      </c>
      <c r="B1415" s="16" t="inlineStr">
        <is>
          <t>PO-128-17939843011193119</t>
        </is>
      </c>
      <c r="C1415" s="16" t="inlineStr">
        <is>
          <t>Shipped</t>
        </is>
      </c>
      <c r="D1415" s="16" t="inlineStr">
        <is>
          <t>128-17939869225593119</t>
        </is>
      </c>
      <c r="E1415" s="16" t="inlineStr">
        <is>
          <t>Shipped</t>
        </is>
      </c>
      <c r="F1415" s="16" t="inlineStr">
        <is>
          <t>LV64W25</t>
        </is>
      </c>
      <c r="G14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15" s="16" t="inlineStr">
        <is>
          <t>Blanco</t>
        </is>
      </c>
      <c r="I1415" s="16" t="n">
        <v>1</v>
      </c>
      <c r="J1415" s="17" t="n">
        <v>125</v>
      </c>
      <c r="K1415" s="17" t="n">
        <v>143.26</v>
      </c>
      <c r="L1415" s="17" t="n">
        <v>25.86</v>
      </c>
      <c r="M1415" s="17" t="n">
        <v>0</v>
      </c>
      <c r="N1415" s="17">
        <f>K1415*0.08+L1415*0.08</f>
        <v/>
      </c>
      <c r="O1415" s="17">
        <f>-(K1415*0.025+L1415*0.025)</f>
        <v/>
      </c>
      <c r="P1415" s="17">
        <f>32</f>
        <v/>
      </c>
      <c r="Q1415" s="17">
        <f>J1415+L1415+N1415+O1415-P1415-M1415</f>
        <v/>
      </c>
    </row>
    <row r="1416">
      <c r="A1416" s="16" t="inlineStr">
        <is>
          <t>5.15-5.21</t>
        </is>
      </c>
      <c r="B1416" s="16" t="inlineStr">
        <is>
          <t>PO-128-17957262280313975</t>
        </is>
      </c>
      <c r="C1416" s="16" t="inlineStr">
        <is>
          <t>Shipped</t>
        </is>
      </c>
      <c r="D1416" s="16" t="inlineStr">
        <is>
          <t>128-17957314709113975</t>
        </is>
      </c>
      <c r="E1416" s="16" t="inlineStr">
        <is>
          <t>Shipped</t>
        </is>
      </c>
      <c r="F1416" s="16" t="inlineStr">
        <is>
          <t>i12-V</t>
        </is>
      </c>
      <c r="G1416" s="16" t="inlineStr">
        <is>
          <t>Auriculares Inalámbricos TWS - Ideales para Usuarios Android e iPhone, Entusiastas del Deporte &amp; Música, Controles Táctiles, Audífonos Para Correr y Jugar</t>
        </is>
      </c>
      <c r="H1416" s="16" t="inlineStr">
        <is>
          <t>VERDE</t>
        </is>
      </c>
      <c r="I1416" s="16" t="n">
        <v>1</v>
      </c>
      <c r="J1416" s="17" t="n">
        <v>45</v>
      </c>
      <c r="K1416" s="17" t="n">
        <v>18.07</v>
      </c>
      <c r="L1416" s="17" t="n">
        <v>25.86</v>
      </c>
      <c r="M1416" s="17" t="n">
        <v>0</v>
      </c>
      <c r="N1416" s="17">
        <f>K1416*0.08+L1416*0.08</f>
        <v/>
      </c>
      <c r="O1416" s="17">
        <f>-(K1416*0.025+L1416*0.025)</f>
        <v/>
      </c>
      <c r="P1416" s="17">
        <f>32</f>
        <v/>
      </c>
      <c r="Q1416" s="17">
        <f>J1416+L1416+N1416+O1416-P1416-M1416</f>
        <v/>
      </c>
    </row>
    <row r="1417">
      <c r="A1417" s="16" t="inlineStr">
        <is>
          <t>5.15-5.21</t>
        </is>
      </c>
      <c r="B1417" s="16" t="inlineStr">
        <is>
          <t>PO-128-17936019702393077</t>
        </is>
      </c>
      <c r="C1417" s="16" t="inlineStr">
        <is>
          <t>Shipped</t>
        </is>
      </c>
      <c r="D1417" s="16" t="inlineStr">
        <is>
          <t>128-17936057713273077</t>
        </is>
      </c>
      <c r="E1417" s="16" t="inlineStr">
        <is>
          <t>Shipped</t>
        </is>
      </c>
      <c r="F1417" s="16" t="inlineStr">
        <is>
          <t>LV64W25</t>
        </is>
      </c>
      <c r="G14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17" s="16" t="inlineStr">
        <is>
          <t>Blanco</t>
        </is>
      </c>
      <c r="I1417" s="16" t="n">
        <v>1</v>
      </c>
      <c r="J1417" s="17" t="n">
        <v>125</v>
      </c>
      <c r="K1417" s="17" t="n">
        <v>143.26</v>
      </c>
      <c r="L1417" s="17" t="n">
        <v>25.86</v>
      </c>
      <c r="M1417" s="17" t="n">
        <v>0</v>
      </c>
      <c r="N1417" s="17">
        <f>K1417*0.08+L1417*0.08</f>
        <v/>
      </c>
      <c r="O1417" s="17">
        <f>-(K1417*0.025+L1417*0.025)</f>
        <v/>
      </c>
      <c r="P1417" s="17">
        <f>32</f>
        <v/>
      </c>
      <c r="Q1417" s="17">
        <f>J1417+L1417+N1417+O1417-P1417-M1417</f>
        <v/>
      </c>
    </row>
    <row r="1418">
      <c r="A1418" s="16" t="inlineStr">
        <is>
          <t>5.15-5.21</t>
        </is>
      </c>
      <c r="B1418" s="16" t="inlineStr">
        <is>
          <t>PO-128-18412323802230300</t>
        </is>
      </c>
      <c r="C1418" s="16" t="inlineStr">
        <is>
          <t>Shipped</t>
        </is>
      </c>
      <c r="D1418" s="16" t="inlineStr">
        <is>
          <t>128-18412364762230300</t>
        </is>
      </c>
      <c r="E1418" s="16" t="inlineStr">
        <is>
          <t>Shipped</t>
        </is>
      </c>
      <c r="F1418" s="16" t="inlineStr">
        <is>
          <t>LV54W25</t>
        </is>
      </c>
      <c r="G1418" s="16" t="inlineStr">
        <is>
          <t>TIANLAI Lámpara Ventilador E27 2 en 1, Silenciosa, LED Alta Luminosidad 180°, Instalación Rápida, Ahorro Energético para Dormitorio y Interiores Pequeños</t>
        </is>
      </c>
      <c r="H1418" s="16" t="inlineStr">
        <is>
          <t>1 Pieza</t>
        </is>
      </c>
      <c r="I1418" s="16" t="n">
        <v>1</v>
      </c>
      <c r="J1418" s="17" t="n">
        <v>79</v>
      </c>
      <c r="K1418" s="17" t="n">
        <v>80.70999999999999</v>
      </c>
      <c r="L1418" s="17" t="n">
        <v>25.86</v>
      </c>
      <c r="M1418" s="17" t="n">
        <v>0</v>
      </c>
      <c r="N1418" s="17">
        <f>K1418*0.08+L1418*0.08</f>
        <v/>
      </c>
      <c r="O1418" s="17">
        <f>-(K1418*0.025+L1418*0.025)</f>
        <v/>
      </c>
      <c r="P1418" s="17">
        <f>32</f>
        <v/>
      </c>
      <c r="Q1418" s="17">
        <f>J1418+L1418+N1418+O1418-P1418-M1418</f>
        <v/>
      </c>
    </row>
    <row r="1419">
      <c r="A1419" s="16" t="inlineStr">
        <is>
          <t>5.15-5.21</t>
        </is>
      </c>
      <c r="B1419" s="16" t="inlineStr">
        <is>
          <t>PO-128-18045149481592491</t>
        </is>
      </c>
      <c r="C1419" s="16" t="inlineStr">
        <is>
          <t>Shipped</t>
        </is>
      </c>
      <c r="D1419" s="16" t="inlineStr">
        <is>
          <t>128-18045191424632491</t>
        </is>
      </c>
      <c r="E1419" s="16" t="inlineStr">
        <is>
          <t>Shipped</t>
        </is>
      </c>
      <c r="F1419" s="16" t="inlineStr">
        <is>
          <t>LV54W25</t>
        </is>
      </c>
      <c r="G1419" s="16" t="inlineStr">
        <is>
          <t>TIANLAI Lámpara Ventilador E27 2 en 1, Silenciosa, LED Alta Luminosidad 180°, Instalación Rápida, Ahorro Energético para Dormitorio y Interiores Pequeños</t>
        </is>
      </c>
      <c r="H1419" s="16" t="inlineStr">
        <is>
          <t>1 Pieza</t>
        </is>
      </c>
      <c r="I1419" s="16" t="n">
        <v>1</v>
      </c>
      <c r="J1419" s="17" t="n">
        <v>79</v>
      </c>
      <c r="K1419" s="17" t="n">
        <v>81.62</v>
      </c>
      <c r="L1419" s="17" t="n">
        <v>25.86</v>
      </c>
      <c r="M1419" s="17" t="n">
        <v>0</v>
      </c>
      <c r="N1419" s="17">
        <f>K1419*0.08+L1419*0.08</f>
        <v/>
      </c>
      <c r="O1419" s="17">
        <f>-(K1419*0.025+L1419*0.025)</f>
        <v/>
      </c>
      <c r="P1419" s="17">
        <f>32</f>
        <v/>
      </c>
      <c r="Q1419" s="17">
        <f>J1419+L1419+N1419+O1419-P1419-M1419</f>
        <v/>
      </c>
    </row>
    <row r="1420">
      <c r="A1420" s="16" t="inlineStr">
        <is>
          <t>5.15-5.21</t>
        </is>
      </c>
      <c r="B1420" s="16" t="inlineStr">
        <is>
          <t>PO-128-17962750382714004</t>
        </is>
      </c>
      <c r="C1420" s="16" t="inlineStr">
        <is>
          <t>Shipped</t>
        </is>
      </c>
      <c r="D1420" s="16" t="inlineStr">
        <is>
          <t>128-17962760868474004</t>
        </is>
      </c>
      <c r="E1420" s="16" t="inlineStr">
        <is>
          <t>Shipped</t>
        </is>
      </c>
      <c r="F1420" s="16" t="inlineStr">
        <is>
          <t>LV64W25</t>
        </is>
      </c>
      <c r="G14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20" s="16" t="inlineStr">
        <is>
          <t>Blanco</t>
        </is>
      </c>
      <c r="I1420" s="16" t="n">
        <v>1</v>
      </c>
      <c r="J1420" s="17" t="n">
        <v>119</v>
      </c>
      <c r="K1420" s="17" t="n">
        <v>137.26</v>
      </c>
      <c r="L1420" s="17" t="n">
        <v>25.86</v>
      </c>
      <c r="M1420" s="17" t="n">
        <v>0</v>
      </c>
      <c r="N1420" s="17">
        <f>K1420*0.08+L1420*0.08</f>
        <v/>
      </c>
      <c r="O1420" s="17">
        <f>-(K1420*0.025+L1420*0.025)</f>
        <v/>
      </c>
      <c r="P1420" s="17">
        <f>32</f>
        <v/>
      </c>
      <c r="Q1420" s="17">
        <f>J1420+L1420+N1420+O1420-P1420-M1420</f>
        <v/>
      </c>
    </row>
    <row r="1421">
      <c r="A1421" s="16" t="inlineStr">
        <is>
          <t>5.15-5.21</t>
        </is>
      </c>
      <c r="B1421" s="16" t="inlineStr">
        <is>
          <t>PO-128-18105876408952065</t>
        </is>
      </c>
      <c r="C1421" s="16" t="inlineStr">
        <is>
          <t>Shipped</t>
        </is>
      </c>
      <c r="D1421" s="16" t="inlineStr">
        <is>
          <t>128-18105918351992065</t>
        </is>
      </c>
      <c r="E1421" s="16" t="inlineStr">
        <is>
          <t>Shipped</t>
        </is>
      </c>
      <c r="F1421" s="16" t="inlineStr">
        <is>
          <t>TL1455N20B</t>
        </is>
      </c>
      <c r="G1421" s="16" t="inlineStr">
        <is>
          <t>LINK BITS Soporte para TV 14 A 55 Pulgadas, Base para TV Pantalla Articulado Inclinable y Giratorio, MAX VESA 400×400 mm, Soporta hasta 18kg, adaptarse a la mayoría de los televisores de 14 Pulgadas/20 Pulgadas/32 Pulgadas/42 Pulgadas/55 pulgadas</t>
        </is>
      </c>
      <c r="H1421" s="16" t="inlineStr">
        <is>
          <t>TL1455N20B</t>
        </is>
      </c>
      <c r="I1421" s="16" t="n">
        <v>1</v>
      </c>
      <c r="J1421" s="17" t="n">
        <v>71</v>
      </c>
      <c r="K1421" s="17" t="n">
        <v>5.85</v>
      </c>
      <c r="L1421" s="17" t="n">
        <v>25.86</v>
      </c>
      <c r="M1421" s="17" t="n">
        <v>0</v>
      </c>
      <c r="N1421" s="17">
        <f>K1421*0.08+L1421*0.08</f>
        <v/>
      </c>
      <c r="O1421" s="17">
        <f>-(K1421*0.025+L1421*0.025)</f>
        <v/>
      </c>
      <c r="P1421" s="17">
        <f>32</f>
        <v/>
      </c>
      <c r="Q1421" s="17">
        <f>J1421+L1421+N1421+O1421-P1421-M1421</f>
        <v/>
      </c>
    </row>
    <row r="1422">
      <c r="A1422" s="16" t="inlineStr">
        <is>
          <t>5.15-5.21</t>
        </is>
      </c>
      <c r="B1422" s="16" t="inlineStr">
        <is>
          <t>PO-128-18523878083190724</t>
        </is>
      </c>
      <c r="C1422" s="16" t="inlineStr">
        <is>
          <t>Shipped</t>
        </is>
      </c>
      <c r="D1422" s="16" t="inlineStr">
        <is>
          <t>128-18523857111670724</t>
        </is>
      </c>
      <c r="E1422" s="16" t="inlineStr">
        <is>
          <t>Shipped</t>
        </is>
      </c>
      <c r="F1422" s="16" t="inlineStr">
        <is>
          <t>LV54W25</t>
        </is>
      </c>
      <c r="G1422" s="16" t="inlineStr">
        <is>
          <t>TIANLAI Lámpara Ventilador E27 2 en 1, Silenciosa, LED Alta Luminosidad 180°, Instalación Rápida, Ahorro Energético para Dormitorio y Interiores Pequeños</t>
        </is>
      </c>
      <c r="H1422" s="16" t="inlineStr">
        <is>
          <t>1 Pieza</t>
        </is>
      </c>
      <c r="I1422" s="16" t="n">
        <v>1</v>
      </c>
      <c r="J1422" s="17" t="n">
        <v>79</v>
      </c>
      <c r="K1422" s="17" t="n">
        <v>81.62</v>
      </c>
      <c r="L1422" s="17" t="n">
        <v>25.86</v>
      </c>
      <c r="M1422" s="17" t="n">
        <v>0</v>
      </c>
      <c r="N1422" s="17">
        <f>K1422*0.08+L1422*0.08</f>
        <v/>
      </c>
      <c r="O1422" s="17">
        <f>-(K1422*0.025+L1422*0.025)</f>
        <v/>
      </c>
      <c r="P1422" s="17">
        <f>32</f>
        <v/>
      </c>
      <c r="Q1422" s="17">
        <f>J1422+L1422+N1422+O1422-P1422-M1422</f>
        <v/>
      </c>
    </row>
    <row r="1423">
      <c r="A1423" s="16" t="inlineStr">
        <is>
          <t>5.15-5.21</t>
        </is>
      </c>
      <c r="B1423" s="16" t="inlineStr">
        <is>
          <t>PO-128-18109885589112105</t>
        </is>
      </c>
      <c r="C1423" s="16" t="inlineStr">
        <is>
          <t>Shipped</t>
        </is>
      </c>
      <c r="D1423" s="16" t="inlineStr">
        <is>
          <t>128-18109896074872105</t>
        </is>
      </c>
      <c r="E1423" s="16" t="inlineStr">
        <is>
          <t>Shipped</t>
        </is>
      </c>
      <c r="F1423" s="16" t="inlineStr">
        <is>
          <t>LV54W25</t>
        </is>
      </c>
      <c r="G1423" s="16" t="inlineStr">
        <is>
          <t>TIANLAI Lámpara Ventilador E27 2 en 1, Silenciosa, LED Alta Luminosidad 180°, Instalación Rápida, Ahorro Energético para Dormitorio y Interiores Pequeños</t>
        </is>
      </c>
      <c r="H1423" s="16" t="inlineStr">
        <is>
          <t>1 Pieza</t>
        </is>
      </c>
      <c r="I1423" s="16" t="n">
        <v>1</v>
      </c>
      <c r="J1423" s="17" t="n">
        <v>79</v>
      </c>
      <c r="K1423" s="17" t="n">
        <v>80.70999999999999</v>
      </c>
      <c r="L1423" s="17" t="n">
        <v>25.86</v>
      </c>
      <c r="M1423" s="17" t="n">
        <v>0</v>
      </c>
      <c r="N1423" s="17">
        <f>K1423*0.08+L1423*0.08</f>
        <v/>
      </c>
      <c r="O1423" s="17">
        <f>-(K1423*0.025+L1423*0.025)</f>
        <v/>
      </c>
      <c r="P1423" s="17">
        <f>32</f>
        <v/>
      </c>
      <c r="Q1423" s="17">
        <f>J1423+L1423+N1423+O1423-P1423-M1423</f>
        <v/>
      </c>
    </row>
    <row r="1424">
      <c r="A1424" s="16" t="inlineStr">
        <is>
          <t>5.15-5.21</t>
        </is>
      </c>
      <c r="B1424" s="16" t="inlineStr">
        <is>
          <t>PO-128-18366587832951599</t>
        </is>
      </c>
      <c r="C1424" s="16" t="inlineStr">
        <is>
          <t>Shipped</t>
        </is>
      </c>
      <c r="D1424" s="16" t="inlineStr">
        <is>
          <t>128-18366629775991599</t>
        </is>
      </c>
      <c r="E1424" s="16" t="inlineStr">
        <is>
          <t>Shipped</t>
        </is>
      </c>
      <c r="F1424" s="16" t="inlineStr">
        <is>
          <t>LV64W25</t>
        </is>
      </c>
      <c r="G14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24" s="16" t="inlineStr">
        <is>
          <t>Blanco</t>
        </is>
      </c>
      <c r="I1424" s="16" t="n">
        <v>1</v>
      </c>
      <c r="J1424" s="17" t="n">
        <v>125</v>
      </c>
      <c r="K1424" s="17" t="n">
        <v>57.05</v>
      </c>
      <c r="L1424" s="17" t="n">
        <v>25.86</v>
      </c>
      <c r="M1424" s="17" t="n">
        <v>0</v>
      </c>
      <c r="N1424" s="17">
        <f>K1424*0.08+L1424*0.08</f>
        <v/>
      </c>
      <c r="O1424" s="17">
        <f>-(K1424*0.025+L1424*0.025)</f>
        <v/>
      </c>
      <c r="P1424" s="17">
        <f>32</f>
        <v/>
      </c>
      <c r="Q1424" s="17">
        <f>J1424+L1424+N1424+O1424-P1424-M1424</f>
        <v/>
      </c>
    </row>
    <row r="1425">
      <c r="A1425" s="16" t="inlineStr">
        <is>
          <t>5.15-5.21</t>
        </is>
      </c>
      <c r="B1425" s="16" t="inlineStr">
        <is>
          <t>PO-128-18486105713271015</t>
        </is>
      </c>
      <c r="C1425" s="16" t="inlineStr">
        <is>
          <t>Shipped</t>
        </is>
      </c>
      <c r="D1425" s="16" t="inlineStr">
        <is>
          <t>128-18486063770231015</t>
        </is>
      </c>
      <c r="E1425" s="16" t="inlineStr">
        <is>
          <t>Shipped</t>
        </is>
      </c>
      <c r="F1425" s="16" t="inlineStr">
        <is>
          <t>i12-B</t>
        </is>
      </c>
      <c r="G1425" s="16" t="inlineStr">
        <is>
          <t>Auriculares Inalámbricos TWS - Ideales para Usuarios Android e iPhone, Entusiastas del Deporte &amp; Música, Controles Táctiles, Audífonos Para Correr y Jugar</t>
        </is>
      </c>
      <c r="H1425" s="16" t="inlineStr">
        <is>
          <t>Blanco</t>
        </is>
      </c>
      <c r="I1425" s="16" t="n">
        <v>1</v>
      </c>
      <c r="J1425" s="17" t="n">
        <v>44.8</v>
      </c>
      <c r="K1425" s="17" t="n">
        <v>60.97</v>
      </c>
      <c r="L1425" s="17" t="n">
        <v>25.86</v>
      </c>
      <c r="M1425" s="17" t="n">
        <v>0</v>
      </c>
      <c r="N1425" s="17">
        <f>K1425*0.08+L1425*0.08</f>
        <v/>
      </c>
      <c r="O1425" s="17">
        <f>-(K1425*0.025+L1425*0.025)</f>
        <v/>
      </c>
      <c r="P1425" s="17">
        <f>32</f>
        <v/>
      </c>
      <c r="Q1425" s="17">
        <f>J1425+L1425+N1425+O1425-P1425-M1425</f>
        <v/>
      </c>
    </row>
    <row r="1426">
      <c r="A1426" s="16" t="inlineStr">
        <is>
          <t>5.15-5.21</t>
        </is>
      </c>
      <c r="B1426" s="16" t="inlineStr">
        <is>
          <t>PO-128-18279142037111030</t>
        </is>
      </c>
      <c r="C1426" s="16" t="inlineStr">
        <is>
          <t>Shipped</t>
        </is>
      </c>
      <c r="D1426" s="16" t="inlineStr">
        <is>
          <t>128-18279126308471030</t>
        </is>
      </c>
      <c r="E1426" s="16" t="inlineStr">
        <is>
          <t>Shipped</t>
        </is>
      </c>
      <c r="F1426" s="16" t="inlineStr">
        <is>
          <t>TL1455N20B</t>
        </is>
      </c>
      <c r="G1426" s="16" t="inlineStr">
        <is>
          <t>LINK BITS Soporte para TV 14 A 55 Pulgadas, Base para TV Pantalla Articulado Inclinable y Giratorio, MAX VESA 400×400 mm, Soporta hasta 18kg, adaptarse a la mayoría de los televisores de 14 Pulgadas/20 Pulgadas/32 Pulgadas/42 Pulgadas/55 pulgadas</t>
        </is>
      </c>
      <c r="H1426" s="16" t="inlineStr">
        <is>
          <t>TL1455N20B</t>
        </is>
      </c>
      <c r="I1426" s="16" t="n">
        <v>5</v>
      </c>
      <c r="J1426" s="17" t="n">
        <v>355</v>
      </c>
      <c r="K1426" s="17" t="n">
        <v>460.3</v>
      </c>
      <c r="L1426" s="17" t="n">
        <v>0</v>
      </c>
      <c r="M1426" s="17" t="n">
        <v>0</v>
      </c>
      <c r="N1426" s="17">
        <f>K1426*0.08+L1426*0.08</f>
        <v/>
      </c>
      <c r="O1426" s="17">
        <f>-(K1426*0.025+L1426*0.025)</f>
        <v/>
      </c>
      <c r="P1426" s="17">
        <f>32</f>
        <v/>
      </c>
      <c r="Q1426" s="17">
        <f>J1426+L1426+N1426+O1426-P1426-M1426</f>
        <v/>
      </c>
    </row>
    <row r="1427">
      <c r="A1427" s="16" t="inlineStr">
        <is>
          <t>5.15-5.21</t>
        </is>
      </c>
      <c r="B1427" s="16" t="inlineStr">
        <is>
          <t>PO-128-18064626197112311</t>
        </is>
      </c>
      <c r="C1427" s="16" t="inlineStr">
        <is>
          <t>Shipped</t>
        </is>
      </c>
      <c r="D1427" s="16" t="inlineStr">
        <is>
          <t>128-18064678625912311</t>
        </is>
      </c>
      <c r="E1427" s="16" t="inlineStr">
        <is>
          <t>Shipped</t>
        </is>
      </c>
      <c r="F1427" s="16" t="inlineStr">
        <is>
          <t>LV64W25</t>
        </is>
      </c>
      <c r="G14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27" s="16" t="inlineStr">
        <is>
          <t>Blanco</t>
        </is>
      </c>
      <c r="I1427" s="16" t="n">
        <v>1</v>
      </c>
      <c r="J1427" s="17" t="n">
        <v>125</v>
      </c>
      <c r="K1427" s="17" t="n">
        <v>143.26</v>
      </c>
      <c r="L1427" s="17" t="n">
        <v>25.86</v>
      </c>
      <c r="M1427" s="17" t="n">
        <v>0</v>
      </c>
      <c r="N1427" s="17">
        <f>K1427*0.08+L1427*0.08</f>
        <v/>
      </c>
      <c r="O1427" s="17">
        <f>-(K1427*0.025+L1427*0.025)</f>
        <v/>
      </c>
      <c r="P1427" s="17">
        <f>32</f>
        <v/>
      </c>
      <c r="Q1427" s="17">
        <f>J1427+L1427+N1427+O1427-P1427-M1427</f>
        <v/>
      </c>
    </row>
    <row r="1428">
      <c r="A1428" s="16" t="inlineStr">
        <is>
          <t>5.15-5.21</t>
        </is>
      </c>
      <c r="B1428" s="16" t="inlineStr">
        <is>
          <t>PO-128-18378553272951654</t>
        </is>
      </c>
      <c r="C1428" s="16" t="inlineStr">
        <is>
          <t>Shipped</t>
        </is>
      </c>
      <c r="D1428" s="16" t="inlineStr">
        <is>
          <t>128-18378574244471654</t>
        </is>
      </c>
      <c r="E1428" s="16" t="inlineStr">
        <is>
          <t>Shipped</t>
        </is>
      </c>
      <c r="F1428" s="16" t="inlineStr">
        <is>
          <t>LV64W25</t>
        </is>
      </c>
      <c r="G14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28" s="16" t="inlineStr">
        <is>
          <t>Blanco</t>
        </is>
      </c>
      <c r="I1428" s="16" t="n">
        <v>1</v>
      </c>
      <c r="J1428" s="17" t="n">
        <v>125</v>
      </c>
      <c r="K1428" s="17" t="n">
        <v>143.26</v>
      </c>
      <c r="L1428" s="17" t="n">
        <v>25.86</v>
      </c>
      <c r="M1428" s="17" t="n">
        <v>0</v>
      </c>
      <c r="N1428" s="17">
        <f>K1428*0.08+L1428*0.08</f>
        <v/>
      </c>
      <c r="O1428" s="17">
        <f>-(K1428*0.025+L1428*0.025)</f>
        <v/>
      </c>
      <c r="P1428" s="17">
        <f>32</f>
        <v/>
      </c>
      <c r="Q1428" s="17">
        <f>J1428+L1428+N1428+O1428-P1428-M1428</f>
        <v/>
      </c>
    </row>
    <row r="1429">
      <c r="A1429" s="16" t="inlineStr">
        <is>
          <t>5.15-5.21</t>
        </is>
      </c>
      <c r="B1429" s="16" t="inlineStr">
        <is>
          <t>PO-128-17938656978553124</t>
        </is>
      </c>
      <c r="C1429" s="16" t="inlineStr">
        <is>
          <t>Shipped</t>
        </is>
      </c>
      <c r="D1429" s="16" t="inlineStr">
        <is>
          <t>128-17938677950073124</t>
        </is>
      </c>
      <c r="E1429" s="16" t="inlineStr">
        <is>
          <t>Shipped</t>
        </is>
      </c>
      <c r="F1429" s="16" t="inlineStr">
        <is>
          <t>LV64W25</t>
        </is>
      </c>
      <c r="G14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29" s="16" t="inlineStr">
        <is>
          <t>Blanco</t>
        </is>
      </c>
      <c r="I1429" s="16" t="n">
        <v>3</v>
      </c>
      <c r="J1429" s="17" t="n">
        <v>357</v>
      </c>
      <c r="K1429" s="17" t="n">
        <v>411.78</v>
      </c>
      <c r="L1429" s="17" t="n">
        <v>0</v>
      </c>
      <c r="M1429" s="17" t="n">
        <v>0</v>
      </c>
      <c r="N1429" s="17">
        <f>K1429*0.08+L1429*0.08</f>
        <v/>
      </c>
      <c r="O1429" s="17">
        <f>-(K1429*0.025+L1429*0.025)</f>
        <v/>
      </c>
      <c r="P1429" s="17">
        <f>32</f>
        <v/>
      </c>
      <c r="Q1429" s="17">
        <f>J1429+L1429+N1429+O1429-P1429-M1429</f>
        <v/>
      </c>
    </row>
    <row r="1430">
      <c r="A1430" s="16" t="inlineStr">
        <is>
          <t>5.15-5.21</t>
        </is>
      </c>
      <c r="B1430" s="16" t="inlineStr">
        <is>
          <t>PO-128-18043539113592437</t>
        </is>
      </c>
      <c r="C1430" s="16" t="inlineStr">
        <is>
          <t>Shipped</t>
        </is>
      </c>
      <c r="D1430" s="16" t="inlineStr">
        <is>
          <t>128-18043497170552437</t>
        </is>
      </c>
      <c r="E1430" s="16" t="inlineStr">
        <is>
          <t>Shipped</t>
        </is>
      </c>
      <c r="F1430" s="16" t="inlineStr">
        <is>
          <t>KTS-2031</t>
        </is>
      </c>
      <c r="G1430" s="16" t="inlineStr">
        <is>
          <t>Bocina inalámbrica de 3 pulgadas con linterna multifuncional y panel solar integrado.Altavoz Portátil con Linterna LED 4 Modos, Radio FM, Bluetooth, Carga Solar, Ideal para Apagones, Emergencias, Campo y Exteriores</t>
        </is>
      </c>
      <c r="H1430" s="16" t="inlineStr">
        <is>
          <t>NEGRO</t>
        </is>
      </c>
      <c r="I1430" s="16" t="n">
        <v>1</v>
      </c>
      <c r="J1430" s="17" t="n">
        <v>78</v>
      </c>
      <c r="K1430" s="17" t="n">
        <v>1.01</v>
      </c>
      <c r="L1430" s="17" t="n">
        <v>25.86</v>
      </c>
      <c r="M1430" s="17" t="n">
        <v>0</v>
      </c>
      <c r="N1430" s="17">
        <f>K1430*0.08+L1430*0.08</f>
        <v/>
      </c>
      <c r="O1430" s="17">
        <f>-(K1430*0.025+L1430*0.025)</f>
        <v/>
      </c>
      <c r="P1430" s="17">
        <f>32</f>
        <v/>
      </c>
      <c r="Q1430" s="17">
        <f>J1430+L1430+N1430+O1430-P1430-M1430</f>
        <v/>
      </c>
    </row>
    <row r="1431">
      <c r="A1431" s="16" t="inlineStr">
        <is>
          <t>5.15-5.21</t>
        </is>
      </c>
      <c r="B1431" s="16" t="inlineStr">
        <is>
          <t>PO-128-18311687598711988</t>
        </is>
      </c>
      <c r="C1431" s="16" t="inlineStr">
        <is>
          <t>Shipped</t>
        </is>
      </c>
      <c r="D1431" s="16" t="inlineStr">
        <is>
          <t>128-18311792456311988</t>
        </is>
      </c>
      <c r="E1431" s="16" t="inlineStr">
        <is>
          <t>Shipped</t>
        </is>
      </c>
      <c r="F1431" s="16" t="inlineStr">
        <is>
          <t>LV54W25</t>
        </is>
      </c>
      <c r="G1431" s="16" t="inlineStr">
        <is>
          <t>TIANLAI Lámpara Ventilador E27 2 en 1, Silenciosa, LED Alta Luminosidad 180°, Instalación Rápida, Ahorro Energético para Dormitorio y Interiores Pequeños</t>
        </is>
      </c>
      <c r="H1431" s="16" t="inlineStr">
        <is>
          <t>1 Pieza</t>
        </is>
      </c>
      <c r="I1431" s="16" t="n">
        <v>1</v>
      </c>
      <c r="J1431" s="17" t="n">
        <v>79</v>
      </c>
      <c r="K1431" s="17" t="n">
        <v>81.62</v>
      </c>
      <c r="L1431" s="17" t="n">
        <v>25.86</v>
      </c>
      <c r="M1431" s="17" t="n">
        <v>4.51</v>
      </c>
      <c r="N1431" s="17">
        <f>K1431*0.08+L1431*0.08</f>
        <v/>
      </c>
      <c r="O1431" s="17">
        <f>-(K1431*0.025+L1431*0.025)</f>
        <v/>
      </c>
      <c r="P1431" s="17">
        <f>32</f>
        <v/>
      </c>
      <c r="Q1431" s="17">
        <f>J1431+L1431+N1431+O1431-P1431-M1431</f>
        <v/>
      </c>
    </row>
    <row r="1432">
      <c r="A1432" s="16" t="inlineStr">
        <is>
          <t>5.15-5.21</t>
        </is>
      </c>
      <c r="B1432" s="16" t="inlineStr">
        <is>
          <t>PO-128-18048627630712468</t>
        </is>
      </c>
      <c r="C1432" s="16" t="inlineStr">
        <is>
          <t>Shipped</t>
        </is>
      </c>
      <c r="D1432" s="16" t="inlineStr">
        <is>
          <t>128-18048732488312468</t>
        </is>
      </c>
      <c r="E1432" s="16" t="inlineStr">
        <is>
          <t>Shipped</t>
        </is>
      </c>
      <c r="F1432" s="16" t="inlineStr">
        <is>
          <t>LV54W25</t>
        </is>
      </c>
      <c r="G1432" s="16" t="inlineStr">
        <is>
          <t>TIANLAI Lámpara Ventilador E27 2 en 1, Silenciosa, LED Alta Luminosidad 180°, Instalación Rápida, Ahorro Energético para Dormitorio y Interiores Pequeños</t>
        </is>
      </c>
      <c r="H1432" s="16" t="inlineStr">
        <is>
          <t>1 Pieza</t>
        </is>
      </c>
      <c r="I1432" s="16" t="n">
        <v>1</v>
      </c>
      <c r="J1432" s="17" t="n">
        <v>79</v>
      </c>
      <c r="K1432" s="17" t="n">
        <v>64.56999999999999</v>
      </c>
      <c r="L1432" s="17" t="n">
        <v>25.86</v>
      </c>
      <c r="M1432" s="17" t="n">
        <v>0</v>
      </c>
      <c r="N1432" s="17">
        <f>K1432*0.08+L1432*0.08</f>
        <v/>
      </c>
      <c r="O1432" s="17">
        <f>-(K1432*0.025+L1432*0.025)</f>
        <v/>
      </c>
      <c r="P1432" s="17">
        <f>32</f>
        <v/>
      </c>
      <c r="Q1432" s="17">
        <f>J1432+L1432+N1432+O1432-P1432-M1432</f>
        <v/>
      </c>
    </row>
    <row r="1433">
      <c r="A1433" s="16" t="inlineStr">
        <is>
          <t>5.15-5.21</t>
        </is>
      </c>
      <c r="B1433" s="16" t="inlineStr">
        <is>
          <t>PO-128-18120635884152169</t>
        </is>
      </c>
      <c r="C1433" s="16" t="inlineStr">
        <is>
          <t>Shipped</t>
        </is>
      </c>
      <c r="D1433" s="16" t="inlineStr">
        <is>
          <t>128-18120593941112169</t>
        </is>
      </c>
      <c r="E1433" s="16" t="inlineStr">
        <is>
          <t>Shipped</t>
        </is>
      </c>
      <c r="F1433" s="16" t="inlineStr">
        <is>
          <t>LV64W25</t>
        </is>
      </c>
      <c r="G14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33" s="16" t="inlineStr">
        <is>
          <t>Blanco</t>
        </is>
      </c>
      <c r="I1433" s="16" t="n">
        <v>4</v>
      </c>
      <c r="J1433" s="17" t="n">
        <v>476</v>
      </c>
      <c r="K1433" s="17" t="n">
        <v>519.88</v>
      </c>
      <c r="L1433" s="17" t="n">
        <v>0</v>
      </c>
      <c r="M1433" s="17" t="n">
        <v>0</v>
      </c>
      <c r="N1433" s="17">
        <f>K1433*0.08+L1433*0.08</f>
        <v/>
      </c>
      <c r="O1433" s="17">
        <f>-(K1433*0.025+L1433*0.025)</f>
        <v/>
      </c>
      <c r="P1433" s="17">
        <f>32</f>
        <v/>
      </c>
      <c r="Q1433" s="17">
        <f>J1433+L1433+N1433+O1433-P1433-M1433</f>
        <v/>
      </c>
    </row>
    <row r="1434">
      <c r="A1434" s="16" t="inlineStr">
        <is>
          <t>5.15-5.21</t>
        </is>
      </c>
      <c r="B1434" s="16" t="inlineStr">
        <is>
          <t>PO-128-18247151104631351</t>
        </is>
      </c>
      <c r="C1434" s="16" t="inlineStr">
        <is>
          <t>Shipped</t>
        </is>
      </c>
      <c r="D1434" s="16" t="inlineStr">
        <is>
          <t>128-18247130133111351</t>
        </is>
      </c>
      <c r="E1434" s="16" t="inlineStr">
        <is>
          <t>Shipped</t>
        </is>
      </c>
      <c r="F1434" s="16" t="inlineStr">
        <is>
          <t>KTS-2031</t>
        </is>
      </c>
      <c r="G1434" s="16" t="inlineStr">
        <is>
          <t>Bocina inalámbrica de 3 pulgadas con linterna multifuncional y panel solar integrado.Altavoz Portátil con Linterna LED 4 Modos, Radio FM, Bluetooth, Carga Solar, Ideal para Apagones, Emergencias, Campo y Exteriores</t>
        </is>
      </c>
      <c r="H1434" s="16" t="inlineStr">
        <is>
          <t>NEGRO</t>
        </is>
      </c>
      <c r="I1434" s="16" t="n">
        <v>1</v>
      </c>
      <c r="J1434" s="17" t="n">
        <v>78</v>
      </c>
      <c r="K1434" s="17" t="n">
        <v>87.22</v>
      </c>
      <c r="L1434" s="17" t="n">
        <v>25.86</v>
      </c>
      <c r="M1434" s="17" t="n">
        <v>0</v>
      </c>
      <c r="N1434" s="17">
        <f>K1434*0.08+L1434*0.08</f>
        <v/>
      </c>
      <c r="O1434" s="17">
        <f>-(K1434*0.025+L1434*0.025)</f>
        <v/>
      </c>
      <c r="P1434" s="17">
        <f>32</f>
        <v/>
      </c>
      <c r="Q1434" s="17">
        <f>J1434+L1434+N1434+O1434-P1434-M1434</f>
        <v/>
      </c>
    </row>
    <row r="1435">
      <c r="A1435" s="16" t="inlineStr">
        <is>
          <t>5.15-5.21</t>
        </is>
      </c>
      <c r="B1435" s="16" t="inlineStr">
        <is>
          <t>PO-128-17881523855993528</t>
        </is>
      </c>
      <c r="C1435" s="16" t="inlineStr">
        <is>
          <t>Shipped</t>
        </is>
      </c>
      <c r="D1435" s="16" t="inlineStr">
        <is>
          <t>128-17881544827513528</t>
        </is>
      </c>
      <c r="E1435" s="16" t="inlineStr">
        <is>
          <t>Shipped</t>
        </is>
      </c>
      <c r="F1435" s="16" t="inlineStr">
        <is>
          <t>LV64W25</t>
        </is>
      </c>
      <c r="G14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35" s="16" t="inlineStr">
        <is>
          <t>Blanco</t>
        </is>
      </c>
      <c r="I1435" s="16" t="n">
        <v>1</v>
      </c>
      <c r="J1435" s="17" t="n">
        <v>119</v>
      </c>
      <c r="K1435" s="17" t="n">
        <v>137.26</v>
      </c>
      <c r="L1435" s="17" t="n">
        <v>25.86</v>
      </c>
      <c r="M1435" s="17" t="n">
        <v>0</v>
      </c>
      <c r="N1435" s="17">
        <f>K1435*0.08+L1435*0.08</f>
        <v/>
      </c>
      <c r="O1435" s="17">
        <f>-(K1435*0.025+L1435*0.025)</f>
        <v/>
      </c>
      <c r="P1435" s="17">
        <f>32</f>
        <v/>
      </c>
      <c r="Q1435" s="17">
        <f>J1435+L1435+N1435+O1435-P1435-M1435</f>
        <v/>
      </c>
    </row>
    <row r="1436">
      <c r="A1436" s="16" t="inlineStr">
        <is>
          <t>5.15-5.21</t>
        </is>
      </c>
      <c r="B1436" s="16" t="inlineStr">
        <is>
          <t>PO-128-17957495155833973</t>
        </is>
      </c>
      <c r="C1436" s="16" t="inlineStr">
        <is>
          <t>Shipped</t>
        </is>
      </c>
      <c r="D1436" s="16" t="inlineStr">
        <is>
          <t>128-17957658995833973</t>
        </is>
      </c>
      <c r="E1436" s="16" t="inlineStr">
        <is>
          <t>Shipped</t>
        </is>
      </c>
      <c r="F1436" s="16" t="inlineStr">
        <is>
          <t>KTS-2031</t>
        </is>
      </c>
      <c r="G1436" s="16" t="inlineStr">
        <is>
          <t>Bocina inalámbrica de 3 pulgadas con linterna multifuncional y panel solar integrado.Altavoz Portátil con Linterna LED 4 Modos, Radio FM, Bluetooth, Carga Solar, Ideal para Apagones, Emergencias, Campo y Exteriores</t>
        </is>
      </c>
      <c r="H1436" s="16" t="inlineStr">
        <is>
          <t>NEGRO</t>
        </is>
      </c>
      <c r="I1436" s="16" t="n">
        <v>1</v>
      </c>
      <c r="J1436" s="17" t="n">
        <v>78</v>
      </c>
      <c r="K1436" s="17" t="n">
        <v>4.46</v>
      </c>
      <c r="L1436" s="17" t="n">
        <v>25.86</v>
      </c>
      <c r="M1436" s="17" t="n">
        <v>0</v>
      </c>
      <c r="N1436" s="17">
        <f>K1436*0.08+L1436*0.08</f>
        <v/>
      </c>
      <c r="O1436" s="17">
        <f>-(K1436*0.025+L1436*0.025)</f>
        <v/>
      </c>
      <c r="P1436" s="17">
        <f>32</f>
        <v/>
      </c>
      <c r="Q1436" s="17">
        <f>J1436+L1436+N1436+O1436-P1436-M1436</f>
        <v/>
      </c>
    </row>
    <row r="1437">
      <c r="A1437" s="16" t="inlineStr">
        <is>
          <t>5.15-5.21</t>
        </is>
      </c>
      <c r="B1437" s="16" t="inlineStr">
        <is>
          <t>PO-128-18479846564470986</t>
        </is>
      </c>
      <c r="C1437" s="16" t="inlineStr">
        <is>
          <t>Shipped</t>
        </is>
      </c>
      <c r="D1437" s="16" t="inlineStr">
        <is>
          <t>128-18479825592950986</t>
        </is>
      </c>
      <c r="E1437" s="16" t="inlineStr">
        <is>
          <t>Shipped</t>
        </is>
      </c>
      <c r="F1437" s="16" t="inlineStr">
        <is>
          <t>KTS-2031</t>
        </is>
      </c>
      <c r="G1437" s="16" t="inlineStr">
        <is>
          <t>Bocina inalámbrica de 3 pulgadas con linterna multifuncional y panel solar integrado.Altavoz Portátil con Linterna LED 4 Modos, Radio FM, Bluetooth, Carga Solar, Ideal para Apagones, Emergencias, Campo y Exteriores</t>
        </is>
      </c>
      <c r="H1437" s="16" t="inlineStr">
        <is>
          <t>NEGRO</t>
        </is>
      </c>
      <c r="I1437" s="16" t="n">
        <v>1</v>
      </c>
      <c r="J1437" s="17" t="n">
        <v>78</v>
      </c>
      <c r="K1437" s="17" t="n">
        <v>87.22</v>
      </c>
      <c r="L1437" s="17" t="n">
        <v>25.86</v>
      </c>
      <c r="M1437" s="17" t="n">
        <v>0</v>
      </c>
      <c r="N1437" s="17">
        <f>K1437*0.08+L1437*0.08</f>
        <v/>
      </c>
      <c r="O1437" s="17">
        <f>-(K1437*0.025+L1437*0.025)</f>
        <v/>
      </c>
      <c r="P1437" s="17">
        <f>32</f>
        <v/>
      </c>
      <c r="Q1437" s="17">
        <f>J1437+L1437+N1437+O1437-P1437-M1437</f>
        <v/>
      </c>
    </row>
    <row r="1438">
      <c r="A1438" s="16" t="inlineStr">
        <is>
          <t>5.15-5.21</t>
        </is>
      </c>
      <c r="B1438" s="16" t="inlineStr">
        <is>
          <t>PO-128-17959969795194023</t>
        </is>
      </c>
      <c r="C1438" s="16" t="inlineStr">
        <is>
          <t>Shipped</t>
        </is>
      </c>
      <c r="D1438" s="16" t="inlineStr">
        <is>
          <t>128-17960007806074023</t>
        </is>
      </c>
      <c r="E1438" s="16" t="inlineStr">
        <is>
          <t>Shipped</t>
        </is>
      </c>
      <c r="F1438" s="16" t="inlineStr">
        <is>
          <t>MB-174-N</t>
        </is>
      </c>
      <c r="G1438" s="16" t="inlineStr">
        <is>
          <t>LINK BITS MB-174 Mini Bocina Bluetooth Soporte para Celular Integrado TWS Luz Ambiental 5W 80dB Sonido Claro Carga TYPE-C Material ABS Portátil Ideal como Regalo para Hogar Oficina Exterior Picnic</t>
        </is>
      </c>
      <c r="H1438" s="16" t="inlineStr">
        <is>
          <t>NEGRO</t>
        </is>
      </c>
      <c r="I1438" s="16" t="n">
        <v>2</v>
      </c>
      <c r="J1438" s="17" t="n">
        <v>189</v>
      </c>
      <c r="K1438" s="17" t="n">
        <v>196.98</v>
      </c>
      <c r="L1438" s="17" t="n">
        <v>25.86</v>
      </c>
      <c r="M1438" s="17" t="n">
        <v>0</v>
      </c>
      <c r="N1438" s="17">
        <f>K1438*0.08+L1438*0.08</f>
        <v/>
      </c>
      <c r="O1438" s="17">
        <f>-(K1438*0.025+L1438*0.025)</f>
        <v/>
      </c>
      <c r="P1438" s="17">
        <f>32</f>
        <v/>
      </c>
      <c r="Q1438" s="17">
        <f>J1438+L1438+N1438+O1438-P1438-M1438</f>
        <v/>
      </c>
    </row>
    <row r="1439">
      <c r="A1439" s="16" t="inlineStr">
        <is>
          <t>5.15-5.21</t>
        </is>
      </c>
      <c r="B1439" s="16" t="inlineStr">
        <is>
          <t>PO-128-18488357007991001</t>
        </is>
      </c>
      <c r="C1439" s="16" t="inlineStr">
        <is>
          <t>Shipped</t>
        </is>
      </c>
      <c r="D1439" s="16" t="inlineStr">
        <is>
          <t>128-18488377979511001</t>
        </is>
      </c>
      <c r="E1439" s="16" t="inlineStr">
        <is>
          <t>Shipped</t>
        </is>
      </c>
      <c r="F1439" s="16" t="inlineStr">
        <is>
          <t>LV54W25</t>
        </is>
      </c>
      <c r="G1439" s="16" t="inlineStr">
        <is>
          <t>TIANLAI Lámpara Ventilador E27 2 en 1, Silenciosa, LED Alta Luminosidad 180°, Instalación Rápida, Ahorro Energético para Dormitorio y Interiores Pequeños</t>
        </is>
      </c>
      <c r="H1439" s="16" t="inlineStr">
        <is>
          <t>1 Pieza</t>
        </is>
      </c>
      <c r="I1439" s="16" t="n">
        <v>1</v>
      </c>
      <c r="J1439" s="17" t="n">
        <v>79</v>
      </c>
      <c r="K1439" s="17" t="n">
        <v>80.70999999999999</v>
      </c>
      <c r="L1439" s="17" t="n">
        <v>25.86</v>
      </c>
      <c r="M1439" s="17" t="n">
        <v>0</v>
      </c>
      <c r="N1439" s="17">
        <f>K1439*0.08+L1439*0.08</f>
        <v/>
      </c>
      <c r="O1439" s="17">
        <f>-(K1439*0.025+L1439*0.025)</f>
        <v/>
      </c>
      <c r="P1439" s="17">
        <f>32</f>
        <v/>
      </c>
      <c r="Q1439" s="17">
        <f>J1439+L1439+N1439+O1439-P1439-M1439</f>
        <v/>
      </c>
    </row>
    <row r="1440">
      <c r="A1440" s="16" t="inlineStr">
        <is>
          <t>5.15-5.21</t>
        </is>
      </c>
      <c r="B1440" s="16" t="inlineStr">
        <is>
          <t>PO-128-18231505613431506</t>
        </is>
      </c>
      <c r="C1440" s="16" t="inlineStr">
        <is>
          <t>Shipped</t>
        </is>
      </c>
      <c r="D1440" s="16" t="inlineStr">
        <is>
          <t>128-18231526584951506</t>
        </is>
      </c>
      <c r="E1440" s="16" t="inlineStr">
        <is>
          <t>Shipped</t>
        </is>
      </c>
      <c r="F1440" s="16" t="inlineStr">
        <is>
          <t>LV64W25</t>
        </is>
      </c>
      <c r="G14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0" s="16" t="inlineStr">
        <is>
          <t>Blanco</t>
        </is>
      </c>
      <c r="I1440" s="16" t="n">
        <v>1</v>
      </c>
      <c r="J1440" s="17" t="n">
        <v>119</v>
      </c>
      <c r="K1440" s="17" t="n">
        <v>137.26</v>
      </c>
      <c r="L1440" s="17" t="n">
        <v>25.86</v>
      </c>
      <c r="M1440" s="17" t="n">
        <v>0</v>
      </c>
      <c r="N1440" s="17">
        <f>K1440*0.08+L1440*0.08</f>
        <v/>
      </c>
      <c r="O1440" s="17">
        <f>-(K1440*0.025+L1440*0.025)</f>
        <v/>
      </c>
      <c r="P1440" s="17">
        <f>32</f>
        <v/>
      </c>
      <c r="Q1440" s="17">
        <f>J1440+L1440+N1440+O1440-P1440-M1440</f>
        <v/>
      </c>
    </row>
    <row r="1441">
      <c r="A1441" s="16" t="inlineStr">
        <is>
          <t>5.15-5.21</t>
        </is>
      </c>
      <c r="B1441" s="16" t="inlineStr">
        <is>
          <t>PO-128-17867817472633482</t>
        </is>
      </c>
      <c r="C1441" s="16" t="inlineStr">
        <is>
          <t>Shipped</t>
        </is>
      </c>
      <c r="D1441" s="16" t="inlineStr">
        <is>
          <t>128-17867796501113482</t>
        </is>
      </c>
      <c r="E1441" s="16" t="inlineStr">
        <is>
          <t>Shipped</t>
        </is>
      </c>
      <c r="F1441" s="16" t="inlineStr">
        <is>
          <t>LV64W25</t>
        </is>
      </c>
      <c r="G14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1" s="16" t="inlineStr">
        <is>
          <t>Blanco</t>
        </is>
      </c>
      <c r="I1441" s="16" t="n">
        <v>1</v>
      </c>
      <c r="J1441" s="17" t="n">
        <v>119</v>
      </c>
      <c r="K1441" s="17" t="n">
        <v>123.54</v>
      </c>
      <c r="L1441" s="17" t="n">
        <v>25.86</v>
      </c>
      <c r="M1441" s="17" t="n">
        <v>0</v>
      </c>
      <c r="N1441" s="17">
        <f>K1441*0.08+L1441*0.08</f>
        <v/>
      </c>
      <c r="O1441" s="17">
        <f>-(K1441*0.025+L1441*0.025)</f>
        <v/>
      </c>
      <c r="P1441" s="17">
        <f>32</f>
        <v/>
      </c>
      <c r="Q1441" s="17">
        <f>J1441+L1441+N1441+O1441-P1441-M1441</f>
        <v/>
      </c>
    </row>
    <row r="1442">
      <c r="A1442" s="16" t="inlineStr">
        <is>
          <t>5.15-5.21</t>
        </is>
      </c>
      <c r="B1442" s="16" t="inlineStr">
        <is>
          <t>PO-128-18020289362553599</t>
        </is>
      </c>
      <c r="C1442" s="16" t="inlineStr">
        <is>
          <t>Shipped</t>
        </is>
      </c>
      <c r="D1442" s="16" t="inlineStr">
        <is>
          <t>128-18020331305593599</t>
        </is>
      </c>
      <c r="E1442" s="16" t="inlineStr">
        <is>
          <t>Shipped</t>
        </is>
      </c>
      <c r="F1442" s="16" t="inlineStr">
        <is>
          <t>LV64W25</t>
        </is>
      </c>
      <c r="G14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2" s="16" t="inlineStr">
        <is>
          <t>Blanco</t>
        </is>
      </c>
      <c r="I1442" s="16" t="n">
        <v>1</v>
      </c>
      <c r="J1442" s="17" t="n">
        <v>119</v>
      </c>
      <c r="K1442" s="17" t="n">
        <v>109.81</v>
      </c>
      <c r="L1442" s="17" t="n">
        <v>25.86</v>
      </c>
      <c r="M1442" s="17" t="n">
        <v>0</v>
      </c>
      <c r="N1442" s="17">
        <f>K1442*0.08+L1442*0.08</f>
        <v/>
      </c>
      <c r="O1442" s="17">
        <f>-(K1442*0.025+L1442*0.025)</f>
        <v/>
      </c>
      <c r="P1442" s="17">
        <f>32</f>
        <v/>
      </c>
      <c r="Q1442" s="17">
        <f>J1442+L1442+N1442+O1442-P1442-M1442</f>
        <v/>
      </c>
    </row>
    <row r="1443">
      <c r="A1443" s="16" t="inlineStr">
        <is>
          <t>5.15-5.21</t>
        </is>
      </c>
      <c r="B1443" s="16" t="inlineStr">
        <is>
          <t>PO-128-17918218353273246</t>
        </is>
      </c>
      <c r="C1443" s="16" t="inlineStr">
        <is>
          <t>Shipped</t>
        </is>
      </c>
      <c r="D1443" s="16" t="inlineStr">
        <is>
          <t>128-17918176410233246</t>
        </is>
      </c>
      <c r="E1443" s="16" t="inlineStr">
        <is>
          <t>Shipped</t>
        </is>
      </c>
      <c r="F1443" s="16" t="inlineStr">
        <is>
          <t>TL2663N18C</t>
        </is>
      </c>
      <c r="G1443" s="16" t="inlineStr">
        <is>
          <t>Linkbits，Soporte de pared fijo para televisores de 26"-63", Ultra-Delgado Compatible con VESA 400x400mm, Capacidad de Peso Fuerte de 25KG, Instalación Fácil Sin Electricidad</t>
        </is>
      </c>
      <c r="H1443" s="16" t="inlineStr">
        <is>
          <t>NEGRO</t>
        </is>
      </c>
      <c r="I1443" s="16" t="n">
        <v>1</v>
      </c>
      <c r="J1443" s="17" t="n">
        <v>53.8</v>
      </c>
      <c r="K1443" s="17" t="n">
        <v>25.67</v>
      </c>
      <c r="L1443" s="17" t="n">
        <v>25.86</v>
      </c>
      <c r="M1443" s="17" t="n">
        <v>0</v>
      </c>
      <c r="N1443" s="17">
        <f>K1443*0.08+L1443*0.08</f>
        <v/>
      </c>
      <c r="O1443" s="17">
        <f>-(K1443*0.025+L1443*0.025)</f>
        <v/>
      </c>
      <c r="P1443" s="17">
        <f>32</f>
        <v/>
      </c>
      <c r="Q1443" s="17">
        <f>J1443+L1443+N1443+O1443-P1443-M1443</f>
        <v/>
      </c>
    </row>
    <row r="1444">
      <c r="A1444" s="16" t="inlineStr">
        <is>
          <t>5.15-5.21</t>
        </is>
      </c>
      <c r="B1444" s="16" t="inlineStr">
        <is>
          <t>PO-128-17992160881273959</t>
        </is>
      </c>
      <c r="C1444" s="16" t="inlineStr">
        <is>
          <t>Shipped</t>
        </is>
      </c>
      <c r="D1444" s="16" t="inlineStr">
        <is>
          <t>128-17992181852793959</t>
        </is>
      </c>
      <c r="E1444" s="16" t="inlineStr">
        <is>
          <t>Shipped</t>
        </is>
      </c>
      <c r="F1444" s="16" t="inlineStr">
        <is>
          <t>LV54W25</t>
        </is>
      </c>
      <c r="G1444" s="16" t="inlineStr">
        <is>
          <t>TIANLAI Lámpara Ventilador E27 2 en 1, Silenciosa, LED Alta Luminosidad 180°, Instalación Rápida, Ahorro Energético para Dormitorio y Interiores Pequeños</t>
        </is>
      </c>
      <c r="H1444" s="16" t="inlineStr">
        <is>
          <t>1 Pieza</t>
        </is>
      </c>
      <c r="I1444" s="16" t="n">
        <v>1</v>
      </c>
      <c r="J1444" s="17" t="n">
        <v>79</v>
      </c>
      <c r="K1444" s="17" t="n">
        <v>7.92</v>
      </c>
      <c r="L1444" s="17" t="n">
        <v>25.86</v>
      </c>
      <c r="M1444" s="17" t="n">
        <v>0</v>
      </c>
      <c r="N1444" s="17">
        <f>K1444*0.08+L1444*0.08</f>
        <v/>
      </c>
      <c r="O1444" s="17">
        <f>-(K1444*0.025+L1444*0.025)</f>
        <v/>
      </c>
      <c r="P1444" s="17">
        <f>32</f>
        <v/>
      </c>
      <c r="Q1444" s="17">
        <f>J1444+L1444+N1444+O1444-P1444-M1444</f>
        <v/>
      </c>
    </row>
    <row r="1445">
      <c r="A1445" s="16" t="inlineStr">
        <is>
          <t>5.15-5.21</t>
        </is>
      </c>
      <c r="B1445" s="16" t="inlineStr">
        <is>
          <t>PO-128-18238440858231339</t>
        </is>
      </c>
      <c r="C1445" s="16" t="inlineStr">
        <is>
          <t>Shipped</t>
        </is>
      </c>
      <c r="D1445" s="16" t="inlineStr">
        <is>
          <t>128-18238493287031339</t>
        </is>
      </c>
      <c r="E1445" s="16" t="inlineStr">
        <is>
          <t>Shipped</t>
        </is>
      </c>
      <c r="F1445" s="16" t="inlineStr">
        <is>
          <t>LV64W25</t>
        </is>
      </c>
      <c r="G14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5" s="16" t="inlineStr">
        <is>
          <t>Blanco</t>
        </is>
      </c>
      <c r="I1445" s="16" t="n">
        <v>1</v>
      </c>
      <c r="J1445" s="17" t="n">
        <v>119</v>
      </c>
      <c r="K1445" s="17" t="n">
        <v>54.5</v>
      </c>
      <c r="L1445" s="17" t="n">
        <v>25.86</v>
      </c>
      <c r="M1445" s="17" t="n">
        <v>0</v>
      </c>
      <c r="N1445" s="17">
        <f>K1445*0.08+L1445*0.08</f>
        <v/>
      </c>
      <c r="O1445" s="17">
        <f>-(K1445*0.025+L1445*0.025)</f>
        <v/>
      </c>
      <c r="P1445" s="17">
        <f>32</f>
        <v/>
      </c>
      <c r="Q1445" s="17">
        <f>J1445+L1445+N1445+O1445-P1445-M1445</f>
        <v/>
      </c>
    </row>
    <row r="1446">
      <c r="A1446" s="16" t="inlineStr">
        <is>
          <t>5.15-5.21</t>
        </is>
      </c>
      <c r="B1446" s="16" t="inlineStr">
        <is>
          <t>PO-128-18510016364150870</t>
        </is>
      </c>
      <c r="C1446" s="16" t="inlineStr">
        <is>
          <t>Shipped</t>
        </is>
      </c>
      <c r="D1446" s="16" t="inlineStr">
        <is>
          <t>128-18510058307190870</t>
        </is>
      </c>
      <c r="E1446" s="16" t="inlineStr">
        <is>
          <t>Shipped</t>
        </is>
      </c>
      <c r="F1446" s="16" t="inlineStr">
        <is>
          <t>LV64W25</t>
        </is>
      </c>
      <c r="G14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46" s="16" t="inlineStr">
        <is>
          <t>Blanco</t>
        </is>
      </c>
      <c r="I1446" s="16" t="n">
        <v>2</v>
      </c>
      <c r="J1446" s="17" t="n">
        <v>238</v>
      </c>
      <c r="K1446" s="17" t="n">
        <v>274.52</v>
      </c>
      <c r="L1446" s="17" t="n">
        <v>0</v>
      </c>
      <c r="M1446" s="17" t="n">
        <v>0</v>
      </c>
      <c r="N1446" s="17">
        <f>K1446*0.08+L1446*0.08</f>
        <v/>
      </c>
      <c r="O1446" s="17">
        <f>-(K1446*0.025+L1446*0.025)</f>
        <v/>
      </c>
      <c r="P1446" s="17">
        <f>32</f>
        <v/>
      </c>
      <c r="Q1446" s="17">
        <f>J1446+L1446+N1446+O1446-P1446-M1446</f>
        <v/>
      </c>
    </row>
    <row r="1447">
      <c r="A1447" s="16" t="inlineStr">
        <is>
          <t>5.15-5.21</t>
        </is>
      </c>
      <c r="B1447" s="16" t="inlineStr">
        <is>
          <t>PO-128-17954548542073991</t>
        </is>
      </c>
      <c r="C1447" s="16" t="inlineStr">
        <is>
          <t>Shipped</t>
        </is>
      </c>
      <c r="D1447" s="16" t="inlineStr">
        <is>
          <t>128-17954506599033991</t>
        </is>
      </c>
      <c r="E1447" s="16" t="inlineStr">
        <is>
          <t>Shipped</t>
        </is>
      </c>
      <c r="F1447" s="16" t="inlineStr">
        <is>
          <t>LV54W25</t>
        </is>
      </c>
      <c r="G1447" s="16" t="inlineStr">
        <is>
          <t>TIANLAI Lámpara Ventilador E27 2 en 1, Silenciosa, LED Alta Luminosidad 180°, Instalación Rápida, Ahorro Energético para Dormitorio y Interiores Pequeños</t>
        </is>
      </c>
      <c r="H1447" s="16" t="inlineStr">
        <is>
          <t>1 Pieza</t>
        </is>
      </c>
      <c r="I1447" s="16" t="n">
        <v>1</v>
      </c>
      <c r="J1447" s="17" t="n">
        <v>79</v>
      </c>
      <c r="K1447" s="17" t="n">
        <v>81.62</v>
      </c>
      <c r="L1447" s="17" t="n">
        <v>25.86</v>
      </c>
      <c r="M1447" s="17" t="n">
        <v>0</v>
      </c>
      <c r="N1447" s="17">
        <f>K1447*0.08+L1447*0.08</f>
        <v/>
      </c>
      <c r="O1447" s="17">
        <f>-(K1447*0.025+L1447*0.025)</f>
        <v/>
      </c>
      <c r="P1447" s="17">
        <f>32</f>
        <v/>
      </c>
      <c r="Q1447" s="17">
        <f>J1447+L1447+N1447+O1447-P1447-M1447</f>
        <v/>
      </c>
    </row>
    <row r="1448">
      <c r="A1448" s="16" t="inlineStr">
        <is>
          <t>5.15-5.21</t>
        </is>
      </c>
      <c r="B1448" s="16" t="inlineStr">
        <is>
          <t>PO-128-17956949489273977</t>
        </is>
      </c>
      <c r="C1448" s="16" t="inlineStr">
        <is>
          <t>Shipped</t>
        </is>
      </c>
      <c r="D1448" s="16" t="inlineStr">
        <is>
          <t>128-17956987500153977</t>
        </is>
      </c>
      <c r="E1448" s="16" t="inlineStr">
        <is>
          <t>Shipped</t>
        </is>
      </c>
      <c r="F1448" s="16" t="inlineStr">
        <is>
          <t>TL1455N20B</t>
        </is>
      </c>
      <c r="G1448" s="16" t="inlineStr">
        <is>
          <t>LINK BITS Soporte para TV 14 A 55 Pulgadas, Base para TV Pantalla Articulado Inclinable y Giratorio, MAX VESA 400×400 mm, Soporta hasta 18kg, adaptarse a la mayoría de los televisores de 14 Pulgadas/20 Pulgadas/32 Pulgadas/42 Pulgadas/55 pulgadas</t>
        </is>
      </c>
      <c r="H1448" s="16" t="inlineStr">
        <is>
          <t>TL1455N20B</t>
        </is>
      </c>
      <c r="I1448" s="16" t="n">
        <v>6</v>
      </c>
      <c r="J1448" s="17" t="n">
        <v>426</v>
      </c>
      <c r="K1448" s="17" t="n">
        <v>445.39</v>
      </c>
      <c r="L1448" s="17" t="n">
        <v>0</v>
      </c>
      <c r="M1448" s="17" t="n">
        <v>0</v>
      </c>
      <c r="N1448" s="17">
        <f>K1448*0.08+L1448*0.08</f>
        <v/>
      </c>
      <c r="O1448" s="17">
        <f>-(K1448*0.025+L1448*0.025)</f>
        <v/>
      </c>
      <c r="P1448" s="17">
        <f>32</f>
        <v/>
      </c>
      <c r="Q1448" s="17">
        <f>J1448+L1448+N1448+O1448-P1448-M1448</f>
        <v/>
      </c>
    </row>
    <row r="1449">
      <c r="A1449" s="16" t="inlineStr">
        <is>
          <t>5.15-5.21</t>
        </is>
      </c>
      <c r="B1449" s="16" t="inlineStr">
        <is>
          <t>PO-128-18370385905271574</t>
        </is>
      </c>
      <c r="C1449" s="16" t="inlineStr">
        <is>
          <t>Shipped</t>
        </is>
      </c>
      <c r="D1449" s="16" t="inlineStr">
        <is>
          <t>128-18370401633911574</t>
        </is>
      </c>
      <c r="E1449" s="16" t="inlineStr">
        <is>
          <t>Shipped</t>
        </is>
      </c>
      <c r="F1449" s="16" t="inlineStr">
        <is>
          <t>LV54W25</t>
        </is>
      </c>
      <c r="G1449" s="16" t="inlineStr">
        <is>
          <t>TIANLAI Lámpara Ventilador E27 2 en 1, Silenciosa, LED Alta Luminosidad 180°, Instalación Rápida, Ahorro Energético para Dormitorio y Interiores Pequeños</t>
        </is>
      </c>
      <c r="H1449" s="16" t="inlineStr">
        <is>
          <t>1 Pieza</t>
        </is>
      </c>
      <c r="I1449" s="16" t="n">
        <v>1</v>
      </c>
      <c r="J1449" s="17" t="n">
        <v>79</v>
      </c>
      <c r="K1449" s="17" t="n">
        <v>81.62</v>
      </c>
      <c r="L1449" s="17" t="n">
        <v>25.86</v>
      </c>
      <c r="M1449" s="17" t="n">
        <v>0</v>
      </c>
      <c r="N1449" s="17">
        <f>K1449*0.08+L1449*0.08</f>
        <v/>
      </c>
      <c r="O1449" s="17">
        <f>-(K1449*0.025+L1449*0.025)</f>
        <v/>
      </c>
      <c r="P1449" s="17">
        <f>32</f>
        <v/>
      </c>
      <c r="Q1449" s="17">
        <f>J1449+L1449+N1449+O1449-P1449-M1449</f>
        <v/>
      </c>
    </row>
    <row r="1450">
      <c r="A1450" s="16" t="inlineStr">
        <is>
          <t>5.15-5.21</t>
        </is>
      </c>
      <c r="B1450" s="16" t="inlineStr">
        <is>
          <t>PO-128-18035299687033700</t>
        </is>
      </c>
      <c r="C1450" s="16" t="inlineStr">
        <is>
          <t>Shipped</t>
        </is>
      </c>
      <c r="D1450" s="16" t="inlineStr">
        <is>
          <t>128-18035257743993700</t>
        </is>
      </c>
      <c r="E1450" s="16" t="inlineStr">
        <is>
          <t>Shipped</t>
        </is>
      </c>
      <c r="F1450" s="16" t="inlineStr">
        <is>
          <t>KTS-2031</t>
        </is>
      </c>
      <c r="G1450" s="16" t="inlineStr">
        <is>
          <t>Bocina inalámbrica de 3 pulgadas con linterna multifuncional y panel solar integrado.Altavoz Portátil con Linterna LED 4 Modos, Radio FM, Bluetooth, Carga Solar, Ideal para Apagones, Emergencias, Campo y Exteriores</t>
        </is>
      </c>
      <c r="H1450" s="16" t="inlineStr">
        <is>
          <t>NEGRO</t>
        </is>
      </c>
      <c r="I1450" s="16" t="n">
        <v>1</v>
      </c>
      <c r="J1450" s="17" t="n">
        <v>78</v>
      </c>
      <c r="K1450" s="17" t="n">
        <v>87.22</v>
      </c>
      <c r="L1450" s="17" t="n">
        <v>25.86</v>
      </c>
      <c r="M1450" s="17" t="n">
        <v>0</v>
      </c>
      <c r="N1450" s="17">
        <f>K1450*0.08+L1450*0.08</f>
        <v/>
      </c>
      <c r="O1450" s="17">
        <f>-(K1450*0.025+L1450*0.025)</f>
        <v/>
      </c>
      <c r="P1450" s="17">
        <f>32</f>
        <v/>
      </c>
      <c r="Q1450" s="17">
        <f>J1450+L1450+N1450+O1450-P1450-M1450</f>
        <v/>
      </c>
    </row>
    <row r="1451">
      <c r="A1451" s="16" t="inlineStr">
        <is>
          <t>5.15-5.21</t>
        </is>
      </c>
      <c r="B1451" s="16" t="inlineStr">
        <is>
          <t>PO-128-18438178924150210</t>
        </is>
      </c>
      <c r="C1451" s="16" t="inlineStr">
        <is>
          <t>Shipped</t>
        </is>
      </c>
      <c r="D1451" s="16" t="inlineStr">
        <is>
          <t>128-18438189409910210</t>
        </is>
      </c>
      <c r="E1451" s="16" t="inlineStr">
        <is>
          <t>Shipped</t>
        </is>
      </c>
      <c r="F1451" s="16" t="inlineStr">
        <is>
          <t>LV54W25</t>
        </is>
      </c>
      <c r="G1451" s="16" t="inlineStr">
        <is>
          <t>TIANLAI Lámpara Ventilador E27 2 en 1, Silenciosa, LED Alta Luminosidad 180°, Instalación Rápida, Ahorro Energético para Dormitorio y Interiores Pequeños</t>
        </is>
      </c>
      <c r="H1451" s="16" t="inlineStr">
        <is>
          <t>1 Pieza</t>
        </is>
      </c>
      <c r="I1451" s="16" t="n">
        <v>1</v>
      </c>
      <c r="J1451" s="17" t="n">
        <v>79</v>
      </c>
      <c r="K1451" s="17" t="n">
        <v>80.70999999999999</v>
      </c>
      <c r="L1451" s="17" t="n">
        <v>25.86</v>
      </c>
      <c r="M1451" s="17" t="n">
        <v>0</v>
      </c>
      <c r="N1451" s="17">
        <f>K1451*0.08+L1451*0.08</f>
        <v/>
      </c>
      <c r="O1451" s="17">
        <f>-(K1451*0.025+L1451*0.025)</f>
        <v/>
      </c>
      <c r="P1451" s="17">
        <f>32</f>
        <v/>
      </c>
      <c r="Q1451" s="17">
        <f>J1451+L1451+N1451+O1451-P1451-M1451</f>
        <v/>
      </c>
    </row>
    <row r="1452">
      <c r="A1452" s="16" t="inlineStr">
        <is>
          <t>5.15-5.21</t>
        </is>
      </c>
      <c r="B1452" s="16" t="inlineStr">
        <is>
          <t>PO-128-18233733535351303</t>
        </is>
      </c>
      <c r="C1452" s="16" t="inlineStr">
        <is>
          <t>Shipped</t>
        </is>
      </c>
      <c r="D1452" s="16" t="inlineStr">
        <is>
          <t>128-18233809557111303</t>
        </is>
      </c>
      <c r="E1452" s="16" t="inlineStr">
        <is>
          <t>Shipped</t>
        </is>
      </c>
      <c r="F1452" s="16" t="inlineStr">
        <is>
          <t>LV64W25</t>
        </is>
      </c>
      <c r="G14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52" s="16" t="inlineStr">
        <is>
          <t>Blanco</t>
        </is>
      </c>
      <c r="I1452" s="16" t="n">
        <v>1</v>
      </c>
      <c r="J1452" s="17" t="n">
        <v>119</v>
      </c>
      <c r="K1452" s="17" t="n">
        <v>137.26</v>
      </c>
      <c r="L1452" s="17" t="n">
        <v>25.86</v>
      </c>
      <c r="M1452" s="17" t="n">
        <v>0</v>
      </c>
      <c r="N1452" s="17">
        <f>K1452*0.08+L1452*0.08</f>
        <v/>
      </c>
      <c r="O1452" s="17">
        <f>-(K1452*0.025+L1452*0.025)</f>
        <v/>
      </c>
      <c r="P1452" s="17">
        <f>32</f>
        <v/>
      </c>
      <c r="Q1452" s="17">
        <f>J1452+L1452+N1452+O1452-P1452-M1452</f>
        <v/>
      </c>
    </row>
    <row r="1453">
      <c r="A1453" s="16" t="inlineStr">
        <is>
          <t>5.15-5.21</t>
        </is>
      </c>
      <c r="B1453" s="16" t="inlineStr">
        <is>
          <t>PO-128-18243220526711372</t>
        </is>
      </c>
      <c r="C1453" s="16" t="inlineStr">
        <is>
          <t>Shipped</t>
        </is>
      </c>
      <c r="D1453" s="16" t="inlineStr">
        <is>
          <t>128-18243251983991372</t>
        </is>
      </c>
      <c r="E1453" s="16" t="inlineStr">
        <is>
          <t>Shipped</t>
        </is>
      </c>
      <c r="F1453" s="16" t="inlineStr">
        <is>
          <t>LV64W25</t>
        </is>
      </c>
      <c r="G14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53" s="16" t="inlineStr">
        <is>
          <t>Blanco</t>
        </is>
      </c>
      <c r="I1453" s="16" t="n">
        <v>1</v>
      </c>
      <c r="J1453" s="17" t="n">
        <v>119</v>
      </c>
      <c r="K1453" s="17" t="n">
        <v>137.26</v>
      </c>
      <c r="L1453" s="17" t="n">
        <v>25.86</v>
      </c>
      <c r="M1453" s="17" t="n">
        <v>0</v>
      </c>
      <c r="N1453" s="17">
        <f>K1453*0.08+L1453*0.08</f>
        <v/>
      </c>
      <c r="O1453" s="17">
        <f>-(K1453*0.025+L1453*0.025)</f>
        <v/>
      </c>
      <c r="P1453" s="17">
        <f>32</f>
        <v/>
      </c>
      <c r="Q1453" s="17">
        <f>J1453+L1453+N1453+O1453-P1453-M1453</f>
        <v/>
      </c>
    </row>
    <row r="1454">
      <c r="A1454" s="16" t="inlineStr">
        <is>
          <t>5.15-5.21</t>
        </is>
      </c>
      <c r="B1454" s="16" t="inlineStr">
        <is>
          <t>PO-128-18199887547512593</t>
        </is>
      </c>
      <c r="C1454" s="16" t="inlineStr">
        <is>
          <t>Shipped</t>
        </is>
      </c>
      <c r="D1454" s="16" t="inlineStr">
        <is>
          <t>128-18199819390072593</t>
        </is>
      </c>
      <c r="E1454" s="16" t="inlineStr">
        <is>
          <t>Shipped</t>
        </is>
      </c>
      <c r="F1454" s="16" t="inlineStr">
        <is>
          <t>KTS-2031</t>
        </is>
      </c>
      <c r="G1454" s="16" t="inlineStr">
        <is>
          <t>Bocina inalámbrica de 3 pulgadas con linterna multifuncional y panel solar integrado.Altavoz Portátil con Linterna LED 4 Modos, Radio FM, Bluetooth, Carga Solar, Ideal para Apagones, Emergencias, Campo y Exteriores</t>
        </is>
      </c>
      <c r="H1454" s="16" t="inlineStr">
        <is>
          <t>NEGRO</t>
        </is>
      </c>
      <c r="I1454" s="16" t="n">
        <v>1</v>
      </c>
      <c r="J1454" s="17" t="n">
        <v>78</v>
      </c>
      <c r="K1454" s="17" t="n">
        <v>87.22</v>
      </c>
      <c r="L1454" s="17" t="n">
        <v>25.86</v>
      </c>
      <c r="M1454" s="17" t="n">
        <v>0</v>
      </c>
      <c r="N1454" s="17">
        <f>K1454*0.08+L1454*0.08</f>
        <v/>
      </c>
      <c r="O1454" s="17">
        <f>-(K1454*0.025+L1454*0.025)</f>
        <v/>
      </c>
      <c r="P1454" s="17">
        <f>32</f>
        <v/>
      </c>
      <c r="Q1454" s="17">
        <f>J1454+L1454+N1454+O1454-P1454-M1454</f>
        <v/>
      </c>
    </row>
    <row r="1455">
      <c r="A1455" s="16" t="inlineStr">
        <is>
          <t>5.15-5.21</t>
        </is>
      </c>
      <c r="B1455" s="16" t="inlineStr">
        <is>
          <t>PO-128-18380617196151643</t>
        </is>
      </c>
      <c r="C1455" s="16" t="inlineStr">
        <is>
          <t>Shipped</t>
        </is>
      </c>
      <c r="D1455" s="16" t="inlineStr">
        <is>
          <t>128-18380777103991643</t>
        </is>
      </c>
      <c r="E1455" s="16" t="inlineStr">
        <is>
          <t>Shipped</t>
        </is>
      </c>
      <c r="F1455" s="16" t="inlineStr">
        <is>
          <t>LV64W25</t>
        </is>
      </c>
      <c r="G14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55" s="16" t="inlineStr">
        <is>
          <t>Blanco</t>
        </is>
      </c>
      <c r="I1455" s="16" t="n">
        <v>1</v>
      </c>
      <c r="J1455" s="17" t="n">
        <v>119</v>
      </c>
      <c r="K1455" s="17" t="n">
        <v>137.26</v>
      </c>
      <c r="L1455" s="17" t="n">
        <v>25.86</v>
      </c>
      <c r="M1455" s="17" t="n">
        <v>0</v>
      </c>
      <c r="N1455" s="17">
        <f>K1455*0.08+L1455*0.08</f>
        <v/>
      </c>
      <c r="O1455" s="17">
        <f>-(K1455*0.025+L1455*0.025)</f>
        <v/>
      </c>
      <c r="P1455" s="17">
        <f>32</f>
        <v/>
      </c>
      <c r="Q1455" s="17">
        <f>J1455+L1455+N1455+O1455-P1455-M1455</f>
        <v/>
      </c>
    </row>
    <row r="1456">
      <c r="A1456" s="16" t="inlineStr">
        <is>
          <t>5.15-5.21</t>
        </is>
      </c>
      <c r="B1456" s="16" t="inlineStr">
        <is>
          <t>PO-128-18003415803513762</t>
        </is>
      </c>
      <c r="C1456" s="16" t="inlineStr">
        <is>
          <t>Shipped</t>
        </is>
      </c>
      <c r="D1456" s="16" t="inlineStr">
        <is>
          <t>128-18003436775033762</t>
        </is>
      </c>
      <c r="E1456" s="16" t="inlineStr">
        <is>
          <t>Shipped</t>
        </is>
      </c>
      <c r="F1456" s="16" t="inlineStr">
        <is>
          <t>KTS-2031</t>
        </is>
      </c>
      <c r="G1456" s="16" t="inlineStr">
        <is>
          <t>Bocina inalámbrica de 3 pulgadas con linterna multifuncional y panel solar integrado.Altavoz Portátil con Linterna LED 4 Modos, Radio FM, Bluetooth, Carga Solar, Ideal para Apagones, Emergencias, Campo y Exteriores</t>
        </is>
      </c>
      <c r="H1456" s="16" t="inlineStr">
        <is>
          <t>NEGRO</t>
        </is>
      </c>
      <c r="I1456" s="16" t="n">
        <v>1</v>
      </c>
      <c r="J1456" s="17" t="n">
        <v>78</v>
      </c>
      <c r="K1456" s="17" t="n">
        <v>87.22</v>
      </c>
      <c r="L1456" s="17" t="n">
        <v>25.86</v>
      </c>
      <c r="M1456" s="17" t="n">
        <v>0</v>
      </c>
      <c r="N1456" s="17">
        <f>K1456*0.08+L1456*0.08</f>
        <v/>
      </c>
      <c r="O1456" s="17">
        <f>-(K1456*0.025+L1456*0.025)</f>
        <v/>
      </c>
      <c r="P1456" s="17">
        <f>32</f>
        <v/>
      </c>
      <c r="Q1456" s="17">
        <f>J1456+L1456+N1456+O1456-P1456-M1456</f>
        <v/>
      </c>
    </row>
    <row r="1457">
      <c r="A1457" s="16" t="inlineStr">
        <is>
          <t>5.15-5.21</t>
        </is>
      </c>
      <c r="B1457" s="16" t="inlineStr">
        <is>
          <t>PO-128-18004304056953756</t>
        </is>
      </c>
      <c r="C1457" s="16" t="inlineStr">
        <is>
          <t>Shipped</t>
        </is>
      </c>
      <c r="D1457" s="16" t="inlineStr">
        <is>
          <t>128-18004467896953756</t>
        </is>
      </c>
      <c r="E1457" s="16" t="inlineStr">
        <is>
          <t>Shipped</t>
        </is>
      </c>
      <c r="F1457" s="16" t="inlineStr">
        <is>
          <t>KTS-2031</t>
        </is>
      </c>
      <c r="G1457" s="16" t="inlineStr">
        <is>
          <t>Bocina inalámbrica de 3 pulgadas con linterna multifuncional y panel solar integrado.Altavoz Portátil con Linterna LED 4 Modos, Radio FM, Bluetooth, Carga Solar, Ideal para Apagones, Emergencias, Campo y Exteriores</t>
        </is>
      </c>
      <c r="H1457" s="16" t="inlineStr">
        <is>
          <t>NEGRO</t>
        </is>
      </c>
      <c r="I1457" s="16" t="n">
        <v>1</v>
      </c>
      <c r="J1457" s="17" t="n">
        <v>78</v>
      </c>
      <c r="K1457" s="17" t="n">
        <v>87.22</v>
      </c>
      <c r="L1457" s="17" t="n">
        <v>25.86</v>
      </c>
      <c r="M1457" s="17" t="n">
        <v>0</v>
      </c>
      <c r="N1457" s="17">
        <f>K1457*0.08+L1457*0.08</f>
        <v/>
      </c>
      <c r="O1457" s="17">
        <f>-(K1457*0.025+L1457*0.025)</f>
        <v/>
      </c>
      <c r="P1457" s="17">
        <f>32</f>
        <v/>
      </c>
      <c r="Q1457" s="17">
        <f>J1457+L1457+N1457+O1457-P1457-M1457</f>
        <v/>
      </c>
    </row>
    <row r="1458">
      <c r="A1458" s="16" t="inlineStr">
        <is>
          <t>5.15-5.21</t>
        </is>
      </c>
      <c r="B1458" s="16" t="inlineStr">
        <is>
          <t>PO-128-17917342413433253</t>
        </is>
      </c>
      <c r="C1458" s="16" t="inlineStr">
        <is>
          <t>Shipped</t>
        </is>
      </c>
      <c r="D1458" s="16" t="inlineStr">
        <is>
          <t>128-17917363384953253</t>
        </is>
      </c>
      <c r="E1458" s="16" t="inlineStr">
        <is>
          <t>Shipped</t>
        </is>
      </c>
      <c r="F1458" s="16" t="inlineStr">
        <is>
          <t>BSC07</t>
        </is>
      </c>
      <c r="G1458" s="16" t="inlineStr">
        <is>
          <t>TIANLAI Báscula Digital BSC04/BSC07, Alta Precisión, Fácil Operación, Ligera y Portátil, Función Tara, Unidad Dual oz/g, Ideal para Cocina, Control de Porciones, Sellos y Objetos Pequeños, Uso en Hogar y Viaje</t>
        </is>
      </c>
      <c r="H1458" s="16" t="inlineStr">
        <is>
          <t>1g/White</t>
        </is>
      </c>
      <c r="I1458" s="16" t="n">
        <v>1</v>
      </c>
      <c r="J1458" s="17" t="n">
        <v>38</v>
      </c>
      <c r="K1458" s="17" t="n">
        <v>50.22</v>
      </c>
      <c r="L1458" s="17" t="n">
        <v>25.86</v>
      </c>
      <c r="M1458" s="17" t="n">
        <v>0</v>
      </c>
      <c r="N1458" s="17">
        <f>K1458*0.08+L1458*0.08</f>
        <v/>
      </c>
      <c r="O1458" s="17">
        <f>-(K1458*0.025+L1458*0.025)</f>
        <v/>
      </c>
      <c r="P1458" s="17">
        <f>32</f>
        <v/>
      </c>
      <c r="Q1458" s="17">
        <f>J1458+L1458+N1458+O1458-P1458-M1458</f>
        <v/>
      </c>
    </row>
    <row r="1459">
      <c r="A1459" s="16" t="inlineStr">
        <is>
          <t>5.15-5.21</t>
        </is>
      </c>
      <c r="B1459" s="16" t="inlineStr">
        <is>
          <t>PO-128-17965174047354054</t>
        </is>
      </c>
      <c r="C1459" s="16" t="inlineStr">
        <is>
          <t>Shipped</t>
        </is>
      </c>
      <c r="D1459" s="16" t="inlineStr">
        <is>
          <t>128-17965132104314054</t>
        </is>
      </c>
      <c r="E1459" s="16" t="inlineStr">
        <is>
          <t>Shipped</t>
        </is>
      </c>
      <c r="F1459" s="16" t="inlineStr">
        <is>
          <t>TL2663N18C</t>
        </is>
      </c>
      <c r="G1459" s="16" t="inlineStr">
        <is>
          <t>Linkbits，Soporte de pared fijo para televisores de 26"-63", Ultra-Delgado Compatible con VESA 400x400mm, Capacidad de Peso Fuerte de 25KG, Instalación Fácil Sin Electricidad</t>
        </is>
      </c>
      <c r="H1459" s="16" t="inlineStr">
        <is>
          <t>NEGRO</t>
        </is>
      </c>
      <c r="I1459" s="16" t="n">
        <v>1</v>
      </c>
      <c r="J1459" s="17" t="n">
        <v>53.8</v>
      </c>
      <c r="K1459" s="17" t="n">
        <v>68.77</v>
      </c>
      <c r="L1459" s="17" t="n">
        <v>25.86</v>
      </c>
      <c r="M1459" s="17" t="n">
        <v>0</v>
      </c>
      <c r="N1459" s="17">
        <f>K1459*0.08+L1459*0.08</f>
        <v/>
      </c>
      <c r="O1459" s="17">
        <f>-(K1459*0.025+L1459*0.025)</f>
        <v/>
      </c>
      <c r="P1459" s="17">
        <f>32</f>
        <v/>
      </c>
      <c r="Q1459" s="17">
        <f>J1459+L1459+N1459+O1459-P1459-M1459</f>
        <v/>
      </c>
    </row>
    <row r="1460">
      <c r="A1460" s="16" t="inlineStr">
        <is>
          <t>5.15-5.21</t>
        </is>
      </c>
      <c r="B1460" s="16" t="inlineStr">
        <is>
          <t>PO-128-17912640579193217</t>
        </is>
      </c>
      <c r="C1460" s="16" t="inlineStr">
        <is>
          <t>Shipped</t>
        </is>
      </c>
      <c r="D1460" s="16" t="inlineStr">
        <is>
          <t>128-17912619607673217</t>
        </is>
      </c>
      <c r="E1460" s="16" t="inlineStr">
        <is>
          <t>Shipped</t>
        </is>
      </c>
      <c r="F1460" s="16" t="inlineStr">
        <is>
          <t>KTS-2031</t>
        </is>
      </c>
      <c r="G1460" s="16" t="inlineStr">
        <is>
          <t>Bocina inalámbrica de 3 pulgadas con linterna multifuncional y panel solar integrado.Altavoz Portátil con Linterna LED 4 Modos, Radio FM, Bluetooth, Carga Solar, Ideal para Apagones, Emergencias, Campo y Exteriores</t>
        </is>
      </c>
      <c r="H1460" s="16" t="inlineStr">
        <is>
          <t>NEGRO</t>
        </is>
      </c>
      <c r="I1460" s="16" t="n">
        <v>1</v>
      </c>
      <c r="J1460" s="17" t="n">
        <v>78</v>
      </c>
      <c r="K1460" s="17" t="n">
        <v>87.22</v>
      </c>
      <c r="L1460" s="17" t="n">
        <v>25.86</v>
      </c>
      <c r="M1460" s="17" t="n">
        <v>0</v>
      </c>
      <c r="N1460" s="17">
        <f>K1460*0.08+L1460*0.08</f>
        <v/>
      </c>
      <c r="O1460" s="17">
        <f>-(K1460*0.025+L1460*0.025)</f>
        <v/>
      </c>
      <c r="P1460" s="17">
        <f>32</f>
        <v/>
      </c>
      <c r="Q1460" s="17">
        <f>J1460+L1460+N1460+O1460-P1460-M1460</f>
        <v/>
      </c>
    </row>
    <row r="1461">
      <c r="A1461" s="16" t="inlineStr">
        <is>
          <t>5.15-5.21</t>
        </is>
      </c>
      <c r="B1461" s="16" t="inlineStr">
        <is>
          <t>PO-128-18515011768950648</t>
        </is>
      </c>
      <c r="C1461" s="16" t="inlineStr">
        <is>
          <t>Shipped</t>
        </is>
      </c>
      <c r="D1461" s="16" t="inlineStr">
        <is>
          <t>128-18515064197750648</t>
        </is>
      </c>
      <c r="E1461" s="16" t="inlineStr">
        <is>
          <t>Shipped</t>
        </is>
      </c>
      <c r="F1461" s="16" t="inlineStr">
        <is>
          <t>LV64W25</t>
        </is>
      </c>
      <c r="G14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61" s="16" t="inlineStr">
        <is>
          <t>Blanco</t>
        </is>
      </c>
      <c r="I1461" s="16" t="n">
        <v>2</v>
      </c>
      <c r="J1461" s="17" t="n">
        <v>238</v>
      </c>
      <c r="K1461" s="17" t="n">
        <v>274.52</v>
      </c>
      <c r="L1461" s="17" t="n">
        <v>0</v>
      </c>
      <c r="M1461" s="17" t="n">
        <v>0</v>
      </c>
      <c r="N1461" s="17">
        <f>K1461*0.08+L1461*0.08</f>
        <v/>
      </c>
      <c r="O1461" s="17">
        <f>-(K1461*0.025+L1461*0.025)</f>
        <v/>
      </c>
      <c r="P1461" s="17">
        <f>32</f>
        <v/>
      </c>
      <c r="Q1461" s="17">
        <f>J1461+L1461+N1461+O1461-P1461-M1461</f>
        <v/>
      </c>
    </row>
    <row r="1462">
      <c r="A1462" s="16" t="inlineStr">
        <is>
          <t>5.15-5.21</t>
        </is>
      </c>
      <c r="B1462" s="16" t="inlineStr">
        <is>
          <t>PO-128-18392623432310418</t>
        </is>
      </c>
      <c r="C1462" s="16" t="inlineStr">
        <is>
          <t>Shipped</t>
        </is>
      </c>
      <c r="D1462" s="16" t="inlineStr">
        <is>
          <t>128-18392647025270418</t>
        </is>
      </c>
      <c r="E1462" s="16" t="inlineStr">
        <is>
          <t>Shipped</t>
        </is>
      </c>
      <c r="F1462" s="16" t="inlineStr">
        <is>
          <t>B03W10-10PZS</t>
        </is>
      </c>
      <c r="G14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462" s="16" t="inlineStr">
        <is>
          <t>B03W10</t>
        </is>
      </c>
      <c r="I1462" s="16" t="n">
        <v>1</v>
      </c>
      <c r="J1462" s="17" t="n">
        <v>77</v>
      </c>
      <c r="K1462" s="17" t="n">
        <v>81.84999999999999</v>
      </c>
      <c r="L1462" s="17" t="n">
        <v>25.86</v>
      </c>
      <c r="M1462" s="17" t="n">
        <v>0</v>
      </c>
      <c r="N1462" s="17">
        <f>K1462*0.08+L1462*0.08</f>
        <v/>
      </c>
      <c r="O1462" s="17">
        <f>-(K1462*0.025+L1462*0.025)</f>
        <v/>
      </c>
      <c r="P1462" s="17">
        <f>32</f>
        <v/>
      </c>
      <c r="Q1462" s="17">
        <f>J1462+L1462+N1462+O1462-P1462-M1462</f>
        <v/>
      </c>
    </row>
    <row r="1463">
      <c r="A1463" s="16" t="inlineStr">
        <is>
          <t>5.15-5.21</t>
        </is>
      </c>
      <c r="B1463" s="16" t="inlineStr">
        <is>
          <t>PO-128-18360221020791765</t>
        </is>
      </c>
      <c r="C1463" s="16" t="inlineStr">
        <is>
          <t>Shipped</t>
        </is>
      </c>
      <c r="D1463" s="16" t="inlineStr">
        <is>
          <t>128-18360158106231765</t>
        </is>
      </c>
      <c r="E1463" s="16" t="inlineStr">
        <is>
          <t>Shipped</t>
        </is>
      </c>
      <c r="F1463" s="16" t="inlineStr">
        <is>
          <t>LV54W25</t>
        </is>
      </c>
      <c r="G1463" s="16" t="inlineStr">
        <is>
          <t>TIANLAI Lámpara Ventilador E27 2 en 1, Silenciosa, LED Alta Luminosidad 180°, Instalación Rápida, Ahorro Energético para Dormitorio y Interiores Pequeños</t>
        </is>
      </c>
      <c r="H1463" s="16" t="inlineStr">
        <is>
          <t>1 Pieza</t>
        </is>
      </c>
      <c r="I1463" s="16" t="n">
        <v>2</v>
      </c>
      <c r="J1463" s="17" t="n">
        <v>158</v>
      </c>
      <c r="K1463" s="17" t="n">
        <v>161.42</v>
      </c>
      <c r="L1463" s="17" t="n">
        <v>25.86</v>
      </c>
      <c r="M1463" s="17" t="n">
        <v>0</v>
      </c>
      <c r="N1463" s="17">
        <f>K1463*0.08+L1463*0.08</f>
        <v/>
      </c>
      <c r="O1463" s="17">
        <f>-(K1463*0.025+L1463*0.025)</f>
        <v/>
      </c>
      <c r="P1463" s="17">
        <f>32</f>
        <v/>
      </c>
      <c r="Q1463" s="17">
        <f>J1463+L1463+N1463+O1463-P1463-M1463</f>
        <v/>
      </c>
    </row>
    <row r="1464">
      <c r="A1464" s="16" t="inlineStr">
        <is>
          <t>5.15-5.21</t>
        </is>
      </c>
      <c r="B1464" s="16" t="inlineStr">
        <is>
          <t>PO-128-18430875592310190</t>
        </is>
      </c>
      <c r="C1464" s="16" t="inlineStr">
        <is>
          <t>Shipped</t>
        </is>
      </c>
      <c r="D1464" s="16" t="inlineStr">
        <is>
          <t>128-18430928021110190</t>
        </is>
      </c>
      <c r="E1464" s="16" t="inlineStr">
        <is>
          <t>Shipped</t>
        </is>
      </c>
      <c r="F1464" s="16" t="inlineStr">
        <is>
          <t>VB349T</t>
        </is>
      </c>
      <c r="G1464" s="16" t="inlineStr">
        <is>
          <t>LINKBITS Altavoz Portátil de Doble Altavoz - 3 Pulgadas, Sonido HD, Emparejamiento Rápido de Bluetooth, Conectividad TWS, Reproducción Multimodo (Micro SD/USB/Radio FM) - Perfecto para Oficina, Viajes y Espacios Pequeños</t>
        </is>
      </c>
      <c r="H1464" s="16" t="inlineStr">
        <is>
          <t>NEGRO</t>
        </is>
      </c>
      <c r="I1464" s="16" t="n">
        <v>1</v>
      </c>
      <c r="J1464" s="17" t="n">
        <v>81</v>
      </c>
      <c r="K1464" s="17" t="n">
        <v>94.26000000000001</v>
      </c>
      <c r="L1464" s="17" t="n">
        <v>25.86</v>
      </c>
      <c r="M1464" s="17" t="n">
        <v>0</v>
      </c>
      <c r="N1464" s="17">
        <f>K1464*0.08+L1464*0.08</f>
        <v/>
      </c>
      <c r="O1464" s="17">
        <f>-(K1464*0.025+L1464*0.025)</f>
        <v/>
      </c>
      <c r="P1464" s="17">
        <f>32</f>
        <v/>
      </c>
      <c r="Q1464" s="17">
        <f>J1464+L1464+N1464+O1464-P1464-M1464</f>
        <v/>
      </c>
    </row>
    <row r="1465">
      <c r="A1465" s="16" t="inlineStr">
        <is>
          <t>5.15-5.21</t>
        </is>
      </c>
      <c r="B1465" s="16" t="inlineStr">
        <is>
          <t>PO-128-17982505129593886</t>
        </is>
      </c>
      <c r="C1465" s="16" t="inlineStr">
        <is>
          <t>Shipped</t>
        </is>
      </c>
      <c r="D1465" s="16" t="inlineStr">
        <is>
          <t>128-17982507751033886</t>
        </is>
      </c>
      <c r="E1465" s="16" t="inlineStr">
        <is>
          <t>Shipped</t>
        </is>
      </c>
      <c r="F1465" s="16" t="inlineStr">
        <is>
          <t>LV54W25</t>
        </is>
      </c>
      <c r="G1465" s="16" t="inlineStr">
        <is>
          <t>TIANLAI Lámpara Ventilador E27 2 en 1, Silenciosa, LED Alta Luminosidad 180°, Instalación Rápida, Ahorro Energético para Dormitorio y Interiores Pequeños</t>
        </is>
      </c>
      <c r="H1465" s="16" t="inlineStr">
        <is>
          <t>1 Pieza</t>
        </is>
      </c>
      <c r="I1465" s="16" t="n">
        <v>1</v>
      </c>
      <c r="J1465" s="17" t="n">
        <v>79</v>
      </c>
      <c r="K1465" s="17" t="n">
        <v>81.62</v>
      </c>
      <c r="L1465" s="17" t="n">
        <v>25.86</v>
      </c>
      <c r="M1465" s="17" t="n">
        <v>0</v>
      </c>
      <c r="N1465" s="17">
        <f>K1465*0.08+L1465*0.08</f>
        <v/>
      </c>
      <c r="O1465" s="17">
        <f>-(K1465*0.025+L1465*0.025)</f>
        <v/>
      </c>
      <c r="P1465" s="17">
        <f>32</f>
        <v/>
      </c>
      <c r="Q1465" s="17">
        <f>J1465+L1465+N1465+O1465-P1465-M1465</f>
        <v/>
      </c>
    </row>
    <row r="1466">
      <c r="A1466" s="16" t="inlineStr">
        <is>
          <t>5.15-5.21</t>
        </is>
      </c>
      <c r="B1466" s="16" t="inlineStr">
        <is>
          <t>PO-128-17982166221433888</t>
        </is>
      </c>
      <c r="C1466" s="16" t="inlineStr">
        <is>
          <t>Shipped</t>
        </is>
      </c>
      <c r="D1466" s="16" t="inlineStr">
        <is>
          <t>128-17982176707193888</t>
        </is>
      </c>
      <c r="E1466" s="16" t="inlineStr">
        <is>
          <t>Shipped</t>
        </is>
      </c>
      <c r="F1466" s="16" t="inlineStr">
        <is>
          <t>LV54W25</t>
        </is>
      </c>
      <c r="G1466" s="16" t="inlineStr">
        <is>
          <t>TIANLAI Lámpara Ventilador E27 2 en 1, Silenciosa, LED Alta Luminosidad 180°, Instalación Rápida, Ahorro Energético para Dormitorio y Interiores Pequeños</t>
        </is>
      </c>
      <c r="H1466" s="16" t="inlineStr">
        <is>
          <t>1 Pieza</t>
        </is>
      </c>
      <c r="I1466" s="16" t="n">
        <v>1</v>
      </c>
      <c r="J1466" s="17" t="n">
        <v>79</v>
      </c>
      <c r="K1466" s="17" t="n">
        <v>81.62</v>
      </c>
      <c r="L1466" s="17" t="n">
        <v>25.86</v>
      </c>
      <c r="M1466" s="17" t="n">
        <v>0</v>
      </c>
      <c r="N1466" s="17">
        <f>K1466*0.08+L1466*0.08</f>
        <v/>
      </c>
      <c r="O1466" s="17">
        <f>-(K1466*0.025+L1466*0.025)</f>
        <v/>
      </c>
      <c r="P1466" s="17">
        <f>32</f>
        <v/>
      </c>
      <c r="Q1466" s="17">
        <f>J1466+L1466+N1466+O1466-P1466-M1466</f>
        <v/>
      </c>
    </row>
    <row r="1467">
      <c r="A1467" s="16" t="inlineStr">
        <is>
          <t>5.15-5.21</t>
        </is>
      </c>
      <c r="B1467" s="16" t="inlineStr">
        <is>
          <t>PO-128-18078587484792418</t>
        </is>
      </c>
      <c r="C1467" s="16" t="inlineStr">
        <is>
          <t>Shipped</t>
        </is>
      </c>
      <c r="D1467" s="16" t="inlineStr">
        <is>
          <t>128-18078545541752418</t>
        </is>
      </c>
      <c r="E1467" s="16" t="inlineStr">
        <is>
          <t>Shipped</t>
        </is>
      </c>
      <c r="F1467" s="16" t="inlineStr">
        <is>
          <t>EM12W12</t>
        </is>
      </c>
      <c r="G1467" s="16" t="inlineStr">
        <is>
          <t>TIANLAI Lámpara Solar de Emergencia, 1pc 960lm IP4 5 Modos con SOS, Recargable USB+Solar con Gancho, Linterna Portátil para Camping Hogar Senderismo Pesca</t>
        </is>
      </c>
      <c r="H1467" s="16" t="inlineStr">
        <is>
          <t>BLANCO</t>
        </is>
      </c>
      <c r="I1467" s="16" t="n">
        <v>1</v>
      </c>
      <c r="J1467" s="17" t="n">
        <v>75.5</v>
      </c>
      <c r="K1467" s="17" t="n">
        <v>80.06999999999999</v>
      </c>
      <c r="L1467" s="17" t="n">
        <v>25.86</v>
      </c>
      <c r="M1467" s="17" t="n">
        <v>0</v>
      </c>
      <c r="N1467" s="17">
        <f>K1467*0.08+L1467*0.08</f>
        <v/>
      </c>
      <c r="O1467" s="17">
        <f>-(K1467*0.025+L1467*0.025)</f>
        <v/>
      </c>
      <c r="P1467" s="17">
        <f>32</f>
        <v/>
      </c>
      <c r="Q1467" s="17">
        <f>J1467+L1467+N1467+O1467-P1467-M1467</f>
        <v/>
      </c>
    </row>
    <row r="1468">
      <c r="A1468" s="16" t="inlineStr">
        <is>
          <t>5.15-5.21</t>
        </is>
      </c>
      <c r="B1468" s="16" t="inlineStr">
        <is>
          <t>PO-128-18127486664312958</t>
        </is>
      </c>
      <c r="C1468" s="16" t="inlineStr">
        <is>
          <t>Shipped</t>
        </is>
      </c>
      <c r="D1468" s="16" t="inlineStr">
        <is>
          <t>128-18127591521912958</t>
        </is>
      </c>
      <c r="E1468" s="16" t="inlineStr">
        <is>
          <t>Shipped</t>
        </is>
      </c>
      <c r="F1468" s="16" t="inlineStr">
        <is>
          <t>KTS-2031</t>
        </is>
      </c>
      <c r="G1468" s="16" t="inlineStr">
        <is>
          <t>Bocina inalámbrica de 3 pulgadas con linterna multifuncional y panel solar integrado.Altavoz Portátil con Linterna LED 4 Modos, Radio FM, Bluetooth, Carga Solar, Ideal para Apagones, Emergencias, Campo y Exteriores</t>
        </is>
      </c>
      <c r="H1468" s="16" t="inlineStr">
        <is>
          <t>NEGRO</t>
        </is>
      </c>
      <c r="I1468" s="16" t="n">
        <v>1</v>
      </c>
      <c r="J1468" s="17" t="n">
        <v>78</v>
      </c>
      <c r="K1468" s="17" t="n">
        <v>1.01</v>
      </c>
      <c r="L1468" s="17" t="n">
        <v>25.86</v>
      </c>
      <c r="M1468" s="17" t="n">
        <v>0</v>
      </c>
      <c r="N1468" s="17">
        <f>K1468*0.08+L1468*0.08</f>
        <v/>
      </c>
      <c r="O1468" s="17">
        <f>-(K1468*0.025+L1468*0.025)</f>
        <v/>
      </c>
      <c r="P1468" s="17">
        <f>32</f>
        <v/>
      </c>
      <c r="Q1468" s="17">
        <f>J1468+L1468+N1468+O1468-P1468-M1468</f>
        <v/>
      </c>
    </row>
    <row r="1469">
      <c r="A1469" s="16" t="inlineStr">
        <is>
          <t>5.15-5.21</t>
        </is>
      </c>
      <c r="B1469" s="16" t="inlineStr">
        <is>
          <t>PO-128-18386674458230391</t>
        </is>
      </c>
      <c r="C1469" s="16" t="inlineStr">
        <is>
          <t>Shipped</t>
        </is>
      </c>
      <c r="D1469" s="16" t="inlineStr">
        <is>
          <t>128-18386726887030391</t>
        </is>
      </c>
      <c r="E1469" s="16" t="inlineStr">
        <is>
          <t>Shipped</t>
        </is>
      </c>
      <c r="F1469" s="16" t="inlineStr">
        <is>
          <t>KTS-2031</t>
        </is>
      </c>
      <c r="G1469" s="16" t="inlineStr">
        <is>
          <t>Bocina inalámbrica de 3 pulgadas con linterna multifuncional y panel solar integrado.Altavoz Portátil con Linterna LED 4 Modos, Radio FM, Bluetooth, Carga Solar, Ideal para Apagones, Emergencias, Campo y Exteriores</t>
        </is>
      </c>
      <c r="H1469" s="16" t="inlineStr">
        <is>
          <t>NEGRO</t>
        </is>
      </c>
      <c r="I1469" s="16" t="n">
        <v>1</v>
      </c>
      <c r="J1469" s="17" t="n">
        <v>78</v>
      </c>
      <c r="K1469" s="17" t="n">
        <v>87.22</v>
      </c>
      <c r="L1469" s="17" t="n">
        <v>25.86</v>
      </c>
      <c r="M1469" s="17" t="n">
        <v>0</v>
      </c>
      <c r="N1469" s="17">
        <f>K1469*0.08+L1469*0.08</f>
        <v/>
      </c>
      <c r="O1469" s="17">
        <f>-(K1469*0.025+L1469*0.025)</f>
        <v/>
      </c>
      <c r="P1469" s="17">
        <f>32</f>
        <v/>
      </c>
      <c r="Q1469" s="17">
        <f>J1469+L1469+N1469+O1469-P1469-M1469</f>
        <v/>
      </c>
    </row>
    <row r="1470">
      <c r="A1470" s="16" t="inlineStr">
        <is>
          <t>5.15-5.21</t>
        </is>
      </c>
      <c r="B1470" s="16" t="inlineStr">
        <is>
          <t>PO-128-18422599598710369</t>
        </is>
      </c>
      <c r="C1470" s="16" t="inlineStr">
        <is>
          <t>Shipped</t>
        </is>
      </c>
      <c r="D1470" s="16" t="inlineStr">
        <is>
          <t>128-18422599352950369</t>
        </is>
      </c>
      <c r="E1470" s="16" t="inlineStr">
        <is>
          <t>Shipped</t>
        </is>
      </c>
      <c r="F1470" s="16" t="inlineStr">
        <is>
          <t>TLCD08-16P-N</t>
        </is>
      </c>
      <c r="G1470"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H1470" s="16" t="inlineStr">
        <is>
          <t>NEGRO</t>
        </is>
      </c>
      <c r="I1470" s="16" t="n">
        <v>1</v>
      </c>
      <c r="J1470" s="17" t="n">
        <v>62</v>
      </c>
      <c r="K1470" s="17" t="n">
        <v>75.65000000000001</v>
      </c>
      <c r="L1470" s="17" t="n">
        <v>25.86</v>
      </c>
      <c r="M1470" s="17" t="n">
        <v>0</v>
      </c>
      <c r="N1470" s="17">
        <f>K1470*0.08+L1470*0.08</f>
        <v/>
      </c>
      <c r="O1470" s="17">
        <f>-(K1470*0.025+L1470*0.025)</f>
        <v/>
      </c>
      <c r="P1470" s="17">
        <f>32</f>
        <v/>
      </c>
      <c r="Q1470" s="17">
        <f>J1470+L1470+N1470+O1470-P1470-M1470</f>
        <v/>
      </c>
    </row>
    <row r="1471">
      <c r="A1471" s="16" t="inlineStr">
        <is>
          <t>5.15-5.21</t>
        </is>
      </c>
      <c r="B1471" s="16" t="inlineStr">
        <is>
          <t>PO-128-18151675638392878</t>
        </is>
      </c>
      <c r="C1471" s="16" t="inlineStr">
        <is>
          <t>Shipped</t>
        </is>
      </c>
      <c r="D1471" s="16" t="inlineStr">
        <is>
          <t>128-18151717581432878</t>
        </is>
      </c>
      <c r="E1471" s="16" t="inlineStr">
        <is>
          <t>Shipped</t>
        </is>
      </c>
      <c r="F1471" s="16" t="inlineStr">
        <is>
          <t>KTS-2031</t>
        </is>
      </c>
      <c r="G1471" s="16" t="inlineStr">
        <is>
          <t>Bocina inalámbrica de 3 pulgadas con linterna multifuncional y panel solar integrado.Altavoz Portátil con Linterna LED 4 Modos, Radio FM, Bluetooth, Carga Solar, Ideal para Apagones, Emergencias, Campo y Exteriores</t>
        </is>
      </c>
      <c r="H1471" s="16" t="inlineStr">
        <is>
          <t>NEGRO</t>
        </is>
      </c>
      <c r="I1471" s="16" t="n">
        <v>1</v>
      </c>
      <c r="J1471" s="17" t="n">
        <v>78</v>
      </c>
      <c r="K1471" s="17" t="n">
        <v>4.46</v>
      </c>
      <c r="L1471" s="17" t="n">
        <v>25.86</v>
      </c>
      <c r="M1471" s="17" t="n">
        <v>0</v>
      </c>
      <c r="N1471" s="17">
        <f>K1471*0.08+L1471*0.08</f>
        <v/>
      </c>
      <c r="O1471" s="17">
        <f>-(K1471*0.025+L1471*0.025)</f>
        <v/>
      </c>
      <c r="P1471" s="17">
        <f>32</f>
        <v/>
      </c>
      <c r="Q1471" s="17">
        <f>J1471+L1471+N1471+O1471-P1471-M1471</f>
        <v/>
      </c>
    </row>
    <row r="1472">
      <c r="A1472" s="16" t="inlineStr">
        <is>
          <t>5.15-5.21</t>
        </is>
      </c>
      <c r="B1472" s="16" t="inlineStr">
        <is>
          <t>PO-128-17915628437113263</t>
        </is>
      </c>
      <c r="C1472" s="16" t="inlineStr">
        <is>
          <t>Shipped</t>
        </is>
      </c>
      <c r="D1472" s="16" t="inlineStr">
        <is>
          <t>128-17915586494073263</t>
        </is>
      </c>
      <c r="E1472" s="16" t="inlineStr">
        <is>
          <t>Shipped</t>
        </is>
      </c>
      <c r="F1472" s="16" t="inlineStr">
        <is>
          <t>LV54W25</t>
        </is>
      </c>
      <c r="G1472" s="16" t="inlineStr">
        <is>
          <t>TIANLAI Lámpara Ventilador E27 2 en 1, Silenciosa, LED Alta Luminosidad 180°, Instalación Rápida, Ahorro Energético para Dormitorio y Interiores Pequeños</t>
        </is>
      </c>
      <c r="H1472" s="16" t="inlineStr">
        <is>
          <t>1 Pieza</t>
        </is>
      </c>
      <c r="I1472" s="16" t="n">
        <v>1</v>
      </c>
      <c r="J1472" s="17" t="n">
        <v>79</v>
      </c>
      <c r="K1472" s="17" t="n">
        <v>81.62</v>
      </c>
      <c r="L1472" s="17" t="n">
        <v>25.86</v>
      </c>
      <c r="M1472" s="17" t="n">
        <v>0</v>
      </c>
      <c r="N1472" s="17">
        <f>K1472*0.08+L1472*0.08</f>
        <v/>
      </c>
      <c r="O1472" s="17">
        <f>-(K1472*0.025+L1472*0.025)</f>
        <v/>
      </c>
      <c r="P1472" s="17">
        <f>32</f>
        <v/>
      </c>
      <c r="Q1472" s="17">
        <f>J1472+L1472+N1472+O1472-P1472-M1472</f>
        <v/>
      </c>
    </row>
    <row r="1473">
      <c r="A1473" s="16" t="inlineStr">
        <is>
          <t>5.15-5.21</t>
        </is>
      </c>
      <c r="B1473" s="16" t="inlineStr">
        <is>
          <t>PO-128-18038298721913682</t>
        </is>
      </c>
      <c r="C1473" s="16" t="inlineStr">
        <is>
          <t>Shipped</t>
        </is>
      </c>
      <c r="D1473" s="16" t="inlineStr">
        <is>
          <t>128-18038319693433682</t>
        </is>
      </c>
      <c r="E1473" s="16" t="inlineStr">
        <is>
          <t>Shipped</t>
        </is>
      </c>
      <c r="F1473" s="16" t="inlineStr">
        <is>
          <t>LV64W25</t>
        </is>
      </c>
      <c r="G14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73" s="16" t="inlineStr">
        <is>
          <t>Blanco</t>
        </is>
      </c>
      <c r="I1473" s="16" t="n">
        <v>7</v>
      </c>
      <c r="J1473" s="17" t="n">
        <v>836.5</v>
      </c>
      <c r="K1473" s="17" t="n">
        <v>727.84</v>
      </c>
      <c r="L1473" s="17" t="n">
        <v>0</v>
      </c>
      <c r="M1473" s="17" t="n">
        <v>0</v>
      </c>
      <c r="N1473" s="17">
        <f>K1473*0.08+L1473*0.08</f>
        <v/>
      </c>
      <c r="O1473" s="17">
        <f>-(K1473*0.025+L1473*0.025)</f>
        <v/>
      </c>
      <c r="P1473" s="17">
        <f>32</f>
        <v/>
      </c>
      <c r="Q1473" s="17">
        <f>J1473+L1473+N1473+O1473-P1473-M1473</f>
        <v/>
      </c>
    </row>
    <row r="1474">
      <c r="A1474" s="16" t="inlineStr">
        <is>
          <t>5.15-5.21</t>
        </is>
      </c>
      <c r="B1474" s="16" t="inlineStr">
        <is>
          <t>PO-128-17876175268473496</t>
        </is>
      </c>
      <c r="C1474" s="16" t="inlineStr">
        <is>
          <t>Shipped</t>
        </is>
      </c>
      <c r="D1474" s="16" t="inlineStr">
        <is>
          <t>128-17876162161273496</t>
        </is>
      </c>
      <c r="E1474" s="16" t="inlineStr">
        <is>
          <t>Shipped</t>
        </is>
      </c>
      <c r="F1474" s="16" t="inlineStr">
        <is>
          <t>KTS-2031</t>
        </is>
      </c>
      <c r="G1474" s="16" t="inlineStr">
        <is>
          <t>Bocina inalámbrica de 3 pulgadas con linterna multifuncional y panel solar integrado.Altavoz Portátil con Linterna LED 4 Modos, Radio FM, Bluetooth, Carga Solar, Ideal para Apagones, Emergencias, Campo y Exteriores</t>
        </is>
      </c>
      <c r="H1474" s="16" t="inlineStr">
        <is>
          <t>NEGRO</t>
        </is>
      </c>
      <c r="I1474" s="16" t="n">
        <v>4</v>
      </c>
      <c r="J1474" s="17" t="n">
        <v>300</v>
      </c>
      <c r="K1474" s="17" t="n">
        <v>236.28</v>
      </c>
      <c r="L1474" s="17" t="n">
        <v>0</v>
      </c>
      <c r="M1474" s="17" t="n">
        <v>0</v>
      </c>
      <c r="N1474" s="17">
        <f>K1474*0.08+L1474*0.08</f>
        <v/>
      </c>
      <c r="O1474" s="17">
        <f>-(K1474*0.025+L1474*0.025)</f>
        <v/>
      </c>
      <c r="P1474" s="17">
        <f>32</f>
        <v/>
      </c>
      <c r="Q1474" s="17">
        <f>J1474+L1474+N1474+O1474-P1474-M1474</f>
        <v/>
      </c>
    </row>
    <row r="1475">
      <c r="A1475" s="16" t="inlineStr">
        <is>
          <t>5.15-5.21</t>
        </is>
      </c>
      <c r="B1475" s="16" t="inlineStr">
        <is>
          <t>PO-128-17926895340153322</t>
        </is>
      </c>
      <c r="C1475" s="16" t="inlineStr">
        <is>
          <t>Shipped</t>
        </is>
      </c>
      <c r="D1475" s="16" t="inlineStr">
        <is>
          <t>128-17926953011833322</t>
        </is>
      </c>
      <c r="E1475" s="16" t="inlineStr">
        <is>
          <t>Shipped</t>
        </is>
      </c>
      <c r="F1475" s="16" t="inlineStr">
        <is>
          <t>KTS-2031</t>
        </is>
      </c>
      <c r="G1475" s="16" t="inlineStr">
        <is>
          <t>Bocina inalámbrica de 3 pulgadas con linterna multifuncional y panel solar integrado.Altavoz Portátil con Linterna LED 4 Modos, Radio FM, Bluetooth, Carga Solar, Ideal para Apagones, Emergencias, Campo y Exteriores</t>
        </is>
      </c>
      <c r="H1475" s="16" t="inlineStr">
        <is>
          <t>NEGRO</t>
        </is>
      </c>
      <c r="I1475" s="16" t="n">
        <v>1</v>
      </c>
      <c r="J1475" s="17" t="n">
        <v>75</v>
      </c>
      <c r="K1475" s="17" t="n">
        <v>84.22</v>
      </c>
      <c r="L1475" s="17" t="n">
        <v>25.86</v>
      </c>
      <c r="M1475" s="17" t="n">
        <v>0</v>
      </c>
      <c r="N1475" s="17">
        <f>K1475*0.08+L1475*0.08</f>
        <v/>
      </c>
      <c r="O1475" s="17">
        <f>-(K1475*0.025+L1475*0.025)</f>
        <v/>
      </c>
      <c r="P1475" s="17">
        <f>32</f>
        <v/>
      </c>
      <c r="Q1475" s="17">
        <f>J1475+L1475+N1475+O1475-P1475-M1475</f>
        <v/>
      </c>
    </row>
    <row r="1476">
      <c r="A1476" s="16" t="inlineStr">
        <is>
          <t>5.15-5.21</t>
        </is>
      </c>
      <c r="B1476" s="16" t="inlineStr">
        <is>
          <t>PO-128-18304046060151970</t>
        </is>
      </c>
      <c r="C1476" s="16" t="inlineStr">
        <is>
          <t>Shipped</t>
        </is>
      </c>
      <c r="D1476" s="16" t="inlineStr">
        <is>
          <t>128-18304098488951970</t>
        </is>
      </c>
      <c r="E1476" s="16" t="inlineStr">
        <is>
          <t>Shipped</t>
        </is>
      </c>
      <c r="F1476" s="16" t="inlineStr">
        <is>
          <t>B03W10-10PZS</t>
        </is>
      </c>
      <c r="G147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476" s="16" t="inlineStr">
        <is>
          <t>B03W10</t>
        </is>
      </c>
      <c r="I1476" s="16" t="n">
        <v>1</v>
      </c>
      <c r="J1476" s="17" t="n">
        <v>66</v>
      </c>
      <c r="K1476" s="17" t="n">
        <v>71.05</v>
      </c>
      <c r="L1476" s="17" t="n">
        <v>25.86</v>
      </c>
      <c r="M1476" s="17" t="n">
        <v>0</v>
      </c>
      <c r="N1476" s="17">
        <f>K1476*0.08+L1476*0.08</f>
        <v/>
      </c>
      <c r="O1476" s="17">
        <f>-(K1476*0.025+L1476*0.025)</f>
        <v/>
      </c>
      <c r="P1476" s="17">
        <f>32</f>
        <v/>
      </c>
      <c r="Q1476" s="17">
        <f>J1476+L1476+N1476+O1476-P1476-M1476</f>
        <v/>
      </c>
    </row>
    <row r="1477">
      <c r="A1477" s="16" t="inlineStr">
        <is>
          <t>5.15-5.21</t>
        </is>
      </c>
      <c r="B1477" s="16" t="inlineStr">
        <is>
          <t>PO-128-18520415847030680</t>
        </is>
      </c>
      <c r="C1477" s="16" t="inlineStr">
        <is>
          <t>Shipped</t>
        </is>
      </c>
      <c r="D1477" s="16" t="inlineStr">
        <is>
          <t>128-18520449925750680</t>
        </is>
      </c>
      <c r="E1477" s="16" t="inlineStr">
        <is>
          <t>Shipped</t>
        </is>
      </c>
      <c r="F1477" s="16" t="inlineStr">
        <is>
          <t>BSC07</t>
        </is>
      </c>
      <c r="G1477" s="16" t="inlineStr">
        <is>
          <t>TIANLAI Báscula Digital BSC04/BSC07, Alta Precisión, Fácil Operación, Ligera y Portátil, Función Tara, Unidad Dual oz/g, Ideal para Cocina, Control de Porciones, Sellos y Objetos Pequeños, Uso en Hogar y Viaje</t>
        </is>
      </c>
      <c r="H1477" s="16" t="inlineStr">
        <is>
          <t>1g/White</t>
        </is>
      </c>
      <c r="I1477" s="16" t="n">
        <v>1</v>
      </c>
      <c r="J1477" s="17" t="n">
        <v>35</v>
      </c>
      <c r="K1477" s="17" t="n">
        <v>47.22</v>
      </c>
      <c r="L1477" s="17" t="n">
        <v>25.86</v>
      </c>
      <c r="M1477" s="17" t="n">
        <v>0</v>
      </c>
      <c r="N1477" s="17">
        <f>K1477*0.08+L1477*0.08</f>
        <v/>
      </c>
      <c r="O1477" s="17">
        <f>-(K1477*0.025+L1477*0.025)</f>
        <v/>
      </c>
      <c r="P1477" s="17">
        <f>32</f>
        <v/>
      </c>
      <c r="Q1477" s="17">
        <f>J1477+L1477+N1477+O1477-P1477-M1477</f>
        <v/>
      </c>
    </row>
    <row r="1478">
      <c r="A1478" s="16" t="inlineStr">
        <is>
          <t>5.15-5.21</t>
        </is>
      </c>
      <c r="B1478" s="16" t="inlineStr">
        <is>
          <t>PO-128-17944393687673154</t>
        </is>
      </c>
      <c r="C1478" s="16" t="inlineStr">
        <is>
          <t>Shipped</t>
        </is>
      </c>
      <c r="D1478" s="16" t="inlineStr">
        <is>
          <t>128-17944398930553154</t>
        </is>
      </c>
      <c r="E1478" s="16" t="inlineStr">
        <is>
          <t>Shipped</t>
        </is>
      </c>
      <c r="F1478" s="16" t="inlineStr">
        <is>
          <t>LV54W25</t>
        </is>
      </c>
      <c r="G1478" s="16" t="inlineStr">
        <is>
          <t>TIANLAI Lámpara Ventilador E27 2 en 1, Silenciosa, LED Alta Luminosidad 180°, Instalación Rápida, Ahorro Energético para Dormitorio y Interiores Pequeños</t>
        </is>
      </c>
      <c r="H1478" s="16" t="inlineStr">
        <is>
          <t>1 Pieza</t>
        </is>
      </c>
      <c r="I1478" s="16" t="n">
        <v>3</v>
      </c>
      <c r="J1478" s="17" t="n">
        <v>235.5</v>
      </c>
      <c r="K1478" s="17" t="n">
        <v>243.48</v>
      </c>
      <c r="L1478" s="17" t="n">
        <v>0</v>
      </c>
      <c r="M1478" s="17" t="n">
        <v>0</v>
      </c>
      <c r="N1478" s="17">
        <f>K1478*0.08+L1478*0.08</f>
        <v/>
      </c>
      <c r="O1478" s="17">
        <f>-(K1478*0.025+L1478*0.025)</f>
        <v/>
      </c>
      <c r="P1478" s="17">
        <f>32</f>
        <v/>
      </c>
      <c r="Q1478" s="17">
        <f>J1478+L1478+N1478+O1478-P1478-M1478</f>
        <v/>
      </c>
    </row>
    <row r="1479">
      <c r="A1479" s="16" t="inlineStr">
        <is>
          <t>5.15-5.21</t>
        </is>
      </c>
      <c r="B1479" s="16" t="inlineStr">
        <is>
          <t>PO-128-18178039972472723</t>
        </is>
      </c>
      <c r="C1479" s="16" t="inlineStr">
        <is>
          <t>Shipped</t>
        </is>
      </c>
      <c r="D1479" s="16" t="inlineStr">
        <is>
          <t>128-18178108129912723</t>
        </is>
      </c>
      <c r="E1479" s="16" t="inlineStr">
        <is>
          <t>Shipped</t>
        </is>
      </c>
      <c r="F1479" s="16" t="inlineStr">
        <is>
          <t>KTS-2031</t>
        </is>
      </c>
      <c r="G1479" s="16" t="inlineStr">
        <is>
          <t>Bocina inalámbrica de 3 pulgadas con linterna multifuncional y panel solar integrado.Altavoz Portátil con Linterna LED 4 Modos, Radio FM, Bluetooth, Carga Solar, Ideal para Apagones, Emergencias, Campo y Exteriores</t>
        </is>
      </c>
      <c r="H1479" s="16" t="inlineStr">
        <is>
          <t>NEGRO</t>
        </is>
      </c>
      <c r="I1479" s="16" t="n">
        <v>1</v>
      </c>
      <c r="J1479" s="17" t="n">
        <v>75</v>
      </c>
      <c r="K1479" s="17" t="n">
        <v>84.22</v>
      </c>
      <c r="L1479" s="17" t="n">
        <v>25.86</v>
      </c>
      <c r="M1479" s="17" t="n">
        <v>0</v>
      </c>
      <c r="N1479" s="17">
        <f>K1479*0.08+L1479*0.08</f>
        <v/>
      </c>
      <c r="O1479" s="17">
        <f>-(K1479*0.025+L1479*0.025)</f>
        <v/>
      </c>
      <c r="P1479" s="17">
        <f>32</f>
        <v/>
      </c>
      <c r="Q1479" s="17">
        <f>J1479+L1479+N1479+O1479-P1479-M1479</f>
        <v/>
      </c>
    </row>
    <row r="1480">
      <c r="A1480" s="16" t="inlineStr">
        <is>
          <t>5.15-5.21</t>
        </is>
      </c>
      <c r="B1480" s="16" t="inlineStr">
        <is>
          <t>PO-128-18051515658872517</t>
        </is>
      </c>
      <c r="C1480" s="16" t="inlineStr">
        <is>
          <t>Shipped</t>
        </is>
      </c>
      <c r="D1480" s="16" t="inlineStr">
        <is>
          <t>128-18051499930232517</t>
        </is>
      </c>
      <c r="E1480" s="16" t="inlineStr">
        <is>
          <t>Shipped</t>
        </is>
      </c>
      <c r="F1480" s="16" t="inlineStr">
        <is>
          <t>KTS-2031</t>
        </is>
      </c>
      <c r="G1480" s="16" t="inlineStr">
        <is>
          <t>Bocina inalámbrica de 3 pulgadas con linterna multifuncional y panel solar integrado.Altavoz Portátil con Linterna LED 4 Modos, Radio FM, Bluetooth, Carga Solar, Ideal para Apagones, Emergencias, Campo y Exteriores</t>
        </is>
      </c>
      <c r="H1480" s="16" t="inlineStr">
        <is>
          <t>NEGRO</t>
        </is>
      </c>
      <c r="I1480" s="16" t="n">
        <v>1</v>
      </c>
      <c r="J1480" s="17" t="n">
        <v>75</v>
      </c>
      <c r="K1480" s="17" t="n">
        <v>72.78</v>
      </c>
      <c r="L1480" s="17" t="n">
        <v>25.86</v>
      </c>
      <c r="M1480" s="17" t="n">
        <v>0</v>
      </c>
      <c r="N1480" s="17">
        <f>K1480*0.08+L1480*0.08</f>
        <v/>
      </c>
      <c r="O1480" s="17">
        <f>-(K1480*0.025+L1480*0.025)</f>
        <v/>
      </c>
      <c r="P1480" s="17">
        <f>32</f>
        <v/>
      </c>
      <c r="Q1480" s="17">
        <f>J1480+L1480+N1480+O1480-P1480-M1480</f>
        <v/>
      </c>
    </row>
    <row r="1481">
      <c r="A1481" s="16" t="inlineStr">
        <is>
          <t>5.15-5.21</t>
        </is>
      </c>
      <c r="B1481" s="16" t="inlineStr">
        <is>
          <t>PO-128-18245983785591356</t>
        </is>
      </c>
      <c r="C1481" s="16" t="inlineStr">
        <is>
          <t>Shipped</t>
        </is>
      </c>
      <c r="D1481" s="16" t="inlineStr">
        <is>
          <t>128-18246051943031356</t>
        </is>
      </c>
      <c r="E1481" s="16" t="inlineStr">
        <is>
          <t>Shipped</t>
        </is>
      </c>
      <c r="F1481" s="16" t="inlineStr">
        <is>
          <t>LV64W25</t>
        </is>
      </c>
      <c r="G14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81" s="16" t="inlineStr">
        <is>
          <t>Blanco</t>
        </is>
      </c>
      <c r="I1481" s="16" t="n">
        <v>1</v>
      </c>
      <c r="J1481" s="17" t="n">
        <v>119.5</v>
      </c>
      <c r="K1481" s="17" t="n">
        <v>137.76</v>
      </c>
      <c r="L1481" s="17" t="n">
        <v>25.86</v>
      </c>
      <c r="M1481" s="17" t="n">
        <v>0</v>
      </c>
      <c r="N1481" s="17">
        <f>K1481*0.08+L1481*0.08</f>
        <v/>
      </c>
      <c r="O1481" s="17">
        <f>-(K1481*0.025+L1481*0.025)</f>
        <v/>
      </c>
      <c r="P1481" s="17">
        <f>32</f>
        <v/>
      </c>
      <c r="Q1481" s="17">
        <f>J1481+L1481+N1481+O1481-P1481-M1481</f>
        <v/>
      </c>
    </row>
    <row r="1482">
      <c r="A1482" s="16" t="inlineStr">
        <is>
          <t>5.15-5.21</t>
        </is>
      </c>
      <c r="B1482" s="16" t="inlineStr">
        <is>
          <t>PO-128-17880858158713532</t>
        </is>
      </c>
      <c r="C1482" s="16" t="inlineStr">
        <is>
          <t>Shipped</t>
        </is>
      </c>
      <c r="D1482" s="16" t="inlineStr">
        <is>
          <t>128-17880847672953532</t>
        </is>
      </c>
      <c r="E1482" s="16" t="inlineStr">
        <is>
          <t>Shipped</t>
        </is>
      </c>
      <c r="F1482" s="16" t="inlineStr">
        <is>
          <t>LV64W25</t>
        </is>
      </c>
      <c r="G14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82" s="16" t="inlineStr">
        <is>
          <t>Blanco</t>
        </is>
      </c>
      <c r="I1482" s="16" t="n">
        <v>1</v>
      </c>
      <c r="J1482" s="17" t="n">
        <v>119.5</v>
      </c>
      <c r="K1482" s="17" t="n">
        <v>137.76</v>
      </c>
      <c r="L1482" s="17" t="n">
        <v>25.86</v>
      </c>
      <c r="M1482" s="17" t="n">
        <v>0</v>
      </c>
      <c r="N1482" s="17">
        <f>K1482*0.08+L1482*0.08</f>
        <v/>
      </c>
      <c r="O1482" s="17">
        <f>-(K1482*0.025+L1482*0.025)</f>
        <v/>
      </c>
      <c r="P1482" s="17">
        <f>32</f>
        <v/>
      </c>
      <c r="Q1482" s="17">
        <f>J1482+L1482+N1482+O1482-P1482-M1482</f>
        <v/>
      </c>
    </row>
    <row r="1483">
      <c r="A1483" s="16" t="inlineStr">
        <is>
          <t>5.15-5.21</t>
        </is>
      </c>
      <c r="B1483" s="16" t="inlineStr">
        <is>
          <t>PO-128-18244860380791365</t>
        </is>
      </c>
      <c r="C1483" s="16" t="inlineStr">
        <is>
          <t>Shipped</t>
        </is>
      </c>
      <c r="D1483" s="16" t="inlineStr">
        <is>
          <t>128-18244818437751365</t>
        </is>
      </c>
      <c r="E1483" s="16" t="inlineStr">
        <is>
          <t>Shipped</t>
        </is>
      </c>
      <c r="F1483" s="16" t="inlineStr">
        <is>
          <t>LV64W25</t>
        </is>
      </c>
      <c r="G14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83" s="16" t="inlineStr">
        <is>
          <t>Blanco</t>
        </is>
      </c>
      <c r="I1483" s="16" t="n">
        <v>2</v>
      </c>
      <c r="J1483" s="17" t="n">
        <v>239</v>
      </c>
      <c r="K1483" s="17" t="n">
        <v>275.52</v>
      </c>
      <c r="L1483" s="17" t="n">
        <v>0</v>
      </c>
      <c r="M1483" s="17" t="n">
        <v>0</v>
      </c>
      <c r="N1483" s="17">
        <f>K1483*0.08+L1483*0.08</f>
        <v/>
      </c>
      <c r="O1483" s="17">
        <f>-(K1483*0.025+L1483*0.025)</f>
        <v/>
      </c>
      <c r="P1483" s="17">
        <f>32</f>
        <v/>
      </c>
      <c r="Q1483" s="17">
        <f>J1483+L1483+N1483+O1483-P1483-M1483</f>
        <v/>
      </c>
    </row>
    <row r="1484">
      <c r="A1484" s="16" t="inlineStr">
        <is>
          <t>5.15-5.21</t>
        </is>
      </c>
      <c r="B1484" s="16" t="inlineStr">
        <is>
          <t>PO-128-17932059177593101</t>
        </is>
      </c>
      <c r="C1484" s="16" t="inlineStr">
        <is>
          <t>Shipped</t>
        </is>
      </c>
      <c r="D1484" s="16" t="inlineStr">
        <is>
          <t>128-17932017234553101</t>
        </is>
      </c>
      <c r="E1484" s="16" t="inlineStr">
        <is>
          <t>Shipped</t>
        </is>
      </c>
      <c r="F1484" s="16" t="inlineStr">
        <is>
          <t>KTS-2031</t>
        </is>
      </c>
      <c r="G1484" s="16" t="inlineStr">
        <is>
          <t>Bocina inalámbrica de 3 pulgadas con linterna multifuncional y panel solar integrado.Altavoz Portátil con Linterna LED 4 Modos, Radio FM, Bluetooth, Carga Solar, Ideal para Apagones, Emergencias, Campo y Exteriores</t>
        </is>
      </c>
      <c r="H1484" s="16" t="inlineStr">
        <is>
          <t>NEGRO</t>
        </is>
      </c>
      <c r="I1484" s="16" t="n">
        <v>1</v>
      </c>
      <c r="J1484" s="17" t="n">
        <v>75</v>
      </c>
      <c r="K1484" s="17" t="n">
        <v>84.22</v>
      </c>
      <c r="L1484" s="17" t="n">
        <v>25.86</v>
      </c>
      <c r="M1484" s="17" t="n">
        <v>0</v>
      </c>
      <c r="N1484" s="17">
        <f>K1484*0.08+L1484*0.08</f>
        <v/>
      </c>
      <c r="O1484" s="17">
        <f>-(K1484*0.025+L1484*0.025)</f>
        <v/>
      </c>
      <c r="P1484" s="17">
        <f>32</f>
        <v/>
      </c>
      <c r="Q1484" s="17">
        <f>J1484+L1484+N1484+O1484-P1484-M1484</f>
        <v/>
      </c>
    </row>
    <row r="1485">
      <c r="A1485" s="16" t="inlineStr">
        <is>
          <t>5.15-5.21</t>
        </is>
      </c>
      <c r="B1485" s="16" t="inlineStr">
        <is>
          <t>PO-128-18196531774072613</t>
        </is>
      </c>
      <c r="C1485" s="16" t="inlineStr">
        <is>
          <t>Shipped</t>
        </is>
      </c>
      <c r="D1485" s="16" t="inlineStr">
        <is>
          <t>128-18196557988472613</t>
        </is>
      </c>
      <c r="E1485" s="16" t="inlineStr">
        <is>
          <t>Shipped</t>
        </is>
      </c>
      <c r="F1485" s="16" t="inlineStr">
        <is>
          <t>LV64W25</t>
        </is>
      </c>
      <c r="G14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85" s="16" t="inlineStr">
        <is>
          <t>Blanco</t>
        </is>
      </c>
      <c r="I1485" s="16" t="n">
        <v>1</v>
      </c>
      <c r="J1485" s="17" t="n">
        <v>119.5</v>
      </c>
      <c r="K1485" s="17" t="n">
        <v>137.76</v>
      </c>
      <c r="L1485" s="17" t="n">
        <v>25.86</v>
      </c>
      <c r="M1485" s="17" t="n">
        <v>0</v>
      </c>
      <c r="N1485" s="17">
        <f>K1485*0.08+L1485*0.08</f>
        <v/>
      </c>
      <c r="O1485" s="17">
        <f>-(K1485*0.025+L1485*0.025)</f>
        <v/>
      </c>
      <c r="P1485" s="17">
        <f>32</f>
        <v/>
      </c>
      <c r="Q1485" s="17">
        <f>J1485+L1485+N1485+O1485-P1485-M1485</f>
        <v/>
      </c>
    </row>
    <row r="1486">
      <c r="A1486" s="16" t="inlineStr">
        <is>
          <t>5.15-5.21</t>
        </is>
      </c>
      <c r="B1486" s="16" t="inlineStr">
        <is>
          <t>PO-128-17972357878394077</t>
        </is>
      </c>
      <c r="C1486" s="16" t="inlineStr">
        <is>
          <t>Shipped</t>
        </is>
      </c>
      <c r="D1486" s="16" t="inlineStr">
        <is>
          <t>128-17972410307194077</t>
        </is>
      </c>
      <c r="E1486" s="16" t="inlineStr">
        <is>
          <t>Shipped</t>
        </is>
      </c>
      <c r="F1486" s="16" t="inlineStr">
        <is>
          <t>VA371T</t>
        </is>
      </c>
      <c r="G1486" s="16" t="inlineStr">
        <is>
          <t>Linkbits Bocina Bluetooth Portátil 3" de Alta Gama，Hi-Res Audio y Graves Potentes，Luces LED + Soporte USB/TF/FM/TWS，Ideal para Hogar y Aire Libre</t>
        </is>
      </c>
      <c r="H1486" s="16" t="inlineStr">
        <is>
          <t>VA371T</t>
        </is>
      </c>
      <c r="I1486" s="16" t="n">
        <v>1</v>
      </c>
      <c r="J1486" s="17" t="n">
        <v>41.32</v>
      </c>
      <c r="K1486" s="17" t="n">
        <v>49.68</v>
      </c>
      <c r="L1486" s="17" t="n">
        <v>25.86</v>
      </c>
      <c r="M1486" s="17" t="n">
        <v>0</v>
      </c>
      <c r="N1486" s="17">
        <f>K1486*0.08+L1486*0.08</f>
        <v/>
      </c>
      <c r="O1486" s="17">
        <f>-(K1486*0.025+L1486*0.025)</f>
        <v/>
      </c>
      <c r="P1486" s="17">
        <f>32</f>
        <v/>
      </c>
      <c r="Q1486" s="17">
        <f>J1486+L1486+N1486+O1486-P1486-M1486</f>
        <v/>
      </c>
    </row>
    <row r="1487">
      <c r="A1487" s="16" t="inlineStr">
        <is>
          <t>5.15-5.21</t>
        </is>
      </c>
      <c r="B1487" s="16" t="inlineStr">
        <is>
          <t>PO-128-18098447713912301</t>
        </is>
      </c>
      <c r="C1487" s="16" t="inlineStr">
        <is>
          <t>Shipped</t>
        </is>
      </c>
      <c r="D1487" s="16" t="inlineStr">
        <is>
          <t>128-18098468685432301</t>
        </is>
      </c>
      <c r="E1487" s="16" t="inlineStr">
        <is>
          <t>Shipped</t>
        </is>
      </c>
      <c r="F1487" s="16" t="inlineStr">
        <is>
          <t>TL2663N18C</t>
        </is>
      </c>
      <c r="G1487" s="16" t="inlineStr">
        <is>
          <t>Linkbits，Soporte de pared fijo para televisores de 26"-63", Ultra-Delgado Compatible con VESA 400x400mm, Capacidad de Peso Fuerte de 25KG, Instalación Fácil Sin Electricidad</t>
        </is>
      </c>
      <c r="H1487" s="16" t="inlineStr">
        <is>
          <t>NEGRO</t>
        </is>
      </c>
      <c r="I1487" s="16" t="n">
        <v>1</v>
      </c>
      <c r="J1487" s="17" t="n">
        <v>52</v>
      </c>
      <c r="K1487" s="17" t="n">
        <v>66.97</v>
      </c>
      <c r="L1487" s="17" t="n">
        <v>25.86</v>
      </c>
      <c r="M1487" s="17" t="n">
        <v>0</v>
      </c>
      <c r="N1487" s="17">
        <f>K1487*0.08+L1487*0.08</f>
        <v/>
      </c>
      <c r="O1487" s="17">
        <f>-(K1487*0.025+L1487*0.025)</f>
        <v/>
      </c>
      <c r="P1487" s="17">
        <f>32</f>
        <v/>
      </c>
      <c r="Q1487" s="17">
        <f>J1487+L1487+N1487+O1487-P1487-M1487</f>
        <v/>
      </c>
    </row>
    <row r="1488">
      <c r="A1488" s="16" t="inlineStr">
        <is>
          <t>5.15-5.21</t>
        </is>
      </c>
      <c r="B1488" s="16" t="inlineStr">
        <is>
          <t>PO-128-18086640251512178</t>
        </is>
      </c>
      <c r="C1488" s="16" t="inlineStr">
        <is>
          <t>Shipped</t>
        </is>
      </c>
      <c r="D1488" s="16" t="inlineStr">
        <is>
          <t>128-18086674330232178</t>
        </is>
      </c>
      <c r="E1488" s="16" t="inlineStr">
        <is>
          <t>Shipped</t>
        </is>
      </c>
      <c r="F1488" s="16" t="inlineStr">
        <is>
          <t>LV54W25</t>
        </is>
      </c>
      <c r="G1488" s="16" t="inlineStr">
        <is>
          <t>TIANLAI Lámpara Ventilador E27 2 en 1, Silenciosa, LED Alta Luminosidad 180°, Instalación Rápida, Ahorro Energético para Dormitorio y Interiores Pequeños</t>
        </is>
      </c>
      <c r="H1488" s="16" t="inlineStr">
        <is>
          <t>1 Pieza</t>
        </is>
      </c>
      <c r="I1488" s="16" t="n">
        <v>1</v>
      </c>
      <c r="J1488" s="17" t="n">
        <v>78.5</v>
      </c>
      <c r="K1488" s="17" t="n">
        <v>81.16</v>
      </c>
      <c r="L1488" s="17" t="n">
        <v>25.86</v>
      </c>
      <c r="M1488" s="17" t="n">
        <v>0</v>
      </c>
      <c r="N1488" s="17">
        <f>K1488*0.08+L1488*0.08</f>
        <v/>
      </c>
      <c r="O1488" s="17">
        <f>-(K1488*0.025+L1488*0.025)</f>
        <v/>
      </c>
      <c r="P1488" s="17">
        <f>32</f>
        <v/>
      </c>
      <c r="Q1488" s="17">
        <f>J1488+L1488+N1488+O1488-P1488-M1488</f>
        <v/>
      </c>
    </row>
    <row r="1489">
      <c r="A1489" s="16" t="inlineStr">
        <is>
          <t>5.15-5.21</t>
        </is>
      </c>
      <c r="B1489" s="16" t="inlineStr">
        <is>
          <t>PO-128-18279586396791028</t>
        </is>
      </c>
      <c r="C1489" s="16" t="inlineStr">
        <is>
          <t>Shipped</t>
        </is>
      </c>
      <c r="D1489" s="16" t="inlineStr">
        <is>
          <t>128-18279544453751028</t>
        </is>
      </c>
      <c r="E1489" s="16" t="inlineStr">
        <is>
          <t>Shipped</t>
        </is>
      </c>
      <c r="F1489" s="16" t="inlineStr">
        <is>
          <t>KTS-2031</t>
        </is>
      </c>
      <c r="G1489" s="16" t="inlineStr">
        <is>
          <t>Bocina inalámbrica de 3 pulgadas con linterna multifuncional y panel solar integrado.Altavoz Portátil con Linterna LED 4 Modos, Radio FM, Bluetooth, Carga Solar, Ideal para Apagones, Emergencias, Campo y Exteriores</t>
        </is>
      </c>
      <c r="H1489" s="16" t="inlineStr">
        <is>
          <t>NEGRO</t>
        </is>
      </c>
      <c r="I1489" s="16" t="n">
        <v>1</v>
      </c>
      <c r="J1489" s="17" t="n">
        <v>105.26</v>
      </c>
      <c r="K1489" s="17" t="n">
        <v>54.15</v>
      </c>
      <c r="L1489" s="17" t="n">
        <v>25.86</v>
      </c>
      <c r="M1489" s="17" t="n">
        <v>13.37</v>
      </c>
      <c r="N1489" s="17">
        <f>K1489*0.08+L1489*0.08</f>
        <v/>
      </c>
      <c r="O1489" s="17">
        <f>-(K1489*0.025+L1489*0.025)</f>
        <v/>
      </c>
      <c r="P1489" s="17">
        <f>32</f>
        <v/>
      </c>
      <c r="Q1489" s="17">
        <f>J1489+L1489+N1489+O1489-P1489-M1489</f>
        <v/>
      </c>
    </row>
    <row r="1490">
      <c r="A1490" s="16" t="inlineStr">
        <is>
          <t>5.15-5.21</t>
        </is>
      </c>
      <c r="B1490" s="16" t="inlineStr">
        <is>
          <t>PO-128-18427551237750146</t>
        </is>
      </c>
      <c r="C1490" s="16" t="inlineStr">
        <is>
          <t>Shipped</t>
        </is>
      </c>
      <c r="D1490" s="16" t="inlineStr">
        <is>
          <t>128-18427509294710146</t>
        </is>
      </c>
      <c r="E1490" s="16" t="inlineStr">
        <is>
          <t>Shipped</t>
        </is>
      </c>
      <c r="F1490" s="16" t="inlineStr">
        <is>
          <t>LV64W25</t>
        </is>
      </c>
      <c r="G14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90" s="16" t="inlineStr">
        <is>
          <t>Blanco</t>
        </is>
      </c>
      <c r="I1490" s="16" t="n">
        <v>1</v>
      </c>
      <c r="J1490" s="17" t="n">
        <v>119.5</v>
      </c>
      <c r="K1490" s="17" t="n">
        <v>137.76</v>
      </c>
      <c r="L1490" s="17" t="n">
        <v>25.86</v>
      </c>
      <c r="M1490" s="17" t="n">
        <v>0</v>
      </c>
      <c r="N1490" s="17">
        <f>K1490*0.08+L1490*0.08</f>
        <v/>
      </c>
      <c r="O1490" s="17">
        <f>-(K1490*0.025+L1490*0.025)</f>
        <v/>
      </c>
      <c r="P1490" s="17">
        <f>32</f>
        <v/>
      </c>
      <c r="Q1490" s="17">
        <f>J1490+L1490+N1490+O1490-P1490-M1490</f>
        <v/>
      </c>
    </row>
    <row r="1491">
      <c r="A1491" s="16" t="inlineStr">
        <is>
          <t>5.15-5.21</t>
        </is>
      </c>
      <c r="B1491" s="16" t="inlineStr">
        <is>
          <t>PO-128-17943369994873160</t>
        </is>
      </c>
      <c r="C1491" s="16" t="inlineStr">
        <is>
          <t>Shipped</t>
        </is>
      </c>
      <c r="D1491" s="16" t="inlineStr">
        <is>
          <t>128-17943328051833160</t>
        </is>
      </c>
      <c r="E1491" s="16" t="inlineStr">
        <is>
          <t>Shipped</t>
        </is>
      </c>
      <c r="F1491" s="16" t="inlineStr">
        <is>
          <t>LV54W25</t>
        </is>
      </c>
      <c r="G1491" s="16" t="inlineStr">
        <is>
          <t>TIANLAI Lámpara Ventilador E27 2 en 1, Silenciosa, LED Alta Luminosidad 180°, Instalación Rápida, Ahorro Energético para Dormitorio y Interiores Pequeños</t>
        </is>
      </c>
      <c r="H1491" s="16" t="inlineStr">
        <is>
          <t>1 Pieza</t>
        </is>
      </c>
      <c r="I1491" s="16" t="n">
        <v>2</v>
      </c>
      <c r="J1491" s="17" t="n">
        <v>157</v>
      </c>
      <c r="K1491" s="17" t="n">
        <v>160.54</v>
      </c>
      <c r="L1491" s="17" t="n">
        <v>25.86</v>
      </c>
      <c r="M1491" s="17" t="n">
        <v>0</v>
      </c>
      <c r="N1491" s="17">
        <f>K1491*0.08+L1491*0.08</f>
        <v/>
      </c>
      <c r="O1491" s="17">
        <f>-(K1491*0.025+L1491*0.025)</f>
        <v/>
      </c>
      <c r="P1491" s="17">
        <f>32</f>
        <v/>
      </c>
      <c r="Q1491" s="17">
        <f>J1491+L1491+N1491+O1491-P1491-M1491</f>
        <v/>
      </c>
    </row>
    <row r="1492">
      <c r="A1492" s="16" t="inlineStr">
        <is>
          <t>5.15-5.21</t>
        </is>
      </c>
      <c r="B1492" s="16" t="inlineStr">
        <is>
          <t>PO-128-18062416159352322</t>
        </is>
      </c>
      <c r="C1492" s="16" t="inlineStr">
        <is>
          <t>Shipped</t>
        </is>
      </c>
      <c r="D1492" s="16" t="inlineStr">
        <is>
          <t>128-18062412227192322</t>
        </is>
      </c>
      <c r="E1492" s="16" t="inlineStr">
        <is>
          <t>Shipped</t>
        </is>
      </c>
      <c r="F1492" s="16" t="inlineStr">
        <is>
          <t>LV64W25</t>
        </is>
      </c>
      <c r="G14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92" s="16" t="inlineStr">
        <is>
          <t>Blanco</t>
        </is>
      </c>
      <c r="I1492" s="16" t="n">
        <v>2</v>
      </c>
      <c r="J1492" s="17" t="n">
        <v>239</v>
      </c>
      <c r="K1492" s="17" t="n">
        <v>275.52</v>
      </c>
      <c r="L1492" s="17" t="n">
        <v>0</v>
      </c>
      <c r="M1492" s="17" t="n">
        <v>0</v>
      </c>
      <c r="N1492" s="17">
        <f>K1492*0.08+L1492*0.08</f>
        <v/>
      </c>
      <c r="O1492" s="17">
        <f>-(K1492*0.025+L1492*0.025)</f>
        <v/>
      </c>
      <c r="P1492" s="17">
        <f>32</f>
        <v/>
      </c>
      <c r="Q1492" s="17">
        <f>J1492+L1492+N1492+O1492-P1492-M1492</f>
        <v/>
      </c>
    </row>
    <row r="1493">
      <c r="A1493" s="16" t="inlineStr">
        <is>
          <t>5.15-5.21</t>
        </is>
      </c>
      <c r="B1493" s="16" t="inlineStr">
        <is>
          <t>PO-128-06973300449914034</t>
        </is>
      </c>
      <c r="C1493" s="16" t="inlineStr">
        <is>
          <t>Shipped</t>
        </is>
      </c>
      <c r="D1493" s="16" t="inlineStr">
        <is>
          <t>128-06973310935674034</t>
        </is>
      </c>
      <c r="E1493" s="16" t="inlineStr">
        <is>
          <t>Shipped</t>
        </is>
      </c>
      <c r="F1493" s="16" t="inlineStr">
        <is>
          <t>LV54W25</t>
        </is>
      </c>
      <c r="G1493" s="16" t="inlineStr">
        <is>
          <t>TIANLAI Lámpara Ventilador E27 2 en 1, Silenciosa, LED Alta Luminosidad 180°, Instalación Rápida, Ahorro Energético para Dormitorio y Interiores Pequeños</t>
        </is>
      </c>
      <c r="H1493" s="16" t="inlineStr">
        <is>
          <t>1 Pieza</t>
        </is>
      </c>
      <c r="I1493" s="16" t="n">
        <v>1</v>
      </c>
      <c r="J1493" s="17" t="n">
        <v>78.5</v>
      </c>
      <c r="K1493" s="17" t="n">
        <v>64.93000000000001</v>
      </c>
      <c r="L1493" s="17" t="n">
        <v>25.86</v>
      </c>
      <c r="M1493" s="17" t="n">
        <v>0</v>
      </c>
      <c r="N1493" s="17">
        <f>K1493*0.08+L1493*0.08</f>
        <v/>
      </c>
      <c r="O1493" s="17">
        <f>-(K1493*0.025+L1493*0.025)</f>
        <v/>
      </c>
      <c r="P1493" s="17">
        <f>32</f>
        <v/>
      </c>
      <c r="Q1493" s="17">
        <f>J1493+L1493+N1493+O1493-P1493-M1493</f>
        <v/>
      </c>
    </row>
    <row r="1494">
      <c r="A1494" s="16" t="inlineStr">
        <is>
          <t>5.15-5.21</t>
        </is>
      </c>
      <c r="B1494" s="16" t="inlineStr">
        <is>
          <t>PO-128-07219076219511419</t>
        </is>
      </c>
      <c r="C1494" s="16" t="inlineStr">
        <is>
          <t>Shipped</t>
        </is>
      </c>
      <c r="D1494" s="16" t="inlineStr">
        <is>
          <t>128-07219081462391419</t>
        </is>
      </c>
      <c r="E1494" s="16" t="inlineStr">
        <is>
          <t>Shipped</t>
        </is>
      </c>
      <c r="F1494" s="16" t="inlineStr">
        <is>
          <t>LV64W25</t>
        </is>
      </c>
      <c r="G14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94" s="16" t="inlineStr">
        <is>
          <t>Blanco</t>
        </is>
      </c>
      <c r="I1494" s="16" t="n">
        <v>1</v>
      </c>
      <c r="J1494" s="17" t="n">
        <v>119.5</v>
      </c>
      <c r="K1494" s="17" t="n">
        <v>110.22</v>
      </c>
      <c r="L1494" s="17" t="n">
        <v>25.86</v>
      </c>
      <c r="M1494" s="17" t="n">
        <v>0</v>
      </c>
      <c r="N1494" s="17">
        <f>K1494*0.08+L1494*0.08</f>
        <v/>
      </c>
      <c r="O1494" s="17">
        <f>-(K1494*0.025+L1494*0.025)</f>
        <v/>
      </c>
      <c r="P1494" s="17">
        <f>32</f>
        <v/>
      </c>
      <c r="Q1494" s="17">
        <f>J1494+L1494+N1494+O1494-P1494-M1494</f>
        <v/>
      </c>
    </row>
    <row r="1495">
      <c r="A1495" s="16" t="inlineStr">
        <is>
          <t>5.15-5.21</t>
        </is>
      </c>
      <c r="B1495" s="16" t="inlineStr">
        <is>
          <t>PO-128-06985537188473899</t>
        </is>
      </c>
      <c r="C1495" s="16" t="inlineStr">
        <is>
          <t>Shipped</t>
        </is>
      </c>
      <c r="D1495" s="16" t="inlineStr">
        <is>
          <t>128-06985689231993899</t>
        </is>
      </c>
      <c r="E1495" s="16" t="inlineStr">
        <is>
          <t>Shipped</t>
        </is>
      </c>
      <c r="F1495" s="16" t="inlineStr">
        <is>
          <t>EM12W12</t>
        </is>
      </c>
      <c r="G1495" s="16" t="inlineStr">
        <is>
          <t>TIANLAI Lámpara Solar de Emergencia, 1pc 960lm IP4 5 Modos con SOS, Recargable USB+Solar con Gancho, Linterna Portátil para Camping Hogar Senderismo Pesca</t>
        </is>
      </c>
      <c r="H1495" s="16" t="inlineStr">
        <is>
          <t>BLANCO</t>
        </is>
      </c>
      <c r="I1495" s="16" t="n">
        <v>4</v>
      </c>
      <c r="J1495" s="17" t="n">
        <v>300</v>
      </c>
      <c r="K1495" s="17" t="n">
        <v>398.32</v>
      </c>
      <c r="L1495" s="17" t="n">
        <v>0</v>
      </c>
      <c r="M1495" s="17" t="n">
        <v>0</v>
      </c>
      <c r="N1495" s="17">
        <f>K1495*0.08+L1495*0.08</f>
        <v/>
      </c>
      <c r="O1495" s="17">
        <f>-(K1495*0.025+L1495*0.025)</f>
        <v/>
      </c>
      <c r="P1495" s="17">
        <f>32</f>
        <v/>
      </c>
      <c r="Q1495" s="17">
        <f>J1495+L1495+N1495+O1495-P1495-M1495</f>
        <v/>
      </c>
    </row>
    <row r="1496">
      <c r="A1496" s="16" t="inlineStr">
        <is>
          <t>5.15-5.21</t>
        </is>
      </c>
      <c r="B1496" s="16" t="inlineStr">
        <is>
          <t>PO-128-06884214216313543</t>
        </is>
      </c>
      <c r="C1496" s="16" t="inlineStr">
        <is>
          <t>Shipped</t>
        </is>
      </c>
      <c r="D1496" s="16" t="inlineStr">
        <is>
          <t>128-06884350531193543</t>
        </is>
      </c>
      <c r="E1496" s="16" t="inlineStr">
        <is>
          <t>Shipped</t>
        </is>
      </c>
      <c r="F1496" s="16" t="inlineStr">
        <is>
          <t>LV64W25</t>
        </is>
      </c>
      <c r="G14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496" s="16" t="inlineStr">
        <is>
          <t>Blanco</t>
        </is>
      </c>
      <c r="I1496" s="16" t="n">
        <v>2</v>
      </c>
      <c r="J1496" s="17" t="n">
        <v>239</v>
      </c>
      <c r="K1496" s="17" t="n">
        <v>275.52</v>
      </c>
      <c r="L1496" s="17" t="n">
        <v>0</v>
      </c>
      <c r="M1496" s="17" t="n">
        <v>0</v>
      </c>
      <c r="N1496" s="17">
        <f>K1496*0.08+L1496*0.08</f>
        <v/>
      </c>
      <c r="O1496" s="17">
        <f>-(K1496*0.025+L1496*0.025)</f>
        <v/>
      </c>
      <c r="P1496" s="17">
        <f>32</f>
        <v/>
      </c>
      <c r="Q1496" s="17">
        <f>J1496+L1496+N1496+O1496-P1496-M1496</f>
        <v/>
      </c>
    </row>
    <row r="1497">
      <c r="A1497" s="16" t="inlineStr">
        <is>
          <t>5.15-5.21</t>
        </is>
      </c>
      <c r="B1497" s="16" t="inlineStr">
        <is>
          <t>PO-128-07041854510713690</t>
        </is>
      </c>
      <c r="C1497" s="16" t="inlineStr">
        <is>
          <t>Shipped</t>
        </is>
      </c>
      <c r="D1497" s="16" t="inlineStr">
        <is>
          <t>128-07041875482233690</t>
        </is>
      </c>
      <c r="E1497" s="16" t="inlineStr">
        <is>
          <t>Shipped</t>
        </is>
      </c>
      <c r="F1497" s="16" t="inlineStr">
        <is>
          <t>VB349T</t>
        </is>
      </c>
      <c r="G1497" s="16" t="inlineStr">
        <is>
          <t>LINKBITS Altavoz Portátil de Doble Altavoz - 3 Pulgadas, Sonido HD, Emparejamiento Rápido de Bluetooth, Conectividad TWS, Reproducción Multimodo (Micro SD/USB/Radio FM) - Perfecto para Oficina, Viajes y Espacios Pequeños</t>
        </is>
      </c>
      <c r="H1497" s="16" t="inlineStr">
        <is>
          <t>NEGRO</t>
        </is>
      </c>
      <c r="I1497" s="16" t="n">
        <v>1</v>
      </c>
      <c r="J1497" s="17" t="n">
        <v>79</v>
      </c>
      <c r="K1497" s="17" t="n">
        <v>92.26000000000001</v>
      </c>
      <c r="L1497" s="17" t="n">
        <v>25.86</v>
      </c>
      <c r="M1497" s="17" t="n">
        <v>0</v>
      </c>
      <c r="N1497" s="17">
        <f>K1497*0.08+L1497*0.08</f>
        <v/>
      </c>
      <c r="O1497" s="17">
        <f>-(K1497*0.025+L1497*0.025)</f>
        <v/>
      </c>
      <c r="P1497" s="17">
        <f>32</f>
        <v/>
      </c>
      <c r="Q1497" s="17">
        <f>J1497+L1497+N1497+O1497-P1497-M1497</f>
        <v/>
      </c>
    </row>
    <row r="1498">
      <c r="A1498" s="16" t="inlineStr">
        <is>
          <t>5.15-5.21</t>
        </is>
      </c>
      <c r="B1498" s="16" t="inlineStr">
        <is>
          <t>PO-128-06907933993593400</t>
        </is>
      </c>
      <c r="C1498" s="16" t="inlineStr">
        <is>
          <t>Shipped</t>
        </is>
      </c>
      <c r="D1498" s="16" t="inlineStr">
        <is>
          <t>128-06907881564793400</t>
        </is>
      </c>
      <c r="E1498" s="16" t="inlineStr">
        <is>
          <t>Shipped</t>
        </is>
      </c>
      <c r="F1498" s="16" t="inlineStr">
        <is>
          <t>LV54W25</t>
        </is>
      </c>
      <c r="G1498" s="16" t="inlineStr">
        <is>
          <t>TIANLAI Lámpara Ventilador E27 2 en 1, Silenciosa, LED Alta Luminosidad 180°, Instalación Rápida, Ahorro Energético para Dormitorio y Interiores Pequeños</t>
        </is>
      </c>
      <c r="H1498" s="16" t="inlineStr">
        <is>
          <t>1 Pieza</t>
        </is>
      </c>
      <c r="I1498" s="16" t="n">
        <v>3</v>
      </c>
      <c r="J1498" s="17" t="n">
        <v>235.5</v>
      </c>
      <c r="K1498" s="17" t="n">
        <v>243.48</v>
      </c>
      <c r="L1498" s="17" t="n">
        <v>0</v>
      </c>
      <c r="M1498" s="17" t="n">
        <v>0</v>
      </c>
      <c r="N1498" s="17">
        <f>K1498*0.08+L1498*0.08</f>
        <v/>
      </c>
      <c r="O1498" s="17">
        <f>-(K1498*0.025+L1498*0.025)</f>
        <v/>
      </c>
      <c r="P1498" s="17">
        <f>32</f>
        <v/>
      </c>
      <c r="Q1498" s="17">
        <f>J1498+L1498+N1498+O1498-P1498-M1498</f>
        <v/>
      </c>
    </row>
    <row r="1499">
      <c r="A1499" s="16" t="inlineStr">
        <is>
          <t>5.15-5.21</t>
        </is>
      </c>
      <c r="B1499" s="16" t="inlineStr">
        <is>
          <t>PO-128-06880734014073498</t>
        </is>
      </c>
      <c r="C1499" s="16" t="inlineStr">
        <is>
          <t>Shipped</t>
        </is>
      </c>
      <c r="D1499" s="16" t="inlineStr">
        <is>
          <t>128-06880744499833498</t>
        </is>
      </c>
      <c r="E1499" s="16" t="inlineStr">
        <is>
          <t>Shipped</t>
        </is>
      </c>
      <c r="F1499" s="16" t="inlineStr">
        <is>
          <t>VA371T</t>
        </is>
      </c>
      <c r="G1499" s="16" t="inlineStr">
        <is>
          <t>Linkbits Bocina Bluetooth Portátil 3" de Alta Gama，Hi-Res Audio y Graves Potentes，Luces LED + Soporte USB/TF/FM/TWS，Ideal para Hogar y Aire Libre</t>
        </is>
      </c>
      <c r="H1499" s="16" t="inlineStr">
        <is>
          <t>VA371T</t>
        </is>
      </c>
      <c r="I1499" s="16" t="n">
        <v>1</v>
      </c>
      <c r="J1499" s="17" t="n">
        <v>41.32</v>
      </c>
      <c r="K1499" s="17" t="n">
        <v>49.68</v>
      </c>
      <c r="L1499" s="17" t="n">
        <v>25.86</v>
      </c>
      <c r="M1499" s="17" t="n">
        <v>0</v>
      </c>
      <c r="N1499" s="17">
        <f>K1499*0.08+L1499*0.08</f>
        <v/>
      </c>
      <c r="O1499" s="17">
        <f>-(K1499*0.025+L1499*0.025)</f>
        <v/>
      </c>
      <c r="P1499" s="17">
        <f>32</f>
        <v/>
      </c>
      <c r="Q1499" s="17">
        <f>J1499+L1499+N1499+O1499-P1499-M1499</f>
        <v/>
      </c>
    </row>
    <row r="1500">
      <c r="A1500" s="16" t="inlineStr">
        <is>
          <t>5.15-5.21</t>
        </is>
      </c>
      <c r="B1500" s="16" t="inlineStr">
        <is>
          <t>PO-128-06944975570553117</t>
        </is>
      </c>
      <c r="C1500" s="16" t="inlineStr">
        <is>
          <t>Shipped</t>
        </is>
      </c>
      <c r="D1500" s="16" t="inlineStr">
        <is>
          <t>128-06944967706233117</t>
        </is>
      </c>
      <c r="E1500" s="16" t="inlineStr">
        <is>
          <t>Shipped</t>
        </is>
      </c>
      <c r="F1500" s="16" t="inlineStr">
        <is>
          <t>KTS-2031</t>
        </is>
      </c>
      <c r="G1500" s="16" t="inlineStr">
        <is>
          <t>Bocina inalámbrica de 3 pulgadas con linterna multifuncional y panel solar integrado.Altavoz Portátil con Linterna LED 4 Modos, Radio FM, Bluetooth, Carga Solar, Ideal para Apagones, Emergencias, Campo y Exteriores</t>
        </is>
      </c>
      <c r="H1500" s="16" t="inlineStr">
        <is>
          <t>NEGRO</t>
        </is>
      </c>
      <c r="I1500" s="16" t="n">
        <v>1</v>
      </c>
      <c r="J1500" s="17" t="n">
        <v>105.26</v>
      </c>
      <c r="K1500" s="17" t="n">
        <v>114.49</v>
      </c>
      <c r="L1500" s="17" t="n">
        <v>25.86</v>
      </c>
      <c r="M1500" s="17" t="n">
        <v>0</v>
      </c>
      <c r="N1500" s="17">
        <f>K1500*0.08+L1500*0.08</f>
        <v/>
      </c>
      <c r="O1500" s="17">
        <f>-(K1500*0.025+L1500*0.025)</f>
        <v/>
      </c>
      <c r="P1500" s="17">
        <f>32</f>
        <v/>
      </c>
      <c r="Q1500" s="17">
        <f>J1500+L1500+N1500+O1500-P1500-M1500</f>
        <v/>
      </c>
    </row>
    <row r="1501">
      <c r="A1501" s="16" t="inlineStr">
        <is>
          <t>5.15-5.21</t>
        </is>
      </c>
      <c r="B1501" s="16" t="inlineStr">
        <is>
          <t>PO-128-07402339710070455</t>
        </is>
      </c>
      <c r="C1501" s="16" t="inlineStr">
        <is>
          <t>Shipped</t>
        </is>
      </c>
      <c r="D1501" s="16" t="inlineStr">
        <is>
          <t>128-07402381653110455</t>
        </is>
      </c>
      <c r="E1501" s="16" t="inlineStr">
        <is>
          <t>Shipped</t>
        </is>
      </c>
      <c r="F1501" s="16" t="inlineStr">
        <is>
          <t>LV54W25</t>
        </is>
      </c>
      <c r="G1501" s="16" t="inlineStr">
        <is>
          <t>TIANLAI Lámpara Ventilador E27 2 en 1, Silenciosa, LED Alta Luminosidad 180°, Instalación Rápida, Ahorro Energético para Dormitorio y Interiores Pequeños</t>
        </is>
      </c>
      <c r="H1501" s="16" t="inlineStr">
        <is>
          <t>1 Pieza</t>
        </is>
      </c>
      <c r="I1501" s="16" t="n">
        <v>1</v>
      </c>
      <c r="J1501" s="17" t="n">
        <v>78.5</v>
      </c>
      <c r="K1501" s="17" t="n">
        <v>38.06</v>
      </c>
      <c r="L1501" s="17" t="n">
        <v>25.86</v>
      </c>
      <c r="M1501" s="17" t="n">
        <v>0</v>
      </c>
      <c r="N1501" s="17">
        <f>K1501*0.08+L1501*0.08</f>
        <v/>
      </c>
      <c r="O1501" s="17">
        <f>-(K1501*0.025+L1501*0.025)</f>
        <v/>
      </c>
      <c r="P1501" s="17">
        <f>32</f>
        <v/>
      </c>
      <c r="Q1501" s="17">
        <f>J1501+L1501+N1501+O1501-P1501-M1501</f>
        <v/>
      </c>
    </row>
    <row r="1502">
      <c r="A1502" s="16" t="inlineStr">
        <is>
          <t>5.15-5.21</t>
        </is>
      </c>
      <c r="B1502" s="16" t="inlineStr">
        <is>
          <t>PO-128-07021652828793810</t>
        </is>
      </c>
      <c r="C1502" s="16" t="inlineStr">
        <is>
          <t>Shipped</t>
        </is>
      </c>
      <c r="D1502" s="16" t="inlineStr">
        <is>
          <t>128-07021694771833810</t>
        </is>
      </c>
      <c r="E1502" s="16" t="inlineStr">
        <is>
          <t>Shipped</t>
        </is>
      </c>
      <c r="F1502" s="16" t="inlineStr">
        <is>
          <t>VB349T</t>
        </is>
      </c>
      <c r="G1502" s="16" t="inlineStr">
        <is>
          <t>LINKBITS Altavoz Portátil de Doble Altavoz - 3 Pulgadas, Sonido HD, Emparejamiento Rápido de Bluetooth, Conectividad TWS, Reproducción Multimodo (Micro SD/USB/Radio FM) - Perfecto para Oficina, Viajes y Espacios Pequeños</t>
        </is>
      </c>
      <c r="H1502" s="16" t="inlineStr">
        <is>
          <t>NEGRO</t>
        </is>
      </c>
      <c r="I1502" s="16" t="n">
        <v>1</v>
      </c>
      <c r="J1502" s="17" t="n">
        <v>79</v>
      </c>
      <c r="K1502" s="17" t="n">
        <v>92.26000000000001</v>
      </c>
      <c r="L1502" s="17" t="n">
        <v>25.86</v>
      </c>
      <c r="M1502" s="17" t="n">
        <v>0</v>
      </c>
      <c r="N1502" s="17">
        <f>K1502*0.08+L1502*0.08</f>
        <v/>
      </c>
      <c r="O1502" s="17">
        <f>-(K1502*0.025+L1502*0.025)</f>
        <v/>
      </c>
      <c r="P1502" s="17">
        <f>32</f>
        <v/>
      </c>
      <c r="Q1502" s="17">
        <f>J1502+L1502+N1502+O1502-P1502-M1502</f>
        <v/>
      </c>
    </row>
    <row r="1503">
      <c r="A1503" s="16" t="inlineStr">
        <is>
          <t>5.15-5.21</t>
        </is>
      </c>
      <c r="B1503" s="16" t="inlineStr">
        <is>
          <t>PO-128-07127117502072158</t>
        </is>
      </c>
      <c r="C1503" s="16" t="inlineStr">
        <is>
          <t>Shipped</t>
        </is>
      </c>
      <c r="D1503" s="16" t="inlineStr">
        <is>
          <t>128-07127075559032158</t>
        </is>
      </c>
      <c r="E1503" s="16" t="inlineStr">
        <is>
          <t>Shipped</t>
        </is>
      </c>
      <c r="F1503" s="16" t="inlineStr">
        <is>
          <t>TL1455N20B</t>
        </is>
      </c>
      <c r="G1503" s="16" t="inlineStr">
        <is>
          <t>LINK BITS Soporte para TV 14 A 55 Pulgadas, Base para TV Pantalla Articulado Inclinable y Giratorio, MAX VESA 400×400 mm, Soporta hasta 18kg, adaptarse a la mayoría de los televisores de 14 Pulgadas/20 Pulgadas/32 Pulgadas/42 Pulgadas/55 pulgadas</t>
        </is>
      </c>
      <c r="H1503" s="16" t="inlineStr">
        <is>
          <t>TL1455N20B</t>
        </is>
      </c>
      <c r="I1503" s="16" t="n">
        <v>1</v>
      </c>
      <c r="J1503" s="17" t="n">
        <v>79</v>
      </c>
      <c r="K1503" s="17" t="n">
        <v>101.81</v>
      </c>
      <c r="L1503" s="17" t="n">
        <v>25.86</v>
      </c>
      <c r="M1503" s="17" t="n">
        <v>0</v>
      </c>
      <c r="N1503" s="17">
        <f>K1503*0.08+L1503*0.08</f>
        <v/>
      </c>
      <c r="O1503" s="17">
        <f>-(K1503*0.025+L1503*0.025)</f>
        <v/>
      </c>
      <c r="P1503" s="17">
        <f>32</f>
        <v/>
      </c>
      <c r="Q1503" s="17">
        <f>J1503+L1503+N1503+O1503-P1503-M1503</f>
        <v/>
      </c>
    </row>
    <row r="1504">
      <c r="A1504" s="16" t="inlineStr">
        <is>
          <t>5.15-5.21</t>
        </is>
      </c>
      <c r="B1504" s="16" t="inlineStr">
        <is>
          <t>PO-128-07392937723510447</t>
        </is>
      </c>
      <c r="C1504" s="16" t="inlineStr">
        <is>
          <t>Shipped</t>
        </is>
      </c>
      <c r="D1504" s="16" t="inlineStr">
        <is>
          <t>128-07392895780470447</t>
        </is>
      </c>
      <c r="E1504" s="16" t="inlineStr">
        <is>
          <t>Shipped</t>
        </is>
      </c>
      <c r="F1504" s="16" t="inlineStr">
        <is>
          <t>VA371T</t>
        </is>
      </c>
      <c r="G1504" s="16" t="inlineStr">
        <is>
          <t>Linkbits Bocina Bluetooth Portátil 3" de Alta Gama，Hi-Res Audio y Graves Potentes，Luces LED + Soporte USB/TF/FM/TWS，Ideal para Hogar y Aire Libre</t>
        </is>
      </c>
      <c r="H1504" s="16" t="inlineStr">
        <is>
          <t>VA371T</t>
        </is>
      </c>
      <c r="I1504" s="16" t="n">
        <v>1</v>
      </c>
      <c r="J1504" s="17" t="n">
        <v>41.32</v>
      </c>
      <c r="K1504" s="17" t="n">
        <v>39.74</v>
      </c>
      <c r="L1504" s="17" t="n">
        <v>25.86</v>
      </c>
      <c r="M1504" s="17" t="n">
        <v>0</v>
      </c>
      <c r="N1504" s="17">
        <f>K1504*0.08+L1504*0.08</f>
        <v/>
      </c>
      <c r="O1504" s="17">
        <f>-(K1504*0.025+L1504*0.025)</f>
        <v/>
      </c>
      <c r="P1504" s="17">
        <f>32</f>
        <v/>
      </c>
      <c r="Q1504" s="17">
        <f>J1504+L1504+N1504+O1504-P1504-M1504</f>
        <v/>
      </c>
    </row>
    <row r="1505">
      <c r="A1505" s="16" t="inlineStr">
        <is>
          <t>5.15-5.21</t>
        </is>
      </c>
      <c r="B1505" s="16" t="inlineStr">
        <is>
          <t>PO-128-07225279007351444</t>
        </is>
      </c>
      <c r="C1505" s="16" t="inlineStr">
        <is>
          <t>Shipped</t>
        </is>
      </c>
      <c r="D1505" s="16" t="inlineStr">
        <is>
          <t>128-07225438915191444</t>
        </is>
      </c>
      <c r="E1505" s="16" t="inlineStr">
        <is>
          <t>Shipped</t>
        </is>
      </c>
      <c r="F1505" s="16" t="inlineStr">
        <is>
          <t>TL2663N18C</t>
        </is>
      </c>
      <c r="G1505" s="16" t="inlineStr">
        <is>
          <t>Linkbits，Soporte de pared fijo para televisores de 26"-63", Ultra-Delgado Compatible con VESA 400x400mm, Capacidad de Peso Fuerte de 25KG, Instalación Fácil Sin Electricidad</t>
        </is>
      </c>
      <c r="H1505" s="16" t="inlineStr">
        <is>
          <t>NEGRO</t>
        </is>
      </c>
      <c r="I1505" s="16" t="n">
        <v>1</v>
      </c>
      <c r="J1505" s="17" t="n">
        <v>52</v>
      </c>
      <c r="K1505" s="17" t="n">
        <v>66.97</v>
      </c>
      <c r="L1505" s="17" t="n">
        <v>25.86</v>
      </c>
      <c r="M1505" s="17" t="n">
        <v>0</v>
      </c>
      <c r="N1505" s="17">
        <f>K1505*0.08+L1505*0.08</f>
        <v/>
      </c>
      <c r="O1505" s="17">
        <f>-(K1505*0.025+L1505*0.025)</f>
        <v/>
      </c>
      <c r="P1505" s="17">
        <f>32</f>
        <v/>
      </c>
      <c r="Q1505" s="17">
        <f>J1505+L1505+N1505+O1505-P1505-M1505</f>
        <v/>
      </c>
    </row>
    <row r="1506">
      <c r="A1506" s="16" t="inlineStr">
        <is>
          <t>5.15-5.21</t>
        </is>
      </c>
      <c r="B1506" s="16" t="inlineStr">
        <is>
          <t>PO-128-07213746791032667</t>
        </is>
      </c>
      <c r="C1506" s="16" t="inlineStr">
        <is>
          <t>Shipped</t>
        </is>
      </c>
      <c r="D1506" s="16" t="inlineStr">
        <is>
          <t>128-07213773005432667</t>
        </is>
      </c>
      <c r="E1506" s="16" t="inlineStr">
        <is>
          <t>Shipped</t>
        </is>
      </c>
      <c r="F1506" s="16" t="inlineStr">
        <is>
          <t>LV64W25</t>
        </is>
      </c>
      <c r="G15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06" s="16" t="inlineStr">
        <is>
          <t>Blanco</t>
        </is>
      </c>
      <c r="I1506" s="16" t="n">
        <v>1</v>
      </c>
      <c r="J1506" s="17" t="n">
        <v>119.5</v>
      </c>
      <c r="K1506" s="17" t="n">
        <v>137.76</v>
      </c>
      <c r="L1506" s="17" t="n">
        <v>25.86</v>
      </c>
      <c r="M1506" s="17" t="n">
        <v>0</v>
      </c>
      <c r="N1506" s="17">
        <f>K1506*0.08+L1506*0.08</f>
        <v/>
      </c>
      <c r="O1506" s="17">
        <f>-(K1506*0.025+L1506*0.025)</f>
        <v/>
      </c>
      <c r="P1506" s="17">
        <f>32</f>
        <v/>
      </c>
      <c r="Q1506" s="17">
        <f>J1506+L1506+N1506+O1506-P1506-M1506</f>
        <v/>
      </c>
    </row>
    <row r="1507">
      <c r="A1507" s="16" t="inlineStr">
        <is>
          <t>5.15-5.21</t>
        </is>
      </c>
      <c r="B1507" s="16" t="inlineStr">
        <is>
          <t>PO-128-07528275215990726</t>
        </is>
      </c>
      <c r="C1507" s="16" t="inlineStr">
        <is>
          <t>Shipped</t>
        </is>
      </c>
      <c r="D1507" s="16" t="inlineStr">
        <is>
          <t>128-07528351237750726</t>
        </is>
      </c>
      <c r="E1507" s="16" t="inlineStr">
        <is>
          <t>Shipped</t>
        </is>
      </c>
      <c r="F1507" s="16" t="inlineStr">
        <is>
          <t>KTS-2031</t>
        </is>
      </c>
      <c r="G1507" s="16" t="inlineStr">
        <is>
          <t>Bocina inalámbrica de 3 pulgadas con linterna multifuncional y panel solar integrado.Altavoz Portátil con Linterna LED 4 Modos, Radio FM, Bluetooth, Carga Solar, Ideal para Apagones, Emergencias, Campo y Exteriores</t>
        </is>
      </c>
      <c r="H1507" s="16" t="inlineStr">
        <is>
          <t>NEGRO</t>
        </is>
      </c>
      <c r="I1507" s="16" t="n">
        <v>1</v>
      </c>
      <c r="J1507" s="17" t="n">
        <v>105.26</v>
      </c>
      <c r="K1507" s="17" t="n">
        <v>114.49</v>
      </c>
      <c r="L1507" s="17" t="n">
        <v>25.86</v>
      </c>
      <c r="M1507" s="17" t="n">
        <v>0</v>
      </c>
      <c r="N1507" s="17">
        <f>K1507*0.08+L1507*0.08</f>
        <v/>
      </c>
      <c r="O1507" s="17">
        <f>-(K1507*0.025+L1507*0.025)</f>
        <v/>
      </c>
      <c r="P1507" s="17">
        <f>32</f>
        <v/>
      </c>
      <c r="Q1507" s="17">
        <f>J1507+L1507+N1507+O1507-P1507-M1507</f>
        <v/>
      </c>
    </row>
    <row r="1508">
      <c r="A1508" s="16" t="inlineStr">
        <is>
          <t>5.15-5.21</t>
        </is>
      </c>
      <c r="B1508" s="16" t="inlineStr">
        <is>
          <t>PO-128-07431435018870152</t>
        </is>
      </c>
      <c r="C1508" s="16" t="inlineStr">
        <is>
          <t>Shipped</t>
        </is>
      </c>
      <c r="D1508" s="16" t="inlineStr">
        <is>
          <t>128-07431393075830152</t>
        </is>
      </c>
      <c r="E1508" s="16" t="inlineStr">
        <is>
          <t>Shipped</t>
        </is>
      </c>
      <c r="F1508" s="16" t="inlineStr">
        <is>
          <t>LV54W25</t>
        </is>
      </c>
      <c r="G1508" s="16" t="inlineStr">
        <is>
          <t>TIANLAI Lámpara Ventilador E27 2 en 1, Silenciosa, LED Alta Luminosidad 180°, Instalación Rápida, Ahorro Energético para Dormitorio y Interiores Pequeños</t>
        </is>
      </c>
      <c r="H1508" s="16" t="inlineStr">
        <is>
          <t>1 Pieza</t>
        </is>
      </c>
      <c r="I1508" s="16" t="n">
        <v>1</v>
      </c>
      <c r="J1508" s="17" t="n">
        <v>78.5</v>
      </c>
      <c r="K1508" s="17" t="n">
        <v>81.16</v>
      </c>
      <c r="L1508" s="17" t="n">
        <v>25.86</v>
      </c>
      <c r="M1508" s="17" t="n">
        <v>0</v>
      </c>
      <c r="N1508" s="17">
        <f>K1508*0.08+L1508*0.08</f>
        <v/>
      </c>
      <c r="O1508" s="17">
        <f>-(K1508*0.025+L1508*0.025)</f>
        <v/>
      </c>
      <c r="P1508" s="17">
        <f>32</f>
        <v/>
      </c>
      <c r="Q1508" s="17">
        <f>J1508+L1508+N1508+O1508-P1508-M1508</f>
        <v/>
      </c>
    </row>
    <row r="1509">
      <c r="A1509" s="16" t="inlineStr">
        <is>
          <t>5.15-5.21</t>
        </is>
      </c>
      <c r="B1509" s="16" t="inlineStr">
        <is>
          <t>PO-128-07126512947832163</t>
        </is>
      </c>
      <c r="C1509" s="16" t="inlineStr">
        <is>
          <t>Shipped</t>
        </is>
      </c>
      <c r="D1509" s="16" t="inlineStr">
        <is>
          <t>128-07126502462072163</t>
        </is>
      </c>
      <c r="E1509" s="16" t="inlineStr">
        <is>
          <t>Shipped</t>
        </is>
      </c>
      <c r="F1509" s="16" t="inlineStr">
        <is>
          <t>VB349T</t>
        </is>
      </c>
      <c r="G1509" s="16" t="inlineStr">
        <is>
          <t>LINKBITS Altavoz Portátil de Doble Altavoz - 3 Pulgadas, Sonido HD, Emparejamiento Rápido de Bluetooth, Conectividad TWS, Reproducción Multimodo (Micro SD/USB/Radio FM) - Perfecto para Oficina, Viajes y Espacios Pequeños</t>
        </is>
      </c>
      <c r="H1509" s="16" t="inlineStr">
        <is>
          <t>NEGRO</t>
        </is>
      </c>
      <c r="I1509" s="16" t="n">
        <v>1</v>
      </c>
      <c r="J1509" s="17" t="n">
        <v>79</v>
      </c>
      <c r="K1509" s="17" t="n">
        <v>87.76000000000001</v>
      </c>
      <c r="L1509" s="17" t="n">
        <v>25.86</v>
      </c>
      <c r="M1509" s="17" t="n">
        <v>0</v>
      </c>
      <c r="N1509" s="17">
        <f>K1509*0.08+L1509*0.08</f>
        <v/>
      </c>
      <c r="O1509" s="17">
        <f>-(K1509*0.025+L1509*0.025)</f>
        <v/>
      </c>
      <c r="P1509" s="17">
        <f>32</f>
        <v/>
      </c>
      <c r="Q1509" s="17">
        <f>J1509+L1509+N1509+O1509-P1509-M1509</f>
        <v/>
      </c>
    </row>
    <row r="1510">
      <c r="A1510" s="16" t="inlineStr">
        <is>
          <t>5.15-5.21</t>
        </is>
      </c>
      <c r="B1510" s="16" t="inlineStr">
        <is>
          <t>PO-128-07024465674873603</t>
        </is>
      </c>
      <c r="C1510" s="16" t="inlineStr">
        <is>
          <t>Shipped</t>
        </is>
      </c>
      <c r="D1510" s="16" t="inlineStr">
        <is>
          <t>128-07024468296313603</t>
        </is>
      </c>
      <c r="E1510" s="16" t="inlineStr">
        <is>
          <t>Shipped</t>
        </is>
      </c>
      <c r="F1510" s="16" t="inlineStr">
        <is>
          <t>B03W10-10PZS</t>
        </is>
      </c>
      <c r="G151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510" s="16" t="inlineStr">
        <is>
          <t>B03W10</t>
        </is>
      </c>
      <c r="I1510" s="16" t="n">
        <v>1</v>
      </c>
      <c r="J1510" s="17" t="n">
        <v>66</v>
      </c>
      <c r="K1510" s="17" t="n">
        <v>71.05</v>
      </c>
      <c r="L1510" s="17" t="n">
        <v>25.86</v>
      </c>
      <c r="M1510" s="17" t="n">
        <v>0</v>
      </c>
      <c r="N1510" s="17">
        <f>K1510*0.08+L1510*0.08</f>
        <v/>
      </c>
      <c r="O1510" s="17">
        <f>-(K1510*0.025+L1510*0.025)</f>
        <v/>
      </c>
      <c r="P1510" s="17">
        <f>32</f>
        <v/>
      </c>
      <c r="Q1510" s="17">
        <f>J1510+L1510+N1510+O1510-P1510-M1510</f>
        <v/>
      </c>
    </row>
    <row r="1511">
      <c r="A1511" s="16" t="inlineStr">
        <is>
          <t>5.15-5.21</t>
        </is>
      </c>
      <c r="B1511" s="16" t="inlineStr">
        <is>
          <t>PO-128-07123421312632116</t>
        </is>
      </c>
      <c r="C1511" s="16" t="inlineStr">
        <is>
          <t>Shipped</t>
        </is>
      </c>
      <c r="D1511" s="16" t="inlineStr">
        <is>
          <t>128-07123379369592116</t>
        </is>
      </c>
      <c r="E1511" s="16" t="inlineStr">
        <is>
          <t>Shipped</t>
        </is>
      </c>
      <c r="F1511" s="16" t="inlineStr">
        <is>
          <t>LV64W25</t>
        </is>
      </c>
      <c r="G15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11" s="16" t="inlineStr">
        <is>
          <t>Blanco</t>
        </is>
      </c>
      <c r="I1511" s="16" t="n">
        <v>2</v>
      </c>
      <c r="J1511" s="17" t="n">
        <v>239</v>
      </c>
      <c r="K1511" s="17" t="n">
        <v>275.52</v>
      </c>
      <c r="L1511" s="17" t="n">
        <v>0</v>
      </c>
      <c r="M1511" s="17" t="n">
        <v>0</v>
      </c>
      <c r="N1511" s="17">
        <f>K1511*0.08+L1511*0.08</f>
        <v/>
      </c>
      <c r="O1511" s="17">
        <f>-(K1511*0.025+L1511*0.025)</f>
        <v/>
      </c>
      <c r="P1511" s="17">
        <f>32</f>
        <v/>
      </c>
      <c r="Q1511" s="17">
        <f>J1511+L1511+N1511+O1511-P1511-M1511</f>
        <v/>
      </c>
    </row>
    <row r="1512">
      <c r="A1512" s="16" t="inlineStr">
        <is>
          <t>5.15-5.21</t>
        </is>
      </c>
      <c r="B1512" s="16" t="inlineStr">
        <is>
          <t>PO-128-07530652252790712</t>
        </is>
      </c>
      <c r="C1512" s="16" t="inlineStr">
        <is>
          <t>Shipped</t>
        </is>
      </c>
      <c r="D1512" s="16" t="inlineStr">
        <is>
          <t>128-07530636524150712</t>
        </is>
      </c>
      <c r="E1512" s="16" t="inlineStr">
        <is>
          <t>Shipped</t>
        </is>
      </c>
      <c r="F1512" s="16" t="inlineStr">
        <is>
          <t>LV54W25</t>
        </is>
      </c>
      <c r="G1512" s="16" t="inlineStr">
        <is>
          <t>TIANLAI Lámpara Ventilador E27 2 en 1, Silenciosa, LED Alta Luminosidad 180°, Instalación Rápida, Ahorro Energético para Dormitorio y Interiores Pequeños</t>
        </is>
      </c>
      <c r="H1512" s="16" t="inlineStr">
        <is>
          <t>1 Pieza</t>
        </is>
      </c>
      <c r="I1512" s="16" t="n">
        <v>1</v>
      </c>
      <c r="J1512" s="17" t="n">
        <v>78.5</v>
      </c>
      <c r="K1512" s="17" t="n">
        <v>64.94</v>
      </c>
      <c r="L1512" s="17" t="n">
        <v>25.86</v>
      </c>
      <c r="M1512" s="17" t="n">
        <v>0</v>
      </c>
      <c r="N1512" s="17">
        <f>K1512*0.08+L1512*0.08</f>
        <v/>
      </c>
      <c r="O1512" s="17">
        <f>-(K1512*0.025+L1512*0.025)</f>
        <v/>
      </c>
      <c r="P1512" s="17">
        <f>32</f>
        <v/>
      </c>
      <c r="Q1512" s="17">
        <f>J1512+L1512+N1512+O1512-P1512-M1512</f>
        <v/>
      </c>
    </row>
    <row r="1513">
      <c r="A1513" s="16" t="inlineStr">
        <is>
          <t>5.15-5.21</t>
        </is>
      </c>
      <c r="B1513" s="16" t="inlineStr">
        <is>
          <t>PO-128-07514864906870870</t>
        </is>
      </c>
      <c r="C1513" s="16" t="inlineStr">
        <is>
          <t>Shipped</t>
        </is>
      </c>
      <c r="D1513" s="16" t="inlineStr">
        <is>
          <t>128-07514857042550870</t>
        </is>
      </c>
      <c r="E1513" s="16" t="inlineStr">
        <is>
          <t>Shipped</t>
        </is>
      </c>
      <c r="F1513" s="16" t="inlineStr">
        <is>
          <t>BG-115-B</t>
        </is>
      </c>
      <c r="G1513" s="16" t="inlineStr">
        <is>
          <t>LINK BITS Audífonos Inalámbricos con Luces Multicolor, Recargables y en Adorable Forma de Orejas de Gato - Conecta a Celulares y PCs, Tiene Radio FM, Tarjeta TF y AUX - 7 Horas de Reproducción, Plegables y Perfectos para Trabajo, Juegos y Estudio</t>
        </is>
      </c>
      <c r="H1513" s="16" t="inlineStr">
        <is>
          <t>blanco</t>
        </is>
      </c>
      <c r="I1513" s="16" t="n">
        <v>1</v>
      </c>
      <c r="J1513" s="17" t="n">
        <v>74.25</v>
      </c>
      <c r="K1513" s="17" t="n">
        <v>84.97</v>
      </c>
      <c r="L1513" s="17" t="n">
        <v>25.86</v>
      </c>
      <c r="M1513" s="17" t="n">
        <v>0</v>
      </c>
      <c r="N1513" s="17">
        <f>K1513*0.08+L1513*0.08</f>
        <v/>
      </c>
      <c r="O1513" s="17">
        <f>-(K1513*0.025+L1513*0.025)</f>
        <v/>
      </c>
      <c r="P1513" s="17">
        <f>32</f>
        <v/>
      </c>
      <c r="Q1513" s="17">
        <f>J1513+L1513+N1513+O1513-P1513-M1513</f>
        <v/>
      </c>
    </row>
    <row r="1514">
      <c r="A1514" s="16" t="inlineStr">
        <is>
          <t>5.15-5.21</t>
        </is>
      </c>
      <c r="B1514" s="16" t="inlineStr">
        <is>
          <t>PO-128-06916139786873225</t>
        </is>
      </c>
      <c r="C1514" s="16" t="inlineStr">
        <is>
          <t>Shipped</t>
        </is>
      </c>
      <c r="D1514" s="16" t="inlineStr">
        <is>
          <t>128-06916118815353225</t>
        </is>
      </c>
      <c r="E1514" s="16" t="inlineStr">
        <is>
          <t>Shipped</t>
        </is>
      </c>
      <c r="F1514" s="16" t="inlineStr">
        <is>
          <t>TL2663N18C</t>
        </is>
      </c>
      <c r="G1514" s="16" t="inlineStr">
        <is>
          <t>Linkbits，Soporte de pared fijo para televisores de 26"-63", Ultra-Delgado Compatible con VESA 400x400mm, Capacidad de Peso Fuerte de 25KG, Instalación Fácil Sin Electricidad</t>
        </is>
      </c>
      <c r="H1514" s="16" t="inlineStr">
        <is>
          <t>NEGRO</t>
        </is>
      </c>
      <c r="I1514" s="16" t="n">
        <v>2</v>
      </c>
      <c r="J1514" s="17" t="n">
        <v>104</v>
      </c>
      <c r="K1514" s="17" t="n">
        <v>133.94</v>
      </c>
      <c r="L1514" s="17" t="n">
        <v>25.86</v>
      </c>
      <c r="M1514" s="17" t="n">
        <v>0</v>
      </c>
      <c r="N1514" s="17">
        <f>K1514*0.08+L1514*0.08</f>
        <v/>
      </c>
      <c r="O1514" s="17">
        <f>-(K1514*0.025+L1514*0.025)</f>
        <v/>
      </c>
      <c r="P1514" s="17">
        <f>32</f>
        <v/>
      </c>
      <c r="Q1514" s="17">
        <f>J1514+L1514+N1514+O1514-P1514-M1514</f>
        <v/>
      </c>
    </row>
    <row r="1515">
      <c r="A1515" s="16" t="inlineStr">
        <is>
          <t>5.15-5.21</t>
        </is>
      </c>
      <c r="B1515" s="16" t="inlineStr">
        <is>
          <t>PO-128-07135372749433004</t>
        </is>
      </c>
      <c r="C1515" s="16" t="inlineStr">
        <is>
          <t>Shipped</t>
        </is>
      </c>
      <c r="D1515" s="16" t="inlineStr">
        <is>
          <t>128-07135477607033004</t>
        </is>
      </c>
      <c r="E1515" s="16" t="inlineStr">
        <is>
          <t>Shipped</t>
        </is>
      </c>
      <c r="F1515" s="16" t="inlineStr">
        <is>
          <t>SA323T</t>
        </is>
      </c>
      <c r="G1515"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515" s="16" t="inlineStr">
        <is>
          <t>AZUL/SA323T</t>
        </is>
      </c>
      <c r="I1515" s="16" t="n">
        <v>1</v>
      </c>
      <c r="J1515" s="17" t="n">
        <v>45</v>
      </c>
      <c r="K1515" s="17" t="n">
        <v>54.06</v>
      </c>
      <c r="L1515" s="17" t="n">
        <v>25.86</v>
      </c>
      <c r="M1515" s="17" t="n">
        <v>0</v>
      </c>
      <c r="N1515" s="17">
        <f>K1515*0.08+L1515*0.08</f>
        <v/>
      </c>
      <c r="O1515" s="17">
        <f>-(K1515*0.025+L1515*0.025)</f>
        <v/>
      </c>
      <c r="P1515" s="17">
        <f>32</f>
        <v/>
      </c>
      <c r="Q1515" s="17">
        <f>J1515+L1515+N1515+O1515-P1515-M1515</f>
        <v/>
      </c>
    </row>
    <row r="1516">
      <c r="A1516" s="16" t="inlineStr">
        <is>
          <t>5.15-5.21</t>
        </is>
      </c>
      <c r="B1516" s="16" t="inlineStr">
        <is>
          <t>PO-128-07347989238391675</t>
        </is>
      </c>
      <c r="C1516" s="16" t="inlineStr">
        <is>
          <t>Shipped</t>
        </is>
      </c>
      <c r="D1516" s="16" t="inlineStr">
        <is>
          <t>128-07348036424311675</t>
        </is>
      </c>
      <c r="E1516" s="16" t="inlineStr">
        <is>
          <t>Shipped</t>
        </is>
      </c>
      <c r="F1516" s="16" t="inlineStr">
        <is>
          <t>KTS-1936</t>
        </is>
      </c>
      <c r="G1516" s="16" t="inlineStr">
        <is>
          <t>Espejo con Luz para Makeup，Espejo con Luz LED y Bocina Bluetooth，Espejo para Maquillaje con Aumentos y Luces LED de Intensidad Ajustable，Lente de Aumento 10X+Reproductor TF+ TWS，espejo de portátil y para estudiantes, oficina, dormitorio, mejor regalo</t>
        </is>
      </c>
      <c r="H1516" s="16" t="inlineStr">
        <is>
          <t>BLANCO</t>
        </is>
      </c>
      <c r="I1516" s="16" t="n">
        <v>1</v>
      </c>
      <c r="J1516" s="17" t="n">
        <v>201</v>
      </c>
      <c r="K1516" s="17" t="n">
        <v>171.63</v>
      </c>
      <c r="L1516" s="17" t="n">
        <v>25.86</v>
      </c>
      <c r="M1516" s="17" t="n">
        <v>0</v>
      </c>
      <c r="N1516" s="17">
        <f>K1516*0.08+L1516*0.08</f>
        <v/>
      </c>
      <c r="O1516" s="17">
        <f>-(K1516*0.025+L1516*0.025)</f>
        <v/>
      </c>
      <c r="P1516" s="17">
        <f>32</f>
        <v/>
      </c>
      <c r="Q1516" s="17">
        <f>J1516+L1516+N1516+O1516-P1516-M1516</f>
        <v/>
      </c>
    </row>
    <row r="1517">
      <c r="A1517" s="16" t="inlineStr">
        <is>
          <t>5.15-5.21</t>
        </is>
      </c>
      <c r="B1517" s="16" t="inlineStr">
        <is>
          <t>PO-128-07289581660791063</t>
        </is>
      </c>
      <c r="C1517" s="16" t="inlineStr">
        <is>
          <t>Shipped</t>
        </is>
      </c>
      <c r="D1517" s="16" t="inlineStr">
        <is>
          <t>128-07289572485751063</t>
        </is>
      </c>
      <c r="E1517" s="16" t="inlineStr">
        <is>
          <t>Shipped</t>
        </is>
      </c>
      <c r="F1517" s="16" t="inlineStr">
        <is>
          <t>LV54W25</t>
        </is>
      </c>
      <c r="G1517" s="16" t="inlineStr">
        <is>
          <t>TIANLAI Lámpara Ventilador E27 2 en 1, Silenciosa, LED Alta Luminosidad 180°, Instalación Rápida, Ahorro Energético para Dormitorio y Interiores Pequeños</t>
        </is>
      </c>
      <c r="H1517" s="16" t="inlineStr">
        <is>
          <t>1 Pieza</t>
        </is>
      </c>
      <c r="I1517" s="16" t="n">
        <v>1</v>
      </c>
      <c r="J1517" s="17" t="n">
        <v>78.5</v>
      </c>
      <c r="K1517" s="17" t="n">
        <v>80.27</v>
      </c>
      <c r="L1517" s="17" t="n">
        <v>25.86</v>
      </c>
      <c r="M1517" s="17" t="n">
        <v>0</v>
      </c>
      <c r="N1517" s="17">
        <f>K1517*0.08+L1517*0.08</f>
        <v/>
      </c>
      <c r="O1517" s="17">
        <f>-(K1517*0.025+L1517*0.025)</f>
        <v/>
      </c>
      <c r="P1517" s="17">
        <f>32</f>
        <v/>
      </c>
      <c r="Q1517" s="17">
        <f>J1517+L1517+N1517+O1517-P1517-M1517</f>
        <v/>
      </c>
    </row>
    <row r="1518">
      <c r="A1518" s="16" t="inlineStr">
        <is>
          <t>5.15-5.21</t>
        </is>
      </c>
      <c r="B1518" s="16" t="inlineStr">
        <is>
          <t>PO-128-07156550482552878</t>
        </is>
      </c>
      <c r="C1518" s="16" t="inlineStr">
        <is>
          <t>Shipped</t>
        </is>
      </c>
      <c r="D1518" s="16" t="inlineStr">
        <is>
          <t>128-07156592425592878</t>
        </is>
      </c>
      <c r="E1518" s="16" t="inlineStr">
        <is>
          <t>Shipped</t>
        </is>
      </c>
      <c r="F1518" s="16" t="inlineStr">
        <is>
          <t>SA428T</t>
        </is>
      </c>
      <c r="G1518"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1518" s="16" t="inlineStr">
        <is>
          <t>SA428T</t>
        </is>
      </c>
      <c r="I1518" s="16" t="n">
        <v>1</v>
      </c>
      <c r="J1518" s="17" t="n">
        <v>79.59</v>
      </c>
      <c r="K1518" s="17" t="n">
        <v>8.83</v>
      </c>
      <c r="L1518" s="17" t="n">
        <v>25.86</v>
      </c>
      <c r="M1518" s="17" t="n">
        <v>0</v>
      </c>
      <c r="N1518" s="17">
        <f>K1518*0.08+L1518*0.08</f>
        <v/>
      </c>
      <c r="O1518" s="17">
        <f>-(K1518*0.025+L1518*0.025)</f>
        <v/>
      </c>
      <c r="P1518" s="17">
        <f>32</f>
        <v/>
      </c>
      <c r="Q1518" s="17">
        <f>J1518+L1518+N1518+O1518-P1518-M1518</f>
        <v/>
      </c>
    </row>
    <row r="1519">
      <c r="A1519" s="16" t="inlineStr">
        <is>
          <t>5.15-5.21</t>
        </is>
      </c>
      <c r="B1519" s="16" t="inlineStr">
        <is>
          <t>PO-128-07140914473593037</t>
        </is>
      </c>
      <c r="C1519" s="16" t="inlineStr">
        <is>
          <t>Shipped</t>
        </is>
      </c>
      <c r="D1519" s="16" t="inlineStr">
        <is>
          <t>128-07140935445113037</t>
        </is>
      </c>
      <c r="E1519" s="16" t="inlineStr">
        <is>
          <t>Shipped</t>
        </is>
      </c>
      <c r="F1519" s="16" t="inlineStr">
        <is>
          <t>KTS-2031</t>
        </is>
      </c>
      <c r="G1519" s="16" t="inlineStr">
        <is>
          <t>Bocina inalámbrica de 3 pulgadas con linterna multifuncional y panel solar integrado.Altavoz Portátil con Linterna LED 4 Modos, Radio FM, Bluetooth, Carga Solar, Ideal para Apagones, Emergencias, Campo y Exteriores</t>
        </is>
      </c>
      <c r="H1519" s="16" t="inlineStr">
        <is>
          <t>NEGRO</t>
        </is>
      </c>
      <c r="I1519" s="16" t="n">
        <v>2</v>
      </c>
      <c r="J1519" s="17" t="n">
        <v>156</v>
      </c>
      <c r="K1519" s="17" t="n">
        <v>174.44</v>
      </c>
      <c r="L1519" s="17" t="n">
        <v>25.86</v>
      </c>
      <c r="M1519" s="17" t="n">
        <v>0</v>
      </c>
      <c r="N1519" s="17">
        <f>K1519*0.08+L1519*0.08</f>
        <v/>
      </c>
      <c r="O1519" s="17">
        <f>-(K1519*0.025+L1519*0.025)</f>
        <v/>
      </c>
      <c r="P1519" s="17">
        <f>32</f>
        <v/>
      </c>
      <c r="Q1519" s="17">
        <f>J1519+L1519+N1519+O1519-P1519-M1519</f>
        <v/>
      </c>
    </row>
    <row r="1520">
      <c r="A1520" s="16" t="inlineStr">
        <is>
          <t>5.15-5.21</t>
        </is>
      </c>
      <c r="B1520" s="16" t="inlineStr">
        <is>
          <t>PO-128-06991857321593924</t>
        </is>
      </c>
      <c r="C1520" s="16" t="inlineStr">
        <is>
          <t>Shipped</t>
        </is>
      </c>
      <c r="D1520" s="16" t="inlineStr">
        <is>
          <t>128-06991836350073924</t>
        </is>
      </c>
      <c r="E1520" s="16" t="inlineStr">
        <is>
          <t>Shipped</t>
        </is>
      </c>
      <c r="F1520" s="16" t="inlineStr">
        <is>
          <t>TL2663N18C</t>
        </is>
      </c>
      <c r="G1520" s="16" t="inlineStr">
        <is>
          <t>Linkbits，Soporte de pared fijo para televisores de 26"-63", Ultra-Delgado Compatible con VESA 400x400mm, Capacidad de Peso Fuerte de 25KG, Instalación Fácil Sin Electricidad</t>
        </is>
      </c>
      <c r="H1520" s="16" t="inlineStr">
        <is>
          <t>NEGRO</t>
        </is>
      </c>
      <c r="I1520" s="16" t="n">
        <v>1</v>
      </c>
      <c r="J1520" s="17" t="n">
        <v>52</v>
      </c>
      <c r="K1520" s="17" t="n">
        <v>66.97</v>
      </c>
      <c r="L1520" s="17" t="n">
        <v>25.86</v>
      </c>
      <c r="M1520" s="17" t="n">
        <v>0</v>
      </c>
      <c r="N1520" s="17">
        <f>K1520*0.08+L1520*0.08</f>
        <v/>
      </c>
      <c r="O1520" s="17">
        <f>-(K1520*0.025+L1520*0.025)</f>
        <v/>
      </c>
      <c r="P1520" s="17">
        <f>32</f>
        <v/>
      </c>
      <c r="Q1520" s="17">
        <f>J1520+L1520+N1520+O1520-P1520-M1520</f>
        <v/>
      </c>
    </row>
    <row r="1521">
      <c r="A1521" s="16" t="inlineStr">
        <is>
          <t>5.15-5.21</t>
        </is>
      </c>
      <c r="B1521" s="16" t="inlineStr">
        <is>
          <t>PO-128-07444716585590203</t>
        </is>
      </c>
      <c r="C1521" s="16" t="inlineStr">
        <is>
          <t>Shipped</t>
        </is>
      </c>
      <c r="D1521" s="16" t="inlineStr">
        <is>
          <t>128-07444695614070203</t>
        </is>
      </c>
      <c r="E1521" s="16" t="inlineStr">
        <is>
          <t>Shipped</t>
        </is>
      </c>
      <c r="F1521" s="16" t="inlineStr">
        <is>
          <t>TL1455N20B</t>
        </is>
      </c>
      <c r="G1521" s="16" t="inlineStr">
        <is>
          <t>LINK BITS Soporte para TV 14 A 55 Pulgadas, Base para TV Pantalla Articulado Inclinable y Giratorio, MAX VESA 400×400 mm, Soporta hasta 18kg, adaptarse a la mayoría de los televisores de 14 Pulgadas/20 Pulgadas/32 Pulgadas/42 Pulgadas/55 pulgadas</t>
        </is>
      </c>
      <c r="H1521" s="16" t="inlineStr">
        <is>
          <t>TL1455N20B</t>
        </is>
      </c>
      <c r="I1521" s="16" t="n">
        <v>1</v>
      </c>
      <c r="J1521" s="17" t="n">
        <v>79</v>
      </c>
      <c r="K1521" s="17" t="n">
        <v>101.81</v>
      </c>
      <c r="L1521" s="17" t="n">
        <v>25.86</v>
      </c>
      <c r="M1521" s="17" t="n">
        <v>0</v>
      </c>
      <c r="N1521" s="17">
        <f>K1521*0.08+L1521*0.08</f>
        <v/>
      </c>
      <c r="O1521" s="17">
        <f>-(K1521*0.025+L1521*0.025)</f>
        <v/>
      </c>
      <c r="P1521" s="17">
        <f>32</f>
        <v/>
      </c>
      <c r="Q1521" s="17">
        <f>J1521+L1521+N1521+O1521-P1521-M1521</f>
        <v/>
      </c>
    </row>
    <row r="1522">
      <c r="A1522" s="16" t="inlineStr">
        <is>
          <t>5.15-5.21</t>
        </is>
      </c>
      <c r="B1522" s="16" t="inlineStr">
        <is>
          <t>PO-128-07510445199990835</t>
        </is>
      </c>
      <c r="C1522" s="16" t="inlineStr">
        <is>
          <t>Shipped</t>
        </is>
      </c>
      <c r="D1522" s="16" t="inlineStr">
        <is>
          <t>128-07510371799670835</t>
        </is>
      </c>
      <c r="E1522" s="16" t="inlineStr">
        <is>
          <t>Shipped</t>
        </is>
      </c>
      <c r="F1522" s="16" t="inlineStr">
        <is>
          <t>LV54W25</t>
        </is>
      </c>
      <c r="G1522" s="16" t="inlineStr">
        <is>
          <t>TIANLAI Lámpara Ventilador E27 2 en 1, Silenciosa, LED Alta Luminosidad 180°, Instalación Rápida, Ahorro Energético para Dormitorio y Interiores Pequeños</t>
        </is>
      </c>
      <c r="H1522" s="16" t="inlineStr">
        <is>
          <t>1 Pieza</t>
        </is>
      </c>
      <c r="I1522" s="16" t="n">
        <v>3</v>
      </c>
      <c r="J1522" s="17" t="n">
        <v>235.5</v>
      </c>
      <c r="K1522" s="17" t="n">
        <v>240.81</v>
      </c>
      <c r="L1522" s="17" t="n">
        <v>0</v>
      </c>
      <c r="M1522" s="17" t="n">
        <v>0</v>
      </c>
      <c r="N1522" s="17">
        <f>K1522*0.08+L1522*0.08</f>
        <v/>
      </c>
      <c r="O1522" s="17">
        <f>-(K1522*0.025+L1522*0.025)</f>
        <v/>
      </c>
      <c r="P1522" s="17">
        <f>32</f>
        <v/>
      </c>
      <c r="Q1522" s="17">
        <f>J1522+L1522+N1522+O1522-P1522-M1522</f>
        <v/>
      </c>
    </row>
    <row r="1523">
      <c r="A1523" s="16" t="inlineStr">
        <is>
          <t>5.15-5.21</t>
        </is>
      </c>
      <c r="B1523" s="16" t="inlineStr">
        <is>
          <t>PO-128-07440705521270160</t>
        </is>
      </c>
      <c r="C1523" s="16" t="inlineStr">
        <is>
          <t>Shipped</t>
        </is>
      </c>
      <c r="D1523" s="16" t="inlineStr">
        <is>
          <t>128-07440857564790160</t>
        </is>
      </c>
      <c r="E1523" s="16" t="inlineStr">
        <is>
          <t>Shipped</t>
        </is>
      </c>
      <c r="F1523" s="16" t="inlineStr">
        <is>
          <t>VA371T</t>
        </is>
      </c>
      <c r="G1523" s="16" t="inlineStr">
        <is>
          <t>Linkbits Bocina Bluetooth Portátil 3" de Alta Gama，Hi-Res Audio y Graves Potentes，Luces LED + Soporte USB/TF/FM/TWS，Ideal para Hogar y Aire Libre</t>
        </is>
      </c>
      <c r="H1523" s="16" t="inlineStr">
        <is>
          <t>VA371T</t>
        </is>
      </c>
      <c r="I1523" s="16" t="n">
        <v>1</v>
      </c>
      <c r="J1523" s="17" t="n">
        <v>41.32</v>
      </c>
      <c r="K1523" s="17" t="n">
        <v>49.68</v>
      </c>
      <c r="L1523" s="17" t="n">
        <v>25.86</v>
      </c>
      <c r="M1523" s="17" t="n">
        <v>0</v>
      </c>
      <c r="N1523" s="17">
        <f>K1523*0.08+L1523*0.08</f>
        <v/>
      </c>
      <c r="O1523" s="17">
        <f>-(K1523*0.025+L1523*0.025)</f>
        <v/>
      </c>
      <c r="P1523" s="17">
        <f>32</f>
        <v/>
      </c>
      <c r="Q1523" s="17">
        <f>J1523+L1523+N1523+O1523-P1523-M1523</f>
        <v/>
      </c>
    </row>
    <row r="1524">
      <c r="A1524" s="16" t="inlineStr">
        <is>
          <t>5.15-5.21</t>
        </is>
      </c>
      <c r="B1524" s="16" t="inlineStr">
        <is>
          <t>PO-128-07123411845752116</t>
        </is>
      </c>
      <c r="C1524" s="16" t="inlineStr">
        <is>
          <t>Shipped</t>
        </is>
      </c>
      <c r="D1524" s="16" t="inlineStr">
        <is>
          <t>128-07123369902712116</t>
        </is>
      </c>
      <c r="E1524" s="16" t="inlineStr">
        <is>
          <t>Shipped</t>
        </is>
      </c>
      <c r="F1524" s="16" t="inlineStr">
        <is>
          <t>KTS-1936</t>
        </is>
      </c>
      <c r="G1524" s="16" t="inlineStr">
        <is>
          <t>Espejo con Luz para Makeup，Espejo con Luz LED y Bocina Bluetooth，Espejo para Maquillaje con Aumentos y Luces LED de Intensidad Ajustable，Lente de Aumento 10X+Reproductor TF+ TWS，espejo de portátil y para estudiantes, oficina, dormitorio, mejor regalo</t>
        </is>
      </c>
      <c r="H1524" s="16" t="inlineStr">
        <is>
          <t>BLANCO</t>
        </is>
      </c>
      <c r="I1524" s="16" t="n">
        <v>1</v>
      </c>
      <c r="J1524" s="17" t="n">
        <v>201</v>
      </c>
      <c r="K1524" s="17" t="n">
        <v>228.84</v>
      </c>
      <c r="L1524" s="17" t="n">
        <v>25.86</v>
      </c>
      <c r="M1524" s="17" t="n">
        <v>0</v>
      </c>
      <c r="N1524" s="17">
        <f>K1524*0.08+L1524*0.08</f>
        <v/>
      </c>
      <c r="O1524" s="17">
        <f>-(K1524*0.025+L1524*0.025)</f>
        <v/>
      </c>
      <c r="P1524" s="17">
        <f>32</f>
        <v/>
      </c>
      <c r="Q1524" s="17">
        <f>J1524+L1524+N1524+O1524-P1524-M1524</f>
        <v/>
      </c>
    </row>
    <row r="1525">
      <c r="A1525" s="16" t="inlineStr">
        <is>
          <t>5.15-5.21</t>
        </is>
      </c>
      <c r="B1525" s="16" t="inlineStr">
        <is>
          <t>PO-128-07184291891832779</t>
        </is>
      </c>
      <c r="C1525" s="16" t="inlineStr">
        <is>
          <t>Shipped</t>
        </is>
      </c>
      <c r="D1525" s="16" t="inlineStr">
        <is>
          <t>128-07184270920312779</t>
        </is>
      </c>
      <c r="E1525" s="16" t="inlineStr">
        <is>
          <t>Shipped</t>
        </is>
      </c>
      <c r="F1525" s="16" t="inlineStr">
        <is>
          <t>KTS-2031</t>
        </is>
      </c>
      <c r="G1525" s="16" t="inlineStr">
        <is>
          <t>Bocina inalámbrica de 3 pulgadas con linterna multifuncional y panel solar integrado.Altavoz Portátil con Linterna LED 4 Modos, Radio FM, Bluetooth, Carga Solar, Ideal para Apagones, Emergencias, Campo y Exteriores</t>
        </is>
      </c>
      <c r="H1525" s="16" t="inlineStr">
        <is>
          <t>NEGRO</t>
        </is>
      </c>
      <c r="I1525" s="16" t="n">
        <v>1</v>
      </c>
      <c r="J1525" s="17" t="n">
        <v>78</v>
      </c>
      <c r="K1525" s="17" t="n">
        <v>87.22</v>
      </c>
      <c r="L1525" s="17" t="n">
        <v>25.86</v>
      </c>
      <c r="M1525" s="17" t="n">
        <v>0</v>
      </c>
      <c r="N1525" s="17">
        <f>K1525*0.08+L1525*0.08</f>
        <v/>
      </c>
      <c r="O1525" s="17">
        <f>-(K1525*0.025+L1525*0.025)</f>
        <v/>
      </c>
      <c r="P1525" s="17">
        <f>32</f>
        <v/>
      </c>
      <c r="Q1525" s="17">
        <f>J1525+L1525+N1525+O1525-P1525-M1525</f>
        <v/>
      </c>
    </row>
    <row r="1526">
      <c r="A1526" s="16" t="inlineStr">
        <is>
          <t>5.15-5.21</t>
        </is>
      </c>
      <c r="B1526" s="16" t="inlineStr">
        <is>
          <t>PO-128-07507410186870853</t>
        </is>
      </c>
      <c r="C1526" s="16" t="inlineStr">
        <is>
          <t>Shipped</t>
        </is>
      </c>
      <c r="D1526" s="16" t="inlineStr">
        <is>
          <t>128-07507431158390853</t>
        </is>
      </c>
      <c r="E1526" s="16" t="inlineStr">
        <is>
          <t>Shipped</t>
        </is>
      </c>
      <c r="F1526" s="16" t="inlineStr">
        <is>
          <t>KTS-2031</t>
        </is>
      </c>
      <c r="G1526" s="16" t="inlineStr">
        <is>
          <t>Bocina inalámbrica de 3 pulgadas con linterna multifuncional y panel solar integrado.Altavoz Portátil con Linterna LED 4 Modos, Radio FM, Bluetooth, Carga Solar, Ideal para Apagones, Emergencias, Campo y Exteriores</t>
        </is>
      </c>
      <c r="H1526" s="16" t="inlineStr">
        <is>
          <t>NEGRO</t>
        </is>
      </c>
      <c r="I1526" s="16" t="n">
        <v>3</v>
      </c>
      <c r="J1526" s="17" t="n">
        <v>234</v>
      </c>
      <c r="K1526" s="17" t="n">
        <v>218.56</v>
      </c>
      <c r="L1526" s="17" t="n">
        <v>0</v>
      </c>
      <c r="M1526" s="17" t="n">
        <v>0</v>
      </c>
      <c r="N1526" s="17">
        <f>K1526*0.08+L1526*0.08</f>
        <v/>
      </c>
      <c r="O1526" s="17">
        <f>-(K1526*0.025+L1526*0.025)</f>
        <v/>
      </c>
      <c r="P1526" s="17">
        <f>32</f>
        <v/>
      </c>
      <c r="Q1526" s="17">
        <f>J1526+L1526+N1526+O1526-P1526-M1526</f>
        <v/>
      </c>
    </row>
    <row r="1527">
      <c r="A1527" s="16" t="inlineStr">
        <is>
          <t>5.15-5.21</t>
        </is>
      </c>
      <c r="B1527" s="16" t="inlineStr">
        <is>
          <t>PO-128-07074778711672342</t>
        </is>
      </c>
      <c r="C1527" s="16" t="inlineStr">
        <is>
          <t>Shipped</t>
        </is>
      </c>
      <c r="D1527" s="16" t="inlineStr">
        <is>
          <t>128-07074781333112342</t>
        </is>
      </c>
      <c r="E1527" s="16" t="inlineStr">
        <is>
          <t>Shipped</t>
        </is>
      </c>
      <c r="F1527" s="16" t="inlineStr">
        <is>
          <t>BSC04</t>
        </is>
      </c>
      <c r="G1527" s="16" t="inlineStr">
        <is>
          <t>TIANLAI Báscula Digital BSC04/BSC07, Alta Precisión, Fácil Operación, Ligera y Portátil, Función Tara, Unidad Dual oz/g, Ideal para Cocina, Control de Porciones, Sellos y Objetos Pequeños, Uso en Hogar y Viaje</t>
        </is>
      </c>
      <c r="H1527" s="16" t="inlineStr">
        <is>
          <t>5g/White</t>
        </is>
      </c>
      <c r="I1527" s="16" t="n">
        <v>1</v>
      </c>
      <c r="J1527" s="17" t="n">
        <v>52.8</v>
      </c>
      <c r="K1527" s="17" t="n">
        <v>69.09</v>
      </c>
      <c r="L1527" s="17" t="n">
        <v>25.86</v>
      </c>
      <c r="M1527" s="17" t="n">
        <v>0</v>
      </c>
      <c r="N1527" s="17">
        <f>K1527*0.08+L1527*0.08</f>
        <v/>
      </c>
      <c r="O1527" s="17">
        <f>-(K1527*0.025+L1527*0.025)</f>
        <v/>
      </c>
      <c r="P1527" s="17">
        <f>32</f>
        <v/>
      </c>
      <c r="Q1527" s="17">
        <f>J1527+L1527+N1527+O1527-P1527-M1527</f>
        <v/>
      </c>
    </row>
    <row r="1528">
      <c r="A1528" s="16" t="inlineStr">
        <is>
          <t>5.15-5.21</t>
        </is>
      </c>
      <c r="B1528" s="16" t="inlineStr">
        <is>
          <t>PO-128-07158808771192867</t>
        </is>
      </c>
      <c r="C1528" s="16" t="inlineStr">
        <is>
          <t>Shipped</t>
        </is>
      </c>
      <c r="D1528" s="16" t="inlineStr">
        <is>
          <t>128-07158766828152867</t>
        </is>
      </c>
      <c r="E1528" s="16" t="inlineStr">
        <is>
          <t>Shipped</t>
        </is>
      </c>
      <c r="F1528" s="16" t="inlineStr">
        <is>
          <t>LV64W25</t>
        </is>
      </c>
      <c r="G15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28" s="16" t="inlineStr">
        <is>
          <t>Blanco</t>
        </is>
      </c>
      <c r="I1528" s="16" t="n">
        <v>3</v>
      </c>
      <c r="J1528" s="17" t="n">
        <v>358.5</v>
      </c>
      <c r="K1528" s="17" t="n">
        <v>413.28</v>
      </c>
      <c r="L1528" s="17" t="n">
        <v>0</v>
      </c>
      <c r="M1528" s="17" t="n">
        <v>0</v>
      </c>
      <c r="N1528" s="17">
        <f>K1528*0.08+L1528*0.08</f>
        <v/>
      </c>
      <c r="O1528" s="17">
        <f>-(K1528*0.025+L1528*0.025)</f>
        <v/>
      </c>
      <c r="P1528" s="17">
        <f>32</f>
        <v/>
      </c>
      <c r="Q1528" s="17">
        <f>J1528+L1528+N1528+O1528-P1528-M1528</f>
        <v/>
      </c>
    </row>
    <row r="1529">
      <c r="A1529" s="16" t="inlineStr">
        <is>
          <t>5.15-5.21</t>
        </is>
      </c>
      <c r="B1529" s="16" t="inlineStr">
        <is>
          <t>PO-128-07035778709113662</t>
        </is>
      </c>
      <c r="C1529" s="16" t="inlineStr">
        <is>
          <t>Shipped</t>
        </is>
      </c>
      <c r="D1529" s="16" t="inlineStr">
        <is>
          <t>128-07035795748473662</t>
        </is>
      </c>
      <c r="E1529" s="16" t="inlineStr">
        <is>
          <t>Shipped</t>
        </is>
      </c>
      <c r="F1529" s="16" t="inlineStr">
        <is>
          <t>LV64W25</t>
        </is>
      </c>
      <c r="G15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29" s="16" t="inlineStr">
        <is>
          <t>Blanco</t>
        </is>
      </c>
      <c r="I1529" s="16" t="n">
        <v>3</v>
      </c>
      <c r="J1529" s="17" t="n">
        <v>358.5</v>
      </c>
      <c r="K1529" s="17" t="n">
        <v>364</v>
      </c>
      <c r="L1529" s="17" t="n">
        <v>0</v>
      </c>
      <c r="M1529" s="17" t="n">
        <v>138.6</v>
      </c>
      <c r="N1529" s="17">
        <f>K1529*0.08+L1529*0.08</f>
        <v/>
      </c>
      <c r="O1529" s="17">
        <f>-(K1529*0.025+L1529*0.025)</f>
        <v/>
      </c>
      <c r="P1529" s="17">
        <f>32</f>
        <v/>
      </c>
      <c r="Q1529" s="17">
        <f>J1529+L1529+N1529+O1529-P1529-M1529</f>
        <v/>
      </c>
    </row>
    <row r="1530">
      <c r="A1530" s="16" t="inlineStr">
        <is>
          <t>5.15-5.21</t>
        </is>
      </c>
      <c r="B1530" s="16" t="inlineStr">
        <is>
          <t>PO-128-07275248092791277</t>
        </is>
      </c>
      <c r="C1530" s="16" t="inlineStr">
        <is>
          <t>Shipped</t>
        </is>
      </c>
      <c r="D1530" s="16" t="inlineStr">
        <is>
          <t>128-07275206149751277</t>
        </is>
      </c>
      <c r="E1530" s="16" t="inlineStr">
        <is>
          <t>Shipped</t>
        </is>
      </c>
      <c r="F1530" s="16" t="inlineStr">
        <is>
          <t>VB349T</t>
        </is>
      </c>
      <c r="G1530" s="16" t="inlineStr">
        <is>
          <t>LINKBITS Altavoz Portátil de Doble Altavoz - 3 Pulgadas, Sonido HD, Emparejamiento Rápido de Bluetooth, Conectividad TWS, Reproducción Multimodo (Micro SD/USB/Radio FM) - Perfecto para Oficina, Viajes y Espacios Pequeños</t>
        </is>
      </c>
      <c r="H1530" s="16" t="inlineStr">
        <is>
          <t>NEGRO</t>
        </is>
      </c>
      <c r="I1530" s="16" t="n">
        <v>1</v>
      </c>
      <c r="J1530" s="17" t="n">
        <v>79</v>
      </c>
      <c r="K1530" s="17" t="n">
        <v>92.26000000000001</v>
      </c>
      <c r="L1530" s="17" t="n">
        <v>25.86</v>
      </c>
      <c r="M1530" s="17" t="n">
        <v>0</v>
      </c>
      <c r="N1530" s="17">
        <f>K1530*0.08+L1530*0.08</f>
        <v/>
      </c>
      <c r="O1530" s="17">
        <f>-(K1530*0.025+L1530*0.025)</f>
        <v/>
      </c>
      <c r="P1530" s="17">
        <f>32</f>
        <v/>
      </c>
      <c r="Q1530" s="17">
        <f>J1530+L1530+N1530+O1530-P1530-M1530</f>
        <v/>
      </c>
    </row>
    <row r="1531">
      <c r="A1531" s="16" t="inlineStr">
        <is>
          <t>5.15-5.21</t>
        </is>
      </c>
      <c r="B1531" s="16" t="inlineStr">
        <is>
          <t>PO-128-07424489196150323</t>
        </is>
      </c>
      <c r="C1531" s="16" t="inlineStr">
        <is>
          <t>Shipped</t>
        </is>
      </c>
      <c r="D1531" s="16" t="inlineStr">
        <is>
          <t>128-07424468224630323</t>
        </is>
      </c>
      <c r="E1531" s="16" t="inlineStr">
        <is>
          <t>Shipped</t>
        </is>
      </c>
      <c r="F1531" s="16" t="inlineStr">
        <is>
          <t>TL2663N18C</t>
        </is>
      </c>
      <c r="G1531" s="16" t="inlineStr">
        <is>
          <t>Linkbits，Soporte de pared fijo para televisores de 26"-63", Ultra-Delgado Compatible con VESA 400x400mm, Capacidad de Peso Fuerte de 25KG, Instalación Fácil Sin Electricidad</t>
        </is>
      </c>
      <c r="H1531" s="16" t="inlineStr">
        <is>
          <t>NEGRO</t>
        </is>
      </c>
      <c r="I1531" s="16" t="n">
        <v>1</v>
      </c>
      <c r="J1531" s="17" t="n">
        <v>52</v>
      </c>
      <c r="K1531" s="17" t="n">
        <v>66.97</v>
      </c>
      <c r="L1531" s="17" t="n">
        <v>25.86</v>
      </c>
      <c r="M1531" s="17" t="n">
        <v>0</v>
      </c>
      <c r="N1531" s="17">
        <f>K1531*0.08+L1531*0.08</f>
        <v/>
      </c>
      <c r="O1531" s="17">
        <f>-(K1531*0.025+L1531*0.025)</f>
        <v/>
      </c>
      <c r="P1531" s="17">
        <f>32</f>
        <v/>
      </c>
      <c r="Q1531" s="17">
        <f>J1531+L1531+N1531+O1531-P1531-M1531</f>
        <v/>
      </c>
    </row>
    <row r="1532">
      <c r="A1532" s="16" t="inlineStr">
        <is>
          <t>5.15-5.21</t>
        </is>
      </c>
      <c r="B1532" s="16" t="inlineStr">
        <is>
          <t>PO-128-12708372122232685</t>
        </is>
      </c>
      <c r="C1532" s="16" t="inlineStr">
        <is>
          <t>Shipped</t>
        </is>
      </c>
      <c r="D1532" s="16" t="inlineStr">
        <is>
          <t>128-12708398336632685</t>
        </is>
      </c>
      <c r="E1532" s="16" t="inlineStr">
        <is>
          <t>Shipped</t>
        </is>
      </c>
      <c r="F1532" s="16" t="inlineStr">
        <is>
          <t>KTS-2031</t>
        </is>
      </c>
      <c r="G1532" s="16" t="inlineStr">
        <is>
          <t>Bocina inalámbrica de 3 pulgadas con linterna multifuncional y panel solar integrado.Altavoz Portátil con Linterna LED 4 Modos, Radio FM, Bluetooth, Carga Solar, Ideal para Apagones, Emergencias, Campo y Exteriores</t>
        </is>
      </c>
      <c r="H1532" s="16" t="inlineStr">
        <is>
          <t>NEGRO</t>
        </is>
      </c>
      <c r="I1532" s="16" t="n">
        <v>2</v>
      </c>
      <c r="J1532" s="17" t="n">
        <v>156</v>
      </c>
      <c r="K1532" s="17" t="n">
        <v>139.55</v>
      </c>
      <c r="L1532" s="17" t="n">
        <v>25.86</v>
      </c>
      <c r="M1532" s="17" t="n">
        <v>0</v>
      </c>
      <c r="N1532" s="17">
        <f>K1532*0.08+L1532*0.08</f>
        <v/>
      </c>
      <c r="O1532" s="17">
        <f>-(K1532*0.025+L1532*0.025)</f>
        <v/>
      </c>
      <c r="P1532" s="17">
        <f>32</f>
        <v/>
      </c>
      <c r="Q1532" s="17">
        <f>J1532+L1532+N1532+O1532-P1532-M1532</f>
        <v/>
      </c>
    </row>
    <row r="1533">
      <c r="A1533" s="16" t="inlineStr">
        <is>
          <t>5.15-5.21</t>
        </is>
      </c>
      <c r="B1533" s="16" t="inlineStr">
        <is>
          <t>PO-128-12918161347190344</t>
        </is>
      </c>
      <c r="C1533" s="16" t="inlineStr">
        <is>
          <t>Shipped</t>
        </is>
      </c>
      <c r="D1533" s="16" t="inlineStr">
        <is>
          <t>128-12918182318710344</t>
        </is>
      </c>
      <c r="E1533" s="16" t="inlineStr">
        <is>
          <t>Shipped</t>
        </is>
      </c>
      <c r="F1533" s="16" t="inlineStr">
        <is>
          <t>KTS-2031</t>
        </is>
      </c>
      <c r="G1533" s="16" t="inlineStr">
        <is>
          <t>Bocina inalámbrica de 3 pulgadas con linterna multifuncional y panel solar integrado.Altavoz Portátil con Linterna LED 4 Modos, Radio FM, Bluetooth, Carga Solar, Ideal para Apagones, Emergencias, Campo y Exteriores</t>
        </is>
      </c>
      <c r="H1533" s="16" t="inlineStr">
        <is>
          <t>NEGRO</t>
        </is>
      </c>
      <c r="I1533" s="16" t="n">
        <v>1</v>
      </c>
      <c r="J1533" s="17" t="n">
        <v>78</v>
      </c>
      <c r="K1533" s="17" t="n">
        <v>87.22</v>
      </c>
      <c r="L1533" s="17" t="n">
        <v>25.86</v>
      </c>
      <c r="M1533" s="17" t="n">
        <v>0</v>
      </c>
      <c r="N1533" s="17">
        <f>K1533*0.08+L1533*0.08</f>
        <v/>
      </c>
      <c r="O1533" s="17">
        <f>-(K1533*0.025+L1533*0.025)</f>
        <v/>
      </c>
      <c r="P1533" s="17">
        <f>32</f>
        <v/>
      </c>
      <c r="Q1533" s="17">
        <f>J1533+L1533+N1533+O1533-P1533-M1533</f>
        <v/>
      </c>
    </row>
    <row r="1534">
      <c r="A1534" s="16" t="inlineStr">
        <is>
          <t>5.15-5.21</t>
        </is>
      </c>
      <c r="B1534" s="16" t="inlineStr">
        <is>
          <t>PO-128-12894595164790423</t>
        </is>
      </c>
      <c r="C1534" s="16" t="inlineStr">
        <is>
          <t>Shipped</t>
        </is>
      </c>
      <c r="D1534" s="16" t="inlineStr">
        <is>
          <t>128-12894553221750423</t>
        </is>
      </c>
      <c r="E1534" s="16" t="inlineStr">
        <is>
          <t>Shipped</t>
        </is>
      </c>
      <c r="F1534" s="16" t="inlineStr">
        <is>
          <t>KTS-2031</t>
        </is>
      </c>
      <c r="G1534" s="16" t="inlineStr">
        <is>
          <t>Bocina inalámbrica de 3 pulgadas con linterna multifuncional y panel solar integrado.Altavoz Portátil con Linterna LED 4 Modos, Radio FM, Bluetooth, Carga Solar, Ideal para Apagones, Emergencias, Campo y Exteriores</t>
        </is>
      </c>
      <c r="H1534" s="16" t="inlineStr">
        <is>
          <t>NEGRO</t>
        </is>
      </c>
      <c r="I1534" s="16" t="n">
        <v>1</v>
      </c>
      <c r="J1534" s="17" t="n">
        <v>78</v>
      </c>
      <c r="K1534" s="17" t="n">
        <v>61.06</v>
      </c>
      <c r="L1534" s="17" t="n">
        <v>25.86</v>
      </c>
      <c r="M1534" s="17" t="n">
        <v>0</v>
      </c>
      <c r="N1534" s="17">
        <f>K1534*0.08+L1534*0.08</f>
        <v/>
      </c>
      <c r="O1534" s="17">
        <f>-(K1534*0.025+L1534*0.025)</f>
        <v/>
      </c>
      <c r="P1534" s="17">
        <f>32</f>
        <v/>
      </c>
      <c r="Q1534" s="17">
        <f>J1534+L1534+N1534+O1534-P1534-M1534</f>
        <v/>
      </c>
    </row>
    <row r="1535">
      <c r="A1535" s="16" t="inlineStr">
        <is>
          <t>5.15-5.21</t>
        </is>
      </c>
      <c r="B1535" s="16" t="inlineStr">
        <is>
          <t>PO-128-12788522296951119</t>
        </is>
      </c>
      <c r="C1535" s="16" t="inlineStr">
        <is>
          <t>Shipped</t>
        </is>
      </c>
      <c r="D1535" s="16" t="inlineStr">
        <is>
          <t>128-12788590454391119</t>
        </is>
      </c>
      <c r="E1535" s="16" t="inlineStr">
        <is>
          <t>Shipped</t>
        </is>
      </c>
      <c r="F1535" s="16" t="inlineStr">
        <is>
          <t>LV64W25</t>
        </is>
      </c>
      <c r="G15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35" s="16" t="inlineStr">
        <is>
          <t>Blanco</t>
        </is>
      </c>
      <c r="I1535" s="16" t="n">
        <v>1</v>
      </c>
      <c r="J1535" s="17" t="n">
        <v>119.5</v>
      </c>
      <c r="K1535" s="17" t="n">
        <v>137.76</v>
      </c>
      <c r="L1535" s="17" t="n">
        <v>25.86</v>
      </c>
      <c r="M1535" s="17" t="n">
        <v>0</v>
      </c>
      <c r="N1535" s="17">
        <f>K1535*0.08+L1535*0.08</f>
        <v/>
      </c>
      <c r="O1535" s="17">
        <f>-(K1535*0.025+L1535*0.025)</f>
        <v/>
      </c>
      <c r="P1535" s="17">
        <f>32</f>
        <v/>
      </c>
      <c r="Q1535" s="17">
        <f>J1535+L1535+N1535+O1535-P1535-M1535</f>
        <v/>
      </c>
    </row>
    <row r="1536">
      <c r="A1536" s="16" t="inlineStr">
        <is>
          <t>5.15-5.21</t>
        </is>
      </c>
      <c r="B1536" s="16" t="inlineStr">
        <is>
          <t>PO-128-12448004024953149</t>
        </is>
      </c>
      <c r="C1536" s="16" t="inlineStr">
        <is>
          <t>Shipped</t>
        </is>
      </c>
      <c r="D1536" s="16" t="inlineStr">
        <is>
          <t>128-12447983053433149</t>
        </is>
      </c>
      <c r="E1536" s="16" t="inlineStr">
        <is>
          <t>Shipped</t>
        </is>
      </c>
      <c r="F1536" s="16" t="inlineStr">
        <is>
          <t>LV64W25</t>
        </is>
      </c>
      <c r="G15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36" s="16" t="inlineStr">
        <is>
          <t>Blanco</t>
        </is>
      </c>
      <c r="I1536" s="16" t="n">
        <v>1</v>
      </c>
      <c r="J1536" s="17" t="n">
        <v>119.5</v>
      </c>
      <c r="K1536" s="17" t="n">
        <v>137.76</v>
      </c>
      <c r="L1536" s="17" t="n">
        <v>25.86</v>
      </c>
      <c r="M1536" s="17" t="n">
        <v>0</v>
      </c>
      <c r="N1536" s="17">
        <f>K1536*0.08+L1536*0.08</f>
        <v/>
      </c>
      <c r="O1536" s="17">
        <f>-(K1536*0.025+L1536*0.025)</f>
        <v/>
      </c>
      <c r="P1536" s="17">
        <f>32</f>
        <v/>
      </c>
      <c r="Q1536" s="17">
        <f>J1536+L1536+N1536+O1536-P1536-M1536</f>
        <v/>
      </c>
    </row>
    <row r="1537">
      <c r="A1537" s="16" t="inlineStr">
        <is>
          <t>5.15-5.21</t>
        </is>
      </c>
      <c r="B1537" s="16" t="inlineStr">
        <is>
          <t>PO-128-12429219415673325</t>
        </is>
      </c>
      <c r="C1537" s="16" t="inlineStr">
        <is>
          <t>Shipped</t>
        </is>
      </c>
      <c r="D1537" s="16" t="inlineStr">
        <is>
          <t>128-12429177472633325</t>
        </is>
      </c>
      <c r="E1537" s="16" t="inlineStr">
        <is>
          <t>Shipped</t>
        </is>
      </c>
      <c r="F1537" s="16" t="inlineStr">
        <is>
          <t>SA323T</t>
        </is>
      </c>
      <c r="G1537"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537" s="16" t="inlineStr">
        <is>
          <t>AZUL/SA323T</t>
        </is>
      </c>
      <c r="I1537" s="16" t="n">
        <v>1</v>
      </c>
      <c r="J1537" s="17" t="n">
        <v>45</v>
      </c>
      <c r="K1537" s="17" t="n">
        <v>54.04</v>
      </c>
      <c r="L1537" s="17" t="n">
        <v>25.86</v>
      </c>
      <c r="M1537" s="17" t="n">
        <v>0</v>
      </c>
      <c r="N1537" s="17">
        <f>K1537*0.08+L1537*0.08</f>
        <v/>
      </c>
      <c r="O1537" s="17">
        <f>-(K1537*0.025+L1537*0.025)</f>
        <v/>
      </c>
      <c r="P1537" s="17">
        <f>32</f>
        <v/>
      </c>
      <c r="Q1537" s="17">
        <f>J1537+L1537+N1537+O1537-P1537-M1537</f>
        <v/>
      </c>
    </row>
    <row r="1538">
      <c r="A1538" s="16" t="inlineStr">
        <is>
          <t>5.15-5.21</t>
        </is>
      </c>
      <c r="B1538" s="16" t="inlineStr">
        <is>
          <t>PO-128-12634178130552999</t>
        </is>
      </c>
      <c r="C1538" s="16" t="inlineStr">
        <is>
          <t>Shipped</t>
        </is>
      </c>
      <c r="D1538" s="16" t="inlineStr">
        <is>
          <t>128-12634230559352999</t>
        </is>
      </c>
      <c r="E1538" s="16" t="inlineStr">
        <is>
          <t>Shipped</t>
        </is>
      </c>
      <c r="F1538" s="16" t="inlineStr">
        <is>
          <t>KTS-2031</t>
        </is>
      </c>
      <c r="G1538" s="16" t="inlineStr">
        <is>
          <t>Bocina inalámbrica de 3 pulgadas con linterna multifuncional y panel solar integrado.Altavoz Portátil con Linterna LED 4 Modos, Radio FM, Bluetooth, Carga Solar, Ideal para Apagones, Emergencias, Campo y Exteriores</t>
        </is>
      </c>
      <c r="H1538" s="16" t="inlineStr">
        <is>
          <t>NEGRO</t>
        </is>
      </c>
      <c r="I1538" s="16" t="n">
        <v>1</v>
      </c>
      <c r="J1538" s="17" t="n">
        <v>75</v>
      </c>
      <c r="K1538" s="17" t="n">
        <v>1.46</v>
      </c>
      <c r="L1538" s="17" t="n">
        <v>25.86</v>
      </c>
      <c r="M1538" s="17" t="n">
        <v>0</v>
      </c>
      <c r="N1538" s="17">
        <f>K1538*0.08+L1538*0.08</f>
        <v/>
      </c>
      <c r="O1538" s="17">
        <f>-(K1538*0.025+L1538*0.025)</f>
        <v/>
      </c>
      <c r="P1538" s="17">
        <f>32</f>
        <v/>
      </c>
      <c r="Q1538" s="17">
        <f>J1538+L1538+N1538+O1538-P1538-M1538</f>
        <v/>
      </c>
    </row>
    <row r="1539">
      <c r="A1539" s="16" t="inlineStr">
        <is>
          <t>5.15-5.21</t>
        </is>
      </c>
      <c r="B1539" s="16" t="inlineStr">
        <is>
          <t>PO-128-12855519058551742</t>
        </is>
      </c>
      <c r="C1539" s="16" t="inlineStr">
        <is>
          <t>Shipped</t>
        </is>
      </c>
      <c r="D1539" s="16" t="inlineStr">
        <is>
          <t>128-12855477115511742</t>
        </is>
      </c>
      <c r="E1539" s="16" t="inlineStr">
        <is>
          <t>Shipped</t>
        </is>
      </c>
      <c r="F1539" s="16" t="inlineStr">
        <is>
          <t>KTS-2031</t>
        </is>
      </c>
      <c r="G1539" s="16" t="inlineStr">
        <is>
          <t>Bocina inalámbrica de 3 pulgadas con linterna multifuncional y panel solar integrado.Altavoz Portátil con Linterna LED 4 Modos, Radio FM, Bluetooth, Carga Solar, Ideal para Apagones, Emergencias, Campo y Exteriores</t>
        </is>
      </c>
      <c r="H1539" s="16" t="inlineStr">
        <is>
          <t>NEGRO</t>
        </is>
      </c>
      <c r="I1539" s="16" t="n">
        <v>1</v>
      </c>
      <c r="J1539" s="17" t="n">
        <v>75</v>
      </c>
      <c r="K1539" s="17" t="n">
        <v>1.46</v>
      </c>
      <c r="L1539" s="17" t="n">
        <v>25.86</v>
      </c>
      <c r="M1539" s="17" t="n">
        <v>0</v>
      </c>
      <c r="N1539" s="17">
        <f>K1539*0.08+L1539*0.08</f>
        <v/>
      </c>
      <c r="O1539" s="17">
        <f>-(K1539*0.025+L1539*0.025)</f>
        <v/>
      </c>
      <c r="P1539" s="17">
        <f>32</f>
        <v/>
      </c>
      <c r="Q1539" s="17">
        <f>J1539+L1539+N1539+O1539-P1539-M1539</f>
        <v/>
      </c>
    </row>
    <row r="1540">
      <c r="A1540" s="16" t="inlineStr">
        <is>
          <t>5.15-5.21</t>
        </is>
      </c>
      <c r="B1540" s="16" t="inlineStr">
        <is>
          <t>PO-128-12991009106550998</t>
        </is>
      </c>
      <c r="C1540" s="16" t="inlineStr">
        <is>
          <t>Shipped</t>
        </is>
      </c>
      <c r="D1540" s="16" t="inlineStr">
        <is>
          <t>128-12991051049590998</t>
        </is>
      </c>
      <c r="E1540" s="16" t="inlineStr">
        <is>
          <t>Shipped</t>
        </is>
      </c>
      <c r="F1540" s="16" t="inlineStr">
        <is>
          <t>LV64W25</t>
        </is>
      </c>
      <c r="G15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40" s="16" t="inlineStr">
        <is>
          <t>Blanco</t>
        </is>
      </c>
      <c r="I1540" s="16" t="n">
        <v>2</v>
      </c>
      <c r="J1540" s="17" t="n">
        <v>239</v>
      </c>
      <c r="K1540" s="17" t="n">
        <v>275.52</v>
      </c>
      <c r="L1540" s="17" t="n">
        <v>0</v>
      </c>
      <c r="M1540" s="17" t="n">
        <v>0</v>
      </c>
      <c r="N1540" s="17">
        <f>K1540*0.08+L1540*0.08</f>
        <v/>
      </c>
      <c r="O1540" s="17">
        <f>-(K1540*0.025+L1540*0.025)</f>
        <v/>
      </c>
      <c r="P1540" s="17">
        <f>32</f>
        <v/>
      </c>
      <c r="Q1540" s="17">
        <f>J1540+L1540+N1540+O1540-P1540-M1540</f>
        <v/>
      </c>
    </row>
    <row r="1541">
      <c r="A1541" s="16" t="inlineStr">
        <is>
          <t>5.15-5.21</t>
        </is>
      </c>
      <c r="B1541" s="16" t="inlineStr">
        <is>
          <t>PO-128-12669739566712915</t>
        </is>
      </c>
      <c r="C1541" s="16" t="inlineStr">
        <is>
          <t>Shipped</t>
        </is>
      </c>
      <c r="D1541" s="16" t="inlineStr">
        <is>
          <t>128-12669807724152915</t>
        </is>
      </c>
      <c r="E1541" s="16" t="inlineStr">
        <is>
          <t>Shipped</t>
        </is>
      </c>
      <c r="F1541" s="16" t="inlineStr">
        <is>
          <t>KTS-2031</t>
        </is>
      </c>
      <c r="G1541" s="16" t="inlineStr">
        <is>
          <t>Bocina inalámbrica de 3 pulgadas con linterna multifuncional y panel solar integrado.Altavoz Portátil con Linterna LED 4 Modos, Radio FM, Bluetooth, Carga Solar, Ideal para Apagones, Emergencias, Campo y Exteriores</t>
        </is>
      </c>
      <c r="H1541" s="16" t="inlineStr">
        <is>
          <t>NEGRO</t>
        </is>
      </c>
      <c r="I1541" s="16" t="n">
        <v>1</v>
      </c>
      <c r="J1541" s="17" t="n">
        <v>75</v>
      </c>
      <c r="K1541" s="17" t="n">
        <v>84.22</v>
      </c>
      <c r="L1541" s="17" t="n">
        <v>25.86</v>
      </c>
      <c r="M1541" s="17" t="n">
        <v>0</v>
      </c>
      <c r="N1541" s="17">
        <f>K1541*0.08+L1541*0.08</f>
        <v/>
      </c>
      <c r="O1541" s="17">
        <f>-(K1541*0.025+L1541*0.025)</f>
        <v/>
      </c>
      <c r="P1541" s="17">
        <f>32</f>
        <v/>
      </c>
      <c r="Q1541" s="17">
        <f>J1541+L1541+N1541+O1541-P1541-M1541</f>
        <v/>
      </c>
    </row>
    <row r="1542">
      <c r="A1542" s="16" t="inlineStr">
        <is>
          <t>5.15-5.21</t>
        </is>
      </c>
      <c r="B1542" s="16" t="inlineStr">
        <is>
          <t>PO-128-12692845333112585</t>
        </is>
      </c>
      <c r="C1542" s="16" t="inlineStr">
        <is>
          <t>Shipped</t>
        </is>
      </c>
      <c r="D1542" s="16" t="inlineStr">
        <is>
          <t>128-12692887276152585</t>
        </is>
      </c>
      <c r="E1542" s="16" t="inlineStr">
        <is>
          <t>Shipped</t>
        </is>
      </c>
      <c r="F1542" s="16" t="inlineStr">
        <is>
          <t>TL1455N20B</t>
        </is>
      </c>
      <c r="G1542" s="16" t="inlineStr">
        <is>
          <t>LINK BITS Soporte para TV 14 A 55 Pulgadas, Base para TV Pantalla Articulado Inclinable y Giratorio, MAX VESA 400×400 mm, Soporta hasta 18kg, adaptarse a la mayoría de los televisores de 14 Pulgadas/20 Pulgadas/32 Pulgadas/42 Pulgadas/55 pulgadas</t>
        </is>
      </c>
      <c r="H1542" s="16" t="inlineStr">
        <is>
          <t>TL1455N20B</t>
        </is>
      </c>
      <c r="I1542" s="16" t="n">
        <v>1</v>
      </c>
      <c r="J1542" s="17" t="n">
        <v>79</v>
      </c>
      <c r="K1542" s="17" t="n">
        <v>101.81</v>
      </c>
      <c r="L1542" s="17" t="n">
        <v>25.86</v>
      </c>
      <c r="M1542" s="17" t="n">
        <v>0</v>
      </c>
      <c r="N1542" s="17">
        <f>K1542*0.08+L1542*0.08</f>
        <v/>
      </c>
      <c r="O1542" s="17">
        <f>-(K1542*0.025+L1542*0.025)</f>
        <v/>
      </c>
      <c r="P1542" s="17">
        <f>32</f>
        <v/>
      </c>
      <c r="Q1542" s="17">
        <f>J1542+L1542+N1542+O1542-P1542-M1542</f>
        <v/>
      </c>
    </row>
    <row r="1543">
      <c r="A1543" s="16" t="inlineStr">
        <is>
          <t>5.15-5.21</t>
        </is>
      </c>
      <c r="B1543" s="16" t="inlineStr">
        <is>
          <t>PO-128-12655627812472871</t>
        </is>
      </c>
      <c r="C1543" s="16" t="inlineStr">
        <is>
          <t>Shipped</t>
        </is>
      </c>
      <c r="D1543" s="16" t="inlineStr">
        <is>
          <t>128-12655633055352871</t>
        </is>
      </c>
      <c r="E1543" s="16" t="inlineStr">
        <is>
          <t>Shipped</t>
        </is>
      </c>
      <c r="F1543" s="16" t="inlineStr">
        <is>
          <t>TL2663N18C</t>
        </is>
      </c>
      <c r="G1543" s="16" t="inlineStr">
        <is>
          <t>Linkbits，Soporte de pared fijo para televisores de 26"-63", Ultra-Delgado Compatible con VESA 400x400mm, Capacidad de Peso Fuerte de 25KG, Instalación Fácil Sin Electricidad</t>
        </is>
      </c>
      <c r="H1543" s="16" t="inlineStr">
        <is>
          <t>NEGRO</t>
        </is>
      </c>
      <c r="I1543" s="16" t="n">
        <v>1</v>
      </c>
      <c r="J1543" s="17" t="n">
        <v>52</v>
      </c>
      <c r="K1543" s="17" t="n">
        <v>66.97</v>
      </c>
      <c r="L1543" s="17" t="n">
        <v>25.86</v>
      </c>
      <c r="M1543" s="17" t="n">
        <v>0</v>
      </c>
      <c r="N1543" s="17">
        <f>K1543*0.08+L1543*0.08</f>
        <v/>
      </c>
      <c r="O1543" s="17">
        <f>-(K1543*0.025+L1543*0.025)</f>
        <v/>
      </c>
      <c r="P1543" s="17">
        <f>32</f>
        <v/>
      </c>
      <c r="Q1543" s="17">
        <f>J1543+L1543+N1543+O1543-P1543-M1543</f>
        <v/>
      </c>
    </row>
    <row r="1544">
      <c r="A1544" s="16" t="inlineStr">
        <is>
          <t>5.15-5.21</t>
        </is>
      </c>
      <c r="B1544" s="16" t="inlineStr">
        <is>
          <t>PO-128-12503908542073775</t>
        </is>
      </c>
      <c r="C1544" s="16" t="inlineStr">
        <is>
          <t>Shipped</t>
        </is>
      </c>
      <c r="D1544" s="16" t="inlineStr">
        <is>
          <t>128-12503913784953775</t>
        </is>
      </c>
      <c r="E1544" s="16" t="inlineStr">
        <is>
          <t>Shipped</t>
        </is>
      </c>
      <c r="F1544" s="16" t="inlineStr">
        <is>
          <t>LV54W25</t>
        </is>
      </c>
      <c r="G1544" s="16" t="inlineStr">
        <is>
          <t>TIANLAI Lámpara Ventilador E27 2 en 1, Silenciosa, LED Alta Luminosidad 180°, Instalación Rápida, Ahorro Energético para Dormitorio y Interiores Pequeños</t>
        </is>
      </c>
      <c r="H1544" s="16" t="inlineStr">
        <is>
          <t>1 Pieza</t>
        </is>
      </c>
      <c r="I1544" s="16" t="n">
        <v>2</v>
      </c>
      <c r="J1544" s="17" t="n">
        <v>157</v>
      </c>
      <c r="K1544" s="17" t="n">
        <v>160.54</v>
      </c>
      <c r="L1544" s="17" t="n">
        <v>25.86</v>
      </c>
      <c r="M1544" s="17" t="n">
        <v>0</v>
      </c>
      <c r="N1544" s="17">
        <f>K1544*0.08+L1544*0.08</f>
        <v/>
      </c>
      <c r="O1544" s="17">
        <f>-(K1544*0.025+L1544*0.025)</f>
        <v/>
      </c>
      <c r="P1544" s="17">
        <f>32</f>
        <v/>
      </c>
      <c r="Q1544" s="17">
        <f>J1544+L1544+N1544+O1544-P1544-M1544</f>
        <v/>
      </c>
    </row>
    <row r="1545">
      <c r="A1545" s="16" t="inlineStr">
        <is>
          <t>5.15-5.21</t>
        </is>
      </c>
      <c r="B1545" s="16" t="inlineStr">
        <is>
          <t>PO-128-12898375911030462</t>
        </is>
      </c>
      <c r="C1545" s="16" t="inlineStr">
        <is>
          <t>Shipped</t>
        </is>
      </c>
      <c r="D1545" s="16" t="inlineStr">
        <is>
          <t>128-12898417854070462</t>
        </is>
      </c>
      <c r="E1545" s="16" t="inlineStr">
        <is>
          <t>Shipped</t>
        </is>
      </c>
      <c r="F1545" s="16" t="inlineStr">
        <is>
          <t>KTS-2031</t>
        </is>
      </c>
      <c r="G1545" s="16" t="inlineStr">
        <is>
          <t>Bocina inalámbrica de 3 pulgadas con linterna multifuncional y panel solar integrado.Altavoz Portátil con Linterna LED 4 Modos, Radio FM, Bluetooth, Carga Solar, Ideal para Apagones, Emergencias, Campo y Exteriores</t>
        </is>
      </c>
      <c r="H1545" s="16" t="inlineStr">
        <is>
          <t>NEGRO</t>
        </is>
      </c>
      <c r="I1545" s="16" t="n">
        <v>1</v>
      </c>
      <c r="J1545" s="17" t="n">
        <v>75</v>
      </c>
      <c r="K1545" s="17" t="n">
        <v>84.22</v>
      </c>
      <c r="L1545" s="17" t="n">
        <v>25.86</v>
      </c>
      <c r="M1545" s="17" t="n">
        <v>0</v>
      </c>
      <c r="N1545" s="17">
        <f>K1545*0.08+L1545*0.08</f>
        <v/>
      </c>
      <c r="O1545" s="17">
        <f>-(K1545*0.025+L1545*0.025)</f>
        <v/>
      </c>
      <c r="P1545" s="17">
        <f>32</f>
        <v/>
      </c>
      <c r="Q1545" s="17">
        <f>J1545+L1545+N1545+O1545-P1545-M1545</f>
        <v/>
      </c>
    </row>
    <row r="1546">
      <c r="A1546" s="16" t="inlineStr">
        <is>
          <t>5.15-5.21</t>
        </is>
      </c>
      <c r="B1546" s="16" t="inlineStr">
        <is>
          <t>PO-128-12404026747513411</t>
        </is>
      </c>
      <c r="C1546" s="16" t="inlineStr">
        <is>
          <t>Shipped</t>
        </is>
      </c>
      <c r="D1546" s="16" t="inlineStr">
        <is>
          <t>128-12403984804473411</t>
        </is>
      </c>
      <c r="E1546" s="16" t="inlineStr">
        <is>
          <t>Shipped</t>
        </is>
      </c>
      <c r="F1546" s="16" t="inlineStr">
        <is>
          <t>KTS-2031</t>
        </is>
      </c>
      <c r="G1546" s="16" t="inlineStr">
        <is>
          <t>Bocina inalámbrica de 3 pulgadas con linterna multifuncional y panel solar integrado.Altavoz Portátil con Linterna LED 4 Modos, Radio FM, Bluetooth, Carga Solar, Ideal para Apagones, Emergencias, Campo y Exteriores</t>
        </is>
      </c>
      <c r="H1546" s="16" t="inlineStr">
        <is>
          <t>NEGRO</t>
        </is>
      </c>
      <c r="I1546" s="16" t="n">
        <v>2</v>
      </c>
      <c r="J1546" s="17" t="n">
        <v>150</v>
      </c>
      <c r="K1546" s="17" t="n">
        <v>125.34</v>
      </c>
      <c r="L1546" s="17" t="n">
        <v>25.86</v>
      </c>
      <c r="M1546" s="17" t="n">
        <v>0</v>
      </c>
      <c r="N1546" s="17">
        <f>K1546*0.08+L1546*0.08</f>
        <v/>
      </c>
      <c r="O1546" s="17">
        <f>-(K1546*0.025+L1546*0.025)</f>
        <v/>
      </c>
      <c r="P1546" s="17">
        <f>32</f>
        <v/>
      </c>
      <c r="Q1546" s="17">
        <f>J1546+L1546+N1546+O1546-P1546-M1546</f>
        <v/>
      </c>
    </row>
    <row r="1547">
      <c r="A1547" s="16" t="inlineStr">
        <is>
          <t>5.15-5.21</t>
        </is>
      </c>
      <c r="B1547" s="16" t="inlineStr">
        <is>
          <t>PO-128-12393768238713342</t>
        </is>
      </c>
      <c r="C1547" s="16" t="inlineStr">
        <is>
          <t>Shipped</t>
        </is>
      </c>
      <c r="D1547" s="16" t="inlineStr">
        <is>
          <t>128-12393825910393342</t>
        </is>
      </c>
      <c r="E1547" s="16" t="inlineStr">
        <is>
          <t>Shipped</t>
        </is>
      </c>
      <c r="F1547" s="16" t="inlineStr">
        <is>
          <t>LV54W25</t>
        </is>
      </c>
      <c r="G1547" s="16" t="inlineStr">
        <is>
          <t>TIANLAI Lámpara Ventilador E27 2 en 1, Silenciosa, LED Alta Luminosidad 180°, Instalación Rápida, Ahorro Energético para Dormitorio y Interiores Pequeños</t>
        </is>
      </c>
      <c r="H1547" s="16" t="inlineStr">
        <is>
          <t>1 Pieza</t>
        </is>
      </c>
      <c r="I1547" s="16" t="n">
        <v>3</v>
      </c>
      <c r="J1547" s="17" t="n">
        <v>235.5</v>
      </c>
      <c r="K1547" s="17" t="n">
        <v>240.81</v>
      </c>
      <c r="L1547" s="17" t="n">
        <v>0</v>
      </c>
      <c r="M1547" s="17" t="n">
        <v>0</v>
      </c>
      <c r="N1547" s="17">
        <f>K1547*0.08+L1547*0.08</f>
        <v/>
      </c>
      <c r="O1547" s="17">
        <f>-(K1547*0.025+L1547*0.025)</f>
        <v/>
      </c>
      <c r="P1547" s="17">
        <f>32</f>
        <v/>
      </c>
      <c r="Q1547" s="17">
        <f>J1547+L1547+N1547+O1547-P1547-M1547</f>
        <v/>
      </c>
    </row>
    <row r="1548">
      <c r="A1548" s="16" t="inlineStr">
        <is>
          <t>5.15-5.21</t>
        </is>
      </c>
      <c r="B1548" s="16" t="inlineStr">
        <is>
          <t>PO-128-12542382500472456</t>
        </is>
      </c>
      <c r="C1548" s="16" t="inlineStr">
        <is>
          <t>Shipped</t>
        </is>
      </c>
      <c r="D1548" s="16" t="inlineStr">
        <is>
          <t>128-12542340557432456</t>
        </is>
      </c>
      <c r="E1548" s="16" t="inlineStr">
        <is>
          <t>Shipped</t>
        </is>
      </c>
      <c r="F1548" s="16" t="inlineStr">
        <is>
          <t>KTS-2031</t>
        </is>
      </c>
      <c r="G1548" s="16" t="inlineStr">
        <is>
          <t>Bocina inalámbrica de 3 pulgadas con linterna multifuncional y panel solar integrado.Altavoz Portátil con Linterna LED 4 Modos, Radio FM, Bluetooth, Carga Solar, Ideal para Apagones, Emergencias, Campo y Exteriores</t>
        </is>
      </c>
      <c r="H1548" s="16" t="inlineStr">
        <is>
          <t>NEGRO</t>
        </is>
      </c>
      <c r="I1548" s="16" t="n">
        <v>1</v>
      </c>
      <c r="J1548" s="17" t="n">
        <v>75</v>
      </c>
      <c r="K1548" s="17" t="n">
        <v>84.22</v>
      </c>
      <c r="L1548" s="17" t="n">
        <v>25.86</v>
      </c>
      <c r="M1548" s="17" t="n">
        <v>0</v>
      </c>
      <c r="N1548" s="17">
        <f>K1548*0.08+L1548*0.08</f>
        <v/>
      </c>
      <c r="O1548" s="17">
        <f>-(K1548*0.025+L1548*0.025)</f>
        <v/>
      </c>
      <c r="P1548" s="17">
        <f>32</f>
        <v/>
      </c>
      <c r="Q1548" s="17">
        <f>J1548+L1548+N1548+O1548-P1548-M1548</f>
        <v/>
      </c>
    </row>
    <row r="1549">
      <c r="A1549" s="16" t="inlineStr">
        <is>
          <t>5.15-5.21</t>
        </is>
      </c>
      <c r="B1549" s="16" t="inlineStr">
        <is>
          <t>PO-128-13034537472630741</t>
        </is>
      </c>
      <c r="C1549" s="16" t="inlineStr">
        <is>
          <t>Shipped</t>
        </is>
      </c>
      <c r="D1549" s="16" t="inlineStr">
        <is>
          <t>128-13034495529590741</t>
        </is>
      </c>
      <c r="E1549" s="16" t="inlineStr">
        <is>
          <t>Shipped</t>
        </is>
      </c>
      <c r="F1549" s="16" t="inlineStr">
        <is>
          <t>LV64W25</t>
        </is>
      </c>
      <c r="G15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49" s="16" t="inlineStr">
        <is>
          <t>Blanco</t>
        </is>
      </c>
      <c r="I1549" s="16" t="n">
        <v>2</v>
      </c>
      <c r="J1549" s="17" t="n">
        <v>239</v>
      </c>
      <c r="K1549" s="17" t="n">
        <v>220.42</v>
      </c>
      <c r="L1549" s="17" t="n">
        <v>0</v>
      </c>
      <c r="M1549" s="17" t="n">
        <v>0</v>
      </c>
      <c r="N1549" s="17">
        <f>K1549*0.08+L1549*0.08</f>
        <v/>
      </c>
      <c r="O1549" s="17">
        <f>-(K1549*0.025+L1549*0.025)</f>
        <v/>
      </c>
      <c r="P1549" s="17">
        <f>32</f>
        <v/>
      </c>
      <c r="Q1549" s="17">
        <f>J1549+L1549+N1549+O1549-P1549-M1549</f>
        <v/>
      </c>
    </row>
    <row r="1550">
      <c r="A1550" s="16" t="inlineStr">
        <is>
          <t>5.15-5.21</t>
        </is>
      </c>
      <c r="B1550" s="16" t="inlineStr">
        <is>
          <t>PO-128-12937094339190169</t>
        </is>
      </c>
      <c r="C1550" s="16" t="inlineStr">
        <is>
          <t>Shipped</t>
        </is>
      </c>
      <c r="D1550" s="16" t="inlineStr">
        <is>
          <t>128-12937104824950169</t>
        </is>
      </c>
      <c r="E1550" s="16" t="inlineStr">
        <is>
          <t>Shipped</t>
        </is>
      </c>
      <c r="F1550" s="16" t="inlineStr">
        <is>
          <t>TL1455N20B</t>
        </is>
      </c>
      <c r="G1550" s="16" t="inlineStr">
        <is>
          <t>LINK BITS Soporte para TV 14 A 55 Pulgadas, Base para TV Pantalla Articulado Inclinable y Giratorio, MAX VESA 400×400 mm, Soporta hasta 18kg, adaptarse a la mayoría de los televisores de 14 Pulgadas/20 Pulgadas/32 Pulgadas/42 Pulgadas/55 pulgadas</t>
        </is>
      </c>
      <c r="H1550" s="16" t="inlineStr">
        <is>
          <t>TL1455N20B</t>
        </is>
      </c>
      <c r="I1550" s="16" t="n">
        <v>2</v>
      </c>
      <c r="J1550" s="17" t="n">
        <v>158</v>
      </c>
      <c r="K1550" s="17" t="n">
        <v>193.44</v>
      </c>
      <c r="L1550" s="17" t="n">
        <v>25.86</v>
      </c>
      <c r="M1550" s="17" t="n">
        <v>0</v>
      </c>
      <c r="N1550" s="17">
        <f>K1550*0.08+L1550*0.08</f>
        <v/>
      </c>
      <c r="O1550" s="17">
        <f>-(K1550*0.025+L1550*0.025)</f>
        <v/>
      </c>
      <c r="P1550" s="17">
        <f>32</f>
        <v/>
      </c>
      <c r="Q1550" s="17">
        <f>J1550+L1550+N1550+O1550-P1550-M1550</f>
        <v/>
      </c>
    </row>
    <row r="1551">
      <c r="A1551" s="16" t="inlineStr">
        <is>
          <t>5.15-5.21</t>
        </is>
      </c>
      <c r="B1551" s="16" t="inlineStr">
        <is>
          <t>PO-128-12865507666551554</t>
        </is>
      </c>
      <c r="C1551" s="16" t="inlineStr">
        <is>
          <t>Shipped</t>
        </is>
      </c>
      <c r="D1551" s="16" t="inlineStr">
        <is>
          <t>128-12865528638071554</t>
        </is>
      </c>
      <c r="E1551" s="16" t="inlineStr">
        <is>
          <t>Shipped</t>
        </is>
      </c>
      <c r="F1551" s="16" t="inlineStr">
        <is>
          <t>VB349T</t>
        </is>
      </c>
      <c r="G1551" s="16" t="inlineStr">
        <is>
          <t>LINKBITS Altavoz Portátil de Doble Altavoz - 3 Pulgadas, Sonido HD, Emparejamiento Rápido de Bluetooth, Conectividad TWS, Reproducción Multimodo (Micro SD/USB/Radio FM) - Perfecto para Oficina, Viajes y Espacios Pequeños</t>
        </is>
      </c>
      <c r="H1551" s="16" t="inlineStr">
        <is>
          <t>NEGRO</t>
        </is>
      </c>
      <c r="I1551" s="16" t="n">
        <v>2</v>
      </c>
      <c r="J1551" s="17" t="n">
        <v>158</v>
      </c>
      <c r="K1551" s="17" t="n">
        <v>184.5</v>
      </c>
      <c r="L1551" s="17" t="n">
        <v>25.86</v>
      </c>
      <c r="M1551" s="17" t="n">
        <v>0</v>
      </c>
      <c r="N1551" s="17">
        <f>K1551*0.08+L1551*0.08</f>
        <v/>
      </c>
      <c r="O1551" s="17">
        <f>-(K1551*0.025+L1551*0.025)</f>
        <v/>
      </c>
      <c r="P1551" s="17">
        <f>32</f>
        <v/>
      </c>
      <c r="Q1551" s="17">
        <f>J1551+L1551+N1551+O1551-P1551-M1551</f>
        <v/>
      </c>
    </row>
    <row r="1552">
      <c r="A1552" s="16" t="inlineStr">
        <is>
          <t>5.15-5.21</t>
        </is>
      </c>
      <c r="B1552" s="16" t="inlineStr">
        <is>
          <t>PO-128-12433580360313299</t>
        </is>
      </c>
      <c r="C1552" s="16" t="inlineStr">
        <is>
          <t>Shipped</t>
        </is>
      </c>
      <c r="D1552" s="16" t="inlineStr">
        <is>
          <t>128-12433559388793299</t>
        </is>
      </c>
      <c r="E1552" s="16" t="inlineStr">
        <is>
          <t>Shipped</t>
        </is>
      </c>
      <c r="F1552" s="16" t="inlineStr">
        <is>
          <t>LV54W25</t>
        </is>
      </c>
      <c r="G1552" s="16" t="inlineStr">
        <is>
          <t>TIANLAI Lámpara Ventilador E27 2 en 1, Silenciosa, LED Alta Luminosidad 180°, Instalación Rápida, Ahorro Energético para Dormitorio y Interiores Pequeños</t>
        </is>
      </c>
      <c r="H1552" s="16" t="inlineStr">
        <is>
          <t>1 Pieza</t>
        </is>
      </c>
      <c r="I1552" s="16" t="n">
        <v>4</v>
      </c>
      <c r="J1552" s="17" t="n">
        <v>314</v>
      </c>
      <c r="K1552" s="17" t="n">
        <v>321.08</v>
      </c>
      <c r="L1552" s="17" t="n">
        <v>0</v>
      </c>
      <c r="M1552" s="17" t="n">
        <v>0</v>
      </c>
      <c r="N1552" s="17">
        <f>K1552*0.08+L1552*0.08</f>
        <v/>
      </c>
      <c r="O1552" s="17">
        <f>-(K1552*0.025+L1552*0.025)</f>
        <v/>
      </c>
      <c r="P1552" s="17">
        <f>32</f>
        <v/>
      </c>
      <c r="Q1552" s="17">
        <f>J1552+L1552+N1552+O1552-P1552-M1552</f>
        <v/>
      </c>
    </row>
    <row r="1553">
      <c r="A1553" s="16" t="inlineStr">
        <is>
          <t>5.15-5.21</t>
        </is>
      </c>
      <c r="B1553" s="16" t="inlineStr">
        <is>
          <t>PO-128-12911527711350256</t>
        </is>
      </c>
      <c r="C1553" s="16" t="inlineStr">
        <is>
          <t>Shipped</t>
        </is>
      </c>
      <c r="D1553" s="16" t="inlineStr">
        <is>
          <t>128-12911475282550256</t>
        </is>
      </c>
      <c r="E1553" s="16" t="inlineStr">
        <is>
          <t>Shipped</t>
        </is>
      </c>
      <c r="F1553" s="16" t="inlineStr">
        <is>
          <t>KTS-2031</t>
        </is>
      </c>
      <c r="G1553" s="16" t="inlineStr">
        <is>
          <t>Bocina inalámbrica de 3 pulgadas con linterna multifuncional y panel solar integrado.Altavoz Portátil con Linterna LED 4 Modos, Radio FM, Bluetooth, Carga Solar, Ideal para Apagones, Emergencias, Campo y Exteriores</t>
        </is>
      </c>
      <c r="H1553" s="16" t="inlineStr">
        <is>
          <t>NEGRO</t>
        </is>
      </c>
      <c r="I1553" s="16" t="n">
        <v>2</v>
      </c>
      <c r="J1553" s="17" t="n">
        <v>150</v>
      </c>
      <c r="K1553" s="17" t="n">
        <v>168.44</v>
      </c>
      <c r="L1553" s="17" t="n">
        <v>25.86</v>
      </c>
      <c r="M1553" s="17" t="n">
        <v>0</v>
      </c>
      <c r="N1553" s="17">
        <f>K1553*0.08+L1553*0.08</f>
        <v/>
      </c>
      <c r="O1553" s="17">
        <f>-(K1553*0.025+L1553*0.025)</f>
        <v/>
      </c>
      <c r="P1553" s="17">
        <f>32</f>
        <v/>
      </c>
      <c r="Q1553" s="17">
        <f>J1553+L1553+N1553+O1553-P1553-M1553</f>
        <v/>
      </c>
    </row>
    <row r="1554">
      <c r="A1554" s="16" t="inlineStr">
        <is>
          <t>5.15-5.21</t>
        </is>
      </c>
      <c r="B1554" s="16" t="inlineStr">
        <is>
          <t>PO-128-13025783880310729</t>
        </is>
      </c>
      <c r="C1554" s="16" t="inlineStr">
        <is>
          <t>Shipped</t>
        </is>
      </c>
      <c r="D1554" s="16" t="inlineStr">
        <is>
          <t>128-13025701632630729</t>
        </is>
      </c>
      <c r="E1554" s="16" t="inlineStr">
        <is>
          <t>Shipped</t>
        </is>
      </c>
      <c r="F1554" s="16" t="inlineStr">
        <is>
          <t>LV54W25</t>
        </is>
      </c>
      <c r="G1554" s="16" t="inlineStr">
        <is>
          <t>TIANLAI Lámpara Ventilador E27 2 en 1, Silenciosa, LED Alta Luminosidad 180°, Instalación Rápida, Ahorro Energético para Dormitorio y Interiores Pequeños</t>
        </is>
      </c>
      <c r="H1554" s="16" t="inlineStr">
        <is>
          <t>1 Pieza</t>
        </is>
      </c>
      <c r="I1554" s="16" t="n">
        <v>1</v>
      </c>
      <c r="J1554" s="17" t="n">
        <v>78.5</v>
      </c>
      <c r="K1554" s="17" t="n">
        <v>80.27</v>
      </c>
      <c r="L1554" s="17" t="n">
        <v>25.86</v>
      </c>
      <c r="M1554" s="17" t="n">
        <v>0</v>
      </c>
      <c r="N1554" s="17">
        <f>K1554*0.08+L1554*0.08</f>
        <v/>
      </c>
      <c r="O1554" s="17">
        <f>-(K1554*0.025+L1554*0.025)</f>
        <v/>
      </c>
      <c r="P1554" s="17">
        <f>32</f>
        <v/>
      </c>
      <c r="Q1554" s="17">
        <f>J1554+L1554+N1554+O1554-P1554-M1554</f>
        <v/>
      </c>
    </row>
    <row r="1555">
      <c r="A1555" s="16" t="inlineStr">
        <is>
          <t>5.15-5.21</t>
        </is>
      </c>
      <c r="B1555" s="16" t="inlineStr">
        <is>
          <t>PO-128-12389665290873558</t>
        </is>
      </c>
      <c r="C1555" s="16" t="inlineStr">
        <is>
          <t>Shipped</t>
        </is>
      </c>
      <c r="D1555" s="16" t="inlineStr">
        <is>
          <t>128-12389649562233558</t>
        </is>
      </c>
      <c r="E1555" s="16" t="inlineStr">
        <is>
          <t>Shipped</t>
        </is>
      </c>
      <c r="F1555" s="16" t="inlineStr">
        <is>
          <t>VA371T</t>
        </is>
      </c>
      <c r="G1555" s="16" t="inlineStr">
        <is>
          <t>Linkbits Bocina Bluetooth Portátil 3" de Alta Gama，Hi-Res Audio y Graves Potentes，Luces LED + Soporte USB/TF/FM/TWS，Ideal para Hogar y Aire Libre</t>
        </is>
      </c>
      <c r="H1555" s="16" t="inlineStr">
        <is>
          <t>VA371T</t>
        </is>
      </c>
      <c r="I1555" s="16" t="n">
        <v>1</v>
      </c>
      <c r="J1555" s="17" t="n">
        <v>41.32</v>
      </c>
      <c r="K1555" s="17" t="n">
        <v>49.68</v>
      </c>
      <c r="L1555" s="17" t="n">
        <v>25.86</v>
      </c>
      <c r="M1555" s="17" t="n">
        <v>0</v>
      </c>
      <c r="N1555" s="17">
        <f>K1555*0.08+L1555*0.08</f>
        <v/>
      </c>
      <c r="O1555" s="17">
        <f>-(K1555*0.025+L1555*0.025)</f>
        <v/>
      </c>
      <c r="P1555" s="17">
        <f>32</f>
        <v/>
      </c>
      <c r="Q1555" s="17">
        <f>J1555+L1555+N1555+O1555-P1555-M1555</f>
        <v/>
      </c>
    </row>
    <row r="1556">
      <c r="A1556" s="16" t="inlineStr">
        <is>
          <t>5.15-5.21</t>
        </is>
      </c>
      <c r="B1556" s="16" t="inlineStr">
        <is>
          <t>PO-128-12724350695031501</t>
        </is>
      </c>
      <c r="C1556" s="16" t="inlineStr">
        <is>
          <t>Shipped</t>
        </is>
      </c>
      <c r="D1556" s="16" t="inlineStr">
        <is>
          <t>128-12724502738551501</t>
        </is>
      </c>
      <c r="E1556" s="16" t="inlineStr">
        <is>
          <t>Shipped</t>
        </is>
      </c>
      <c r="F1556" s="16" t="inlineStr">
        <is>
          <t>KTS-2031</t>
        </is>
      </c>
      <c r="G1556" s="16" t="inlineStr">
        <is>
          <t>Bocina inalámbrica de 3 pulgadas con linterna multifuncional y panel solar integrado.Altavoz Portátil con Linterna LED 4 Modos, Radio FM, Bluetooth, Carga Solar, Ideal para Apagones, Emergencias, Campo y Exteriores</t>
        </is>
      </c>
      <c r="H1556" s="16" t="inlineStr">
        <is>
          <t>NEGRO</t>
        </is>
      </c>
      <c r="I1556" s="16" t="n">
        <v>1</v>
      </c>
      <c r="J1556" s="17" t="n">
        <v>75</v>
      </c>
      <c r="K1556" s="17" t="n">
        <v>84.22</v>
      </c>
      <c r="L1556" s="17" t="n">
        <v>25.86</v>
      </c>
      <c r="M1556" s="17" t="n">
        <v>0</v>
      </c>
      <c r="N1556" s="17">
        <f>K1556*0.08+L1556*0.08</f>
        <v/>
      </c>
      <c r="O1556" s="17">
        <f>-(K1556*0.025+L1556*0.025)</f>
        <v/>
      </c>
      <c r="P1556" s="17">
        <f>32</f>
        <v/>
      </c>
      <c r="Q1556" s="17">
        <f>J1556+L1556+N1556+O1556-P1556-M1556</f>
        <v/>
      </c>
    </row>
    <row r="1557">
      <c r="A1557" s="16" t="inlineStr">
        <is>
          <t>5.15-5.21</t>
        </is>
      </c>
      <c r="B1557" s="16" t="inlineStr">
        <is>
          <t>PO-128-12869235983991596</t>
        </is>
      </c>
      <c r="C1557" s="16" t="inlineStr">
        <is>
          <t>Shipped</t>
        </is>
      </c>
      <c r="D1557" s="16" t="inlineStr">
        <is>
          <t>128-12869288412791596</t>
        </is>
      </c>
      <c r="E1557" s="16" t="inlineStr">
        <is>
          <t>Shipped</t>
        </is>
      </c>
      <c r="F1557" s="16" t="inlineStr">
        <is>
          <t>LV54W25</t>
        </is>
      </c>
      <c r="G1557" s="16" t="inlineStr">
        <is>
          <t>TIANLAI Lámpara Ventilador E27 2 en 1, Silenciosa, LED Alta Luminosidad 180°, Instalación Rápida, Ahorro Energético para Dormitorio y Interiores Pequeños</t>
        </is>
      </c>
      <c r="H1557" s="16" t="inlineStr">
        <is>
          <t>1 Pieza</t>
        </is>
      </c>
      <c r="I1557" s="16" t="n">
        <v>1</v>
      </c>
      <c r="J1557" s="17" t="n">
        <v>78.5</v>
      </c>
      <c r="K1557" s="17" t="n">
        <v>80.27</v>
      </c>
      <c r="L1557" s="17" t="n">
        <v>25.86</v>
      </c>
      <c r="M1557" s="17" t="n">
        <v>0</v>
      </c>
      <c r="N1557" s="17">
        <f>K1557*0.08+L1557*0.08</f>
        <v/>
      </c>
      <c r="O1557" s="17">
        <f>-(K1557*0.025+L1557*0.025)</f>
        <v/>
      </c>
      <c r="P1557" s="17">
        <f>32</f>
        <v/>
      </c>
      <c r="Q1557" s="17">
        <f>J1557+L1557+N1557+O1557-P1557-M1557</f>
        <v/>
      </c>
    </row>
    <row r="1558">
      <c r="A1558" s="16" t="inlineStr">
        <is>
          <t>5.15-5.21</t>
        </is>
      </c>
      <c r="B1558" s="16" t="inlineStr">
        <is>
          <t>PO-128-12630105472632959</t>
        </is>
      </c>
      <c r="C1558" s="16" t="inlineStr">
        <is>
          <t>Shipped</t>
        </is>
      </c>
      <c r="D1558" s="16" t="inlineStr">
        <is>
          <t>128-12630110715512959</t>
        </is>
      </c>
      <c r="E1558" s="16" t="inlineStr">
        <is>
          <t>Shipped</t>
        </is>
      </c>
      <c r="F1558" s="16" t="inlineStr">
        <is>
          <t>KTS-2031</t>
        </is>
      </c>
      <c r="G1558" s="16" t="inlineStr">
        <is>
          <t>Bocina inalámbrica de 3 pulgadas con linterna multifuncional y panel solar integrado.Altavoz Portátil con Linterna LED 4 Modos, Radio FM, Bluetooth, Carga Solar, Ideal para Apagones, Emergencias, Campo y Exteriores</t>
        </is>
      </c>
      <c r="H1558" s="16" t="inlineStr">
        <is>
          <t>NEGRO</t>
        </is>
      </c>
      <c r="I1558" s="16" t="n">
        <v>1</v>
      </c>
      <c r="J1558" s="17" t="n">
        <v>75</v>
      </c>
      <c r="K1558" s="17" t="n">
        <v>84.22</v>
      </c>
      <c r="L1558" s="17" t="n">
        <v>25.86</v>
      </c>
      <c r="M1558" s="17" t="n">
        <v>0</v>
      </c>
      <c r="N1558" s="17">
        <f>K1558*0.08+L1558*0.08</f>
        <v/>
      </c>
      <c r="O1558" s="17">
        <f>-(K1558*0.025+L1558*0.025)</f>
        <v/>
      </c>
      <c r="P1558" s="17">
        <f>32</f>
        <v/>
      </c>
      <c r="Q1558" s="17">
        <f>J1558+L1558+N1558+O1558-P1558-M1558</f>
        <v/>
      </c>
    </row>
    <row r="1559">
      <c r="A1559" s="16" t="inlineStr">
        <is>
          <t>5.15-5.21</t>
        </is>
      </c>
      <c r="B1559" s="16" t="inlineStr">
        <is>
          <t>PO-128-12823591189111804</t>
        </is>
      </c>
      <c r="C1559" s="16" t="inlineStr">
        <is>
          <t>Shipped</t>
        </is>
      </c>
      <c r="D1559" s="16" t="inlineStr">
        <is>
          <t>128-12823659346551804</t>
        </is>
      </c>
      <c r="E1559" s="16" t="inlineStr">
        <is>
          <t>Shipped</t>
        </is>
      </c>
      <c r="F1559" s="16" t="inlineStr">
        <is>
          <t>KTS-2031</t>
        </is>
      </c>
      <c r="G1559" s="16" t="inlineStr">
        <is>
          <t>Bocina inalámbrica de 3 pulgadas con linterna multifuncional y panel solar integrado.Altavoz Portátil con Linterna LED 4 Modos, Radio FM, Bluetooth, Carga Solar, Ideal para Apagones, Emergencias, Campo y Exteriores</t>
        </is>
      </c>
      <c r="H1559" s="16" t="inlineStr">
        <is>
          <t>NEGRO</t>
        </is>
      </c>
      <c r="I1559" s="16" t="n">
        <v>1</v>
      </c>
      <c r="J1559" s="17" t="n">
        <v>75</v>
      </c>
      <c r="K1559" s="17" t="n">
        <v>23.88</v>
      </c>
      <c r="L1559" s="17" t="n">
        <v>25.86</v>
      </c>
      <c r="M1559" s="17" t="n">
        <v>0</v>
      </c>
      <c r="N1559" s="17">
        <f>K1559*0.08+L1559*0.08</f>
        <v/>
      </c>
      <c r="O1559" s="17">
        <f>-(K1559*0.025+L1559*0.025)</f>
        <v/>
      </c>
      <c r="P1559" s="17">
        <f>32</f>
        <v/>
      </c>
      <c r="Q1559" s="17">
        <f>J1559+L1559+N1559+O1559-P1559-M1559</f>
        <v/>
      </c>
    </row>
    <row r="1560">
      <c r="A1560" s="16" t="inlineStr">
        <is>
          <t>5.15-5.21</t>
        </is>
      </c>
      <c r="B1560" s="16" t="inlineStr">
        <is>
          <t>PO-128-12797583324791129</t>
        </is>
      </c>
      <c r="C1560" s="16" t="inlineStr">
        <is>
          <t>Shipped</t>
        </is>
      </c>
      <c r="D1560" s="16" t="inlineStr">
        <is>
          <t>128-12797609539191129</t>
        </is>
      </c>
      <c r="E1560" s="16" t="inlineStr">
        <is>
          <t>Shipped</t>
        </is>
      </c>
      <c r="F1560" s="16" t="inlineStr">
        <is>
          <t>KTS-2031</t>
        </is>
      </c>
      <c r="G1560" s="16" t="inlineStr">
        <is>
          <t>Bocina inalámbrica de 3 pulgadas con linterna multifuncional y panel solar integrado.Altavoz Portátil con Linterna LED 4 Modos, Radio FM, Bluetooth, Carga Solar, Ideal para Apagones, Emergencias, Campo y Exteriores</t>
        </is>
      </c>
      <c r="H1560" s="16" t="inlineStr">
        <is>
          <t>NEGRO</t>
        </is>
      </c>
      <c r="I1560" s="16" t="n">
        <v>1</v>
      </c>
      <c r="J1560" s="17" t="n">
        <v>75</v>
      </c>
      <c r="K1560" s="17" t="n">
        <v>84.22</v>
      </c>
      <c r="L1560" s="17" t="n">
        <v>25.86</v>
      </c>
      <c r="M1560" s="17" t="n">
        <v>0</v>
      </c>
      <c r="N1560" s="17">
        <f>K1560*0.08+L1560*0.08</f>
        <v/>
      </c>
      <c r="O1560" s="17">
        <f>-(K1560*0.025+L1560*0.025)</f>
        <v/>
      </c>
      <c r="P1560" s="17">
        <f>32</f>
        <v/>
      </c>
      <c r="Q1560" s="17">
        <f>J1560+L1560+N1560+O1560-P1560-M1560</f>
        <v/>
      </c>
    </row>
    <row r="1561">
      <c r="A1561" s="16" t="inlineStr">
        <is>
          <t>5.15-5.21</t>
        </is>
      </c>
      <c r="B1561" s="16" t="inlineStr">
        <is>
          <t>PO-128-12694167163512577</t>
        </is>
      </c>
      <c r="C1561" s="16" t="inlineStr">
        <is>
          <t>Shipped</t>
        </is>
      </c>
      <c r="D1561" s="16" t="inlineStr">
        <is>
          <t>128-12694272021112577</t>
        </is>
      </c>
      <c r="E1561" s="16" t="inlineStr">
        <is>
          <t>Shipped</t>
        </is>
      </c>
      <c r="F1561" s="16" t="inlineStr">
        <is>
          <t>VB349T</t>
        </is>
      </c>
      <c r="G1561" s="16" t="inlineStr">
        <is>
          <t>LINKBITS Altavoz Portátil de Doble Altavoz - 3 Pulgadas, Sonido HD, Emparejamiento Rápido de Bluetooth, Conectividad TWS, Reproducción Multimodo (Micro SD/USB/Radio FM) - Perfecto para Oficina, Viajes y Espacios Pequeños</t>
        </is>
      </c>
      <c r="H1561" s="16" t="inlineStr">
        <is>
          <t>NEGRO</t>
        </is>
      </c>
      <c r="I1561" s="16" t="n">
        <v>1</v>
      </c>
      <c r="J1561" s="17" t="n">
        <v>79</v>
      </c>
      <c r="K1561" s="17" t="n">
        <v>92.25</v>
      </c>
      <c r="L1561" s="17" t="n">
        <v>25.86</v>
      </c>
      <c r="M1561" s="17" t="n">
        <v>0</v>
      </c>
      <c r="N1561" s="17">
        <f>K1561*0.08+L1561*0.08</f>
        <v/>
      </c>
      <c r="O1561" s="17">
        <f>-(K1561*0.025+L1561*0.025)</f>
        <v/>
      </c>
      <c r="P1561" s="17">
        <f>32</f>
        <v/>
      </c>
      <c r="Q1561" s="17">
        <f>J1561+L1561+N1561+O1561-P1561-M1561</f>
        <v/>
      </c>
    </row>
    <row r="1562">
      <c r="A1562" s="16" t="inlineStr">
        <is>
          <t>5.15-5.21</t>
        </is>
      </c>
      <c r="B1562" s="16" t="inlineStr">
        <is>
          <t>PO-128-12697946030712619</t>
        </is>
      </c>
      <c r="C1562" s="16" t="inlineStr">
        <is>
          <t>Shipped</t>
        </is>
      </c>
      <c r="D1562" s="16" t="inlineStr">
        <is>
          <t>128-12697967002232619</t>
        </is>
      </c>
      <c r="E1562" s="16" t="inlineStr">
        <is>
          <t>Shipped</t>
        </is>
      </c>
      <c r="F1562" s="16" t="inlineStr">
        <is>
          <t>LV54W25</t>
        </is>
      </c>
      <c r="G1562" s="16" t="inlineStr">
        <is>
          <t>TIANLAI Lámpara Ventilador E27 2 en 1, Silenciosa, LED Alta Luminosidad 180°, Instalación Rápida, Ahorro Energético para Dormitorio y Interiores Pequeños</t>
        </is>
      </c>
      <c r="H1562" s="16" t="inlineStr">
        <is>
          <t>1 Pieza</t>
        </is>
      </c>
      <c r="I1562" s="16" t="n">
        <v>1</v>
      </c>
      <c r="J1562" s="17" t="n">
        <v>78.5</v>
      </c>
      <c r="K1562" s="17" t="n">
        <v>19.93</v>
      </c>
      <c r="L1562" s="17" t="n">
        <v>25.86</v>
      </c>
      <c r="M1562" s="17" t="n">
        <v>0</v>
      </c>
      <c r="N1562" s="17">
        <f>K1562*0.08+L1562*0.08</f>
        <v/>
      </c>
      <c r="O1562" s="17">
        <f>-(K1562*0.025+L1562*0.025)</f>
        <v/>
      </c>
      <c r="P1562" s="17">
        <f>32</f>
        <v/>
      </c>
      <c r="Q1562" s="17">
        <f>J1562+L1562+N1562+O1562-P1562-M1562</f>
        <v/>
      </c>
    </row>
    <row r="1563">
      <c r="A1563" s="16" t="inlineStr">
        <is>
          <t>5.15-5.21</t>
        </is>
      </c>
      <c r="B1563" s="16" t="inlineStr">
        <is>
          <t>PO-128-12823620106871804</t>
        </is>
      </c>
      <c r="C1563" s="16" t="inlineStr">
        <is>
          <t>Shipped</t>
        </is>
      </c>
      <c r="D1563" s="16" t="inlineStr">
        <is>
          <t>128-12823641078391804</t>
        </is>
      </c>
      <c r="E1563" s="16" t="inlineStr">
        <is>
          <t>Shipped</t>
        </is>
      </c>
      <c r="F1563" s="16" t="inlineStr">
        <is>
          <t>KTS-2031</t>
        </is>
      </c>
      <c r="G1563" s="16" t="inlineStr">
        <is>
          <t>Bocina inalámbrica de 3 pulgadas con linterna multifuncional y panel solar integrado.Altavoz Portátil con Linterna LED 4 Modos, Radio FM, Bluetooth, Carga Solar, Ideal para Apagones, Emergencias, Campo y Exteriores</t>
        </is>
      </c>
      <c r="H1563" s="16" t="inlineStr">
        <is>
          <t>NEGRO</t>
        </is>
      </c>
      <c r="I1563" s="16" t="n">
        <v>1</v>
      </c>
      <c r="J1563" s="17" t="n">
        <v>75</v>
      </c>
      <c r="K1563" s="17" t="n">
        <v>23.88</v>
      </c>
      <c r="L1563" s="17" t="n">
        <v>25.86</v>
      </c>
      <c r="M1563" s="17" t="n">
        <v>0</v>
      </c>
      <c r="N1563" s="17">
        <f>K1563*0.08+L1563*0.08</f>
        <v/>
      </c>
      <c r="O1563" s="17">
        <f>-(K1563*0.025+L1563*0.025)</f>
        <v/>
      </c>
      <c r="P1563" s="17">
        <f>32</f>
        <v/>
      </c>
      <c r="Q1563" s="17">
        <f>J1563+L1563+N1563+O1563-P1563-M1563</f>
        <v/>
      </c>
    </row>
    <row r="1564">
      <c r="A1564" s="16" t="inlineStr">
        <is>
          <t>5.15-5.21</t>
        </is>
      </c>
      <c r="B1564" s="16" t="inlineStr">
        <is>
          <t>PO-128-12823229850231806</t>
        </is>
      </c>
      <c r="C1564" s="16" t="inlineStr">
        <is>
          <t>Shipped</t>
        </is>
      </c>
      <c r="D1564" s="16" t="inlineStr">
        <is>
          <t>128-12823250821751806</t>
        </is>
      </c>
      <c r="E1564" s="16" t="inlineStr">
        <is>
          <t>Shipped</t>
        </is>
      </c>
      <c r="F1564" s="16" t="inlineStr">
        <is>
          <t>LV64W25</t>
        </is>
      </c>
      <c r="G15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64" s="16" t="inlineStr">
        <is>
          <t>Blanco</t>
        </is>
      </c>
      <c r="I1564" s="16" t="n">
        <v>1</v>
      </c>
      <c r="J1564" s="17" t="n">
        <v>119.5</v>
      </c>
      <c r="K1564" s="17" t="n">
        <v>137.76</v>
      </c>
      <c r="L1564" s="17" t="n">
        <v>25.86</v>
      </c>
      <c r="M1564" s="17" t="n">
        <v>0</v>
      </c>
      <c r="N1564" s="17">
        <f>K1564*0.08+L1564*0.08</f>
        <v/>
      </c>
      <c r="O1564" s="17">
        <f>-(K1564*0.025+L1564*0.025)</f>
        <v/>
      </c>
      <c r="P1564" s="17">
        <f>32</f>
        <v/>
      </c>
      <c r="Q1564" s="17">
        <f>J1564+L1564+N1564+O1564-P1564-M1564</f>
        <v/>
      </c>
    </row>
    <row r="1565">
      <c r="A1565" s="16" t="inlineStr">
        <is>
          <t>5.15-5.21</t>
        </is>
      </c>
      <c r="B1565" s="16" t="inlineStr">
        <is>
          <t>PO-128-12403885875833410</t>
        </is>
      </c>
      <c r="C1565" s="16" t="inlineStr">
        <is>
          <t>Shipped</t>
        </is>
      </c>
      <c r="D1565" s="16" t="inlineStr">
        <is>
          <t>128-12403891118713410</t>
        </is>
      </c>
      <c r="E1565" s="16" t="inlineStr">
        <is>
          <t>Shipped</t>
        </is>
      </c>
      <c r="F1565" s="16" t="inlineStr">
        <is>
          <t>SA323T</t>
        </is>
      </c>
      <c r="G1565"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565" s="16" t="inlineStr">
        <is>
          <t>AZUL/SA323T</t>
        </is>
      </c>
      <c r="I1565" s="16" t="n">
        <v>1</v>
      </c>
      <c r="J1565" s="17" t="n">
        <v>45</v>
      </c>
      <c r="K1565" s="17" t="n">
        <v>54.04</v>
      </c>
      <c r="L1565" s="17" t="n">
        <v>25.86</v>
      </c>
      <c r="M1565" s="17" t="n">
        <v>0</v>
      </c>
      <c r="N1565" s="17">
        <f>K1565*0.08+L1565*0.08</f>
        <v/>
      </c>
      <c r="O1565" s="17">
        <f>-(K1565*0.025+L1565*0.025)</f>
        <v/>
      </c>
      <c r="P1565" s="17">
        <f>32</f>
        <v/>
      </c>
      <c r="Q1565" s="17">
        <f>J1565+L1565+N1565+O1565-P1565-M1565</f>
        <v/>
      </c>
    </row>
    <row r="1566">
      <c r="A1566" s="16" t="inlineStr">
        <is>
          <t>5.15-5.21</t>
        </is>
      </c>
      <c r="B1566" s="16" t="inlineStr">
        <is>
          <t>PO-128-12775551964791258</t>
        </is>
      </c>
      <c r="C1566" s="16" t="inlineStr">
        <is>
          <t>Shipped</t>
        </is>
      </c>
      <c r="D1566" s="16" t="inlineStr">
        <is>
          <t>128-12775572936311258</t>
        </is>
      </c>
      <c r="E1566" s="16" t="inlineStr">
        <is>
          <t>Shipped</t>
        </is>
      </c>
      <c r="F1566" s="16" t="inlineStr">
        <is>
          <t>LV54W25</t>
        </is>
      </c>
      <c r="G1566" s="16" t="inlineStr">
        <is>
          <t>TIANLAI Lámpara Ventilador E27 2 en 1, Silenciosa, LED Alta Luminosidad 180°, Instalación Rápida, Ahorro Energético para Dormitorio y Interiores Pequeños</t>
        </is>
      </c>
      <c r="H1566" s="16" t="inlineStr">
        <is>
          <t>1 Pieza</t>
        </is>
      </c>
      <c r="I1566" s="16" t="n">
        <v>1</v>
      </c>
      <c r="J1566" s="17" t="n">
        <v>78.5</v>
      </c>
      <c r="K1566" s="17" t="n">
        <v>80.27</v>
      </c>
      <c r="L1566" s="17" t="n">
        <v>25.86</v>
      </c>
      <c r="M1566" s="17" t="n">
        <v>0</v>
      </c>
      <c r="N1566" s="17">
        <f>K1566*0.08+L1566*0.08</f>
        <v/>
      </c>
      <c r="O1566" s="17">
        <f>-(K1566*0.025+L1566*0.025)</f>
        <v/>
      </c>
      <c r="P1566" s="17">
        <f>32</f>
        <v/>
      </c>
      <c r="Q1566" s="17">
        <f>J1566+L1566+N1566+O1566-P1566-M1566</f>
        <v/>
      </c>
    </row>
    <row r="1567">
      <c r="A1567" s="16" t="inlineStr">
        <is>
          <t>5.15-5.21</t>
        </is>
      </c>
      <c r="B1567" s="16" t="inlineStr">
        <is>
          <t>PO-128-12582146079352413</t>
        </is>
      </c>
      <c r="C1567" s="16" t="inlineStr">
        <is>
          <t>Shipped</t>
        </is>
      </c>
      <c r="D1567" s="16" t="inlineStr">
        <is>
          <t>128-12582125107832413</t>
        </is>
      </c>
      <c r="E1567" s="16" t="inlineStr">
        <is>
          <t>Shipped</t>
        </is>
      </c>
      <c r="F1567" s="16" t="inlineStr">
        <is>
          <t>B03W10-10PZS</t>
        </is>
      </c>
      <c r="G156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567" s="16" t="inlineStr">
        <is>
          <t>B03W10</t>
        </is>
      </c>
      <c r="I1567" s="16" t="n">
        <v>1</v>
      </c>
      <c r="J1567" s="17" t="n">
        <v>66</v>
      </c>
      <c r="K1567" s="17" t="n">
        <v>71.05</v>
      </c>
      <c r="L1567" s="17" t="n">
        <v>25.86</v>
      </c>
      <c r="M1567" s="17" t="n">
        <v>0</v>
      </c>
      <c r="N1567" s="17">
        <f>K1567*0.08+L1567*0.08</f>
        <v/>
      </c>
      <c r="O1567" s="17">
        <f>-(K1567*0.025+L1567*0.025)</f>
        <v/>
      </c>
      <c r="P1567" s="17">
        <f>32</f>
        <v/>
      </c>
      <c r="Q1567" s="17">
        <f>J1567+L1567+N1567+O1567-P1567-M1567</f>
        <v/>
      </c>
    </row>
    <row r="1568">
      <c r="A1568" s="16" t="inlineStr">
        <is>
          <t>5.15-5.21</t>
        </is>
      </c>
      <c r="B1568" s="16" t="inlineStr">
        <is>
          <t>PO-128-12370927217273478</t>
        </is>
      </c>
      <c r="C1568" s="16" t="inlineStr">
        <is>
          <t>Shipped</t>
        </is>
      </c>
      <c r="D1568" s="16" t="inlineStr">
        <is>
          <t>128-12370895759993478</t>
        </is>
      </c>
      <c r="E1568" s="16" t="inlineStr">
        <is>
          <t>Shipped</t>
        </is>
      </c>
      <c r="F1568" s="16" t="inlineStr">
        <is>
          <t>LV64W25</t>
        </is>
      </c>
      <c r="G15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68" s="16" t="inlineStr">
        <is>
          <t>Blanco</t>
        </is>
      </c>
      <c r="I1568" s="16" t="n">
        <v>3</v>
      </c>
      <c r="J1568" s="17" t="n">
        <v>358.5</v>
      </c>
      <c r="K1568" s="17" t="n">
        <v>379.26</v>
      </c>
      <c r="L1568" s="17" t="n">
        <v>0</v>
      </c>
      <c r="M1568" s="17" t="n">
        <v>0</v>
      </c>
      <c r="N1568" s="17">
        <f>K1568*0.08+L1568*0.08</f>
        <v/>
      </c>
      <c r="O1568" s="17">
        <f>-(K1568*0.025+L1568*0.025)</f>
        <v/>
      </c>
      <c r="P1568" s="17">
        <f>32</f>
        <v/>
      </c>
      <c r="Q1568" s="17">
        <f>J1568+L1568+N1568+O1568-P1568-M1568</f>
        <v/>
      </c>
    </row>
    <row r="1569">
      <c r="A1569" s="16" t="inlineStr">
        <is>
          <t>5.15-5.21</t>
        </is>
      </c>
      <c r="B1569" s="16" t="inlineStr">
        <is>
          <t>PO-128-13034152120950743</t>
        </is>
      </c>
      <c r="C1569" s="16" t="inlineStr">
        <is>
          <t>Shipped</t>
        </is>
      </c>
      <c r="D1569" s="16" t="inlineStr">
        <is>
          <t>128-13034204549750743</t>
        </is>
      </c>
      <c r="E1569" s="16" t="inlineStr">
        <is>
          <t>Shipped</t>
        </is>
      </c>
      <c r="F1569" s="16" t="inlineStr">
        <is>
          <t>SA323T</t>
        </is>
      </c>
      <c r="G1569"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569" s="16" t="inlineStr">
        <is>
          <t>AZUL/SA323T</t>
        </is>
      </c>
      <c r="I1569" s="16" t="n">
        <v>1</v>
      </c>
      <c r="J1569" s="17" t="n">
        <v>50</v>
      </c>
      <c r="K1569" s="17" t="n">
        <v>15.94</v>
      </c>
      <c r="L1569" s="17" t="n">
        <v>25.86</v>
      </c>
      <c r="M1569" s="17" t="n">
        <v>0</v>
      </c>
      <c r="N1569" s="17">
        <f>K1569*0.08+L1569*0.08</f>
        <v/>
      </c>
      <c r="O1569" s="17">
        <f>-(K1569*0.025+L1569*0.025)</f>
        <v/>
      </c>
      <c r="P1569" s="17">
        <f>32</f>
        <v/>
      </c>
      <c r="Q1569" s="17">
        <f>J1569+L1569+N1569+O1569-P1569-M1569</f>
        <v/>
      </c>
    </row>
    <row r="1570">
      <c r="A1570" s="16" t="inlineStr">
        <is>
          <t>5.15-5.21</t>
        </is>
      </c>
      <c r="B1570" s="16" t="inlineStr">
        <is>
          <t>PO-128-12609076449912061</t>
        </is>
      </c>
      <c r="C1570" s="16" t="inlineStr">
        <is>
          <t>Shipped</t>
        </is>
      </c>
      <c r="D1570" s="16" t="inlineStr">
        <is>
          <t>128-12609083003512061</t>
        </is>
      </c>
      <c r="E1570" s="16" t="inlineStr">
        <is>
          <t>Shipped</t>
        </is>
      </c>
      <c r="F1570" s="16" t="inlineStr">
        <is>
          <t>LV54W25</t>
        </is>
      </c>
      <c r="G1570" s="16" t="inlineStr">
        <is>
          <t>TIANLAI Lámpara Ventilador E27 2 en 1, Silenciosa, LED Alta Luminosidad 180°, Instalación Rápida, Ahorro Energético para Dormitorio y Interiores Pequeños</t>
        </is>
      </c>
      <c r="H1570" s="16" t="inlineStr">
        <is>
          <t>1 Pieza</t>
        </is>
      </c>
      <c r="I1570" s="16" t="n">
        <v>3</v>
      </c>
      <c r="J1570" s="17" t="n">
        <v>227.4</v>
      </c>
      <c r="K1570" s="17" t="n">
        <v>168</v>
      </c>
      <c r="L1570" s="17" t="n">
        <v>0</v>
      </c>
      <c r="M1570" s="17" t="n">
        <v>3.45</v>
      </c>
      <c r="N1570" s="17">
        <f>K1570*0.08+L1570*0.08</f>
        <v/>
      </c>
      <c r="O1570" s="17">
        <f>-(K1570*0.025+L1570*0.025)</f>
        <v/>
      </c>
      <c r="P1570" s="17">
        <f>32</f>
        <v/>
      </c>
      <c r="Q1570" s="17">
        <f>J1570+L1570+N1570+O1570-P1570-M1570</f>
        <v/>
      </c>
    </row>
    <row r="1571">
      <c r="A1571" s="16" t="inlineStr">
        <is>
          <t>5.15-5.21</t>
        </is>
      </c>
      <c r="B1571" s="16" t="inlineStr">
        <is>
          <t>PO-128-12475071785594075</t>
        </is>
      </c>
      <c r="C1571" s="16" t="inlineStr">
        <is>
          <t>Shipped</t>
        </is>
      </c>
      <c r="D1571" s="16" t="inlineStr">
        <is>
          <t>128-12475176643194075</t>
        </is>
      </c>
      <c r="E1571" s="16" t="inlineStr">
        <is>
          <t>Shipped</t>
        </is>
      </c>
      <c r="F1571" s="16" t="inlineStr">
        <is>
          <t>LV64W25</t>
        </is>
      </c>
      <c r="G15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71" s="16" t="inlineStr">
        <is>
          <t>Blanco</t>
        </is>
      </c>
      <c r="I1571" s="16" t="n">
        <v>6</v>
      </c>
      <c r="J1571" s="17" t="n">
        <v>714</v>
      </c>
      <c r="K1571" s="17" t="n">
        <v>823.5599999999999</v>
      </c>
      <c r="L1571" s="17" t="n">
        <v>0</v>
      </c>
      <c r="M1571" s="17" t="n">
        <v>0</v>
      </c>
      <c r="N1571" s="17">
        <f>K1571*0.08+L1571*0.08</f>
        <v/>
      </c>
      <c r="O1571" s="17">
        <f>-(K1571*0.025+L1571*0.025)</f>
        <v/>
      </c>
      <c r="P1571" s="17">
        <f>32</f>
        <v/>
      </c>
      <c r="Q1571" s="17">
        <f>J1571+L1571+N1571+O1571-P1571-M1571</f>
        <v/>
      </c>
    </row>
    <row r="1572">
      <c r="A1572" s="16" t="inlineStr">
        <is>
          <t>5.15-5.21</t>
        </is>
      </c>
      <c r="B1572" s="16" t="inlineStr">
        <is>
          <t>PO-128-12508432620153746</t>
        </is>
      </c>
      <c r="C1572" s="16" t="inlineStr">
        <is>
          <t>Shipped</t>
        </is>
      </c>
      <c r="D1572" s="16" t="inlineStr">
        <is>
          <t>128-12508485048953746</t>
        </is>
      </c>
      <c r="E1572" s="16" t="inlineStr">
        <is>
          <t>Shipped</t>
        </is>
      </c>
      <c r="F1572" s="16" t="inlineStr">
        <is>
          <t>BG-115-P</t>
        </is>
      </c>
      <c r="G1572" s="16" t="inlineStr">
        <is>
          <t>LINK BITS Audífonos Inalámbricos con Luces Multicolor, Recargables y en Adorable Forma de Orejas de Gato - Conecta a Celulares y PCs, Tiene Radio FM, Tarjeta TF y AUX - 7 Horas de Reproducción, Plegables y Perfectos para Trabajo, Juegos y Estudio</t>
        </is>
      </c>
      <c r="H1572" s="16" t="inlineStr">
        <is>
          <t>rosa</t>
        </is>
      </c>
      <c r="I1572" s="16" t="n">
        <v>1</v>
      </c>
      <c r="J1572" s="17" t="n">
        <v>85</v>
      </c>
      <c r="K1572" s="17" t="n">
        <v>95.72</v>
      </c>
      <c r="L1572" s="17" t="n">
        <v>25.86</v>
      </c>
      <c r="M1572" s="17" t="n">
        <v>0</v>
      </c>
      <c r="N1572" s="17">
        <f>K1572*0.08+L1572*0.08</f>
        <v/>
      </c>
      <c r="O1572" s="17">
        <f>-(K1572*0.025+L1572*0.025)</f>
        <v/>
      </c>
      <c r="P1572" s="17">
        <f>32</f>
        <v/>
      </c>
      <c r="Q1572" s="17">
        <f>J1572+L1572+N1572+O1572-P1572-M1572</f>
        <v/>
      </c>
    </row>
    <row r="1573">
      <c r="A1573" s="16" t="inlineStr">
        <is>
          <t>5.15-5.21</t>
        </is>
      </c>
      <c r="B1573" s="16" t="inlineStr">
        <is>
          <t>PO-128-12728426486391477</t>
        </is>
      </c>
      <c r="C1573" s="16" t="inlineStr">
        <is>
          <t>Shipped</t>
        </is>
      </c>
      <c r="D1573" s="16" t="inlineStr">
        <is>
          <t>128-12728395029111477</t>
        </is>
      </c>
      <c r="E1573" s="16" t="inlineStr">
        <is>
          <t>Shipped</t>
        </is>
      </c>
      <c r="F1573" s="16" t="inlineStr">
        <is>
          <t>LV64W25</t>
        </is>
      </c>
      <c r="G15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73" s="16" t="inlineStr">
        <is>
          <t>Blanco</t>
        </is>
      </c>
      <c r="I1573" s="16" t="n">
        <v>1</v>
      </c>
      <c r="J1573" s="17" t="n">
        <v>119</v>
      </c>
      <c r="K1573" s="17" t="n">
        <v>137.26</v>
      </c>
      <c r="L1573" s="17" t="n">
        <v>25.86</v>
      </c>
      <c r="M1573" s="17" t="n">
        <v>0</v>
      </c>
      <c r="N1573" s="17">
        <f>K1573*0.08+L1573*0.08</f>
        <v/>
      </c>
      <c r="O1573" s="17">
        <f>-(K1573*0.025+L1573*0.025)</f>
        <v/>
      </c>
      <c r="P1573" s="17">
        <f>32</f>
        <v/>
      </c>
      <c r="Q1573" s="17">
        <f>J1573+L1573+N1573+O1573-P1573-M1573</f>
        <v/>
      </c>
    </row>
    <row r="1574">
      <c r="A1574" s="16" t="inlineStr">
        <is>
          <t>5.15-5.21</t>
        </is>
      </c>
      <c r="B1574" s="16" t="inlineStr">
        <is>
          <t>PO-128-12887262090870400</t>
        </is>
      </c>
      <c r="C1574" s="16" t="inlineStr">
        <is>
          <t>Shipped</t>
        </is>
      </c>
      <c r="D1574" s="16" t="inlineStr">
        <is>
          <t>128-12887293548150400</t>
        </is>
      </c>
      <c r="E1574" s="16" t="inlineStr">
        <is>
          <t>Shipped</t>
        </is>
      </c>
      <c r="F1574" s="16" t="inlineStr">
        <is>
          <t>LV54W25</t>
        </is>
      </c>
      <c r="G1574" s="16" t="inlineStr">
        <is>
          <t>TIANLAI Lámpara Ventilador E27 2 en 1, Silenciosa, LED Alta Luminosidad 180°, Instalación Rápida, Ahorro Energético para Dormitorio y Interiores Pequeños</t>
        </is>
      </c>
      <c r="H1574" s="16" t="inlineStr">
        <is>
          <t>1 Pieza</t>
        </is>
      </c>
      <c r="I1574" s="16" t="n">
        <v>1</v>
      </c>
      <c r="J1574" s="17" t="n">
        <v>75.8</v>
      </c>
      <c r="K1574" s="17" t="n">
        <v>77.86</v>
      </c>
      <c r="L1574" s="17" t="n">
        <v>25.86</v>
      </c>
      <c r="M1574" s="17" t="n">
        <v>0</v>
      </c>
      <c r="N1574" s="17">
        <f>K1574*0.08+L1574*0.08</f>
        <v/>
      </c>
      <c r="O1574" s="17">
        <f>-(K1574*0.025+L1574*0.025)</f>
        <v/>
      </c>
      <c r="P1574" s="17">
        <f>32</f>
        <v/>
      </c>
      <c r="Q1574" s="17">
        <f>J1574+L1574+N1574+O1574-P1574-M1574</f>
        <v/>
      </c>
    </row>
    <row r="1575">
      <c r="A1575" s="16" t="inlineStr">
        <is>
          <t>5.15-5.21</t>
        </is>
      </c>
      <c r="B1575" s="16" t="inlineStr">
        <is>
          <t>PO-128-13015012711030665</t>
        </is>
      </c>
      <c r="C1575" s="16" t="inlineStr">
        <is>
          <t>Shipped</t>
        </is>
      </c>
      <c r="D1575" s="16" t="inlineStr">
        <is>
          <t>128-13015088732790665</t>
        </is>
      </c>
      <c r="E1575" s="16" t="inlineStr">
        <is>
          <t>Shipped</t>
        </is>
      </c>
      <c r="F1575" s="16" t="inlineStr">
        <is>
          <t>LV54W25</t>
        </is>
      </c>
      <c r="G1575" s="16" t="inlineStr">
        <is>
          <t>TIANLAI Lámpara Ventilador E27 2 en 1, Silenciosa, LED Alta Luminosidad 180°, Instalación Rápida, Ahorro Energético para Dormitorio y Interiores Pequeños</t>
        </is>
      </c>
      <c r="H1575" s="16" t="inlineStr">
        <is>
          <t>1 Pieza</t>
        </is>
      </c>
      <c r="I1575" s="16" t="n">
        <v>3</v>
      </c>
      <c r="J1575" s="17" t="n">
        <v>227.4</v>
      </c>
      <c r="K1575" s="17" t="n">
        <v>233.58</v>
      </c>
      <c r="L1575" s="17" t="n">
        <v>0</v>
      </c>
      <c r="M1575" s="17" t="n">
        <v>0</v>
      </c>
      <c r="N1575" s="17">
        <f>K1575*0.08+L1575*0.08</f>
        <v/>
      </c>
      <c r="O1575" s="17">
        <f>-(K1575*0.025+L1575*0.025)</f>
        <v/>
      </c>
      <c r="P1575" s="17">
        <f>32</f>
        <v/>
      </c>
      <c r="Q1575" s="17">
        <f>J1575+L1575+N1575+O1575-P1575-M1575</f>
        <v/>
      </c>
    </row>
    <row r="1576">
      <c r="A1576" s="16" t="inlineStr">
        <is>
          <t>5.15-5.21</t>
        </is>
      </c>
      <c r="B1576" s="16" t="inlineStr">
        <is>
          <t>PO-128-12655737124472868</t>
        </is>
      </c>
      <c r="C1576" s="16" t="inlineStr">
        <is>
          <t>Shipped</t>
        </is>
      </c>
      <c r="D1576" s="16" t="inlineStr">
        <is>
          <t>128-12655873439352868</t>
        </is>
      </c>
      <c r="E1576" s="16" t="inlineStr">
        <is>
          <t>Shipped</t>
        </is>
      </c>
      <c r="F1576" s="16" t="inlineStr">
        <is>
          <t>KTS-2031</t>
        </is>
      </c>
      <c r="G1576" s="16" t="inlineStr">
        <is>
          <t>Bocina inalámbrica de 3 pulgadas con linterna multifuncional y panel solar integrado.Altavoz Portátil con Linterna LED 4 Modos, Radio FM, Bluetooth, Carga Solar, Ideal para Apagones, Emergencias, Campo y Exteriores</t>
        </is>
      </c>
      <c r="H1576" s="16" t="inlineStr">
        <is>
          <t>NEGRO</t>
        </is>
      </c>
      <c r="I1576" s="16" t="n">
        <v>3</v>
      </c>
      <c r="J1576" s="17" t="n">
        <v>234</v>
      </c>
      <c r="K1576" s="17" t="n">
        <v>261.66</v>
      </c>
      <c r="L1576" s="17" t="n">
        <v>0</v>
      </c>
      <c r="M1576" s="17" t="n">
        <v>0</v>
      </c>
      <c r="N1576" s="17">
        <f>K1576*0.08+L1576*0.08</f>
        <v/>
      </c>
      <c r="O1576" s="17">
        <f>-(K1576*0.025+L1576*0.025)</f>
        <v/>
      </c>
      <c r="P1576" s="17">
        <f>32</f>
        <v/>
      </c>
      <c r="Q1576" s="17">
        <f>J1576+L1576+N1576+O1576-P1576-M1576</f>
        <v/>
      </c>
    </row>
    <row r="1577">
      <c r="A1577" s="16" t="inlineStr">
        <is>
          <t>5.15-5.21</t>
        </is>
      </c>
      <c r="B1577" s="16" t="inlineStr">
        <is>
          <t>PO-128-01921652741750291</t>
        </is>
      </c>
      <c r="C1577" s="16" t="inlineStr">
        <is>
          <t>Shipped</t>
        </is>
      </c>
      <c r="D1577" s="16" t="inlineStr">
        <is>
          <t>128-01921661261430291</t>
        </is>
      </c>
      <c r="E1577" s="16" t="inlineStr">
        <is>
          <t>Shipped</t>
        </is>
      </c>
      <c r="F1577" s="16" t="inlineStr">
        <is>
          <t>LV64W25</t>
        </is>
      </c>
      <c r="G15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77" s="16" t="inlineStr">
        <is>
          <t>Blanco</t>
        </is>
      </c>
      <c r="I1577" s="16" t="n">
        <v>2</v>
      </c>
      <c r="J1577" s="17" t="n">
        <v>238</v>
      </c>
      <c r="K1577" s="17" t="n">
        <v>274.52</v>
      </c>
      <c r="L1577" s="17" t="n">
        <v>0</v>
      </c>
      <c r="M1577" s="17" t="n">
        <v>0</v>
      </c>
      <c r="N1577" s="17">
        <f>K1577*0.08+L1577*0.08</f>
        <v/>
      </c>
      <c r="O1577" s="17">
        <f>-(K1577*0.025+L1577*0.025)</f>
        <v/>
      </c>
      <c r="P1577" s="17">
        <f>32</f>
        <v/>
      </c>
      <c r="Q1577" s="17">
        <f>J1577+L1577+N1577+O1577-P1577-M1577</f>
        <v/>
      </c>
    </row>
    <row r="1578">
      <c r="A1578" s="16" t="inlineStr">
        <is>
          <t>5.15-5.21</t>
        </is>
      </c>
      <c r="B1578" s="16" t="inlineStr">
        <is>
          <t>PO-128-02057762202230631</t>
        </is>
      </c>
      <c r="C1578" s="16" t="inlineStr">
        <is>
          <t>Shipped</t>
        </is>
      </c>
      <c r="D1578" s="16" t="inlineStr">
        <is>
          <t>128-02057783173750631</t>
        </is>
      </c>
      <c r="E1578" s="16" t="inlineStr">
        <is>
          <t>Shipped</t>
        </is>
      </c>
      <c r="F1578" s="16" t="inlineStr">
        <is>
          <t>LV64W25</t>
        </is>
      </c>
      <c r="G15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78" s="16" t="inlineStr">
        <is>
          <t>Blanco</t>
        </is>
      </c>
      <c r="I1578" s="16" t="n">
        <v>2</v>
      </c>
      <c r="J1578" s="17" t="n">
        <v>238</v>
      </c>
      <c r="K1578" s="17" t="n">
        <v>233.34</v>
      </c>
      <c r="L1578" s="17" t="n">
        <v>0</v>
      </c>
      <c r="M1578" s="17" t="n">
        <v>0</v>
      </c>
      <c r="N1578" s="17">
        <f>K1578*0.08+L1578*0.08</f>
        <v/>
      </c>
      <c r="O1578" s="17">
        <f>-(K1578*0.025+L1578*0.025)</f>
        <v/>
      </c>
      <c r="P1578" s="17">
        <f>32</f>
        <v/>
      </c>
      <c r="Q1578" s="17">
        <f>J1578+L1578+N1578+O1578-P1578-M1578</f>
        <v/>
      </c>
    </row>
    <row r="1579">
      <c r="A1579" s="16" t="inlineStr">
        <is>
          <t>5.15-5.21</t>
        </is>
      </c>
      <c r="B1579" s="16" t="inlineStr">
        <is>
          <t>PO-128-01893719716470393</t>
        </is>
      </c>
      <c r="C1579" s="16" t="inlineStr">
        <is>
          <t>Shipped</t>
        </is>
      </c>
      <c r="D1579" s="16" t="inlineStr">
        <is>
          <t>128-01893761659510393</t>
        </is>
      </c>
      <c r="E1579" s="16" t="inlineStr">
        <is>
          <t>Shipped</t>
        </is>
      </c>
      <c r="F1579" s="16" t="inlineStr">
        <is>
          <t>VB349T</t>
        </is>
      </c>
      <c r="G1579" s="16" t="inlineStr">
        <is>
          <t>LINKBITS Altavoz Portátil de Doble Altavoz - 3 Pulgadas, Sonido HD, Emparejamiento Rápido de Bluetooth, Conectividad TWS, Reproducción Multimodo (Micro SD/USB/Radio FM) - Perfecto para Oficina, Viajes y Espacios Pequeños</t>
        </is>
      </c>
      <c r="H1579" s="16" t="inlineStr">
        <is>
          <t>NEGRO</t>
        </is>
      </c>
      <c r="I1579" s="16" t="n">
        <v>1</v>
      </c>
      <c r="J1579" s="17" t="n">
        <v>81</v>
      </c>
      <c r="K1579" s="17" t="n">
        <v>75.41</v>
      </c>
      <c r="L1579" s="17" t="n">
        <v>25.86</v>
      </c>
      <c r="M1579" s="17" t="n">
        <v>0</v>
      </c>
      <c r="N1579" s="17">
        <f>K1579*0.08+L1579*0.08</f>
        <v/>
      </c>
      <c r="O1579" s="17">
        <f>-(K1579*0.025+L1579*0.025)</f>
        <v/>
      </c>
      <c r="P1579" s="17">
        <f>32</f>
        <v/>
      </c>
      <c r="Q1579" s="17">
        <f>J1579+L1579+N1579+O1579-P1579-M1579</f>
        <v/>
      </c>
    </row>
    <row r="1580">
      <c r="A1580" s="16" t="inlineStr">
        <is>
          <t>5.15-5.21</t>
        </is>
      </c>
      <c r="B1580" s="16" t="inlineStr">
        <is>
          <t>PO-128-01996414285430997</t>
        </is>
      </c>
      <c r="C1580" s="16" t="inlineStr">
        <is>
          <t>Shipped</t>
        </is>
      </c>
      <c r="D1580" s="16" t="inlineStr">
        <is>
          <t>128-01996482442870997</t>
        </is>
      </c>
      <c r="E1580" s="16" t="inlineStr">
        <is>
          <t>Shipped</t>
        </is>
      </c>
      <c r="F1580" s="16" t="inlineStr">
        <is>
          <t>LV54W25</t>
        </is>
      </c>
      <c r="G1580" s="16" t="inlineStr">
        <is>
          <t>TIANLAI Lámpara Ventilador E27 2 en 1, Silenciosa, LED Alta Luminosidad 180°, Instalación Rápida, Ahorro Energético para Dormitorio y Interiores Pequeños</t>
        </is>
      </c>
      <c r="H1580" s="16" t="inlineStr">
        <is>
          <t>1 Pieza</t>
        </is>
      </c>
      <c r="I1580" s="16" t="n">
        <v>3</v>
      </c>
      <c r="J1580" s="17" t="n">
        <v>227.4</v>
      </c>
      <c r="K1580" s="17" t="n">
        <v>233.58</v>
      </c>
      <c r="L1580" s="17" t="n">
        <v>0</v>
      </c>
      <c r="M1580" s="17" t="n">
        <v>0</v>
      </c>
      <c r="N1580" s="17">
        <f>K1580*0.08+L1580*0.08</f>
        <v/>
      </c>
      <c r="O1580" s="17">
        <f>-(K1580*0.025+L1580*0.025)</f>
        <v/>
      </c>
      <c r="P1580" s="17">
        <f>32</f>
        <v/>
      </c>
      <c r="Q1580" s="17">
        <f>J1580+L1580+N1580+O1580-P1580-M1580</f>
        <v/>
      </c>
    </row>
    <row r="1581">
      <c r="A1581" s="16" t="inlineStr">
        <is>
          <t>5.15-5.21</t>
        </is>
      </c>
      <c r="B1581" s="16" t="inlineStr">
        <is>
          <t>PO-128-01591482010232195</t>
        </is>
      </c>
      <c r="C1581" s="16" t="inlineStr">
        <is>
          <t>Shipped</t>
        </is>
      </c>
      <c r="D1581" s="16" t="inlineStr">
        <is>
          <t>128-01591471524472195</t>
        </is>
      </c>
      <c r="E1581" s="16" t="inlineStr">
        <is>
          <t>Shipped</t>
        </is>
      </c>
      <c r="F1581" s="16" t="inlineStr">
        <is>
          <t>LV54W25</t>
        </is>
      </c>
      <c r="G1581" s="16" t="inlineStr">
        <is>
          <t>TIANLAI Lámpara Ventilador E27 2 en 1, Silenciosa, LED Alta Luminosidad 180°, Instalación Rápida, Ahorro Energético para Dormitorio y Interiores Pequeños</t>
        </is>
      </c>
      <c r="H1581" s="16" t="inlineStr">
        <is>
          <t>1 Pieza</t>
        </is>
      </c>
      <c r="I1581" s="16" t="n">
        <v>1</v>
      </c>
      <c r="J1581" s="17" t="n">
        <v>75.8</v>
      </c>
      <c r="K1581" s="17" t="n">
        <v>77.86</v>
      </c>
      <c r="L1581" s="17" t="n">
        <v>25.86</v>
      </c>
      <c r="M1581" s="17" t="n">
        <v>0</v>
      </c>
      <c r="N1581" s="17">
        <f>K1581*0.08+L1581*0.08</f>
        <v/>
      </c>
      <c r="O1581" s="17">
        <f>-(K1581*0.025+L1581*0.025)</f>
        <v/>
      </c>
      <c r="P1581" s="17">
        <f>32</f>
        <v/>
      </c>
      <c r="Q1581" s="17">
        <f>J1581+L1581+N1581+O1581-P1581-M1581</f>
        <v/>
      </c>
    </row>
    <row r="1582">
      <c r="A1582" s="16" t="inlineStr">
        <is>
          <t>5.15-5.21</t>
        </is>
      </c>
      <c r="B1582" s="16" t="inlineStr">
        <is>
          <t>PO-128-01797481278071095</t>
        </is>
      </c>
      <c r="C1582" s="16" t="inlineStr">
        <is>
          <t>Shipped</t>
        </is>
      </c>
      <c r="D1582" s="16" t="inlineStr">
        <is>
          <t>128-01797439335031095</t>
        </is>
      </c>
      <c r="E1582" s="16" t="inlineStr">
        <is>
          <t>Shipped</t>
        </is>
      </c>
      <c r="F1582" s="16" t="inlineStr">
        <is>
          <t>MB-174-N</t>
        </is>
      </c>
      <c r="G1582" s="16" t="inlineStr">
        <is>
          <t>LINK BITS MB-174 Mini Bocina Bluetooth Soporte para Celular Integrado TWS Luz Ambiental 5W 80dB Sonido Claro Carga TYPE-C Material ABS Portátil Ideal como Regalo para Hogar Oficina Exterior Picnic</t>
        </is>
      </c>
      <c r="H1582" s="16" t="inlineStr">
        <is>
          <t>NEGRO</t>
        </is>
      </c>
      <c r="I1582" s="16" t="n">
        <v>7</v>
      </c>
      <c r="J1582" s="17" t="n">
        <v>661.5</v>
      </c>
      <c r="K1582" s="17" t="n">
        <v>529.15</v>
      </c>
      <c r="L1582" s="17" t="n">
        <v>0</v>
      </c>
      <c r="M1582" s="17" t="n">
        <v>7.07</v>
      </c>
      <c r="N1582" s="17">
        <f>K1582*0.08+L1582*0.08</f>
        <v/>
      </c>
      <c r="O1582" s="17">
        <f>-(K1582*0.025+L1582*0.025)</f>
        <v/>
      </c>
      <c r="P1582" s="17">
        <f>32</f>
        <v/>
      </c>
      <c r="Q1582" s="17">
        <f>J1582+L1582+N1582+O1582-P1582-M1582</f>
        <v/>
      </c>
    </row>
    <row r="1583">
      <c r="A1583" s="16" t="inlineStr">
        <is>
          <t>5.15-5.21</t>
        </is>
      </c>
      <c r="B1583" s="16" t="inlineStr">
        <is>
          <t>PO-128-01863153592951791</t>
        </is>
      </c>
      <c r="C1583" s="16" t="inlineStr">
        <is>
          <t>Shipped</t>
        </is>
      </c>
      <c r="D1583" s="16" t="inlineStr">
        <is>
          <t>128-01863181118071791</t>
        </is>
      </c>
      <c r="E1583" s="16" t="inlineStr">
        <is>
          <t>Shipped</t>
        </is>
      </c>
      <c r="F1583" s="16" t="inlineStr">
        <is>
          <t>LV54W25</t>
        </is>
      </c>
      <c r="G1583" s="16" t="inlineStr">
        <is>
          <t>TIANLAI Lámpara Ventilador E27 2 en 1, Silenciosa, LED Alta Luminosidad 180°, Instalación Rápida, Ahorro Energético para Dormitorio y Interiores Pequeños</t>
        </is>
      </c>
      <c r="H1583" s="16" t="inlineStr">
        <is>
          <t>1 Pieza</t>
        </is>
      </c>
      <c r="I1583" s="16" t="n">
        <v>1</v>
      </c>
      <c r="J1583" s="17" t="n">
        <v>75.8</v>
      </c>
      <c r="K1583" s="17" t="n">
        <v>77.86</v>
      </c>
      <c r="L1583" s="17" t="n">
        <v>25.86</v>
      </c>
      <c r="M1583" s="17" t="n">
        <v>0</v>
      </c>
      <c r="N1583" s="17">
        <f>K1583*0.08+L1583*0.08</f>
        <v/>
      </c>
      <c r="O1583" s="17">
        <f>-(K1583*0.025+L1583*0.025)</f>
        <v/>
      </c>
      <c r="P1583" s="17">
        <f>32</f>
        <v/>
      </c>
      <c r="Q1583" s="17">
        <f>J1583+L1583+N1583+O1583-P1583-M1583</f>
        <v/>
      </c>
    </row>
    <row r="1584">
      <c r="A1584" s="16" t="inlineStr">
        <is>
          <t>5.15-5.21</t>
        </is>
      </c>
      <c r="B1584" s="16" t="inlineStr">
        <is>
          <t>PO-128-01703792446072613</t>
        </is>
      </c>
      <c r="C1584" s="16" t="inlineStr">
        <is>
          <t>Shipped</t>
        </is>
      </c>
      <c r="D1584" s="16" t="inlineStr">
        <is>
          <t>128-01703837010552613</t>
        </is>
      </c>
      <c r="E1584" s="16" t="inlineStr">
        <is>
          <t>Shipped</t>
        </is>
      </c>
      <c r="F1584" s="16" t="inlineStr">
        <is>
          <t>SB428T</t>
        </is>
      </c>
      <c r="G1584" s="16" t="inlineStr">
        <is>
          <t>LINK BITS Bocina Portátil con 2 Altavoces de 4" (5W×2), Sonido Potente, Luces LED, Bluetooth, USB/TF/FM - Ideal para Reuniones, Fiestas y Picnics en México</t>
        </is>
      </c>
      <c r="H1584" s="16" t="inlineStr">
        <is>
          <t>SB428T</t>
        </is>
      </c>
      <c r="I1584" s="16" t="n">
        <v>1</v>
      </c>
      <c r="J1584" s="17" t="n">
        <v>97</v>
      </c>
      <c r="K1584" s="17" t="n">
        <v>86.62</v>
      </c>
      <c r="L1584" s="17" t="n">
        <v>25.86</v>
      </c>
      <c r="M1584" s="17" t="n">
        <v>0</v>
      </c>
      <c r="N1584" s="17">
        <f>K1584*0.08+L1584*0.08</f>
        <v/>
      </c>
      <c r="O1584" s="17">
        <f>-(K1584*0.025+L1584*0.025)</f>
        <v/>
      </c>
      <c r="P1584" s="17">
        <f>32</f>
        <v/>
      </c>
      <c r="Q1584" s="17">
        <f>J1584+L1584+N1584+O1584-P1584-M1584</f>
        <v/>
      </c>
    </row>
    <row r="1585">
      <c r="A1585" s="16" t="inlineStr">
        <is>
          <t>5.15-5.21</t>
        </is>
      </c>
      <c r="B1585" s="16" t="inlineStr">
        <is>
          <t>PO-128-21053080801911968</t>
        </is>
      </c>
      <c r="C1585" s="16" t="inlineStr">
        <is>
          <t>Shipped</t>
        </is>
      </c>
      <c r="D1585" s="16" t="inlineStr">
        <is>
          <t>128-21053185659511968</t>
        </is>
      </c>
      <c r="E1585" s="16" t="inlineStr">
        <is>
          <t>Shipped</t>
        </is>
      </c>
      <c r="F1585" s="16" t="inlineStr">
        <is>
          <t>LV64W25</t>
        </is>
      </c>
      <c r="G15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85" s="16" t="inlineStr">
        <is>
          <t>Blanco</t>
        </is>
      </c>
      <c r="I1585" s="16" t="n">
        <v>2</v>
      </c>
      <c r="J1585" s="17" t="n">
        <v>238</v>
      </c>
      <c r="K1585" s="17" t="n">
        <v>219.64</v>
      </c>
      <c r="L1585" s="17" t="n">
        <v>0</v>
      </c>
      <c r="M1585" s="17" t="n">
        <v>0</v>
      </c>
      <c r="N1585" s="17">
        <f>K1585*0.08+L1585*0.08</f>
        <v/>
      </c>
      <c r="O1585" s="17">
        <f>-(K1585*0.025+L1585*0.025)</f>
        <v/>
      </c>
      <c r="P1585" s="17">
        <f>32</f>
        <v/>
      </c>
      <c r="Q1585" s="17">
        <f>J1585+L1585+N1585+O1585-P1585-M1585</f>
        <v/>
      </c>
    </row>
    <row r="1586">
      <c r="A1586" s="16" t="inlineStr">
        <is>
          <t>5.15-5.21</t>
        </is>
      </c>
      <c r="B1586" s="16" t="inlineStr">
        <is>
          <t>PO-128-20885281024633035</t>
        </is>
      </c>
      <c r="C1586" s="16" t="inlineStr">
        <is>
          <t>Shipped</t>
        </is>
      </c>
      <c r="D1586" s="16" t="inlineStr">
        <is>
          <t>128-20885239081593035</t>
        </is>
      </c>
      <c r="E1586" s="16" t="inlineStr">
        <is>
          <t>Shipped</t>
        </is>
      </c>
      <c r="F1586" s="16" t="inlineStr">
        <is>
          <t>LV54W25</t>
        </is>
      </c>
      <c r="G1586" s="16" t="inlineStr">
        <is>
          <t>TIANLAI Lámpara Ventilador E27 2 en 1, Silenciosa, LED Alta Luminosidad 180°, Instalación Rápida, Ahorro Energético para Dormitorio y Interiores Pequeños</t>
        </is>
      </c>
      <c r="H1586" s="16" t="inlineStr">
        <is>
          <t>1 Pieza</t>
        </is>
      </c>
      <c r="I1586" s="16" t="n">
        <v>2</v>
      </c>
      <c r="J1586" s="17" t="n">
        <v>151.6</v>
      </c>
      <c r="K1586" s="17" t="n">
        <v>158.1</v>
      </c>
      <c r="L1586" s="17" t="n">
        <v>25.86</v>
      </c>
      <c r="M1586" s="17" t="n">
        <v>0</v>
      </c>
      <c r="N1586" s="17">
        <f>K1586*0.08+L1586*0.08</f>
        <v/>
      </c>
      <c r="O1586" s="17">
        <f>-(K1586*0.025+L1586*0.025)</f>
        <v/>
      </c>
      <c r="P1586" s="17">
        <f>32</f>
        <v/>
      </c>
      <c r="Q1586" s="17">
        <f>J1586+L1586+N1586+O1586-P1586-M1586</f>
        <v/>
      </c>
    </row>
    <row r="1587">
      <c r="A1587" s="16" t="inlineStr">
        <is>
          <t>5.15-5.21</t>
        </is>
      </c>
      <c r="B1587" s="16" t="inlineStr">
        <is>
          <t>PO-128-09983966454391515</t>
        </is>
      </c>
      <c r="C1587" s="16" t="inlineStr">
        <is>
          <t>Shipped</t>
        </is>
      </c>
      <c r="D1587" s="16" t="inlineStr">
        <is>
          <t>128-09983976940151515</t>
        </is>
      </c>
      <c r="E1587" s="16" t="inlineStr">
        <is>
          <t>Shipped</t>
        </is>
      </c>
      <c r="F1587" s="16" t="inlineStr">
        <is>
          <t>LV54W25</t>
        </is>
      </c>
      <c r="G1587" s="16" t="inlineStr">
        <is>
          <t>TIANLAI Lámpara Ventilador E27 2 en 1, Silenciosa, LED Alta Luminosidad 180°, Instalación Rápida, Ahorro Energético para Dormitorio y Interiores Pequeños</t>
        </is>
      </c>
      <c r="H1587" s="16" t="inlineStr">
        <is>
          <t>1 Pieza</t>
        </is>
      </c>
      <c r="I1587" s="16" t="n">
        <v>1</v>
      </c>
      <c r="J1587" s="17" t="n">
        <v>75.8</v>
      </c>
      <c r="K1587" s="17" t="n">
        <v>87.56999999999999</v>
      </c>
      <c r="L1587" s="17" t="n">
        <v>25.86</v>
      </c>
      <c r="M1587" s="17" t="n">
        <v>0</v>
      </c>
      <c r="N1587" s="17">
        <f>K1587*0.08+L1587*0.08</f>
        <v/>
      </c>
      <c r="O1587" s="17">
        <f>-(K1587*0.025+L1587*0.025)</f>
        <v/>
      </c>
      <c r="P1587" s="17">
        <f>32</f>
        <v/>
      </c>
      <c r="Q1587" s="17">
        <f>J1587+L1587+N1587+O1587-P1587-M1587</f>
        <v/>
      </c>
    </row>
    <row r="1588">
      <c r="A1588" s="16" t="inlineStr">
        <is>
          <t>5.15-5.21</t>
        </is>
      </c>
      <c r="B1588" s="16" t="inlineStr">
        <is>
          <t>PO-128-14932502328951586</t>
        </is>
      </c>
      <c r="C1588" s="16" t="inlineStr">
        <is>
          <t>Delivered</t>
        </is>
      </c>
      <c r="D1588" s="16" t="inlineStr">
        <is>
          <t>128-14932523300471586</t>
        </is>
      </c>
      <c r="E1588" s="16" t="inlineStr">
        <is>
          <t>Delivered</t>
        </is>
      </c>
      <c r="F1588" s="16" t="inlineStr">
        <is>
          <t>LV54W25</t>
        </is>
      </c>
      <c r="G1588" s="16" t="inlineStr">
        <is>
          <t>TIANLAI Lámpara Ventilador E27 2 en 1, Silenciosa, LED Alta Luminosidad 180°, Instalación Rápida, Ahorro Energético para Dormitorio y Interiores Pequeños</t>
        </is>
      </c>
      <c r="H1588" s="16" t="inlineStr">
        <is>
          <t>1 Pieza</t>
        </is>
      </c>
      <c r="I1588" s="16" t="n">
        <v>1</v>
      </c>
      <c r="J1588" s="17" t="n">
        <v>74</v>
      </c>
      <c r="K1588" s="17" t="n">
        <v>77.12</v>
      </c>
      <c r="L1588" s="17" t="n">
        <v>25.86</v>
      </c>
      <c r="M1588" s="17" t="n">
        <v>0</v>
      </c>
      <c r="N1588" s="17">
        <f>K1588*0.08+L1588*0.08</f>
        <v/>
      </c>
      <c r="O1588" s="17">
        <f>-(K1588*0.025+L1588*0.025)</f>
        <v/>
      </c>
      <c r="P1588" s="17">
        <f>32</f>
        <v/>
      </c>
      <c r="Q1588" s="17">
        <f>J1588+L1588+N1588+O1588-P1588-M1588</f>
        <v/>
      </c>
    </row>
    <row r="1589">
      <c r="A1589" s="16" t="inlineStr">
        <is>
          <t>5.15-5.21</t>
        </is>
      </c>
      <c r="B1589" s="16" t="inlineStr">
        <is>
          <t>PO-128-15091650888310767</t>
        </is>
      </c>
      <c r="C1589" s="16" t="inlineStr">
        <is>
          <t>Delivered</t>
        </is>
      </c>
      <c r="D1589" s="16" t="inlineStr">
        <is>
          <t>128-15091671859830767</t>
        </is>
      </c>
      <c r="E1589" s="16" t="inlineStr">
        <is>
          <t>Delivered</t>
        </is>
      </c>
      <c r="F1589" s="16" t="inlineStr">
        <is>
          <t>LV54W25</t>
        </is>
      </c>
      <c r="G1589" s="16" t="inlineStr">
        <is>
          <t>TIANLAI Lámpara Ventilador E27 2 en 1, Silenciosa, LED Alta Luminosidad 180°, Instalación Rápida, Ahorro Energético para Dormitorio y Interiores Pequeños</t>
        </is>
      </c>
      <c r="H1589" s="16" t="inlineStr">
        <is>
          <t>1 Pieza</t>
        </is>
      </c>
      <c r="I1589" s="16" t="n">
        <v>2</v>
      </c>
      <c r="J1589" s="17" t="n">
        <v>148</v>
      </c>
      <c r="K1589" s="17" t="n">
        <v>152.52</v>
      </c>
      <c r="L1589" s="17" t="n">
        <v>25.86</v>
      </c>
      <c r="M1589" s="17" t="n">
        <v>0</v>
      </c>
      <c r="N1589" s="17">
        <f>K1589*0.08+L1589*0.08</f>
        <v/>
      </c>
      <c r="O1589" s="17">
        <f>-(K1589*0.025+L1589*0.025)</f>
        <v/>
      </c>
      <c r="P1589" s="17">
        <f>32</f>
        <v/>
      </c>
      <c r="Q1589" s="17">
        <f>J1589+L1589+N1589+O1589-P1589-M1589</f>
        <v/>
      </c>
    </row>
    <row r="1590">
      <c r="A1590" s="16" t="inlineStr">
        <is>
          <t>5.15-5.21</t>
        </is>
      </c>
      <c r="B1590" s="16" t="inlineStr">
        <is>
          <t>PO-128-15093329316470757</t>
        </is>
      </c>
      <c r="C1590" s="16" t="inlineStr">
        <is>
          <t>Delivered</t>
        </is>
      </c>
      <c r="D1590" s="16" t="inlineStr">
        <is>
          <t>128-15093371259510757</t>
        </is>
      </c>
      <c r="E1590" s="16" t="inlineStr">
        <is>
          <t>Delivered</t>
        </is>
      </c>
      <c r="F1590" s="16" t="inlineStr">
        <is>
          <t>LV54W25</t>
        </is>
      </c>
      <c r="G1590" s="16" t="inlineStr">
        <is>
          <t>TIANLAI Lámpara Ventilador E27 2 en 1, Silenciosa, LED Alta Luminosidad 180°, Instalación Rápida, Ahorro Energético para Dormitorio y Interiores Pequeños</t>
        </is>
      </c>
      <c r="H1590" s="16" t="inlineStr">
        <is>
          <t>1 Pieza</t>
        </is>
      </c>
      <c r="I1590" s="16" t="n">
        <v>1</v>
      </c>
      <c r="J1590" s="17" t="n">
        <v>74</v>
      </c>
      <c r="K1590" s="17" t="n">
        <v>76.26000000000001</v>
      </c>
      <c r="L1590" s="17" t="n">
        <v>25.86</v>
      </c>
      <c r="M1590" s="17" t="n">
        <v>0</v>
      </c>
      <c r="N1590" s="17">
        <f>K1590*0.08+L1590*0.08</f>
        <v/>
      </c>
      <c r="O1590" s="17">
        <f>-(K1590*0.025+L1590*0.025)</f>
        <v/>
      </c>
      <c r="P1590" s="17">
        <f>32</f>
        <v/>
      </c>
      <c r="Q1590" s="17">
        <f>J1590+L1590+N1590+O1590-P1590-M1590</f>
        <v/>
      </c>
    </row>
    <row r="1591">
      <c r="A1591" s="16" t="inlineStr">
        <is>
          <t>5.15-5.21</t>
        </is>
      </c>
      <c r="B1591" s="16" t="inlineStr">
        <is>
          <t>PO-128-14568048415353758</t>
        </is>
      </c>
      <c r="C1591" s="16" t="inlineStr">
        <is>
          <t>Delivered</t>
        </is>
      </c>
      <c r="D1591" s="16" t="inlineStr">
        <is>
          <t>128-14568030065273758</t>
        </is>
      </c>
      <c r="E1591" s="16" t="inlineStr">
        <is>
          <t>Delivered</t>
        </is>
      </c>
      <c r="F1591" s="16" t="inlineStr">
        <is>
          <t>LV54W25</t>
        </is>
      </c>
      <c r="G1591" s="16" t="inlineStr">
        <is>
          <t>TIANLAI Lámpara Ventilador E27 2 en 1, Silenciosa, LED Alta Luminosidad 180°, Instalación Rápida, Ahorro Energético para Dormitorio y Interiores Pequeños</t>
        </is>
      </c>
      <c r="H1591" s="16" t="inlineStr">
        <is>
          <t>1 Pieza</t>
        </is>
      </c>
      <c r="I1591" s="16" t="n">
        <v>1</v>
      </c>
      <c r="J1591" s="17" t="n">
        <v>74</v>
      </c>
      <c r="K1591" s="17" t="n">
        <v>77.12</v>
      </c>
      <c r="L1591" s="17" t="n">
        <v>25.86</v>
      </c>
      <c r="M1591" s="17" t="n">
        <v>0</v>
      </c>
      <c r="N1591" s="17">
        <f>K1591*0.08+L1591*0.08</f>
        <v/>
      </c>
      <c r="O1591" s="17">
        <f>-(K1591*0.025+L1591*0.025)</f>
        <v/>
      </c>
      <c r="P1591" s="17">
        <f>32</f>
        <v/>
      </c>
      <c r="Q1591" s="17">
        <f>J1591+L1591+N1591+O1591-P1591-M1591</f>
        <v/>
      </c>
    </row>
    <row r="1592">
      <c r="A1592" s="16" t="inlineStr">
        <is>
          <t>5.15-5.21</t>
        </is>
      </c>
      <c r="B1592" s="16" t="inlineStr">
        <is>
          <t>PO-128-14555965031033958</t>
        </is>
      </c>
      <c r="C1592" s="16" t="inlineStr">
        <is>
          <t>Delivered</t>
        </is>
      </c>
      <c r="D1592" s="16" t="inlineStr">
        <is>
          <t>128-14556006974073958</t>
        </is>
      </c>
      <c r="E1592" s="16" t="inlineStr">
        <is>
          <t>Delivered</t>
        </is>
      </c>
      <c r="F1592" s="16" t="inlineStr">
        <is>
          <t>LV54W25</t>
        </is>
      </c>
      <c r="G1592" s="16" t="inlineStr">
        <is>
          <t>TIANLAI Lámpara Ventilador E27 2 en 1, Silenciosa, LED Alta Luminosidad 180°, Instalación Rápida, Ahorro Energético para Dormitorio y Interiores Pequeños</t>
        </is>
      </c>
      <c r="H1592" s="16" t="inlineStr">
        <is>
          <t>1 Pieza</t>
        </is>
      </c>
      <c r="I1592" s="16" t="n">
        <v>4</v>
      </c>
      <c r="J1592" s="17" t="n">
        <v>296</v>
      </c>
      <c r="K1592" s="17" t="n">
        <v>305.04</v>
      </c>
      <c r="L1592" s="17" t="n">
        <v>0</v>
      </c>
      <c r="M1592" s="17" t="n">
        <v>0</v>
      </c>
      <c r="N1592" s="17">
        <f>K1592*0.08+L1592*0.08</f>
        <v/>
      </c>
      <c r="O1592" s="17">
        <f>-(K1592*0.025+L1592*0.025)</f>
        <v/>
      </c>
      <c r="P1592" s="17">
        <f>32</f>
        <v/>
      </c>
      <c r="Q1592" s="17">
        <f>J1592+L1592+N1592+O1592-P1592-M1592</f>
        <v/>
      </c>
    </row>
    <row r="1593">
      <c r="A1593" s="16" t="inlineStr">
        <is>
          <t>5.15-5.21</t>
        </is>
      </c>
      <c r="B1593" s="16" t="inlineStr">
        <is>
          <t>PO-128-04038230715510923</t>
        </is>
      </c>
      <c r="C1593" s="16" t="inlineStr">
        <is>
          <t>Delivered</t>
        </is>
      </c>
      <c r="D1593" s="16" t="inlineStr">
        <is>
          <t>128-04038251687030923</t>
        </is>
      </c>
      <c r="E1593" s="16" t="inlineStr">
        <is>
          <t>Delivered</t>
        </is>
      </c>
      <c r="F1593" s="16" t="inlineStr">
        <is>
          <t>LV64W25</t>
        </is>
      </c>
      <c r="G15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93" s="16" t="inlineStr">
        <is>
          <t>Blanco</t>
        </is>
      </c>
      <c r="I1593" s="16" t="n">
        <v>1</v>
      </c>
      <c r="J1593" s="17" t="n">
        <v>125</v>
      </c>
      <c r="K1593" s="17" t="n">
        <v>130.37</v>
      </c>
      <c r="L1593" s="17" t="n">
        <v>25.86</v>
      </c>
      <c r="M1593" s="17" t="n">
        <v>0</v>
      </c>
      <c r="N1593" s="17">
        <f>K1593*0.08+L1593*0.08</f>
        <v/>
      </c>
      <c r="O1593" s="17">
        <f>-(K1593*0.025+L1593*0.025)</f>
        <v/>
      </c>
      <c r="P1593" s="17">
        <f>32</f>
        <v/>
      </c>
      <c r="Q1593" s="17">
        <f>J1593+L1593+N1593+O1593-P1593-M1593</f>
        <v/>
      </c>
    </row>
    <row r="1594">
      <c r="A1594" s="16" t="inlineStr">
        <is>
          <t>5.15-5.21</t>
        </is>
      </c>
      <c r="B1594" s="16" t="inlineStr">
        <is>
          <t>PO-128-03656128371832238</t>
        </is>
      </c>
      <c r="C1594" s="16" t="inlineStr">
        <is>
          <t>Delivered</t>
        </is>
      </c>
      <c r="D1594" s="16" t="inlineStr">
        <is>
          <t>128-03656149343352238</t>
        </is>
      </c>
      <c r="E1594" s="16" t="inlineStr">
        <is>
          <t>Delivered</t>
        </is>
      </c>
      <c r="F1594" s="16" t="inlineStr">
        <is>
          <t>LV54W25</t>
        </is>
      </c>
      <c r="G1594" s="16" t="inlineStr">
        <is>
          <t>TIANLAI Lámpara Ventilador E27 2 en 1, Silenciosa, LED Alta Luminosidad 180°, Instalación Rápida, Ahorro Energético para Dormitorio y Interiores Pequeños</t>
        </is>
      </c>
      <c r="H1594" s="16" t="inlineStr">
        <is>
          <t>1 Pieza</t>
        </is>
      </c>
      <c r="I1594" s="16" t="n">
        <v>1</v>
      </c>
      <c r="J1594" s="17" t="n">
        <v>74</v>
      </c>
      <c r="K1594" s="17" t="n">
        <v>77.12</v>
      </c>
      <c r="L1594" s="17" t="n">
        <v>25.86</v>
      </c>
      <c r="M1594" s="17" t="n">
        <v>0</v>
      </c>
      <c r="N1594" s="17">
        <f>K1594*0.08+L1594*0.08</f>
        <v/>
      </c>
      <c r="O1594" s="17">
        <f>-(K1594*0.025+L1594*0.025)</f>
        <v/>
      </c>
      <c r="P1594" s="17">
        <f>32</f>
        <v/>
      </c>
      <c r="Q1594" s="17">
        <f>J1594+L1594+N1594+O1594-P1594-M1594</f>
        <v/>
      </c>
    </row>
    <row r="1595">
      <c r="A1595" s="16" t="inlineStr">
        <is>
          <t>5.15-5.21</t>
        </is>
      </c>
      <c r="B1595" s="16" t="inlineStr">
        <is>
          <t>PO-128-03470946954873406</t>
        </is>
      </c>
      <c r="C1595" s="16" t="inlineStr">
        <is>
          <t>Delivered</t>
        </is>
      </c>
      <c r="D1595" s="16" t="inlineStr">
        <is>
          <t>128-03470988897913406</t>
        </is>
      </c>
      <c r="E1595" s="16" t="inlineStr">
        <is>
          <t>Delivered</t>
        </is>
      </c>
      <c r="F1595" s="16" t="inlineStr">
        <is>
          <t>LV64W25</t>
        </is>
      </c>
      <c r="G15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95" s="16" t="inlineStr">
        <is>
          <t>Blanco</t>
        </is>
      </c>
      <c r="I1595" s="16" t="n">
        <v>2</v>
      </c>
      <c r="J1595" s="17" t="n">
        <v>250</v>
      </c>
      <c r="K1595" s="17" t="n">
        <v>206.32</v>
      </c>
      <c r="L1595" s="17" t="n">
        <v>0</v>
      </c>
      <c r="M1595" s="17" t="n">
        <v>0</v>
      </c>
      <c r="N1595" s="17">
        <f>K1595*0.08+L1595*0.08</f>
        <v/>
      </c>
      <c r="O1595" s="17">
        <f>-(K1595*0.025+L1595*0.025)</f>
        <v/>
      </c>
      <c r="P1595" s="17">
        <f>32</f>
        <v/>
      </c>
      <c r="Q1595" s="17">
        <f>J1595+L1595+N1595+O1595-P1595-M1595</f>
        <v/>
      </c>
    </row>
    <row r="1596">
      <c r="A1596" s="16" t="inlineStr">
        <is>
          <t>5.15-5.21</t>
        </is>
      </c>
      <c r="B1596" s="16" t="inlineStr">
        <is>
          <t>PO-128-03470946954873406</t>
        </is>
      </c>
      <c r="C1596" s="16" t="inlineStr">
        <is>
          <t>Delivered</t>
        </is>
      </c>
      <c r="D1596" s="16" t="inlineStr">
        <is>
          <t>128-03471009869433406</t>
        </is>
      </c>
      <c r="E1596" s="16" t="inlineStr">
        <is>
          <t>Delivered</t>
        </is>
      </c>
      <c r="F1596" s="16" t="inlineStr">
        <is>
          <t>LV54W25</t>
        </is>
      </c>
      <c r="G1596" s="16" t="inlineStr">
        <is>
          <t>TIANLAI Lámpara Ventilador E27 2 en 1, Silenciosa, LED Alta Luminosidad 180°, Instalación Rápida, Ahorro Energético para Dormitorio y Interiores Pequeños</t>
        </is>
      </c>
      <c r="H1596" s="16" t="inlineStr">
        <is>
          <t>1 Pieza</t>
        </is>
      </c>
      <c r="I1596" s="16" t="n">
        <v>2</v>
      </c>
      <c r="J1596" s="17" t="n">
        <v>148</v>
      </c>
      <c r="K1596" s="17" t="n">
        <v>122.01</v>
      </c>
      <c r="L1596" s="17" t="n">
        <v>0</v>
      </c>
      <c r="M1596" s="17" t="n">
        <v>0</v>
      </c>
      <c r="N1596" s="17">
        <f>K1596*0.08+L1596*0.08</f>
        <v/>
      </c>
      <c r="O1596" s="17">
        <f>-(K1596*0.025+L1596*0.025)</f>
        <v/>
      </c>
      <c r="P1596" s="17">
        <f>32</f>
        <v/>
      </c>
      <c r="Q1596" s="17">
        <f>J1596+L1596+N1596+O1596-P1596-M1596</f>
        <v/>
      </c>
    </row>
    <row r="1597">
      <c r="A1597" s="16" t="inlineStr">
        <is>
          <t>5.15-5.21</t>
        </is>
      </c>
      <c r="B1597" s="16" t="inlineStr">
        <is>
          <t>PO-128-03663646231672259</t>
        </is>
      </c>
      <c r="C1597" s="16" t="inlineStr">
        <is>
          <t>Delivered</t>
        </is>
      </c>
      <c r="D1597" s="16" t="inlineStr">
        <is>
          <t>128-03663714389112259</t>
        </is>
      </c>
      <c r="E1597" s="16" t="inlineStr">
        <is>
          <t>Delivered</t>
        </is>
      </c>
      <c r="F1597" s="16" t="inlineStr">
        <is>
          <t>B03W10-10PZS</t>
        </is>
      </c>
      <c r="G159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597" s="16" t="inlineStr">
        <is>
          <t>B03W10</t>
        </is>
      </c>
      <c r="I1597" s="16" t="n">
        <v>1</v>
      </c>
      <c r="J1597" s="17" t="n">
        <v>77</v>
      </c>
      <c r="K1597" s="17" t="n">
        <v>89.94</v>
      </c>
      <c r="L1597" s="17" t="n">
        <v>25.86</v>
      </c>
      <c r="M1597" s="17" t="n">
        <v>0</v>
      </c>
      <c r="N1597" s="17">
        <f>K1597*0.08+L1597*0.08</f>
        <v/>
      </c>
      <c r="O1597" s="17">
        <f>-(K1597*0.025+L1597*0.025)</f>
        <v/>
      </c>
      <c r="P1597" s="17">
        <f>32</f>
        <v/>
      </c>
      <c r="Q1597" s="17">
        <f>J1597+L1597+N1597+O1597-P1597-M1597</f>
        <v/>
      </c>
    </row>
    <row r="1598">
      <c r="A1598" s="16" t="inlineStr">
        <is>
          <t>5.15-5.21</t>
        </is>
      </c>
      <c r="B1598" s="16" t="inlineStr">
        <is>
          <t>PO-128-03906591153271899</t>
        </is>
      </c>
      <c r="C1598" s="16" t="inlineStr">
        <is>
          <t>Delivered</t>
        </is>
      </c>
      <c r="D1598" s="16" t="inlineStr">
        <is>
          <t>128-03906601639031899</t>
        </is>
      </c>
      <c r="E1598" s="16" t="inlineStr">
        <is>
          <t>Delivered</t>
        </is>
      </c>
      <c r="F1598" s="16" t="inlineStr">
        <is>
          <t>LV64W25</t>
        </is>
      </c>
      <c r="G15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598" s="16" t="inlineStr">
        <is>
          <t>Blanco</t>
        </is>
      </c>
      <c r="I1598" s="16" t="n">
        <v>1</v>
      </c>
      <c r="J1598" s="17" t="n">
        <v>125</v>
      </c>
      <c r="K1598" s="17" t="n">
        <v>128.94</v>
      </c>
      <c r="L1598" s="17" t="n">
        <v>25.86</v>
      </c>
      <c r="M1598" s="17" t="n">
        <v>0</v>
      </c>
      <c r="N1598" s="17">
        <f>K1598*0.08+L1598*0.08</f>
        <v/>
      </c>
      <c r="O1598" s="17">
        <f>-(K1598*0.025+L1598*0.025)</f>
        <v/>
      </c>
      <c r="P1598" s="17">
        <f>32</f>
        <v/>
      </c>
      <c r="Q1598" s="17">
        <f>J1598+L1598+N1598+O1598-P1598-M1598</f>
        <v/>
      </c>
    </row>
    <row r="1599">
      <c r="A1599" s="16" t="inlineStr">
        <is>
          <t>5.15-5.21</t>
        </is>
      </c>
      <c r="B1599" s="16" t="inlineStr">
        <is>
          <t>PO-128-03732467264632937</t>
        </is>
      </c>
      <c r="C1599" s="16" t="inlineStr">
        <is>
          <t>Delivered</t>
        </is>
      </c>
      <c r="D1599" s="16" t="inlineStr">
        <is>
          <t>128-03732572122232937</t>
        </is>
      </c>
      <c r="E1599" s="16" t="inlineStr">
        <is>
          <t>Delivered</t>
        </is>
      </c>
      <c r="F1599" s="16" t="inlineStr">
        <is>
          <t>KTS-2031</t>
        </is>
      </c>
      <c r="G1599" s="16" t="inlineStr">
        <is>
          <t>Bocina inalámbrica de 3 pulgadas con linterna multifuncional y panel solar integrado.Altavoz Portátil con Linterna LED 4 Modos, Radio FM, Bluetooth, Carga Solar, Ideal para Apagones, Emergencias, Campo y Exteriores</t>
        </is>
      </c>
      <c r="H1599" s="16" t="inlineStr">
        <is>
          <t>NEGRO</t>
        </is>
      </c>
      <c r="I1599" s="16" t="n">
        <v>1</v>
      </c>
      <c r="J1599" s="17" t="n">
        <v>77</v>
      </c>
      <c r="K1599" s="17" t="n">
        <v>86.22</v>
      </c>
      <c r="L1599" s="17" t="n">
        <v>25.86</v>
      </c>
      <c r="M1599" s="17" t="n">
        <v>0</v>
      </c>
      <c r="N1599" s="17">
        <f>K1599*0.08+L1599*0.08</f>
        <v/>
      </c>
      <c r="O1599" s="17">
        <f>-(K1599*0.025+L1599*0.025)</f>
        <v/>
      </c>
      <c r="P1599" s="17">
        <f>32</f>
        <v/>
      </c>
      <c r="Q1599" s="17">
        <f>J1599+L1599+N1599+O1599-P1599-M1599</f>
        <v/>
      </c>
    </row>
    <row r="1600">
      <c r="A1600" s="16" t="inlineStr">
        <is>
          <t>5.15-5.21</t>
        </is>
      </c>
      <c r="B1600" s="16" t="inlineStr">
        <is>
          <t>PO-128-03842159048311259</t>
        </is>
      </c>
      <c r="C1600" s="16" t="inlineStr">
        <is>
          <t>Delivered</t>
        </is>
      </c>
      <c r="D1600" s="16" t="inlineStr">
        <is>
          <t>128-03842153805431259</t>
        </is>
      </c>
      <c r="E1600" s="16" t="inlineStr">
        <is>
          <t>Delivered</t>
        </is>
      </c>
      <c r="F1600" s="16" t="inlineStr">
        <is>
          <t>SA323T</t>
        </is>
      </c>
      <c r="G1600"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600" s="16" t="inlineStr">
        <is>
          <t>AZUL/SA323T</t>
        </is>
      </c>
      <c r="I1600" s="16" t="n">
        <v>1</v>
      </c>
      <c r="J1600" s="17" t="n">
        <v>50</v>
      </c>
      <c r="K1600" s="17" t="n">
        <v>59.06</v>
      </c>
      <c r="L1600" s="17" t="n">
        <v>25.86</v>
      </c>
      <c r="M1600" s="17" t="n">
        <v>0</v>
      </c>
      <c r="N1600" s="17">
        <f>K1600*0.08+L1600*0.08</f>
        <v/>
      </c>
      <c r="O1600" s="17">
        <f>-(K1600*0.025+L1600*0.025)</f>
        <v/>
      </c>
      <c r="P1600" s="17">
        <f>32</f>
        <v/>
      </c>
      <c r="Q1600" s="17">
        <f>J1600+L1600+N1600+O1600-P1600-M1600</f>
        <v/>
      </c>
    </row>
    <row r="1601">
      <c r="A1601" s="16" t="inlineStr">
        <is>
          <t>5.15-5.21</t>
        </is>
      </c>
      <c r="B1601" s="16" t="inlineStr">
        <is>
          <t>PO-128-04012872597110240</t>
        </is>
      </c>
      <c r="C1601" s="16" t="inlineStr">
        <is>
          <t>Delivered</t>
        </is>
      </c>
      <c r="D1601" s="16" t="inlineStr">
        <is>
          <t>128-04012925025910240</t>
        </is>
      </c>
      <c r="E1601" s="16" t="inlineStr">
        <is>
          <t>Delivered</t>
        </is>
      </c>
      <c r="F1601" s="16" t="inlineStr">
        <is>
          <t>KTS-2031</t>
        </is>
      </c>
      <c r="G1601" s="16" t="inlineStr">
        <is>
          <t>Bocina inalámbrica de 3 pulgadas con linterna multifuncional y panel solar integrado.Altavoz Portátil con Linterna LED 4 Modos, Radio FM, Bluetooth, Carga Solar, Ideal para Apagones, Emergencias, Campo y Exteriores</t>
        </is>
      </c>
      <c r="H1601" s="16" t="inlineStr">
        <is>
          <t>NEGRO</t>
        </is>
      </c>
      <c r="I1601" s="16" t="n">
        <v>2</v>
      </c>
      <c r="J1601" s="17" t="n">
        <v>154</v>
      </c>
      <c r="K1601" s="17" t="n">
        <v>172.44</v>
      </c>
      <c r="L1601" s="17" t="n">
        <v>25.86</v>
      </c>
      <c r="M1601" s="17" t="n">
        <v>0</v>
      </c>
      <c r="N1601" s="17">
        <f>K1601*0.08+L1601*0.08</f>
        <v/>
      </c>
      <c r="O1601" s="17">
        <f>-(K1601*0.025+L1601*0.025)</f>
        <v/>
      </c>
      <c r="P1601" s="17">
        <f>32</f>
        <v/>
      </c>
      <c r="Q1601" s="17">
        <f>J1601+L1601+N1601+O1601-P1601-M1601</f>
        <v/>
      </c>
    </row>
    <row r="1602">
      <c r="A1602" s="16" t="inlineStr">
        <is>
          <t>5.15-5.21</t>
        </is>
      </c>
      <c r="B1602" s="16" t="inlineStr">
        <is>
          <t>PO-128-03972133217910485</t>
        </is>
      </c>
      <c r="C1602" s="16" t="inlineStr">
        <is>
          <t>Delivered</t>
        </is>
      </c>
      <c r="D1602" s="16" t="inlineStr">
        <is>
          <t>128-03972087342710485</t>
        </is>
      </c>
      <c r="E1602" s="16" t="inlineStr">
        <is>
          <t>Delivered</t>
        </is>
      </c>
      <c r="F1602" s="16" t="inlineStr">
        <is>
          <t>TL1455N20B</t>
        </is>
      </c>
      <c r="G1602" s="16" t="inlineStr">
        <is>
          <t>LINK BITS Soporte para TV 14 A 55 Pulgadas, Base para TV Pantalla Articulado Inclinable y Giratorio, MAX VESA 400×400 mm, Soporta hasta 18kg, adaptarse a la mayoría de los televisores de 14 Pulgadas/20 Pulgadas/32 Pulgadas/42 Pulgadas/55 pulgadas</t>
        </is>
      </c>
      <c r="H1602" s="16" t="inlineStr">
        <is>
          <t>TL1455N20B</t>
        </is>
      </c>
      <c r="I1602" s="16" t="n">
        <v>1</v>
      </c>
      <c r="J1602" s="17" t="n">
        <v>71</v>
      </c>
      <c r="K1602" s="17" t="n">
        <v>70.47</v>
      </c>
      <c r="L1602" s="17" t="n">
        <v>25.86</v>
      </c>
      <c r="M1602" s="17" t="n">
        <v>0</v>
      </c>
      <c r="N1602" s="17">
        <f>K1602*0.08+L1602*0.08</f>
        <v/>
      </c>
      <c r="O1602" s="17">
        <f>-(K1602*0.025+L1602*0.025)</f>
        <v/>
      </c>
      <c r="P1602" s="17">
        <f>32</f>
        <v/>
      </c>
      <c r="Q1602" s="17">
        <f>J1602+L1602+N1602+O1602-P1602-M1602</f>
        <v/>
      </c>
    </row>
    <row r="1603">
      <c r="A1603" s="16" t="inlineStr">
        <is>
          <t>5.15-5.21</t>
        </is>
      </c>
      <c r="B1603" s="16" t="inlineStr">
        <is>
          <t>PO-128-04045421092470942</t>
        </is>
      </c>
      <c r="C1603" s="16" t="inlineStr">
        <is>
          <t>Delivered</t>
        </is>
      </c>
      <c r="D1603" s="16" t="inlineStr">
        <is>
          <t>128-04045389635190942</t>
        </is>
      </c>
      <c r="E1603" s="16" t="inlineStr">
        <is>
          <t>Delivered</t>
        </is>
      </c>
      <c r="F1603" s="16" t="inlineStr">
        <is>
          <t>KTS-2031</t>
        </is>
      </c>
      <c r="G1603" s="16" t="inlineStr">
        <is>
          <t>Bocina inalámbrica de 3 pulgadas con linterna multifuncional y panel solar integrado.Altavoz Portátil con Linterna LED 4 Modos, Radio FM, Bluetooth, Carga Solar, Ideal para Apagones, Emergencias, Campo y Exteriores</t>
        </is>
      </c>
      <c r="H1603" s="16" t="inlineStr">
        <is>
          <t>NEGRO</t>
        </is>
      </c>
      <c r="I1603" s="16" t="n">
        <v>1</v>
      </c>
      <c r="J1603" s="17" t="n">
        <v>77</v>
      </c>
      <c r="K1603" s="17" t="n">
        <v>86.22</v>
      </c>
      <c r="L1603" s="17" t="n">
        <v>25.86</v>
      </c>
      <c r="M1603" s="17" t="n">
        <v>0</v>
      </c>
      <c r="N1603" s="17">
        <f>K1603*0.08+L1603*0.08</f>
        <v/>
      </c>
      <c r="O1603" s="17">
        <f>-(K1603*0.025+L1603*0.025)</f>
        <v/>
      </c>
      <c r="P1603" s="17">
        <f>32</f>
        <v/>
      </c>
      <c r="Q1603" s="17">
        <f>J1603+L1603+N1603+O1603-P1603-M1603</f>
        <v/>
      </c>
    </row>
    <row r="1604">
      <c r="A1604" s="16" t="inlineStr">
        <is>
          <t>5.15-5.21</t>
        </is>
      </c>
      <c r="B1604" s="16" t="inlineStr">
        <is>
          <t>PO-128-03642808366712382</t>
        </is>
      </c>
      <c r="C1604" s="16" t="inlineStr">
        <is>
          <t>Delivered</t>
        </is>
      </c>
      <c r="D1604" s="16" t="inlineStr">
        <is>
          <t>128-03642818852472382</t>
        </is>
      </c>
      <c r="E1604" s="16" t="inlineStr">
        <is>
          <t>Delivered</t>
        </is>
      </c>
      <c r="F1604" s="16" t="inlineStr">
        <is>
          <t>KTS-2031</t>
        </is>
      </c>
      <c r="G1604" s="16" t="inlineStr">
        <is>
          <t>Bocina inalámbrica de 3 pulgadas con linterna multifuncional y panel solar integrado.Altavoz Portátil con Linterna LED 4 Modos, Radio FM, Bluetooth, Carga Solar, Ideal para Apagones, Emergencias, Campo y Exteriores</t>
        </is>
      </c>
      <c r="H1604" s="16" t="inlineStr">
        <is>
          <t>NEGRO</t>
        </is>
      </c>
      <c r="I1604" s="16" t="n">
        <v>3</v>
      </c>
      <c r="J1604" s="17" t="n">
        <v>231</v>
      </c>
      <c r="K1604" s="17" t="n">
        <v>258.66</v>
      </c>
      <c r="L1604" s="17" t="n">
        <v>0</v>
      </c>
      <c r="M1604" s="17" t="n">
        <v>0</v>
      </c>
      <c r="N1604" s="17">
        <f>K1604*0.08+L1604*0.08</f>
        <v/>
      </c>
      <c r="O1604" s="17">
        <f>-(K1604*0.025+L1604*0.025)</f>
        <v/>
      </c>
      <c r="P1604" s="17">
        <f>32</f>
        <v/>
      </c>
      <c r="Q1604" s="17">
        <f>J1604+L1604+N1604+O1604-P1604-M1604</f>
        <v/>
      </c>
    </row>
    <row r="1605">
      <c r="A1605" s="16" t="inlineStr">
        <is>
          <t>5.15-5.21</t>
        </is>
      </c>
      <c r="B1605" s="16" t="inlineStr">
        <is>
          <t>PO-128-03972128036470485</t>
        </is>
      </c>
      <c r="C1605" s="16" t="inlineStr">
        <is>
          <t>Delivered</t>
        </is>
      </c>
      <c r="D1605" s="16" t="inlineStr">
        <is>
          <t>128-03972117550710485</t>
        </is>
      </c>
      <c r="E1605" s="16" t="inlineStr">
        <is>
          <t>Delivered</t>
        </is>
      </c>
      <c r="F1605" s="16" t="inlineStr">
        <is>
          <t>TL1455N20B</t>
        </is>
      </c>
      <c r="G1605" s="16" t="inlineStr">
        <is>
          <t>LINK BITS Soporte para TV 14 A 55 Pulgadas, Base para TV Pantalla Articulado Inclinable y Giratorio, MAX VESA 400×400 mm, Soporta hasta 18kg, adaptarse a la mayoría de los televisores de 14 Pulgadas/20 Pulgadas/32 Pulgadas/42 Pulgadas/55 pulgadas</t>
        </is>
      </c>
      <c r="H1605" s="16" t="inlineStr">
        <is>
          <t>TL1455N20B</t>
        </is>
      </c>
      <c r="I1605" s="16" t="n">
        <v>1</v>
      </c>
      <c r="J1605" s="17" t="n">
        <v>71</v>
      </c>
      <c r="K1605" s="17" t="n">
        <v>92.06</v>
      </c>
      <c r="L1605" s="17" t="n">
        <v>25.86</v>
      </c>
      <c r="M1605" s="17" t="n">
        <v>0</v>
      </c>
      <c r="N1605" s="17">
        <f>K1605*0.08+L1605*0.08</f>
        <v/>
      </c>
      <c r="O1605" s="17">
        <f>-(K1605*0.025+L1605*0.025)</f>
        <v/>
      </c>
      <c r="P1605" s="17">
        <f>32</f>
        <v/>
      </c>
      <c r="Q1605" s="17">
        <f>J1605+L1605+N1605+O1605-P1605-M1605</f>
        <v/>
      </c>
    </row>
    <row r="1606">
      <c r="A1606" s="16" t="inlineStr">
        <is>
          <t>5.15-5.21</t>
        </is>
      </c>
      <c r="B1606" s="16" t="inlineStr">
        <is>
          <t>PO-128-03794922194551477</t>
        </is>
      </c>
      <c r="C1606" s="16" t="inlineStr">
        <is>
          <t>Delivered</t>
        </is>
      </c>
      <c r="D1606" s="16" t="inlineStr">
        <is>
          <t>128-03794869765751477</t>
        </is>
      </c>
      <c r="E1606" s="16" t="inlineStr">
        <is>
          <t>Delivered</t>
        </is>
      </c>
      <c r="F1606" s="16" t="inlineStr">
        <is>
          <t>LV64W25</t>
        </is>
      </c>
      <c r="G16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06" s="16" t="inlineStr">
        <is>
          <t>Blanco</t>
        </is>
      </c>
      <c r="I1606" s="16" t="n">
        <v>1</v>
      </c>
      <c r="J1606" s="17" t="n">
        <v>125</v>
      </c>
      <c r="K1606" s="17" t="n">
        <v>143.26</v>
      </c>
      <c r="L1606" s="17" t="n">
        <v>25.86</v>
      </c>
      <c r="M1606" s="17" t="n">
        <v>0</v>
      </c>
      <c r="N1606" s="17">
        <f>K1606*0.08+L1606*0.08</f>
        <v/>
      </c>
      <c r="O1606" s="17">
        <f>-(K1606*0.025+L1606*0.025)</f>
        <v/>
      </c>
      <c r="P1606" s="17">
        <f>32</f>
        <v/>
      </c>
      <c r="Q1606" s="17">
        <f>J1606+L1606+N1606+O1606-P1606-M1606</f>
        <v/>
      </c>
    </row>
    <row r="1607">
      <c r="A1607" s="16" t="inlineStr">
        <is>
          <t>5.15-5.21</t>
        </is>
      </c>
      <c r="B1607" s="16" t="inlineStr">
        <is>
          <t>PO-128-03880941548151986</t>
        </is>
      </c>
      <c r="C1607" s="16" t="inlineStr">
        <is>
          <t>Delivered</t>
        </is>
      </c>
      <c r="D1607" s="16" t="inlineStr">
        <is>
          <t>128-03880931062391986</t>
        </is>
      </c>
      <c r="E1607" s="16" t="inlineStr">
        <is>
          <t>Delivered</t>
        </is>
      </c>
      <c r="F1607" s="16" t="inlineStr">
        <is>
          <t>LV64W25</t>
        </is>
      </c>
      <c r="G16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07" s="16" t="inlineStr">
        <is>
          <t>Blanco</t>
        </is>
      </c>
      <c r="I1607" s="16" t="n">
        <v>3</v>
      </c>
      <c r="J1607" s="17" t="n">
        <v>375</v>
      </c>
      <c r="K1607" s="17" t="n">
        <v>429.78</v>
      </c>
      <c r="L1607" s="17" t="n">
        <v>0</v>
      </c>
      <c r="M1607" s="17" t="n">
        <v>0</v>
      </c>
      <c r="N1607" s="17">
        <f>K1607*0.08+L1607*0.08</f>
        <v/>
      </c>
      <c r="O1607" s="17">
        <f>-(K1607*0.025+L1607*0.025)</f>
        <v/>
      </c>
      <c r="P1607" s="17">
        <f>32</f>
        <v/>
      </c>
      <c r="Q1607" s="17">
        <f>J1607+L1607+N1607+O1607-P1607-M1607</f>
        <v/>
      </c>
    </row>
    <row r="1608">
      <c r="A1608" s="16" t="inlineStr">
        <is>
          <t>5.15-5.21</t>
        </is>
      </c>
      <c r="B1608" s="16" t="inlineStr">
        <is>
          <t>PO-128-03725111695992853</t>
        </is>
      </c>
      <c r="C1608" s="16" t="inlineStr">
        <is>
          <t>Delivered</t>
        </is>
      </c>
      <c r="D1608" s="16" t="inlineStr">
        <is>
          <t>128-03725153639032853</t>
        </is>
      </c>
      <c r="E1608" s="16" t="inlineStr">
        <is>
          <t>Delivered</t>
        </is>
      </c>
      <c r="F1608" s="16" t="inlineStr">
        <is>
          <t>LV54W25</t>
        </is>
      </c>
      <c r="G1608" s="16" t="inlineStr">
        <is>
          <t>TIANLAI Lámpara Ventilador E27 2 en 1, Silenciosa, LED Alta Luminosidad 180°, Instalación Rápida, Ahorro Energético para Dormitorio y Interiores Pequeños</t>
        </is>
      </c>
      <c r="H1608" s="16" t="inlineStr">
        <is>
          <t>1 Pieza</t>
        </is>
      </c>
      <c r="I1608" s="16" t="n">
        <v>1</v>
      </c>
      <c r="J1608" s="17" t="n">
        <v>76</v>
      </c>
      <c r="K1608" s="17" t="n">
        <v>78.91</v>
      </c>
      <c r="L1608" s="17" t="n">
        <v>25.86</v>
      </c>
      <c r="M1608" s="17" t="n">
        <v>0</v>
      </c>
      <c r="N1608" s="17">
        <f>K1608*0.08+L1608*0.08</f>
        <v/>
      </c>
      <c r="O1608" s="17">
        <f>-(K1608*0.025+L1608*0.025)</f>
        <v/>
      </c>
      <c r="P1608" s="17">
        <f>32</f>
        <v/>
      </c>
      <c r="Q1608" s="17">
        <f>J1608+L1608+N1608+O1608-P1608-M1608</f>
        <v/>
      </c>
    </row>
    <row r="1609">
      <c r="A1609" s="16" t="inlineStr">
        <is>
          <t>5.15-5.21</t>
        </is>
      </c>
      <c r="B1609" s="16" t="inlineStr">
        <is>
          <t>PO-128-03586755384953612</t>
        </is>
      </c>
      <c r="C1609" s="16" t="inlineStr">
        <is>
          <t>Delivered</t>
        </is>
      </c>
      <c r="D1609" s="16" t="inlineStr">
        <is>
          <t>128-03586776356473612</t>
        </is>
      </c>
      <c r="E1609" s="16" t="inlineStr">
        <is>
          <t>Delivered</t>
        </is>
      </c>
      <c r="F1609" s="16" t="inlineStr">
        <is>
          <t>BSC07</t>
        </is>
      </c>
      <c r="G1609" s="16" t="inlineStr">
        <is>
          <t>TIANLAI Báscula Digital BSC04/BSC07, Alta Precisión, Fácil Operación, Ligera y Portátil, Función Tara, Unidad Dual oz/g, Ideal para Cocina, Control de Porciones, Sellos y Objetos Pequeños, Uso en Hogar y Viaje</t>
        </is>
      </c>
      <c r="H1609" s="16" t="inlineStr">
        <is>
          <t>1g/White</t>
        </is>
      </c>
      <c r="I1609" s="16" t="n">
        <v>1</v>
      </c>
      <c r="J1609" s="17" t="n">
        <v>38</v>
      </c>
      <c r="K1609" s="17" t="n">
        <v>7.12</v>
      </c>
      <c r="L1609" s="17" t="n">
        <v>25.86</v>
      </c>
      <c r="M1609" s="17" t="n">
        <v>0</v>
      </c>
      <c r="N1609" s="17">
        <f>K1609*0.08+L1609*0.08</f>
        <v/>
      </c>
      <c r="O1609" s="17">
        <f>-(K1609*0.025+L1609*0.025)</f>
        <v/>
      </c>
      <c r="P1609" s="17">
        <f>32</f>
        <v/>
      </c>
      <c r="Q1609" s="17">
        <f>J1609+L1609+N1609+O1609-P1609-M1609</f>
        <v/>
      </c>
    </row>
    <row r="1610">
      <c r="A1610" s="16" t="inlineStr">
        <is>
          <t>5.15-5.21</t>
        </is>
      </c>
      <c r="B1610" s="16" t="inlineStr">
        <is>
          <t>PO-128-03881135575671987</t>
        </is>
      </c>
      <c r="C1610" s="16" t="inlineStr">
        <is>
          <t>Delivered</t>
        </is>
      </c>
      <c r="D1610" s="16" t="inlineStr">
        <is>
          <t>128-03881177518711987</t>
        </is>
      </c>
      <c r="E1610" s="16" t="inlineStr">
        <is>
          <t>Delivered</t>
        </is>
      </c>
      <c r="F1610" s="16" t="inlineStr">
        <is>
          <t>LV54W25</t>
        </is>
      </c>
      <c r="G1610" s="16" t="inlineStr">
        <is>
          <t>TIANLAI Lámpara Ventilador E27 2 en 1, Silenciosa, LED Alta Luminosidad 180°, Instalación Rápida, Ahorro Energético para Dormitorio y Interiores Pequeños</t>
        </is>
      </c>
      <c r="H1610" s="16" t="inlineStr">
        <is>
          <t>1 Pieza</t>
        </is>
      </c>
      <c r="I1610" s="16" t="n">
        <v>1</v>
      </c>
      <c r="J1610" s="17" t="n">
        <v>79</v>
      </c>
      <c r="K1610" s="17" t="n">
        <v>80.70999999999999</v>
      </c>
      <c r="L1610" s="17" t="n">
        <v>25.86</v>
      </c>
      <c r="M1610" s="17" t="n">
        <v>0</v>
      </c>
      <c r="N1610" s="17">
        <f>K1610*0.08+L1610*0.08</f>
        <v/>
      </c>
      <c r="O1610" s="17">
        <f>-(K1610*0.025+L1610*0.025)</f>
        <v/>
      </c>
      <c r="P1610" s="17">
        <f>32</f>
        <v/>
      </c>
      <c r="Q1610" s="17">
        <f>J1610+L1610+N1610+O1610-P1610-M1610</f>
        <v/>
      </c>
    </row>
    <row r="1611">
      <c r="A1611" s="16" t="inlineStr">
        <is>
          <t>5.15-5.21</t>
        </is>
      </c>
      <c r="B1611" s="16" t="inlineStr">
        <is>
          <t>PO-128-03749985526392769</t>
        </is>
      </c>
      <c r="C1611" s="16" t="inlineStr">
        <is>
          <t>Delivered</t>
        </is>
      </c>
      <c r="D1611" s="16" t="inlineStr">
        <is>
          <t>128-03749922611832769</t>
        </is>
      </c>
      <c r="E1611" s="16" t="inlineStr">
        <is>
          <t>Delivered</t>
        </is>
      </c>
      <c r="F1611" s="16" t="inlineStr">
        <is>
          <t>TL1455N20B</t>
        </is>
      </c>
      <c r="G1611" s="16" t="inlineStr">
        <is>
          <t>LINK BITS Soporte para TV 14 A 55 Pulgadas, Base para TV Pantalla Articulado Inclinable y Giratorio, MAX VESA 400×400 mm, Soporta hasta 18kg, adaptarse a la mayoría de los televisores de 14 Pulgadas/20 Pulgadas/32 Pulgadas/42 Pulgadas/55 pulgadas</t>
        </is>
      </c>
      <c r="H1611" s="16" t="inlineStr">
        <is>
          <t>TL1455N20B</t>
        </is>
      </c>
      <c r="I1611" s="16" t="n">
        <v>1</v>
      </c>
      <c r="J1611" s="17" t="n">
        <v>71</v>
      </c>
      <c r="K1611" s="17" t="n">
        <v>92.06</v>
      </c>
      <c r="L1611" s="17" t="n">
        <v>25.86</v>
      </c>
      <c r="M1611" s="17" t="n">
        <v>0</v>
      </c>
      <c r="N1611" s="17">
        <f>K1611*0.08+L1611*0.08</f>
        <v/>
      </c>
      <c r="O1611" s="17">
        <f>-(K1611*0.025+L1611*0.025)</f>
        <v/>
      </c>
      <c r="P1611" s="17">
        <f>32</f>
        <v/>
      </c>
      <c r="Q1611" s="17">
        <f>J1611+L1611+N1611+O1611-P1611-M1611</f>
        <v/>
      </c>
    </row>
    <row r="1612">
      <c r="A1612" s="16" t="inlineStr">
        <is>
          <t>5.15-5.21</t>
        </is>
      </c>
      <c r="B1612" s="16" t="inlineStr">
        <is>
          <t>PO-128-03915290573431718</t>
        </is>
      </c>
      <c r="C1612" s="16" t="inlineStr">
        <is>
          <t>Delivered</t>
        </is>
      </c>
      <c r="D1612" s="16" t="inlineStr">
        <is>
          <t>128-03915248630391718</t>
        </is>
      </c>
      <c r="E1612" s="16" t="inlineStr">
        <is>
          <t>Delivered</t>
        </is>
      </c>
      <c r="F1612" s="16" t="inlineStr">
        <is>
          <t>TL1455N20B</t>
        </is>
      </c>
      <c r="G1612" s="16" t="inlineStr">
        <is>
          <t>LINK BITS Soporte para TV 14 A 55 Pulgadas, Base para TV Pantalla Articulado Inclinable y Giratorio, MAX VESA 400×400 mm, Soporta hasta 18kg, adaptarse a la mayoría de los televisores de 14 Pulgadas/20 Pulgadas/32 Pulgadas/42 Pulgadas/55 pulgadas</t>
        </is>
      </c>
      <c r="H1612" s="16" t="inlineStr">
        <is>
          <t>TL1455N20B</t>
        </is>
      </c>
      <c r="I1612" s="16" t="n">
        <v>5</v>
      </c>
      <c r="J1612" s="17" t="n">
        <v>355</v>
      </c>
      <c r="K1612" s="17" t="n">
        <v>460.3</v>
      </c>
      <c r="L1612" s="17" t="n">
        <v>0</v>
      </c>
      <c r="M1612" s="17" t="n">
        <v>0</v>
      </c>
      <c r="N1612" s="17">
        <f>K1612*0.08+L1612*0.08</f>
        <v/>
      </c>
      <c r="O1612" s="17">
        <f>-(K1612*0.025+L1612*0.025)</f>
        <v/>
      </c>
      <c r="P1612" s="17">
        <f>32</f>
        <v/>
      </c>
      <c r="Q1612" s="17">
        <f>J1612+L1612+N1612+O1612-P1612-M1612</f>
        <v/>
      </c>
    </row>
    <row r="1613">
      <c r="A1613" s="16" t="inlineStr">
        <is>
          <t>5.15-5.21</t>
        </is>
      </c>
      <c r="B1613" s="16" t="inlineStr">
        <is>
          <t>PO-128-03651539830392202</t>
        </is>
      </c>
      <c r="C1613" s="16" t="inlineStr">
        <is>
          <t>Delivered</t>
        </is>
      </c>
      <c r="D1613" s="16" t="inlineStr">
        <is>
          <t>128-03651529344632202</t>
        </is>
      </c>
      <c r="E1613" s="16" t="inlineStr">
        <is>
          <t>Delivered</t>
        </is>
      </c>
      <c r="F1613" s="16" t="inlineStr">
        <is>
          <t>LV64W25</t>
        </is>
      </c>
      <c r="G16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13" s="16" t="inlineStr">
        <is>
          <t>Blanco</t>
        </is>
      </c>
      <c r="I1613" s="16" t="n">
        <v>1</v>
      </c>
      <c r="J1613" s="17" t="n">
        <v>125</v>
      </c>
      <c r="K1613" s="17" t="n">
        <v>135.5</v>
      </c>
      <c r="L1613" s="17" t="n">
        <v>25.86</v>
      </c>
      <c r="M1613" s="17" t="n">
        <v>0</v>
      </c>
      <c r="N1613" s="17">
        <f>K1613*0.08+L1613*0.08</f>
        <v/>
      </c>
      <c r="O1613" s="17">
        <f>-(K1613*0.025+L1613*0.025)</f>
        <v/>
      </c>
      <c r="P1613" s="17">
        <f>32</f>
        <v/>
      </c>
      <c r="Q1613" s="17">
        <f>J1613+L1613+N1613+O1613-P1613-M1613</f>
        <v/>
      </c>
    </row>
    <row r="1614">
      <c r="A1614" s="16" t="inlineStr">
        <is>
          <t>5.15-5.21</t>
        </is>
      </c>
      <c r="B1614" s="16" t="inlineStr">
        <is>
          <t>PO-128-18239487427191333</t>
        </is>
      </c>
      <c r="C1614" s="16" t="inlineStr">
        <is>
          <t>Delivered</t>
        </is>
      </c>
      <c r="D1614" s="16" t="inlineStr">
        <is>
          <t>128-18239445484151333</t>
        </is>
      </c>
      <c r="E1614" s="16" t="inlineStr">
        <is>
          <t>Delivered</t>
        </is>
      </c>
      <c r="F1614" s="16" t="inlineStr">
        <is>
          <t>LV54W25</t>
        </is>
      </c>
      <c r="G1614" s="16" t="inlineStr">
        <is>
          <t>TIANLAI Lámpara Ventilador E27 2 en 1, Silenciosa, LED Alta Luminosidad 180°, Instalación Rápida, Ahorro Energético para Dormitorio y Interiores Pequeños</t>
        </is>
      </c>
      <c r="H1614" s="16" t="inlineStr">
        <is>
          <t>1 Pieza</t>
        </is>
      </c>
      <c r="I1614" s="16" t="n">
        <v>2</v>
      </c>
      <c r="J1614" s="17" t="n">
        <v>158</v>
      </c>
      <c r="K1614" s="17" t="n">
        <v>163.24</v>
      </c>
      <c r="L1614" s="17" t="n">
        <v>25.86</v>
      </c>
      <c r="M1614" s="17" t="n">
        <v>0</v>
      </c>
      <c r="N1614" s="17">
        <f>K1614*0.08+L1614*0.08</f>
        <v/>
      </c>
      <c r="O1614" s="17">
        <f>-(K1614*0.025+L1614*0.025)</f>
        <v/>
      </c>
      <c r="P1614" s="17">
        <f>32</f>
        <v/>
      </c>
      <c r="Q1614" s="17">
        <f>J1614+L1614+N1614+O1614-P1614-M1614</f>
        <v/>
      </c>
    </row>
    <row r="1615">
      <c r="A1615" s="16" t="inlineStr">
        <is>
          <t>5.15-5.21</t>
        </is>
      </c>
      <c r="B1615" s="16" t="inlineStr">
        <is>
          <t>PO-128-18407031055990268</t>
        </is>
      </c>
      <c r="C1615" s="16" t="inlineStr">
        <is>
          <t>Delivered</t>
        </is>
      </c>
      <c r="D1615" s="16" t="inlineStr">
        <is>
          <t>128-18407010084470268</t>
        </is>
      </c>
      <c r="E1615" s="16" t="inlineStr">
        <is>
          <t>Delivered</t>
        </is>
      </c>
      <c r="F1615" s="16" t="inlineStr">
        <is>
          <t>KTS-2031</t>
        </is>
      </c>
      <c r="G1615" s="16" t="inlineStr">
        <is>
          <t>Bocina inalámbrica de 3 pulgadas con linterna multifuncional y panel solar integrado.Altavoz Portátil con Linterna LED 4 Modos, Radio FM, Bluetooth, Carga Solar, Ideal para Apagones, Emergencias, Campo y Exteriores</t>
        </is>
      </c>
      <c r="H1615" s="16" t="inlineStr">
        <is>
          <t>NEGRO</t>
        </is>
      </c>
      <c r="I1615" s="16" t="n">
        <v>1</v>
      </c>
      <c r="J1615" s="17" t="n">
        <v>78</v>
      </c>
      <c r="K1615" s="17" t="n">
        <v>87.22</v>
      </c>
      <c r="L1615" s="17" t="n">
        <v>25.86</v>
      </c>
      <c r="M1615" s="17" t="n">
        <v>0</v>
      </c>
      <c r="N1615" s="17">
        <f>K1615*0.08+L1615*0.08</f>
        <v/>
      </c>
      <c r="O1615" s="17">
        <f>-(K1615*0.025+L1615*0.025)</f>
        <v/>
      </c>
      <c r="P1615" s="17">
        <f>32</f>
        <v/>
      </c>
      <c r="Q1615" s="17">
        <f>J1615+L1615+N1615+O1615-P1615-M1615</f>
        <v/>
      </c>
    </row>
    <row r="1616">
      <c r="A1616" s="16" t="inlineStr">
        <is>
          <t>5.15-5.21</t>
        </is>
      </c>
      <c r="B1616" s="16" t="inlineStr">
        <is>
          <t>PO-128-18020769987193594</t>
        </is>
      </c>
      <c r="C1616" s="16" t="inlineStr">
        <is>
          <t>Delivered</t>
        </is>
      </c>
      <c r="D1616" s="16" t="inlineStr">
        <is>
          <t>128-18020790958713594</t>
        </is>
      </c>
      <c r="E1616" s="16" t="inlineStr">
        <is>
          <t>Delivered</t>
        </is>
      </c>
      <c r="F1616" s="16" t="inlineStr">
        <is>
          <t>LV64W25</t>
        </is>
      </c>
      <c r="G16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16" s="16" t="inlineStr">
        <is>
          <t>Blanco</t>
        </is>
      </c>
      <c r="I1616" s="16" t="n">
        <v>1</v>
      </c>
      <c r="J1616" s="17" t="n">
        <v>125</v>
      </c>
      <c r="K1616" s="17" t="n">
        <v>143.26</v>
      </c>
      <c r="L1616" s="17" t="n">
        <v>25.86</v>
      </c>
      <c r="M1616" s="17" t="n">
        <v>0</v>
      </c>
      <c r="N1616" s="17">
        <f>K1616*0.08+L1616*0.08</f>
        <v/>
      </c>
      <c r="O1616" s="17">
        <f>-(K1616*0.025+L1616*0.025)</f>
        <v/>
      </c>
      <c r="P1616" s="17">
        <f>32</f>
        <v/>
      </c>
      <c r="Q1616" s="17">
        <f>J1616+L1616+N1616+O1616-P1616-M1616</f>
        <v/>
      </c>
    </row>
    <row r="1617">
      <c r="A1617" s="16" t="inlineStr">
        <is>
          <t>5.15-5.21</t>
        </is>
      </c>
      <c r="B1617" s="16" t="inlineStr">
        <is>
          <t>PO-128-18516251628150643</t>
        </is>
      </c>
      <c r="C1617" s="16" t="inlineStr">
        <is>
          <t>Delivered</t>
        </is>
      </c>
      <c r="D1617" s="16" t="inlineStr">
        <is>
          <t>128-18516293571190643</t>
        </is>
      </c>
      <c r="E1617" s="16" t="inlineStr">
        <is>
          <t>Delivered</t>
        </is>
      </c>
      <c r="F1617" s="16" t="inlineStr">
        <is>
          <t>LV64W25</t>
        </is>
      </c>
      <c r="G16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17" s="16" t="inlineStr">
        <is>
          <t>Blanco</t>
        </is>
      </c>
      <c r="I1617" s="16" t="n">
        <v>3</v>
      </c>
      <c r="J1617" s="17" t="n">
        <v>375</v>
      </c>
      <c r="K1617" s="17" t="n">
        <v>429.78</v>
      </c>
      <c r="L1617" s="17" t="n">
        <v>0</v>
      </c>
      <c r="M1617" s="17" t="n">
        <v>0</v>
      </c>
      <c r="N1617" s="17">
        <f>K1617*0.08+L1617*0.08</f>
        <v/>
      </c>
      <c r="O1617" s="17">
        <f>-(K1617*0.025+L1617*0.025)</f>
        <v/>
      </c>
      <c r="P1617" s="17">
        <f>32</f>
        <v/>
      </c>
      <c r="Q1617" s="17">
        <f>J1617+L1617+N1617+O1617-P1617-M1617</f>
        <v/>
      </c>
    </row>
    <row r="1618">
      <c r="A1618" s="16" t="inlineStr">
        <is>
          <t>5.15-5.21</t>
        </is>
      </c>
      <c r="B1618" s="16" t="inlineStr">
        <is>
          <t>PO-128-18043482143352437</t>
        </is>
      </c>
      <c r="C1618" s="16" t="inlineStr">
        <is>
          <t>Delivered</t>
        </is>
      </c>
      <c r="D1618" s="16" t="inlineStr">
        <is>
          <t>128-18043550300792437</t>
        </is>
      </c>
      <c r="E1618" s="16" t="inlineStr">
        <is>
          <t>Delivered</t>
        </is>
      </c>
      <c r="F1618" s="16" t="inlineStr">
        <is>
          <t>KTS-2031</t>
        </is>
      </c>
      <c r="G1618" s="16" t="inlineStr">
        <is>
          <t>Bocina inalámbrica de 3 pulgadas con linterna multifuncional y panel solar integrado.Altavoz Portátil con Linterna LED 4 Modos, Radio FM, Bluetooth, Carga Solar, Ideal para Apagones, Emergencias, Campo y Exteriores</t>
        </is>
      </c>
      <c r="H1618" s="16" t="inlineStr">
        <is>
          <t>NEGRO</t>
        </is>
      </c>
      <c r="I1618" s="16" t="n">
        <v>1</v>
      </c>
      <c r="J1618" s="17" t="n">
        <v>78</v>
      </c>
      <c r="K1618" s="17" t="n">
        <v>1.01</v>
      </c>
      <c r="L1618" s="17" t="n">
        <v>25.86</v>
      </c>
      <c r="M1618" s="17" t="n">
        <v>0</v>
      </c>
      <c r="N1618" s="17">
        <f>K1618*0.08+L1618*0.08</f>
        <v/>
      </c>
      <c r="O1618" s="17">
        <f>-(K1618*0.025+L1618*0.025)</f>
        <v/>
      </c>
      <c r="P1618" s="17">
        <f>32</f>
        <v/>
      </c>
      <c r="Q1618" s="17">
        <f>J1618+L1618+N1618+O1618-P1618-M1618</f>
        <v/>
      </c>
    </row>
    <row r="1619">
      <c r="A1619" s="16" t="inlineStr">
        <is>
          <t>5.15-5.21</t>
        </is>
      </c>
      <c r="B1619" s="16" t="inlineStr">
        <is>
          <t>PO-128-18060089943672528</t>
        </is>
      </c>
      <c r="C1619" s="16" t="inlineStr">
        <is>
          <t>Delivered</t>
        </is>
      </c>
      <c r="D1619" s="16" t="inlineStr">
        <is>
          <t>128-18060165965432528</t>
        </is>
      </c>
      <c r="E1619" s="16" t="inlineStr">
        <is>
          <t>Delivered</t>
        </is>
      </c>
      <c r="F1619" s="16" t="inlineStr">
        <is>
          <t>LV64W25</t>
        </is>
      </c>
      <c r="G16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19" s="16" t="inlineStr">
        <is>
          <t>Blanco</t>
        </is>
      </c>
      <c r="I1619" s="16" t="n">
        <v>2</v>
      </c>
      <c r="J1619" s="17" t="n">
        <v>238</v>
      </c>
      <c r="K1619" s="17" t="n">
        <v>274.52</v>
      </c>
      <c r="L1619" s="17" t="n">
        <v>0</v>
      </c>
      <c r="M1619" s="17" t="n">
        <v>0</v>
      </c>
      <c r="N1619" s="17">
        <f>K1619*0.08+L1619*0.08</f>
        <v/>
      </c>
      <c r="O1619" s="17">
        <f>-(K1619*0.025+L1619*0.025)</f>
        <v/>
      </c>
      <c r="P1619" s="17">
        <f>32</f>
        <v/>
      </c>
      <c r="Q1619" s="17">
        <f>J1619+L1619+N1619+O1619-P1619-M1619</f>
        <v/>
      </c>
    </row>
    <row r="1620">
      <c r="A1620" s="16" t="inlineStr">
        <is>
          <t>5.15-5.21</t>
        </is>
      </c>
      <c r="B1620" s="16" t="inlineStr">
        <is>
          <t>PO-128-18409853266550317</t>
        </is>
      </c>
      <c r="C1620" s="16" t="inlineStr">
        <is>
          <t>Delivered</t>
        </is>
      </c>
      <c r="D1620" s="16" t="inlineStr">
        <is>
          <t>128-18409895209590317</t>
        </is>
      </c>
      <c r="E1620" s="16" t="inlineStr">
        <is>
          <t>Delivered</t>
        </is>
      </c>
      <c r="F1620" s="16" t="inlineStr">
        <is>
          <t>LV64W25</t>
        </is>
      </c>
      <c r="G16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20" s="16" t="inlineStr">
        <is>
          <t>Blanco</t>
        </is>
      </c>
      <c r="I1620" s="16" t="n">
        <v>1</v>
      </c>
      <c r="J1620" s="17" t="n">
        <v>119</v>
      </c>
      <c r="K1620" s="17" t="n">
        <v>137.26</v>
      </c>
      <c r="L1620" s="17" t="n">
        <v>25.86</v>
      </c>
      <c r="M1620" s="17" t="n">
        <v>0</v>
      </c>
      <c r="N1620" s="17">
        <f>K1620*0.08+L1620*0.08</f>
        <v/>
      </c>
      <c r="O1620" s="17">
        <f>-(K1620*0.025+L1620*0.025)</f>
        <v/>
      </c>
      <c r="P1620" s="17">
        <f>32</f>
        <v/>
      </c>
      <c r="Q1620" s="17">
        <f>J1620+L1620+N1620+O1620-P1620-M1620</f>
        <v/>
      </c>
    </row>
    <row r="1621">
      <c r="A1621" s="16" t="inlineStr">
        <is>
          <t>5.15-5.21</t>
        </is>
      </c>
      <c r="B1621" s="16" t="inlineStr">
        <is>
          <t>PO-128-18065634734712305</t>
        </is>
      </c>
      <c r="C1621" s="16" t="inlineStr">
        <is>
          <t>Delivered</t>
        </is>
      </c>
      <c r="D1621" s="16" t="inlineStr">
        <is>
          <t>128-18065687163512305</t>
        </is>
      </c>
      <c r="E1621" s="16" t="inlineStr">
        <is>
          <t>Delivered</t>
        </is>
      </c>
      <c r="F1621" s="16" t="inlineStr">
        <is>
          <t>TLCD08-16P-N</t>
        </is>
      </c>
      <c r="G1621"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H1621" s="16" t="inlineStr">
        <is>
          <t>NEGRO</t>
        </is>
      </c>
      <c r="I1621" s="16" t="n">
        <v>2</v>
      </c>
      <c r="J1621" s="17" t="n">
        <v>124</v>
      </c>
      <c r="K1621" s="17" t="n">
        <v>151.3</v>
      </c>
      <c r="L1621" s="17" t="n">
        <v>25.86</v>
      </c>
      <c r="M1621" s="17" t="n">
        <v>0</v>
      </c>
      <c r="N1621" s="17">
        <f>K1621*0.08+L1621*0.08</f>
        <v/>
      </c>
      <c r="O1621" s="17">
        <f>-(K1621*0.025+L1621*0.025)</f>
        <v/>
      </c>
      <c r="P1621" s="17">
        <f>32</f>
        <v/>
      </c>
      <c r="Q1621" s="17">
        <f>J1621+L1621+N1621+O1621-P1621-M1621</f>
        <v/>
      </c>
    </row>
    <row r="1622">
      <c r="A1622" s="16" t="inlineStr">
        <is>
          <t>5.15-5.21</t>
        </is>
      </c>
      <c r="B1622" s="16" t="inlineStr">
        <is>
          <t>PO-128-18516504064630640</t>
        </is>
      </c>
      <c r="C1622" s="16" t="inlineStr">
        <is>
          <t>Delivered</t>
        </is>
      </c>
      <c r="D1622" s="16" t="inlineStr">
        <is>
          <t>128-18516462121590640</t>
        </is>
      </c>
      <c r="E1622" s="16" t="inlineStr">
        <is>
          <t>Delivered</t>
        </is>
      </c>
      <c r="F1622" s="16" t="inlineStr">
        <is>
          <t>KTS-2031</t>
        </is>
      </c>
      <c r="G1622" s="16" t="inlineStr">
        <is>
          <t>Bocina inalámbrica de 3 pulgadas con linterna multifuncional y panel solar integrado.Altavoz Portátil con Linterna LED 4 Modos, Radio FM, Bluetooth, Carga Solar, Ideal para Apagones, Emergencias, Campo y Exteriores</t>
        </is>
      </c>
      <c r="H1622" s="16" t="inlineStr">
        <is>
          <t>NEGRO</t>
        </is>
      </c>
      <c r="I1622" s="16" t="n">
        <v>3</v>
      </c>
      <c r="J1622" s="17" t="n">
        <v>234</v>
      </c>
      <c r="K1622" s="17" t="n">
        <v>261.66</v>
      </c>
      <c r="L1622" s="17" t="n">
        <v>0</v>
      </c>
      <c r="M1622" s="17" t="n">
        <v>0</v>
      </c>
      <c r="N1622" s="17">
        <f>K1622*0.08+L1622*0.08</f>
        <v/>
      </c>
      <c r="O1622" s="17">
        <f>-(K1622*0.025+L1622*0.025)</f>
        <v/>
      </c>
      <c r="P1622" s="17">
        <f>32</f>
        <v/>
      </c>
      <c r="Q1622" s="17">
        <f>J1622+L1622+N1622+O1622-P1622-M1622</f>
        <v/>
      </c>
    </row>
    <row r="1623">
      <c r="A1623" s="16" t="inlineStr">
        <is>
          <t>5.15-5.21</t>
        </is>
      </c>
      <c r="B1623" s="16" t="inlineStr">
        <is>
          <t>PO-128-18478813297270928</t>
        </is>
      </c>
      <c r="C1623" s="16" t="inlineStr">
        <is>
          <t>Delivered</t>
        </is>
      </c>
      <c r="D1623" s="16" t="inlineStr">
        <is>
          <t>128-18478855240310928</t>
        </is>
      </c>
      <c r="E1623" s="16" t="inlineStr">
        <is>
          <t>Delivered</t>
        </is>
      </c>
      <c r="F1623" s="16" t="inlineStr">
        <is>
          <t>LV64W25</t>
        </is>
      </c>
      <c r="G16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23" s="16" t="inlineStr">
        <is>
          <t>Blanco</t>
        </is>
      </c>
      <c r="I1623" s="16" t="n">
        <v>1</v>
      </c>
      <c r="J1623" s="17" t="n">
        <v>120</v>
      </c>
      <c r="K1623" s="17" t="n">
        <v>138.26</v>
      </c>
      <c r="L1623" s="17" t="n">
        <v>25.86</v>
      </c>
      <c r="M1623" s="17" t="n">
        <v>1</v>
      </c>
      <c r="N1623" s="17">
        <f>K1623*0.08+L1623*0.08</f>
        <v/>
      </c>
      <c r="O1623" s="17">
        <f>-(K1623*0.025+L1623*0.025)</f>
        <v/>
      </c>
      <c r="P1623" s="17">
        <f>32</f>
        <v/>
      </c>
      <c r="Q1623" s="17">
        <f>J1623+L1623+N1623+O1623-P1623-M1623</f>
        <v/>
      </c>
    </row>
    <row r="1624">
      <c r="A1624" s="16" t="inlineStr">
        <is>
          <t>5.15-5.21</t>
        </is>
      </c>
      <c r="B1624" s="16" t="inlineStr">
        <is>
          <t>PO-128-18537786880630515</t>
        </is>
      </c>
      <c r="C1624" s="16" t="inlineStr">
        <is>
          <t>Delivered</t>
        </is>
      </c>
      <c r="D1624" s="16" t="inlineStr">
        <is>
          <t>128-18537744937590515</t>
        </is>
      </c>
      <c r="E1624" s="16" t="inlineStr">
        <is>
          <t>Delivered</t>
        </is>
      </c>
      <c r="F1624" s="16" t="inlineStr">
        <is>
          <t>KTS-2031</t>
        </is>
      </c>
      <c r="G1624" s="16" t="inlineStr">
        <is>
          <t>Bocina inalámbrica de 3 pulgadas con linterna multifuncional y panel solar integrado.Altavoz Portátil con Linterna LED 4 Modos, Radio FM, Bluetooth, Carga Solar, Ideal para Apagones, Emergencias, Campo y Exteriores</t>
        </is>
      </c>
      <c r="H1624" s="16" t="inlineStr">
        <is>
          <t>NEGRO</t>
        </is>
      </c>
      <c r="I1624" s="16" t="n">
        <v>1</v>
      </c>
      <c r="J1624" s="17" t="n">
        <v>78</v>
      </c>
      <c r="K1624" s="17" t="n">
        <v>87.22</v>
      </c>
      <c r="L1624" s="17" t="n">
        <v>25.86</v>
      </c>
      <c r="M1624" s="17" t="n">
        <v>0</v>
      </c>
      <c r="N1624" s="17">
        <f>K1624*0.08+L1624*0.08</f>
        <v/>
      </c>
      <c r="O1624" s="17">
        <f>-(K1624*0.025+L1624*0.025)</f>
        <v/>
      </c>
      <c r="P1624" s="17">
        <f>32</f>
        <v/>
      </c>
      <c r="Q1624" s="17">
        <f>J1624+L1624+N1624+O1624-P1624-M1624</f>
        <v/>
      </c>
    </row>
    <row r="1625">
      <c r="A1625" s="16" t="inlineStr">
        <is>
          <t>5.15-5.21</t>
        </is>
      </c>
      <c r="B1625" s="16" t="inlineStr">
        <is>
          <t>PO-128-17996219367033743</t>
        </is>
      </c>
      <c r="C1625" s="16" t="inlineStr">
        <is>
          <t>Delivered</t>
        </is>
      </c>
      <c r="D1625" s="16" t="inlineStr">
        <is>
          <t>128-17996177423993743</t>
        </is>
      </c>
      <c r="E1625" s="16" t="inlineStr">
        <is>
          <t>Delivered</t>
        </is>
      </c>
      <c r="F1625" s="16" t="inlineStr">
        <is>
          <t>KTS-2031</t>
        </is>
      </c>
      <c r="G1625" s="16" t="inlineStr">
        <is>
          <t>Bocina inalámbrica de 3 pulgadas con linterna multifuncional y panel solar integrado.Altavoz Portátil con Linterna LED 4 Modos, Radio FM, Bluetooth, Carga Solar, Ideal para Apagones, Emergencias, Campo y Exteriores</t>
        </is>
      </c>
      <c r="H1625" s="16" t="inlineStr">
        <is>
          <t>NEGRO</t>
        </is>
      </c>
      <c r="I1625" s="16" t="n">
        <v>1</v>
      </c>
      <c r="J1625" s="17" t="n">
        <v>78</v>
      </c>
      <c r="K1625" s="17" t="n">
        <v>87.22</v>
      </c>
      <c r="L1625" s="17" t="n">
        <v>25.86</v>
      </c>
      <c r="M1625" s="17" t="n">
        <v>0</v>
      </c>
      <c r="N1625" s="17">
        <f>K1625*0.08+L1625*0.08</f>
        <v/>
      </c>
      <c r="O1625" s="17">
        <f>-(K1625*0.025+L1625*0.025)</f>
        <v/>
      </c>
      <c r="P1625" s="17">
        <f>32</f>
        <v/>
      </c>
      <c r="Q1625" s="17">
        <f>J1625+L1625+N1625+O1625-P1625-M1625</f>
        <v/>
      </c>
    </row>
    <row r="1626">
      <c r="A1626" s="16" t="inlineStr">
        <is>
          <t>5.15-5.21</t>
        </is>
      </c>
      <c r="B1626" s="16" t="inlineStr">
        <is>
          <t>PO-128-18151697475192878</t>
        </is>
      </c>
      <c r="C1626" s="16" t="inlineStr">
        <is>
          <t>Delivered</t>
        </is>
      </c>
      <c r="D1626" s="16" t="inlineStr">
        <is>
          <t>128-18151765632632878</t>
        </is>
      </c>
      <c r="E1626" s="16" t="inlineStr">
        <is>
          <t>Delivered</t>
        </is>
      </c>
      <c r="F1626" s="16" t="inlineStr">
        <is>
          <t>KTS-2031</t>
        </is>
      </c>
      <c r="G1626" s="16" t="inlineStr">
        <is>
          <t>Bocina inalámbrica de 3 pulgadas con linterna multifuncional y panel solar integrado.Altavoz Portátil con Linterna LED 4 Modos, Radio FM, Bluetooth, Carga Solar, Ideal para Apagones, Emergencias, Campo y Exteriores</t>
        </is>
      </c>
      <c r="H1626" s="16" t="inlineStr">
        <is>
          <t>NEGRO</t>
        </is>
      </c>
      <c r="I1626" s="16" t="n">
        <v>1</v>
      </c>
      <c r="J1626" s="17" t="n">
        <v>78</v>
      </c>
      <c r="K1626" s="17" t="n">
        <v>1.01</v>
      </c>
      <c r="L1626" s="17" t="n">
        <v>25.86</v>
      </c>
      <c r="M1626" s="17" t="n">
        <v>0</v>
      </c>
      <c r="N1626" s="17">
        <f>K1626*0.08+L1626*0.08</f>
        <v/>
      </c>
      <c r="O1626" s="17">
        <f>-(K1626*0.025+L1626*0.025)</f>
        <v/>
      </c>
      <c r="P1626" s="17">
        <f>32</f>
        <v/>
      </c>
      <c r="Q1626" s="17">
        <f>J1626+L1626+N1626+O1626-P1626-M1626</f>
        <v/>
      </c>
    </row>
    <row r="1627">
      <c r="A1627" s="16" t="inlineStr">
        <is>
          <t>5.15-5.21</t>
        </is>
      </c>
      <c r="B1627" s="16" t="inlineStr">
        <is>
          <t>PO-128-18151663790712878</t>
        </is>
      </c>
      <c r="C1627" s="16" t="inlineStr">
        <is>
          <t>Delivered</t>
        </is>
      </c>
      <c r="D1627" s="16" t="inlineStr">
        <is>
          <t>128-18151705733752878</t>
        </is>
      </c>
      <c r="E1627" s="16" t="inlineStr">
        <is>
          <t>Delivered</t>
        </is>
      </c>
      <c r="F1627" s="16" t="inlineStr">
        <is>
          <t>SB428T</t>
        </is>
      </c>
      <c r="G1627" s="16" t="inlineStr">
        <is>
          <t>LINK BITS Bocina Portátil con 2 Altavoces de 4" (5W×2), Sonido Potente, Luces LED, Bluetooth, USB/TF/FM - Ideal para Reuniones, Fiestas y Picnics en México</t>
        </is>
      </c>
      <c r="H1627" s="16" t="inlineStr">
        <is>
          <t>SB428T</t>
        </is>
      </c>
      <c r="I1627" s="16" t="n">
        <v>1</v>
      </c>
      <c r="J1627" s="17" t="n">
        <v>97</v>
      </c>
      <c r="K1627" s="17" t="n">
        <v>32.73</v>
      </c>
      <c r="L1627" s="17" t="n">
        <v>25.86</v>
      </c>
      <c r="M1627" s="17" t="n">
        <v>0</v>
      </c>
      <c r="N1627" s="17">
        <f>K1627*0.08+L1627*0.08</f>
        <v/>
      </c>
      <c r="O1627" s="17">
        <f>-(K1627*0.025+L1627*0.025)</f>
        <v/>
      </c>
      <c r="P1627" s="17">
        <f>32</f>
        <v/>
      </c>
      <c r="Q1627" s="17">
        <f>J1627+L1627+N1627+O1627-P1627-M1627</f>
        <v/>
      </c>
    </row>
    <row r="1628">
      <c r="A1628" s="16" t="inlineStr">
        <is>
          <t>5.15-5.21</t>
        </is>
      </c>
      <c r="B1628" s="16" t="inlineStr">
        <is>
          <t>PO-128-18414389791350288</t>
        </is>
      </c>
      <c r="C1628" s="16" t="inlineStr">
        <is>
          <t>Delivered</t>
        </is>
      </c>
      <c r="D1628" s="16" t="inlineStr">
        <is>
          <t>128-18414347848310288</t>
        </is>
      </c>
      <c r="E1628" s="16" t="inlineStr">
        <is>
          <t>Delivered</t>
        </is>
      </c>
      <c r="F1628" s="16" t="inlineStr">
        <is>
          <t>LV54W25</t>
        </is>
      </c>
      <c r="G1628" s="16" t="inlineStr">
        <is>
          <t>TIANLAI Lámpara Ventilador E27 2 en 1, Silenciosa, LED Alta Luminosidad 180°, Instalación Rápida, Ahorro Energético para Dormitorio y Interiores Pequeños</t>
        </is>
      </c>
      <c r="H1628" s="16" t="inlineStr">
        <is>
          <t>1 Pieza</t>
        </is>
      </c>
      <c r="I1628" s="16" t="n">
        <v>1</v>
      </c>
      <c r="J1628" s="17" t="n">
        <v>79</v>
      </c>
      <c r="K1628" s="17" t="n">
        <v>81.62</v>
      </c>
      <c r="L1628" s="17" t="n">
        <v>25.86</v>
      </c>
      <c r="M1628" s="17" t="n">
        <v>4.51</v>
      </c>
      <c r="N1628" s="17">
        <f>K1628*0.08+L1628*0.08</f>
        <v/>
      </c>
      <c r="O1628" s="17">
        <f>-(K1628*0.025+L1628*0.025)</f>
        <v/>
      </c>
      <c r="P1628" s="17">
        <f>32</f>
        <v/>
      </c>
      <c r="Q1628" s="17">
        <f>J1628+L1628+N1628+O1628-P1628-M1628</f>
        <v/>
      </c>
    </row>
    <row r="1629">
      <c r="A1629" s="16" t="inlineStr">
        <is>
          <t>5.15-5.21</t>
        </is>
      </c>
      <c r="B1629" s="16" t="inlineStr">
        <is>
          <t>PO-128-18149803023992827</t>
        </is>
      </c>
      <c r="C1629" s="16" t="inlineStr">
        <is>
          <t>Delivered</t>
        </is>
      </c>
      <c r="D1629" s="16" t="inlineStr">
        <is>
          <t>128-18149801057912827</t>
        </is>
      </c>
      <c r="E1629" s="16" t="inlineStr">
        <is>
          <t>Delivered</t>
        </is>
      </c>
      <c r="F1629" s="16" t="inlineStr">
        <is>
          <t>LV54W25</t>
        </is>
      </c>
      <c r="G1629" s="16" t="inlineStr">
        <is>
          <t>TIANLAI Lámpara Ventilador E27 2 en 1, Silenciosa, LED Alta Luminosidad 180°, Instalación Rápida, Ahorro Energético para Dormitorio y Interiores Pequeños</t>
        </is>
      </c>
      <c r="H1629" s="16" t="inlineStr">
        <is>
          <t>1 Pieza</t>
        </is>
      </c>
      <c r="I1629" s="16" t="n">
        <v>2</v>
      </c>
      <c r="J1629" s="17" t="n">
        <v>158</v>
      </c>
      <c r="K1629" s="17" t="n">
        <v>163.24</v>
      </c>
      <c r="L1629" s="17" t="n">
        <v>25.86</v>
      </c>
      <c r="M1629" s="17" t="n">
        <v>9.02</v>
      </c>
      <c r="N1629" s="17">
        <f>K1629*0.08+L1629*0.08</f>
        <v/>
      </c>
      <c r="O1629" s="17">
        <f>-(K1629*0.025+L1629*0.025)</f>
        <v/>
      </c>
      <c r="P1629" s="17">
        <f>32</f>
        <v/>
      </c>
      <c r="Q1629" s="17">
        <f>J1629+L1629+N1629+O1629-P1629-M1629</f>
        <v/>
      </c>
    </row>
    <row r="1630">
      <c r="A1630" s="16" t="inlineStr">
        <is>
          <t>5.15-5.21</t>
        </is>
      </c>
      <c r="B1630" s="16" t="inlineStr">
        <is>
          <t>PO-128-17930510485113300</t>
        </is>
      </c>
      <c r="C1630" s="16" t="inlineStr">
        <is>
          <t>Delivered</t>
        </is>
      </c>
      <c r="D1630" s="16" t="inlineStr">
        <is>
          <t>128-17930515727993300</t>
        </is>
      </c>
      <c r="E1630" s="16" t="inlineStr">
        <is>
          <t>Delivered</t>
        </is>
      </c>
      <c r="F1630" s="16" t="inlineStr">
        <is>
          <t>LV64W25</t>
        </is>
      </c>
      <c r="G16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30" s="16" t="inlineStr">
        <is>
          <t>Blanco</t>
        </is>
      </c>
      <c r="I1630" s="16" t="n">
        <v>1</v>
      </c>
      <c r="J1630" s="17" t="n">
        <v>120</v>
      </c>
      <c r="K1630" s="17" t="n">
        <v>138.26</v>
      </c>
      <c r="L1630" s="17" t="n">
        <v>25.86</v>
      </c>
      <c r="M1630" s="17" t="n">
        <v>0</v>
      </c>
      <c r="N1630" s="17">
        <f>K1630*0.08+L1630*0.08</f>
        <v/>
      </c>
      <c r="O1630" s="17">
        <f>-(K1630*0.025+L1630*0.025)</f>
        <v/>
      </c>
      <c r="P1630" s="17">
        <f>32</f>
        <v/>
      </c>
      <c r="Q1630" s="17">
        <f>J1630+L1630+N1630+O1630-P1630-M1630</f>
        <v/>
      </c>
    </row>
    <row r="1631">
      <c r="A1631" s="16" t="inlineStr">
        <is>
          <t>5.15-5.21</t>
        </is>
      </c>
      <c r="B1631" s="16" t="inlineStr">
        <is>
          <t>PO-128-18174419748472745</t>
        </is>
      </c>
      <c r="C1631" s="16" t="inlineStr">
        <is>
          <t>Delivered</t>
        </is>
      </c>
      <c r="D1631" s="16" t="inlineStr">
        <is>
          <t>128-18174377805432745</t>
        </is>
      </c>
      <c r="E1631" s="16" t="inlineStr">
        <is>
          <t>Delivered</t>
        </is>
      </c>
      <c r="F1631" s="16" t="inlineStr">
        <is>
          <t>KTS-2031</t>
        </is>
      </c>
      <c r="G1631" s="16" t="inlineStr">
        <is>
          <t>Bocina inalámbrica de 3 pulgadas con linterna multifuncional y panel solar integrado.Altavoz Portátil con Linterna LED 4 Modos, Radio FM, Bluetooth, Carga Solar, Ideal para Apagones, Emergencias, Campo y Exteriores</t>
        </is>
      </c>
      <c r="H1631" s="16" t="inlineStr">
        <is>
          <t>NEGRO</t>
        </is>
      </c>
      <c r="I1631" s="16" t="n">
        <v>1</v>
      </c>
      <c r="J1631" s="17" t="n">
        <v>75</v>
      </c>
      <c r="K1631" s="17" t="n">
        <v>84.22</v>
      </c>
      <c r="L1631" s="17" t="n">
        <v>25.86</v>
      </c>
      <c r="M1631" s="17" t="n">
        <v>0</v>
      </c>
      <c r="N1631" s="17">
        <f>K1631*0.08+L1631*0.08</f>
        <v/>
      </c>
      <c r="O1631" s="17">
        <f>-(K1631*0.025+L1631*0.025)</f>
        <v/>
      </c>
      <c r="P1631" s="17">
        <f>32</f>
        <v/>
      </c>
      <c r="Q1631" s="17">
        <f>J1631+L1631+N1631+O1631-P1631-M1631</f>
        <v/>
      </c>
    </row>
    <row r="1632">
      <c r="A1632" s="16" t="inlineStr">
        <is>
          <t>5.15-5.21</t>
        </is>
      </c>
      <c r="B1632" s="16" t="inlineStr">
        <is>
          <t>PO-128-17982267955833888</t>
        </is>
      </c>
      <c r="C1632" s="16" t="inlineStr">
        <is>
          <t>Delivered</t>
        </is>
      </c>
      <c r="D1632" s="16" t="inlineStr">
        <is>
          <t>128-17982288927353888</t>
        </is>
      </c>
      <c r="E1632" s="16" t="inlineStr">
        <is>
          <t>Delivered</t>
        </is>
      </c>
      <c r="F1632" s="16" t="inlineStr">
        <is>
          <t>KTS-2031</t>
        </is>
      </c>
      <c r="G1632" s="16" t="inlineStr">
        <is>
          <t>Bocina inalámbrica de 3 pulgadas con linterna multifuncional y panel solar integrado.Altavoz Portátil con Linterna LED 4 Modos, Radio FM, Bluetooth, Carga Solar, Ideal para Apagones, Emergencias, Campo y Exteriores</t>
        </is>
      </c>
      <c r="H1632" s="16" t="inlineStr">
        <is>
          <t>NEGRO</t>
        </is>
      </c>
      <c r="I1632" s="16" t="n">
        <v>1</v>
      </c>
      <c r="J1632" s="17" t="n">
        <v>75</v>
      </c>
      <c r="K1632" s="17" t="n">
        <v>84.22</v>
      </c>
      <c r="L1632" s="17" t="n">
        <v>25.86</v>
      </c>
      <c r="M1632" s="17" t="n">
        <v>0</v>
      </c>
      <c r="N1632" s="17">
        <f>K1632*0.08+L1632*0.08</f>
        <v/>
      </c>
      <c r="O1632" s="17">
        <f>-(K1632*0.025+L1632*0.025)</f>
        <v/>
      </c>
      <c r="P1632" s="17">
        <f>32</f>
        <v/>
      </c>
      <c r="Q1632" s="17">
        <f>J1632+L1632+N1632+O1632-P1632-M1632</f>
        <v/>
      </c>
    </row>
    <row r="1633">
      <c r="A1633" s="16" t="inlineStr">
        <is>
          <t>5.15-5.21</t>
        </is>
      </c>
      <c r="B1633" s="16" t="inlineStr">
        <is>
          <t>PO-128-18422441554550368</t>
        </is>
      </c>
      <c r="C1633" s="16" t="inlineStr">
        <is>
          <t>Delivered</t>
        </is>
      </c>
      <c r="D1633" s="16" t="inlineStr">
        <is>
          <t>128-18422404854390368</t>
        </is>
      </c>
      <c r="E1633" s="16" t="inlineStr">
        <is>
          <t>Delivered</t>
        </is>
      </c>
      <c r="F1633" s="16" t="inlineStr">
        <is>
          <t>KTS-2031</t>
        </is>
      </c>
      <c r="G1633" s="16" t="inlineStr">
        <is>
          <t>Bocina inalámbrica de 3 pulgadas con linterna multifuncional y panel solar integrado.Altavoz Portátil con Linterna LED 4 Modos, Radio FM, Bluetooth, Carga Solar, Ideal para Apagones, Emergencias, Campo y Exteriores</t>
        </is>
      </c>
      <c r="H1633" s="16" t="inlineStr">
        <is>
          <t>NEGRO</t>
        </is>
      </c>
      <c r="I1633" s="16" t="n">
        <v>1</v>
      </c>
      <c r="J1633" s="17" t="n">
        <v>75</v>
      </c>
      <c r="K1633" s="17" t="n">
        <v>84.22</v>
      </c>
      <c r="L1633" s="17" t="n">
        <v>25.86</v>
      </c>
      <c r="M1633" s="17" t="n">
        <v>0</v>
      </c>
      <c r="N1633" s="17">
        <f>K1633*0.08+L1633*0.08</f>
        <v/>
      </c>
      <c r="O1633" s="17">
        <f>-(K1633*0.025+L1633*0.025)</f>
        <v/>
      </c>
      <c r="P1633" s="17">
        <f>32</f>
        <v/>
      </c>
      <c r="Q1633" s="17">
        <f>J1633+L1633+N1633+O1633-P1633-M1633</f>
        <v/>
      </c>
    </row>
    <row r="1634">
      <c r="A1634" s="16" t="inlineStr">
        <is>
          <t>5.15-5.21</t>
        </is>
      </c>
      <c r="B1634" s="16" t="inlineStr">
        <is>
          <t>PO-128-18136994878073030</t>
        </is>
      </c>
      <c r="C1634" s="16" t="inlineStr">
        <is>
          <t>Delivered</t>
        </is>
      </c>
      <c r="D1634" s="16" t="inlineStr">
        <is>
          <t>128-18137000120953030</t>
        </is>
      </c>
      <c r="E1634" s="16" t="inlineStr">
        <is>
          <t>Delivered</t>
        </is>
      </c>
      <c r="F1634" s="16" t="inlineStr">
        <is>
          <t>BSC04</t>
        </is>
      </c>
      <c r="G1634" s="16" t="inlineStr">
        <is>
          <t>TIANLAI Báscula Digital BSC04/BSC07, Alta Precisión, Fácil Operación, Ligera y Portátil, Función Tara, Unidad Dual oz/g, Ideal para Cocina, Control de Porciones, Sellos y Objetos Pequeños, Uso en Hogar y Viaje</t>
        </is>
      </c>
      <c r="H1634" s="16" t="inlineStr">
        <is>
          <t>5g/White</t>
        </is>
      </c>
      <c r="I1634" s="16" t="n">
        <v>1</v>
      </c>
      <c r="J1634" s="17" t="n">
        <v>52.8</v>
      </c>
      <c r="K1634" s="17" t="n">
        <v>69.09</v>
      </c>
      <c r="L1634" s="17" t="n">
        <v>25.86</v>
      </c>
      <c r="M1634" s="17" t="n">
        <v>0</v>
      </c>
      <c r="N1634" s="17">
        <f>K1634*0.08+L1634*0.08</f>
        <v/>
      </c>
      <c r="O1634" s="17">
        <f>-(K1634*0.025+L1634*0.025)</f>
        <v/>
      </c>
      <c r="P1634" s="17">
        <f>32</f>
        <v/>
      </c>
      <c r="Q1634" s="17">
        <f>J1634+L1634+N1634+O1634-P1634-M1634</f>
        <v/>
      </c>
    </row>
    <row r="1635">
      <c r="A1635" s="16" t="inlineStr">
        <is>
          <t>5.15-5.21</t>
        </is>
      </c>
      <c r="B1635" s="16" t="inlineStr">
        <is>
          <t>PO-128-18248542536311407</t>
        </is>
      </c>
      <c r="C1635" s="16" t="inlineStr">
        <is>
          <t>Delivered</t>
        </is>
      </c>
      <c r="D1635" s="16" t="inlineStr">
        <is>
          <t>128-18248462582391407</t>
        </is>
      </c>
      <c r="E1635" s="16" t="inlineStr">
        <is>
          <t>Delivered</t>
        </is>
      </c>
      <c r="F1635" s="16" t="inlineStr">
        <is>
          <t>KTS-2031</t>
        </is>
      </c>
      <c r="G1635" s="16" t="inlineStr">
        <is>
          <t>Bocina inalámbrica de 3 pulgadas con linterna multifuncional y panel solar integrado.Altavoz Portátil con Linterna LED 4 Modos, Radio FM, Bluetooth, Carga Solar, Ideal para Apagones, Emergencias, Campo y Exteriores</t>
        </is>
      </c>
      <c r="H1635" s="16" t="inlineStr">
        <is>
          <t>NEGRO</t>
        </is>
      </c>
      <c r="I1635" s="16" t="n">
        <v>1</v>
      </c>
      <c r="J1635" s="17" t="n">
        <v>75</v>
      </c>
      <c r="K1635" s="17" t="n">
        <v>84.22</v>
      </c>
      <c r="L1635" s="17" t="n">
        <v>25.86</v>
      </c>
      <c r="M1635" s="17" t="n">
        <v>0</v>
      </c>
      <c r="N1635" s="17">
        <f>K1635*0.08+L1635*0.08</f>
        <v/>
      </c>
      <c r="O1635" s="17">
        <f>-(K1635*0.025+L1635*0.025)</f>
        <v/>
      </c>
      <c r="P1635" s="17">
        <f>32</f>
        <v/>
      </c>
      <c r="Q1635" s="17">
        <f>J1635+L1635+N1635+O1635-P1635-M1635</f>
        <v/>
      </c>
    </row>
    <row r="1636">
      <c r="A1636" s="16" t="inlineStr">
        <is>
          <t>5.15-5.21</t>
        </is>
      </c>
      <c r="B1636" s="16" t="inlineStr">
        <is>
          <t>PO-128-18406437663350272</t>
        </is>
      </c>
      <c r="C1636" s="16" t="inlineStr">
        <is>
          <t>Delivered</t>
        </is>
      </c>
      <c r="D1636" s="16" t="inlineStr">
        <is>
          <t>128-18406395720310272</t>
        </is>
      </c>
      <c r="E1636" s="16" t="inlineStr">
        <is>
          <t>Delivered</t>
        </is>
      </c>
      <c r="F1636" s="16" t="inlineStr">
        <is>
          <t>KTS-2031</t>
        </is>
      </c>
      <c r="G1636" s="16" t="inlineStr">
        <is>
          <t>Bocina inalámbrica de 3 pulgadas con linterna multifuncional y panel solar integrado.Altavoz Portátil con Linterna LED 4 Modos, Radio FM, Bluetooth, Carga Solar, Ideal para Apagones, Emergencias, Campo y Exteriores</t>
        </is>
      </c>
      <c r="H1636" s="16" t="inlineStr">
        <is>
          <t>NEGRO</t>
        </is>
      </c>
      <c r="I1636" s="16" t="n">
        <v>2</v>
      </c>
      <c r="J1636" s="17" t="n">
        <v>150</v>
      </c>
      <c r="K1636" s="17" t="n">
        <v>125.34</v>
      </c>
      <c r="L1636" s="17" t="n">
        <v>25.86</v>
      </c>
      <c r="M1636" s="17" t="n">
        <v>0</v>
      </c>
      <c r="N1636" s="17">
        <f>K1636*0.08+L1636*0.08</f>
        <v/>
      </c>
      <c r="O1636" s="17">
        <f>-(K1636*0.025+L1636*0.025)</f>
        <v/>
      </c>
      <c r="P1636" s="17">
        <f>32</f>
        <v/>
      </c>
      <c r="Q1636" s="17">
        <f>J1636+L1636+N1636+O1636-P1636-M1636</f>
        <v/>
      </c>
    </row>
    <row r="1637">
      <c r="A1637" s="16" t="inlineStr">
        <is>
          <t>5.15-5.21</t>
        </is>
      </c>
      <c r="B1637" s="16" t="inlineStr">
        <is>
          <t>PO-128-18213251057271425</t>
        </is>
      </c>
      <c r="C1637" s="16" t="inlineStr">
        <is>
          <t>Delivered</t>
        </is>
      </c>
      <c r="D1637" s="16" t="inlineStr">
        <is>
          <t>128-18213209114231425</t>
        </is>
      </c>
      <c r="E1637" s="16" t="inlineStr">
        <is>
          <t>Delivered</t>
        </is>
      </c>
      <c r="F1637" s="16" t="inlineStr">
        <is>
          <t>LV64W25</t>
        </is>
      </c>
      <c r="G16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37" s="16" t="inlineStr">
        <is>
          <t>Blanco</t>
        </is>
      </c>
      <c r="I1637" s="16" t="n">
        <v>1</v>
      </c>
      <c r="J1637" s="17" t="n">
        <v>119.5</v>
      </c>
      <c r="K1637" s="17" t="n">
        <v>137.76</v>
      </c>
      <c r="L1637" s="17" t="n">
        <v>25.86</v>
      </c>
      <c r="M1637" s="17" t="n">
        <v>0</v>
      </c>
      <c r="N1637" s="17">
        <f>K1637*0.08+L1637*0.08</f>
        <v/>
      </c>
      <c r="O1637" s="17">
        <f>-(K1637*0.025+L1637*0.025)</f>
        <v/>
      </c>
      <c r="P1637" s="17">
        <f>32</f>
        <v/>
      </c>
      <c r="Q1637" s="17">
        <f>J1637+L1637+N1637+O1637-P1637-M1637</f>
        <v/>
      </c>
    </row>
    <row r="1638">
      <c r="A1638" s="16" t="inlineStr">
        <is>
          <t>5.15-5.21</t>
        </is>
      </c>
      <c r="B1638" s="16" t="inlineStr">
        <is>
          <t>PO-128-17935199068793080</t>
        </is>
      </c>
      <c r="C1638" s="16" t="inlineStr">
        <is>
          <t>Delivered</t>
        </is>
      </c>
      <c r="D1638" s="16" t="inlineStr">
        <is>
          <t>128-17935251497593080</t>
        </is>
      </c>
      <c r="E1638" s="16" t="inlineStr">
        <is>
          <t>Delivered</t>
        </is>
      </c>
      <c r="F1638" s="16" t="inlineStr">
        <is>
          <t>KTS-2031</t>
        </is>
      </c>
      <c r="G1638" s="16" t="inlineStr">
        <is>
          <t>Bocina inalámbrica de 3 pulgadas con linterna multifuncional y panel solar integrado.Altavoz Portátil con Linterna LED 4 Modos, Radio FM, Bluetooth, Carga Solar, Ideal para Apagones, Emergencias, Campo y Exteriores</t>
        </is>
      </c>
      <c r="H1638" s="16" t="inlineStr">
        <is>
          <t>NEGRO</t>
        </is>
      </c>
      <c r="I1638" s="16" t="n">
        <v>1</v>
      </c>
      <c r="J1638" s="17" t="n">
        <v>75</v>
      </c>
      <c r="K1638" s="17" t="n">
        <v>84.22</v>
      </c>
      <c r="L1638" s="17" t="n">
        <v>25.86</v>
      </c>
      <c r="M1638" s="17" t="n">
        <v>0</v>
      </c>
      <c r="N1638" s="17">
        <f>K1638*0.08+L1638*0.08</f>
        <v/>
      </c>
      <c r="O1638" s="17">
        <f>-(K1638*0.025+L1638*0.025)</f>
        <v/>
      </c>
      <c r="P1638" s="17">
        <f>32</f>
        <v/>
      </c>
      <c r="Q1638" s="17">
        <f>J1638+L1638+N1638+O1638-P1638-M1638</f>
        <v/>
      </c>
    </row>
    <row r="1639">
      <c r="A1639" s="16" t="inlineStr">
        <is>
          <t>5.15-5.21</t>
        </is>
      </c>
      <c r="B1639" s="16" t="inlineStr">
        <is>
          <t>PO-128-18528985918070759</t>
        </is>
      </c>
      <c r="C1639" s="16" t="inlineStr">
        <is>
          <t>Delivered</t>
        </is>
      </c>
      <c r="D1639" s="16" t="inlineStr">
        <is>
          <t>128-18528996403830759</t>
        </is>
      </c>
      <c r="E1639" s="16" t="inlineStr">
        <is>
          <t>Delivered</t>
        </is>
      </c>
      <c r="F1639" s="16" t="inlineStr">
        <is>
          <t>BSC04</t>
        </is>
      </c>
      <c r="G1639" s="16" t="inlineStr">
        <is>
          <t>TIANLAI Báscula Digital BSC04/BSC07, Alta Precisión, Fácil Operación, Ligera y Portátil, Función Tara, Unidad Dual oz/g, Ideal para Cocina, Control de Porciones, Sellos y Objetos Pequeños, Uso en Hogar y Viaje</t>
        </is>
      </c>
      <c r="H1639" s="16" t="inlineStr">
        <is>
          <t>5g/White</t>
        </is>
      </c>
      <c r="I1639" s="16" t="n">
        <v>1</v>
      </c>
      <c r="J1639" s="17" t="n">
        <v>52.8</v>
      </c>
      <c r="K1639" s="17" t="n">
        <v>69.09</v>
      </c>
      <c r="L1639" s="17" t="n">
        <v>25.86</v>
      </c>
      <c r="M1639" s="17" t="n">
        <v>0</v>
      </c>
      <c r="N1639" s="17">
        <f>K1639*0.08+L1639*0.08</f>
        <v/>
      </c>
      <c r="O1639" s="17">
        <f>-(K1639*0.025+L1639*0.025)</f>
        <v/>
      </c>
      <c r="P1639" s="17">
        <f>32</f>
        <v/>
      </c>
      <c r="Q1639" s="17">
        <f>J1639+L1639+N1639+O1639-P1639-M1639</f>
        <v/>
      </c>
    </row>
    <row r="1640">
      <c r="A1640" s="16" t="inlineStr">
        <is>
          <t>5.15-5.21</t>
        </is>
      </c>
      <c r="B1640" s="16" t="inlineStr">
        <is>
          <t>PO-128-18235087652471295</t>
        </is>
      </c>
      <c r="C1640" s="16" t="inlineStr">
        <is>
          <t>Delivered</t>
        </is>
      </c>
      <c r="D1640" s="16" t="inlineStr">
        <is>
          <t>128-18235098138231295</t>
        </is>
      </c>
      <c r="E1640" s="16" t="inlineStr">
        <is>
          <t>Delivered</t>
        </is>
      </c>
      <c r="F1640" s="16" t="inlineStr">
        <is>
          <t>KTS-2031</t>
        </is>
      </c>
      <c r="G1640" s="16" t="inlineStr">
        <is>
          <t>Bocina inalámbrica de 3 pulgadas con linterna multifuncional y panel solar integrado.Altavoz Portátil con Linterna LED 4 Modos, Radio FM, Bluetooth, Carga Solar, Ideal para Apagones, Emergencias, Campo y Exteriores</t>
        </is>
      </c>
      <c r="H1640" s="16" t="inlineStr">
        <is>
          <t>NEGRO</t>
        </is>
      </c>
      <c r="I1640" s="16" t="n">
        <v>1</v>
      </c>
      <c r="J1640" s="17" t="n">
        <v>75</v>
      </c>
      <c r="K1640" s="17" t="n">
        <v>84.22</v>
      </c>
      <c r="L1640" s="17" t="n">
        <v>25.86</v>
      </c>
      <c r="M1640" s="17" t="n">
        <v>0</v>
      </c>
      <c r="N1640" s="17">
        <f>K1640*0.08+L1640*0.08</f>
        <v/>
      </c>
      <c r="O1640" s="17">
        <f>-(K1640*0.025+L1640*0.025)</f>
        <v/>
      </c>
      <c r="P1640" s="17">
        <f>32</f>
        <v/>
      </c>
      <c r="Q1640" s="17">
        <f>J1640+L1640+N1640+O1640-P1640-M1640</f>
        <v/>
      </c>
    </row>
    <row r="1641">
      <c r="A1641" s="16" t="inlineStr">
        <is>
          <t>5.15-5.21</t>
        </is>
      </c>
      <c r="B1641" s="16" t="inlineStr">
        <is>
          <t>PO-128-18186798188152799</t>
        </is>
      </c>
      <c r="C1641" s="16" t="inlineStr">
        <is>
          <t>Delivered</t>
        </is>
      </c>
      <c r="D1641" s="16" t="inlineStr">
        <is>
          <t>128-18186756245112799</t>
        </is>
      </c>
      <c r="E1641" s="16" t="inlineStr">
        <is>
          <t>Delivered</t>
        </is>
      </c>
      <c r="F1641" s="16" t="inlineStr">
        <is>
          <t>LV54W25</t>
        </is>
      </c>
      <c r="G1641" s="16" t="inlineStr">
        <is>
          <t>TIANLAI Lámpara Ventilador E27 2 en 1, Silenciosa, LED Alta Luminosidad 180°, Instalación Rápida, Ahorro Energético para Dormitorio y Interiores Pequeños</t>
        </is>
      </c>
      <c r="H1641" s="16" t="inlineStr">
        <is>
          <t>1 Pieza</t>
        </is>
      </c>
      <c r="I1641" s="16" t="n">
        <v>1</v>
      </c>
      <c r="J1641" s="17" t="n">
        <v>78.5</v>
      </c>
      <c r="K1641" s="17" t="n">
        <v>64.93000000000001</v>
      </c>
      <c r="L1641" s="17" t="n">
        <v>25.86</v>
      </c>
      <c r="M1641" s="17" t="n">
        <v>0</v>
      </c>
      <c r="N1641" s="17">
        <f>K1641*0.08+L1641*0.08</f>
        <v/>
      </c>
      <c r="O1641" s="17">
        <f>-(K1641*0.025+L1641*0.025)</f>
        <v/>
      </c>
      <c r="P1641" s="17">
        <f>32</f>
        <v/>
      </c>
      <c r="Q1641" s="17">
        <f>J1641+L1641+N1641+O1641-P1641-M1641</f>
        <v/>
      </c>
    </row>
    <row r="1642">
      <c r="A1642" s="16" t="inlineStr">
        <is>
          <t>5.15-5.21</t>
        </is>
      </c>
      <c r="B1642" s="16" t="inlineStr">
        <is>
          <t>PO-128-18500854579830863</t>
        </is>
      </c>
      <c r="C1642" s="16" t="inlineStr">
        <is>
          <t>Delivered</t>
        </is>
      </c>
      <c r="D1642" s="16" t="inlineStr">
        <is>
          <t>128-18500875551350863</t>
        </is>
      </c>
      <c r="E1642" s="16" t="inlineStr">
        <is>
          <t>Delivered</t>
        </is>
      </c>
      <c r="F1642" s="16" t="inlineStr">
        <is>
          <t>KTS-2031</t>
        </is>
      </c>
      <c r="G1642" s="16" t="inlineStr">
        <is>
          <t>Bocina inalámbrica de 3 pulgadas con linterna multifuncional y panel solar integrado.Altavoz Portátil con Linterna LED 4 Modos, Radio FM, Bluetooth, Carga Solar, Ideal para Apagones, Emergencias, Campo y Exteriores</t>
        </is>
      </c>
      <c r="H1642" s="16" t="inlineStr">
        <is>
          <t>NEGRO</t>
        </is>
      </c>
      <c r="I1642" s="16" t="n">
        <v>1</v>
      </c>
      <c r="J1642" s="17" t="n">
        <v>75</v>
      </c>
      <c r="K1642" s="17" t="n">
        <v>1.46</v>
      </c>
      <c r="L1642" s="17" t="n">
        <v>25.86</v>
      </c>
      <c r="M1642" s="17" t="n">
        <v>0</v>
      </c>
      <c r="N1642" s="17">
        <f>K1642*0.08+L1642*0.08</f>
        <v/>
      </c>
      <c r="O1642" s="17">
        <f>-(K1642*0.025+L1642*0.025)</f>
        <v/>
      </c>
      <c r="P1642" s="17">
        <f>32</f>
        <v/>
      </c>
      <c r="Q1642" s="17">
        <f>J1642+L1642+N1642+O1642-P1642-M1642</f>
        <v/>
      </c>
    </row>
    <row r="1643">
      <c r="A1643" s="16" t="inlineStr">
        <is>
          <t>5.15-5.21</t>
        </is>
      </c>
      <c r="B1643" s="16" t="inlineStr">
        <is>
          <t>PO-128-18055946107512555</t>
        </is>
      </c>
      <c r="C1643" s="16" t="inlineStr">
        <is>
          <t>Delivered</t>
        </is>
      </c>
      <c r="D1643" s="16" t="inlineStr">
        <is>
          <t>128-18055904164472555</t>
        </is>
      </c>
      <c r="E1643" s="16" t="inlineStr">
        <is>
          <t>Delivered</t>
        </is>
      </c>
      <c r="F1643" s="16" t="inlineStr">
        <is>
          <t>SA323T</t>
        </is>
      </c>
      <c r="G1643"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643" s="16" t="inlineStr">
        <is>
          <t>AZUL/SA323T</t>
        </is>
      </c>
      <c r="I1643" s="16" t="n">
        <v>1</v>
      </c>
      <c r="J1643" s="17" t="n">
        <v>45</v>
      </c>
      <c r="K1643" s="17" t="n">
        <v>54.06</v>
      </c>
      <c r="L1643" s="17" t="n">
        <v>25.86</v>
      </c>
      <c r="M1643" s="17" t="n">
        <v>0</v>
      </c>
      <c r="N1643" s="17">
        <f>K1643*0.08+L1643*0.08</f>
        <v/>
      </c>
      <c r="O1643" s="17">
        <f>-(K1643*0.025+L1643*0.025)</f>
        <v/>
      </c>
      <c r="P1643" s="17">
        <f>32</f>
        <v/>
      </c>
      <c r="Q1643" s="17">
        <f>J1643+L1643+N1643+O1643-P1643-M1643</f>
        <v/>
      </c>
    </row>
    <row r="1644">
      <c r="A1644" s="16" t="inlineStr">
        <is>
          <t>5.15-5.21</t>
        </is>
      </c>
      <c r="B1644" s="16" t="inlineStr">
        <is>
          <t>PO-128-18105179832952069</t>
        </is>
      </c>
      <c r="C1644" s="16" t="inlineStr">
        <is>
          <t>Delivered</t>
        </is>
      </c>
      <c r="D1644" s="16" t="inlineStr">
        <is>
          <t>128-18105206047352069</t>
        </is>
      </c>
      <c r="E1644" s="16" t="inlineStr">
        <is>
          <t>Delivered</t>
        </is>
      </c>
      <c r="F1644" s="16" t="inlineStr">
        <is>
          <t>LV64W25</t>
        </is>
      </c>
      <c r="G16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44" s="16" t="inlineStr">
        <is>
          <t>Blanco</t>
        </is>
      </c>
      <c r="I1644" s="16" t="n">
        <v>1</v>
      </c>
      <c r="J1644" s="17" t="n">
        <v>119.5</v>
      </c>
      <c r="K1644" s="17" t="n">
        <v>137.76</v>
      </c>
      <c r="L1644" s="17" t="n">
        <v>25.86</v>
      </c>
      <c r="M1644" s="17" t="n">
        <v>0</v>
      </c>
      <c r="N1644" s="17">
        <f>K1644*0.08+L1644*0.08</f>
        <v/>
      </c>
      <c r="O1644" s="17">
        <f>-(K1644*0.025+L1644*0.025)</f>
        <v/>
      </c>
      <c r="P1644" s="17">
        <f>32</f>
        <v/>
      </c>
      <c r="Q1644" s="17">
        <f>J1644+L1644+N1644+O1644-P1644-M1644</f>
        <v/>
      </c>
    </row>
    <row r="1645">
      <c r="A1645" s="16" t="inlineStr">
        <is>
          <t>5.15-5.21</t>
        </is>
      </c>
      <c r="B1645" s="16" t="inlineStr">
        <is>
          <t>PO-128-17870184632953468</t>
        </is>
      </c>
      <c r="C1645" s="16" t="inlineStr">
        <is>
          <t>Delivered</t>
        </is>
      </c>
      <c r="D1645" s="16" t="inlineStr">
        <is>
          <t>128-17870237061753468</t>
        </is>
      </c>
      <c r="E1645" s="16" t="inlineStr">
        <is>
          <t>Delivered</t>
        </is>
      </c>
      <c r="F1645" s="16" t="inlineStr">
        <is>
          <t>LV64W25</t>
        </is>
      </c>
      <c r="G16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45" s="16" t="inlineStr">
        <is>
          <t>Blanco</t>
        </is>
      </c>
      <c r="I1645" s="16" t="n">
        <v>1</v>
      </c>
      <c r="J1645" s="17" t="n">
        <v>119.5</v>
      </c>
      <c r="K1645" s="17" t="n">
        <v>137.76</v>
      </c>
      <c r="L1645" s="17" t="n">
        <v>25.86</v>
      </c>
      <c r="M1645" s="17" t="n">
        <v>0</v>
      </c>
      <c r="N1645" s="17">
        <f>K1645*0.08+L1645*0.08</f>
        <v/>
      </c>
      <c r="O1645" s="17">
        <f>-(K1645*0.025+L1645*0.025)</f>
        <v/>
      </c>
      <c r="P1645" s="17">
        <f>32</f>
        <v/>
      </c>
      <c r="Q1645" s="17">
        <f>J1645+L1645+N1645+O1645-P1645-M1645</f>
        <v/>
      </c>
    </row>
    <row r="1646">
      <c r="A1646" s="16" t="inlineStr">
        <is>
          <t>5.15-5.21</t>
        </is>
      </c>
      <c r="B1646" s="16" t="inlineStr">
        <is>
          <t>PO-128-18426278395510155</t>
        </is>
      </c>
      <c r="C1646" s="16" t="inlineStr">
        <is>
          <t>Delivered</t>
        </is>
      </c>
      <c r="D1646" s="16" t="inlineStr">
        <is>
          <t>128-18426299367030155</t>
        </is>
      </c>
      <c r="E1646" s="16" t="inlineStr">
        <is>
          <t>Delivered</t>
        </is>
      </c>
      <c r="F1646" s="16" t="inlineStr">
        <is>
          <t>LV64W25</t>
        </is>
      </c>
      <c r="G16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46" s="16" t="inlineStr">
        <is>
          <t>Blanco</t>
        </is>
      </c>
      <c r="I1646" s="16" t="n">
        <v>2</v>
      </c>
      <c r="J1646" s="17" t="n">
        <v>239</v>
      </c>
      <c r="K1646" s="17" t="n">
        <v>275.52</v>
      </c>
      <c r="L1646" s="17" t="n">
        <v>0</v>
      </c>
      <c r="M1646" s="17" t="n">
        <v>0</v>
      </c>
      <c r="N1646" s="17">
        <f>K1646*0.08+L1646*0.08</f>
        <v/>
      </c>
      <c r="O1646" s="17">
        <f>-(K1646*0.025+L1646*0.025)</f>
        <v/>
      </c>
      <c r="P1646" s="17">
        <f>32</f>
        <v/>
      </c>
      <c r="Q1646" s="17">
        <f>J1646+L1646+N1646+O1646-P1646-M1646</f>
        <v/>
      </c>
    </row>
    <row r="1647">
      <c r="A1647" s="16" t="inlineStr">
        <is>
          <t>5.15-5.21</t>
        </is>
      </c>
      <c r="B1647" s="16" t="inlineStr">
        <is>
          <t>PO-128-18204403497592628</t>
        </is>
      </c>
      <c r="C1647" s="16" t="inlineStr">
        <is>
          <t>Delivered</t>
        </is>
      </c>
      <c r="D1647" s="16" t="inlineStr">
        <is>
          <t>128-18204424469112628</t>
        </is>
      </c>
      <c r="E1647" s="16" t="inlineStr">
        <is>
          <t>Delivered</t>
        </is>
      </c>
      <c r="F1647" s="16" t="inlineStr">
        <is>
          <t>KTS-2031</t>
        </is>
      </c>
      <c r="G1647" s="16" t="inlineStr">
        <is>
          <t>Bocina inalámbrica de 3 pulgadas con linterna multifuncional y panel solar integrado.Altavoz Portátil con Linterna LED 4 Modos, Radio FM, Bluetooth, Carga Solar, Ideal para Apagones, Emergencias, Campo y Exteriores</t>
        </is>
      </c>
      <c r="H1647" s="16" t="inlineStr">
        <is>
          <t>NEGRO</t>
        </is>
      </c>
      <c r="I1647" s="16" t="n">
        <v>1</v>
      </c>
      <c r="J1647" s="17" t="n">
        <v>105.26</v>
      </c>
      <c r="K1647" s="17" t="n">
        <v>114.49</v>
      </c>
      <c r="L1647" s="17" t="n">
        <v>25.86</v>
      </c>
      <c r="M1647" s="17" t="n">
        <v>0</v>
      </c>
      <c r="N1647" s="17">
        <f>K1647*0.08+L1647*0.08</f>
        <v/>
      </c>
      <c r="O1647" s="17">
        <f>-(K1647*0.025+L1647*0.025)</f>
        <v/>
      </c>
      <c r="P1647" s="17">
        <f>32</f>
        <v/>
      </c>
      <c r="Q1647" s="17">
        <f>J1647+L1647+N1647+O1647-P1647-M1647</f>
        <v/>
      </c>
    </row>
    <row r="1648">
      <c r="A1648" s="16" t="inlineStr">
        <is>
          <t>5.15-5.21</t>
        </is>
      </c>
      <c r="B1648" s="16" t="inlineStr">
        <is>
          <t>PO-128-18154895360632861</t>
        </is>
      </c>
      <c r="C1648" s="16" t="inlineStr">
        <is>
          <t>Delivered</t>
        </is>
      </c>
      <c r="D1648" s="16" t="inlineStr">
        <is>
          <t>128-18154905846392861</t>
        </is>
      </c>
      <c r="E1648" s="16" t="inlineStr">
        <is>
          <t>Delivered</t>
        </is>
      </c>
      <c r="F1648" s="16" t="inlineStr">
        <is>
          <t>VA371T</t>
        </is>
      </c>
      <c r="G1648" s="16" t="inlineStr">
        <is>
          <t>Linkbits Bocina Bluetooth Portátil 3" de Alta Gama，Hi-Res Audio y Graves Potentes，Luces LED + Soporte USB/TF/FM/TWS，Ideal para Hogar y Aire Libre</t>
        </is>
      </c>
      <c r="H1648" s="16" t="inlineStr">
        <is>
          <t>VA371T</t>
        </is>
      </c>
      <c r="I1648" s="16" t="n">
        <v>1</v>
      </c>
      <c r="J1648" s="17" t="n">
        <v>41.32</v>
      </c>
      <c r="K1648" s="17" t="n">
        <v>49.68</v>
      </c>
      <c r="L1648" s="17" t="n">
        <v>25.86</v>
      </c>
      <c r="M1648" s="17" t="n">
        <v>0</v>
      </c>
      <c r="N1648" s="17">
        <f>K1648*0.08+L1648*0.08</f>
        <v/>
      </c>
      <c r="O1648" s="17">
        <f>-(K1648*0.025+L1648*0.025)</f>
        <v/>
      </c>
      <c r="P1648" s="17">
        <f>32</f>
        <v/>
      </c>
      <c r="Q1648" s="17">
        <f>J1648+L1648+N1648+O1648-P1648-M1648</f>
        <v/>
      </c>
    </row>
    <row r="1649">
      <c r="A1649" s="16" t="inlineStr">
        <is>
          <t>5.15-5.21</t>
        </is>
      </c>
      <c r="B1649" s="16" t="inlineStr">
        <is>
          <t>PO-128-18505911040630833</t>
        </is>
      </c>
      <c r="C1649" s="16" t="inlineStr">
        <is>
          <t>Delivered</t>
        </is>
      </c>
      <c r="D1649" s="16" t="inlineStr">
        <is>
          <t>128-18505869097590833</t>
        </is>
      </c>
      <c r="E1649" s="16" t="inlineStr">
        <is>
          <t>Delivered</t>
        </is>
      </c>
      <c r="F1649" s="16" t="inlineStr">
        <is>
          <t>LV64W25</t>
        </is>
      </c>
      <c r="G16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49" s="16" t="inlineStr">
        <is>
          <t>Blanco</t>
        </is>
      </c>
      <c r="I1649" s="16" t="n">
        <v>1</v>
      </c>
      <c r="J1649" s="17" t="n">
        <v>119.5</v>
      </c>
      <c r="K1649" s="17" t="n">
        <v>137.76</v>
      </c>
      <c r="L1649" s="17" t="n">
        <v>25.86</v>
      </c>
      <c r="M1649" s="17" t="n">
        <v>0</v>
      </c>
      <c r="N1649" s="17">
        <f>K1649*0.08+L1649*0.08</f>
        <v/>
      </c>
      <c r="O1649" s="17">
        <f>-(K1649*0.025+L1649*0.025)</f>
        <v/>
      </c>
      <c r="P1649" s="17">
        <f>32</f>
        <v/>
      </c>
      <c r="Q1649" s="17">
        <f>J1649+L1649+N1649+O1649-P1649-M1649</f>
        <v/>
      </c>
    </row>
    <row r="1650">
      <c r="A1650" s="16" t="inlineStr">
        <is>
          <t>5.15-5.21</t>
        </is>
      </c>
      <c r="B1650" s="16" t="inlineStr">
        <is>
          <t>PO-128-18375647196791609</t>
        </is>
      </c>
      <c r="C1650" s="16" t="inlineStr">
        <is>
          <t>Delivered</t>
        </is>
      </c>
      <c r="D1650" s="16" t="inlineStr">
        <is>
          <t>128-18375626225271609</t>
        </is>
      </c>
      <c r="E1650" s="16" t="inlineStr">
        <is>
          <t>Delivered</t>
        </is>
      </c>
      <c r="F1650" s="16" t="inlineStr">
        <is>
          <t>LV64W25</t>
        </is>
      </c>
      <c r="G16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50" s="16" t="inlineStr">
        <is>
          <t>Blanco</t>
        </is>
      </c>
      <c r="I1650" s="16" t="n">
        <v>2</v>
      </c>
      <c r="J1650" s="17" t="n">
        <v>239</v>
      </c>
      <c r="K1650" s="17" t="n">
        <v>275.52</v>
      </c>
      <c r="L1650" s="17" t="n">
        <v>0</v>
      </c>
      <c r="M1650" s="17" t="n">
        <v>0</v>
      </c>
      <c r="N1650" s="17">
        <f>K1650*0.08+L1650*0.08</f>
        <v/>
      </c>
      <c r="O1650" s="17">
        <f>-(K1650*0.025+L1650*0.025)</f>
        <v/>
      </c>
      <c r="P1650" s="17">
        <f>32</f>
        <v/>
      </c>
      <c r="Q1650" s="17">
        <f>J1650+L1650+N1650+O1650-P1650-M1650</f>
        <v/>
      </c>
    </row>
    <row r="1651">
      <c r="A1651" s="16" t="inlineStr">
        <is>
          <t>5.15-5.21</t>
        </is>
      </c>
      <c r="B1651" s="16" t="inlineStr">
        <is>
          <t>PO-128-18295966116471122</t>
        </is>
      </c>
      <c r="C1651" s="16" t="inlineStr">
        <is>
          <t>Delivered</t>
        </is>
      </c>
      <c r="D1651" s="16" t="inlineStr">
        <is>
          <t>128-18295945144951122</t>
        </is>
      </c>
      <c r="E1651" s="16" t="inlineStr">
        <is>
          <t>Delivered</t>
        </is>
      </c>
      <c r="F1651" s="16" t="inlineStr">
        <is>
          <t>LV64W25</t>
        </is>
      </c>
      <c r="G16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51" s="16" t="inlineStr">
        <is>
          <t>Blanco</t>
        </is>
      </c>
      <c r="I1651" s="16" t="n">
        <v>1</v>
      </c>
      <c r="J1651" s="17" t="n">
        <v>119.5</v>
      </c>
      <c r="K1651" s="17" t="n">
        <v>137.76</v>
      </c>
      <c r="L1651" s="17" t="n">
        <v>25.86</v>
      </c>
      <c r="M1651" s="17" t="n">
        <v>0</v>
      </c>
      <c r="N1651" s="17">
        <f>K1651*0.08+L1651*0.08</f>
        <v/>
      </c>
      <c r="O1651" s="17">
        <f>-(K1651*0.025+L1651*0.025)</f>
        <v/>
      </c>
      <c r="P1651" s="17">
        <f>32</f>
        <v/>
      </c>
      <c r="Q1651" s="17">
        <f>J1651+L1651+N1651+O1651-P1651-M1651</f>
        <v/>
      </c>
    </row>
    <row r="1652">
      <c r="A1652" s="16" t="inlineStr">
        <is>
          <t>5.15-5.21</t>
        </is>
      </c>
      <c r="B1652" s="16" t="inlineStr">
        <is>
          <t>PO-128-18200279081592652</t>
        </is>
      </c>
      <c r="C1652" s="16" t="inlineStr">
        <is>
          <t>Delivered</t>
        </is>
      </c>
      <c r="D1652" s="16" t="inlineStr">
        <is>
          <t>128-18200289567352652</t>
        </is>
      </c>
      <c r="E1652" s="16" t="inlineStr">
        <is>
          <t>Delivered</t>
        </is>
      </c>
      <c r="F1652" s="16" t="inlineStr">
        <is>
          <t>TL2663N18C</t>
        </is>
      </c>
      <c r="G1652" s="16" t="inlineStr">
        <is>
          <t>Linkbits，Soporte de pared fijo para televisores de 26"-63", Ultra-Delgado Compatible con VESA 400x400mm, Capacidad de Peso Fuerte de 25KG, Instalación Fácil Sin Electricidad</t>
        </is>
      </c>
      <c r="H1652" s="16" t="inlineStr">
        <is>
          <t>NEGRO</t>
        </is>
      </c>
      <c r="I1652" s="16" t="n">
        <v>1</v>
      </c>
      <c r="J1652" s="17" t="n">
        <v>52</v>
      </c>
      <c r="K1652" s="17" t="n">
        <v>66.97</v>
      </c>
      <c r="L1652" s="17" t="n">
        <v>25.86</v>
      </c>
      <c r="M1652" s="17" t="n">
        <v>0</v>
      </c>
      <c r="N1652" s="17">
        <f>K1652*0.08+L1652*0.08</f>
        <v/>
      </c>
      <c r="O1652" s="17">
        <f>-(K1652*0.025+L1652*0.025)</f>
        <v/>
      </c>
      <c r="P1652" s="17">
        <f>32</f>
        <v/>
      </c>
      <c r="Q1652" s="17">
        <f>J1652+L1652+N1652+O1652-P1652-M1652</f>
        <v/>
      </c>
    </row>
    <row r="1653">
      <c r="A1653" s="16" t="inlineStr">
        <is>
          <t>5.15-5.21</t>
        </is>
      </c>
      <c r="B1653" s="16" t="inlineStr">
        <is>
          <t>PO-128-18340925711991686</t>
        </is>
      </c>
      <c r="C1653" s="16" t="inlineStr">
        <is>
          <t>Delivered</t>
        </is>
      </c>
      <c r="D1653" s="16" t="inlineStr">
        <is>
          <t>128-18340904740471686</t>
        </is>
      </c>
      <c r="E1653" s="16" t="inlineStr">
        <is>
          <t>Delivered</t>
        </is>
      </c>
      <c r="F1653" s="16" t="inlineStr">
        <is>
          <t>LV64W25</t>
        </is>
      </c>
      <c r="G16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53" s="16" t="inlineStr">
        <is>
          <t>Blanco</t>
        </is>
      </c>
      <c r="I1653" s="16" t="n">
        <v>7</v>
      </c>
      <c r="J1653" s="17" t="n">
        <v>836.5</v>
      </c>
      <c r="K1653" s="17" t="n">
        <v>810.17</v>
      </c>
      <c r="L1653" s="17" t="n">
        <v>0</v>
      </c>
      <c r="M1653" s="17" t="n">
        <v>0</v>
      </c>
      <c r="N1653" s="17">
        <f>K1653*0.08+L1653*0.08</f>
        <v/>
      </c>
      <c r="O1653" s="17">
        <f>-(K1653*0.025+L1653*0.025)</f>
        <v/>
      </c>
      <c r="P1653" s="17">
        <f>32</f>
        <v/>
      </c>
      <c r="Q1653" s="17">
        <f>J1653+L1653+N1653+O1653-P1653-M1653</f>
        <v/>
      </c>
    </row>
    <row r="1654">
      <c r="A1654" s="16" t="inlineStr">
        <is>
          <t>5.15-5.21</t>
        </is>
      </c>
      <c r="B1654" s="16" t="inlineStr">
        <is>
          <t>PO-128-18060717589112332</t>
        </is>
      </c>
      <c r="C1654" s="16" t="inlineStr">
        <is>
          <t>Delivered</t>
        </is>
      </c>
      <c r="D1654" s="16" t="inlineStr">
        <is>
          <t>128-18060678267512332</t>
        </is>
      </c>
      <c r="E1654" s="16" t="inlineStr">
        <is>
          <t>Delivered</t>
        </is>
      </c>
      <c r="F1654" s="16" t="inlineStr">
        <is>
          <t>LV54W25</t>
        </is>
      </c>
      <c r="G1654" s="16" t="inlineStr">
        <is>
          <t>TIANLAI Lámpara Ventilador E27 2 en 1, Silenciosa, LED Alta Luminosidad 180°, Instalación Rápida, Ahorro Energético para Dormitorio y Interiores Pequeños</t>
        </is>
      </c>
      <c r="H1654" s="16" t="inlineStr">
        <is>
          <t>1 Pieza</t>
        </is>
      </c>
      <c r="I1654" s="16" t="n">
        <v>1</v>
      </c>
      <c r="J1654" s="17" t="n">
        <v>78.5</v>
      </c>
      <c r="K1654" s="17" t="n">
        <v>80.27</v>
      </c>
      <c r="L1654" s="17" t="n">
        <v>25.86</v>
      </c>
      <c r="M1654" s="17" t="n">
        <v>0</v>
      </c>
      <c r="N1654" s="17">
        <f>K1654*0.08+L1654*0.08</f>
        <v/>
      </c>
      <c r="O1654" s="17">
        <f>-(K1654*0.025+L1654*0.025)</f>
        <v/>
      </c>
      <c r="P1654" s="17">
        <f>32</f>
        <v/>
      </c>
      <c r="Q1654" s="17">
        <f>J1654+L1654+N1654+O1654-P1654-M1654</f>
        <v/>
      </c>
    </row>
    <row r="1655">
      <c r="A1655" s="16" t="inlineStr">
        <is>
          <t>5.15-5.21</t>
        </is>
      </c>
      <c r="B1655" s="16" t="inlineStr">
        <is>
          <t>PO-128-18462458471030066</t>
        </is>
      </c>
      <c r="C1655" s="16" t="inlineStr">
        <is>
          <t>Delivered</t>
        </is>
      </c>
      <c r="D1655" s="16" t="inlineStr">
        <is>
          <t>128-18462485996150066</t>
        </is>
      </c>
      <c r="E1655" s="16" t="inlineStr">
        <is>
          <t>Delivered</t>
        </is>
      </c>
      <c r="F1655" s="16" t="inlineStr">
        <is>
          <t>B03W10-10PZS</t>
        </is>
      </c>
      <c r="G165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655" s="16" t="inlineStr">
        <is>
          <t>B03W10</t>
        </is>
      </c>
      <c r="I1655" s="16" t="n">
        <v>1</v>
      </c>
      <c r="J1655" s="17" t="n">
        <v>66</v>
      </c>
      <c r="K1655" s="17" t="n">
        <v>71.05</v>
      </c>
      <c r="L1655" s="17" t="n">
        <v>12.14</v>
      </c>
      <c r="M1655" s="17" t="n">
        <v>0</v>
      </c>
      <c r="N1655" s="17">
        <f>K1655*0.08+L1655*0.08</f>
        <v/>
      </c>
      <c r="O1655" s="17">
        <f>-(K1655*0.025+L1655*0.025)</f>
        <v/>
      </c>
      <c r="P1655" s="17">
        <f>32</f>
        <v/>
      </c>
      <c r="Q1655" s="17">
        <f>J1655+L1655+N1655+O1655-P1655-M1655</f>
        <v/>
      </c>
    </row>
    <row r="1656">
      <c r="A1656" s="16" t="inlineStr">
        <is>
          <t>5.15-5.21</t>
        </is>
      </c>
      <c r="B1656" s="16" t="inlineStr">
        <is>
          <t>PO-128-18462458471030066</t>
        </is>
      </c>
      <c r="C1656" s="16" t="inlineStr">
        <is>
          <t>Delivered</t>
        </is>
      </c>
      <c r="D1656" s="16" t="inlineStr">
        <is>
          <t>128-18462480753270066</t>
        </is>
      </c>
      <c r="E1656" s="16" t="inlineStr">
        <is>
          <t>Delivered</t>
        </is>
      </c>
      <c r="F1656" s="16" t="inlineStr">
        <is>
          <t>LV54W25</t>
        </is>
      </c>
      <c r="G1656" s="16" t="inlineStr">
        <is>
          <t>TIANLAI Lámpara Ventilador E27 2 en 1, Silenciosa, LED Alta Luminosidad 180°, Instalación Rápida, Ahorro Energético para Dormitorio y Interiores Pequeños</t>
        </is>
      </c>
      <c r="H1656" s="16" t="inlineStr">
        <is>
          <t>1 Pieza</t>
        </is>
      </c>
      <c r="I1656" s="16" t="n">
        <v>1</v>
      </c>
      <c r="J1656" s="17" t="n">
        <v>78.5</v>
      </c>
      <c r="K1656" s="17" t="n">
        <v>80.27</v>
      </c>
      <c r="L1656" s="17" t="n">
        <v>13.72</v>
      </c>
      <c r="M1656" s="17" t="n">
        <v>0</v>
      </c>
      <c r="N1656" s="17">
        <f>K1656*0.08+L1656*0.08</f>
        <v/>
      </c>
      <c r="O1656" s="17">
        <f>-(K1656*0.025+L1656*0.025)</f>
        <v/>
      </c>
      <c r="P1656" s="17">
        <f>32</f>
        <v/>
      </c>
      <c r="Q1656" s="17">
        <f>J1656+L1656+N1656+O1656-P1656-M1656</f>
        <v/>
      </c>
    </row>
    <row r="1657">
      <c r="A1657" s="16" t="inlineStr">
        <is>
          <t>5.15-5.21</t>
        </is>
      </c>
      <c r="B1657" s="16" t="inlineStr">
        <is>
          <t>PO-128-07463166904950093</t>
        </is>
      </c>
      <c r="C1657" s="16" t="inlineStr">
        <is>
          <t>Delivered</t>
        </is>
      </c>
      <c r="D1657" s="16" t="inlineStr">
        <is>
          <t>128-07463156419190093</t>
        </is>
      </c>
      <c r="E1657" s="16" t="inlineStr">
        <is>
          <t>Delivered</t>
        </is>
      </c>
      <c r="F1657" s="16" t="inlineStr">
        <is>
          <t>BSC07</t>
        </is>
      </c>
      <c r="G1657" s="16" t="inlineStr">
        <is>
          <t>TIANLAI Báscula Digital BSC04/BSC07, Alta Precisión, Fácil Operación, Ligera y Portátil, Función Tara, Unidad Dual oz/g, Ideal para Cocina, Control de Porciones, Sellos y Objetos Pequeños, Uso en Hogar y Viaje</t>
        </is>
      </c>
      <c r="H1657" s="16" t="inlineStr">
        <is>
          <t>1g/White</t>
        </is>
      </c>
      <c r="I1657" s="16" t="n">
        <v>1</v>
      </c>
      <c r="J1657" s="17" t="n">
        <v>35</v>
      </c>
      <c r="K1657" s="17" t="n">
        <v>47.22</v>
      </c>
      <c r="L1657" s="17" t="n">
        <v>25.86</v>
      </c>
      <c r="M1657" s="17" t="n">
        <v>0</v>
      </c>
      <c r="N1657" s="17">
        <f>K1657*0.08+L1657*0.08</f>
        <v/>
      </c>
      <c r="O1657" s="17">
        <f>-(K1657*0.025+L1657*0.025)</f>
        <v/>
      </c>
      <c r="P1657" s="17">
        <f>32</f>
        <v/>
      </c>
      <c r="Q1657" s="17">
        <f>J1657+L1657+N1657+O1657-P1657-M1657</f>
        <v/>
      </c>
    </row>
    <row r="1658">
      <c r="A1658" s="16" t="inlineStr">
        <is>
          <t>5.15-5.21</t>
        </is>
      </c>
      <c r="B1658" s="16" t="inlineStr">
        <is>
          <t>PO-128-07023161395833611</t>
        </is>
      </c>
      <c r="C1658" s="16" t="inlineStr">
        <is>
          <t>Delivered</t>
        </is>
      </c>
      <c r="D1658" s="16" t="inlineStr">
        <is>
          <t>128-07023166638713611</t>
        </is>
      </c>
      <c r="E1658" s="16" t="inlineStr">
        <is>
          <t>Delivered</t>
        </is>
      </c>
      <c r="F1658" s="16" t="inlineStr">
        <is>
          <t>LV64W25</t>
        </is>
      </c>
      <c r="G16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58" s="16" t="inlineStr">
        <is>
          <t>Blanco</t>
        </is>
      </c>
      <c r="I1658" s="16" t="n">
        <v>2</v>
      </c>
      <c r="J1658" s="17" t="n">
        <v>239</v>
      </c>
      <c r="K1658" s="17" t="n">
        <v>275.52</v>
      </c>
      <c r="L1658" s="17" t="n">
        <v>0</v>
      </c>
      <c r="M1658" s="17" t="n">
        <v>0</v>
      </c>
      <c r="N1658" s="17">
        <f>K1658*0.08+L1658*0.08</f>
        <v/>
      </c>
      <c r="O1658" s="17">
        <f>-(K1658*0.025+L1658*0.025)</f>
        <v/>
      </c>
      <c r="P1658" s="17">
        <f>32</f>
        <v/>
      </c>
      <c r="Q1658" s="17">
        <f>J1658+L1658+N1658+O1658-P1658-M1658</f>
        <v/>
      </c>
    </row>
    <row r="1659">
      <c r="A1659" s="16" t="inlineStr">
        <is>
          <t>5.15-5.21</t>
        </is>
      </c>
      <c r="B1659" s="16" t="inlineStr">
        <is>
          <t>PO-128-07022764882553612</t>
        </is>
      </c>
      <c r="C1659" s="16" t="inlineStr">
        <is>
          <t>Delivered</t>
        </is>
      </c>
      <c r="D1659" s="16" t="inlineStr">
        <is>
          <t>128-07022722939513612</t>
        </is>
      </c>
      <c r="E1659" s="16" t="inlineStr">
        <is>
          <t>Delivered</t>
        </is>
      </c>
      <c r="F1659" s="16" t="inlineStr">
        <is>
          <t>LV64W25</t>
        </is>
      </c>
      <c r="G16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59" s="16" t="inlineStr">
        <is>
          <t>Blanco</t>
        </is>
      </c>
      <c r="I1659" s="16" t="n">
        <v>2</v>
      </c>
      <c r="J1659" s="17" t="n">
        <v>239</v>
      </c>
      <c r="K1659" s="17" t="n">
        <v>275.52</v>
      </c>
      <c r="L1659" s="17" t="n">
        <v>0</v>
      </c>
      <c r="M1659" s="17" t="n">
        <v>0</v>
      </c>
      <c r="N1659" s="17">
        <f>K1659*0.08+L1659*0.08</f>
        <v/>
      </c>
      <c r="O1659" s="17">
        <f>-(K1659*0.025+L1659*0.025)</f>
        <v/>
      </c>
      <c r="P1659" s="17">
        <f>32</f>
        <v/>
      </c>
      <c r="Q1659" s="17">
        <f>J1659+L1659+N1659+O1659-P1659-M1659</f>
        <v/>
      </c>
    </row>
    <row r="1660">
      <c r="A1660" s="16" t="inlineStr">
        <is>
          <t>5.15-5.21</t>
        </is>
      </c>
      <c r="B1660" s="16" t="inlineStr">
        <is>
          <t>PO-128-07140057892472976</t>
        </is>
      </c>
      <c r="C1660" s="16" t="inlineStr">
        <is>
          <t>Delivered</t>
        </is>
      </c>
      <c r="D1660" s="16" t="inlineStr">
        <is>
          <t>128-07140209935992976</t>
        </is>
      </c>
      <c r="E1660" s="16" t="inlineStr">
        <is>
          <t>Delivered</t>
        </is>
      </c>
      <c r="F1660" s="16" t="inlineStr">
        <is>
          <t>LV64W25</t>
        </is>
      </c>
      <c r="G16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60" s="16" t="inlineStr">
        <is>
          <t>Blanco</t>
        </is>
      </c>
      <c r="I1660" s="16" t="n">
        <v>1</v>
      </c>
      <c r="J1660" s="17" t="n">
        <v>119.5</v>
      </c>
      <c r="K1660" s="17" t="n">
        <v>137.76</v>
      </c>
      <c r="L1660" s="17" t="n">
        <v>25.86</v>
      </c>
      <c r="M1660" s="17" t="n">
        <v>0</v>
      </c>
      <c r="N1660" s="17">
        <f>K1660*0.08+L1660*0.08</f>
        <v/>
      </c>
      <c r="O1660" s="17">
        <f>-(K1660*0.025+L1660*0.025)</f>
        <v/>
      </c>
      <c r="P1660" s="17">
        <f>32</f>
        <v/>
      </c>
      <c r="Q1660" s="17">
        <f>J1660+L1660+N1660+O1660-P1660-M1660</f>
        <v/>
      </c>
    </row>
    <row r="1661">
      <c r="A1661" s="16" t="inlineStr">
        <is>
          <t>5.15-5.21</t>
        </is>
      </c>
      <c r="B1661" s="16" t="inlineStr">
        <is>
          <t>PO-128-07378580588151621</t>
        </is>
      </c>
      <c r="C1661" s="16" t="inlineStr">
        <is>
          <t>Delivered</t>
        </is>
      </c>
      <c r="D1661" s="16" t="inlineStr">
        <is>
          <t>128-07378614666871621</t>
        </is>
      </c>
      <c r="E1661" s="16" t="inlineStr">
        <is>
          <t>Delivered</t>
        </is>
      </c>
      <c r="F1661" s="16" t="inlineStr">
        <is>
          <t>LV64W25</t>
        </is>
      </c>
      <c r="G16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61" s="16" t="inlineStr">
        <is>
          <t>Blanco</t>
        </is>
      </c>
      <c r="I1661" s="16" t="n">
        <v>1</v>
      </c>
      <c r="J1661" s="17" t="n">
        <v>119.5</v>
      </c>
      <c r="K1661" s="17" t="n">
        <v>137.76</v>
      </c>
      <c r="L1661" s="17" t="n">
        <v>25.86</v>
      </c>
      <c r="M1661" s="17" t="n">
        <v>0</v>
      </c>
      <c r="N1661" s="17">
        <f>K1661*0.08+L1661*0.08</f>
        <v/>
      </c>
      <c r="O1661" s="17">
        <f>-(K1661*0.025+L1661*0.025)</f>
        <v/>
      </c>
      <c r="P1661" s="17">
        <f>32</f>
        <v/>
      </c>
      <c r="Q1661" s="17">
        <f>J1661+L1661+N1661+O1661-P1661-M1661</f>
        <v/>
      </c>
    </row>
    <row r="1662">
      <c r="A1662" s="16" t="inlineStr">
        <is>
          <t>5.15-5.21</t>
        </is>
      </c>
      <c r="B1662" s="16" t="inlineStr">
        <is>
          <t>PO-128-07112784430712053</t>
        </is>
      </c>
      <c r="C1662" s="16" t="inlineStr">
        <is>
          <t>Delivered</t>
        </is>
      </c>
      <c r="D1662" s="16" t="inlineStr">
        <is>
          <t>128-07112763459192053</t>
        </is>
      </c>
      <c r="E1662" s="16" t="inlineStr">
        <is>
          <t>Delivered</t>
        </is>
      </c>
      <c r="F1662" s="16" t="inlineStr">
        <is>
          <t>TL2663N18C</t>
        </is>
      </c>
      <c r="G1662" s="16" t="inlineStr">
        <is>
          <t>Linkbits，Soporte de pared fijo para televisores de 26"-63", Ultra-Delgado Compatible con VESA 400x400mm, Capacidad de Peso Fuerte de 25KG, Instalación Fácil Sin Electricidad</t>
        </is>
      </c>
      <c r="H1662" s="16" t="inlineStr">
        <is>
          <t>NEGRO</t>
        </is>
      </c>
      <c r="I1662" s="16" t="n">
        <v>1</v>
      </c>
      <c r="J1662" s="17" t="n">
        <v>52</v>
      </c>
      <c r="K1662" s="17" t="n">
        <v>66.97</v>
      </c>
      <c r="L1662" s="17" t="n">
        <v>25.86</v>
      </c>
      <c r="M1662" s="17" t="n">
        <v>0</v>
      </c>
      <c r="N1662" s="17">
        <f>K1662*0.08+L1662*0.08</f>
        <v/>
      </c>
      <c r="O1662" s="17">
        <f>-(K1662*0.025+L1662*0.025)</f>
        <v/>
      </c>
      <c r="P1662" s="17">
        <f>32</f>
        <v/>
      </c>
      <c r="Q1662" s="17">
        <f>J1662+L1662+N1662+O1662-P1662-M1662</f>
        <v/>
      </c>
    </row>
    <row r="1663">
      <c r="A1663" s="16" t="inlineStr">
        <is>
          <t>5.15-5.21</t>
        </is>
      </c>
      <c r="B1663" s="16" t="inlineStr">
        <is>
          <t>PO-128-07451841889910030</t>
        </is>
      </c>
      <c r="C1663" s="16" t="inlineStr">
        <is>
          <t>Delivered</t>
        </is>
      </c>
      <c r="D1663" s="16" t="inlineStr">
        <is>
          <t>128-07451883832950030</t>
        </is>
      </c>
      <c r="E1663" s="16" t="inlineStr">
        <is>
          <t>Delivered</t>
        </is>
      </c>
      <c r="F1663" s="16" t="inlineStr">
        <is>
          <t>LV64W25</t>
        </is>
      </c>
      <c r="G16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63" s="16" t="inlineStr">
        <is>
          <t>Blanco</t>
        </is>
      </c>
      <c r="I1663" s="16" t="n">
        <v>2</v>
      </c>
      <c r="J1663" s="17" t="n">
        <v>239</v>
      </c>
      <c r="K1663" s="17" t="n">
        <v>275.52</v>
      </c>
      <c r="L1663" s="17" t="n">
        <v>0</v>
      </c>
      <c r="M1663" s="17" t="n">
        <v>0</v>
      </c>
      <c r="N1663" s="17">
        <f>K1663*0.08+L1663*0.08</f>
        <v/>
      </c>
      <c r="O1663" s="17">
        <f>-(K1663*0.025+L1663*0.025)</f>
        <v/>
      </c>
      <c r="P1663" s="17">
        <f>32</f>
        <v/>
      </c>
      <c r="Q1663" s="17">
        <f>J1663+L1663+N1663+O1663-P1663-M1663</f>
        <v/>
      </c>
    </row>
    <row r="1664">
      <c r="A1664" s="16" t="inlineStr">
        <is>
          <t>5.15-5.21</t>
        </is>
      </c>
      <c r="B1664" s="16" t="inlineStr">
        <is>
          <t>PO-128-07250612291191359</t>
        </is>
      </c>
      <c r="C1664" s="16" t="inlineStr">
        <is>
          <t>Delivered</t>
        </is>
      </c>
      <c r="D1664" s="16" t="inlineStr">
        <is>
          <t>128-07250772199031359</t>
        </is>
      </c>
      <c r="E1664" s="16" t="inlineStr">
        <is>
          <t>Delivered</t>
        </is>
      </c>
      <c r="F1664" s="16" t="inlineStr">
        <is>
          <t>LV54W25</t>
        </is>
      </c>
      <c r="G1664" s="16" t="inlineStr">
        <is>
          <t>TIANLAI Lámpara Ventilador E27 2 en 1, Silenciosa, LED Alta Luminosidad 180°, Instalación Rápida, Ahorro Energético para Dormitorio y Interiores Pequeños</t>
        </is>
      </c>
      <c r="H1664" s="16" t="inlineStr">
        <is>
          <t>1 Pieza</t>
        </is>
      </c>
      <c r="I1664" s="16" t="n">
        <v>1</v>
      </c>
      <c r="J1664" s="17" t="n">
        <v>78.5</v>
      </c>
      <c r="K1664" s="17" t="n">
        <v>38.06</v>
      </c>
      <c r="L1664" s="17" t="n">
        <v>25.86</v>
      </c>
      <c r="M1664" s="17" t="n">
        <v>0</v>
      </c>
      <c r="N1664" s="17">
        <f>K1664*0.08+L1664*0.08</f>
        <v/>
      </c>
      <c r="O1664" s="17">
        <f>-(K1664*0.025+L1664*0.025)</f>
        <v/>
      </c>
      <c r="P1664" s="17">
        <f>32</f>
        <v/>
      </c>
      <c r="Q1664" s="17">
        <f>J1664+L1664+N1664+O1664-P1664-M1664</f>
        <v/>
      </c>
    </row>
    <row r="1665">
      <c r="A1665" s="16" t="inlineStr">
        <is>
          <t>5.15-5.21</t>
        </is>
      </c>
      <c r="B1665" s="16" t="inlineStr">
        <is>
          <t>PO-128-06876580649593461</t>
        </is>
      </c>
      <c r="C1665" s="16" t="inlineStr">
        <is>
          <t>Delivered</t>
        </is>
      </c>
      <c r="D1665" s="16" t="inlineStr">
        <is>
          <t>128-06876633078393461</t>
        </is>
      </c>
      <c r="E1665" s="16" t="inlineStr">
        <is>
          <t>Delivered</t>
        </is>
      </c>
      <c r="F1665" s="16" t="inlineStr">
        <is>
          <t>LV54W25</t>
        </is>
      </c>
      <c r="G1665" s="16" t="inlineStr">
        <is>
          <t>TIANLAI Lámpara Ventilador E27 2 en 1, Silenciosa, LED Alta Luminosidad 180°, Instalación Rápida, Ahorro Energético para Dormitorio y Interiores Pequeños</t>
        </is>
      </c>
      <c r="H1665" s="16" t="inlineStr">
        <is>
          <t>1 Pieza</t>
        </is>
      </c>
      <c r="I1665" s="16" t="n">
        <v>2</v>
      </c>
      <c r="J1665" s="17" t="n">
        <v>157</v>
      </c>
      <c r="K1665" s="17" t="n">
        <v>162.32</v>
      </c>
      <c r="L1665" s="17" t="n">
        <v>25.86</v>
      </c>
      <c r="M1665" s="17" t="n">
        <v>0</v>
      </c>
      <c r="N1665" s="17">
        <f>K1665*0.08+L1665*0.08</f>
        <v/>
      </c>
      <c r="O1665" s="17">
        <f>-(K1665*0.025+L1665*0.025)</f>
        <v/>
      </c>
      <c r="P1665" s="17">
        <f>32</f>
        <v/>
      </c>
      <c r="Q1665" s="17">
        <f>J1665+L1665+N1665+O1665-P1665-M1665</f>
        <v/>
      </c>
    </row>
    <row r="1666">
      <c r="A1666" s="16" t="inlineStr">
        <is>
          <t>5.15-5.21</t>
        </is>
      </c>
      <c r="B1666" s="16" t="inlineStr">
        <is>
          <t>PO-128-07157664423032873</t>
        </is>
      </c>
      <c r="C1666" s="16" t="inlineStr">
        <is>
          <t>Delivered</t>
        </is>
      </c>
      <c r="D1666" s="16" t="inlineStr">
        <is>
          <t>128-07157746343032873</t>
        </is>
      </c>
      <c r="E1666" s="16" t="inlineStr">
        <is>
          <t>Delivered</t>
        </is>
      </c>
      <c r="F1666" s="16" t="inlineStr">
        <is>
          <t>VA371T</t>
        </is>
      </c>
      <c r="G1666" s="16" t="inlineStr">
        <is>
          <t>Linkbits Bocina Bluetooth Portátil 3" de Alta Gama，Hi-Res Audio y Graves Potentes，Luces LED + Soporte USB/TF/FM/TWS，Ideal para Hogar y Aire Libre</t>
        </is>
      </c>
      <c r="H1666" s="16" t="inlineStr">
        <is>
          <t>VA371T</t>
        </is>
      </c>
      <c r="I1666" s="16" t="n">
        <v>1</v>
      </c>
      <c r="J1666" s="17" t="n">
        <v>41.32</v>
      </c>
      <c r="K1666" s="17" t="n">
        <v>49.68</v>
      </c>
      <c r="L1666" s="17" t="n">
        <v>25.86</v>
      </c>
      <c r="M1666" s="17" t="n">
        <v>0</v>
      </c>
      <c r="N1666" s="17">
        <f>K1666*0.08+L1666*0.08</f>
        <v/>
      </c>
      <c r="O1666" s="17">
        <f>-(K1666*0.025+L1666*0.025)</f>
        <v/>
      </c>
      <c r="P1666" s="17">
        <f>32</f>
        <v/>
      </c>
      <c r="Q1666" s="17">
        <f>J1666+L1666+N1666+O1666-P1666-M1666</f>
        <v/>
      </c>
    </row>
    <row r="1667">
      <c r="A1667" s="16" t="inlineStr">
        <is>
          <t>5.15-5.21</t>
        </is>
      </c>
      <c r="B1667" s="16" t="inlineStr">
        <is>
          <t>PO-128-07185420229752770</t>
        </is>
      </c>
      <c r="C1667" s="16" t="inlineStr">
        <is>
          <t>Delivered</t>
        </is>
      </c>
      <c r="D1667" s="16" t="inlineStr">
        <is>
          <t>128-07185357315192770</t>
        </is>
      </c>
      <c r="E1667" s="16" t="inlineStr">
        <is>
          <t>Delivered</t>
        </is>
      </c>
      <c r="F1667" s="16" t="inlineStr">
        <is>
          <t>KTS-2031</t>
        </is>
      </c>
      <c r="G1667" s="16" t="inlineStr">
        <is>
          <t>Bocina inalámbrica de 3 pulgadas con linterna multifuncional y panel solar integrado.Altavoz Portátil con Linterna LED 4 Modos, Radio FM, Bluetooth, Carga Solar, Ideal para Apagones, Emergencias, Campo y Exteriores</t>
        </is>
      </c>
      <c r="H1667" s="16" t="inlineStr">
        <is>
          <t>NEGRO</t>
        </is>
      </c>
      <c r="I1667" s="16" t="n">
        <v>1</v>
      </c>
      <c r="J1667" s="17" t="n">
        <v>105.26</v>
      </c>
      <c r="K1667" s="17" t="n">
        <v>114.49</v>
      </c>
      <c r="L1667" s="17" t="n">
        <v>25.86</v>
      </c>
      <c r="M1667" s="17" t="n">
        <v>0</v>
      </c>
      <c r="N1667" s="17">
        <f>K1667*0.08+L1667*0.08</f>
        <v/>
      </c>
      <c r="O1667" s="17">
        <f>-(K1667*0.025+L1667*0.025)</f>
        <v/>
      </c>
      <c r="P1667" s="17">
        <f>32</f>
        <v/>
      </c>
      <c r="Q1667" s="17">
        <f>J1667+L1667+N1667+O1667-P1667-M1667</f>
        <v/>
      </c>
    </row>
    <row r="1668">
      <c r="A1668" s="16" t="inlineStr">
        <is>
          <t>5.15-5.21</t>
        </is>
      </c>
      <c r="B1668" s="16" t="inlineStr">
        <is>
          <t>PO-128-07011347948153744</t>
        </is>
      </c>
      <c r="C1668" s="16" t="inlineStr">
        <is>
          <t>Delivered</t>
        </is>
      </c>
      <c r="D1668" s="16" t="inlineStr">
        <is>
          <t>128-07011326976633744</t>
        </is>
      </c>
      <c r="E1668" s="16" t="inlineStr">
        <is>
          <t>Delivered</t>
        </is>
      </c>
      <c r="F1668" s="16" t="inlineStr">
        <is>
          <t>LV54W25</t>
        </is>
      </c>
      <c r="G1668" s="16" t="inlineStr">
        <is>
          <t>TIANLAI Lámpara Ventilador E27 2 en 1, Silenciosa, LED Alta Luminosidad 180°, Instalación Rápida, Ahorro Energético para Dormitorio y Interiores Pequeños</t>
        </is>
      </c>
      <c r="H1668" s="16" t="inlineStr">
        <is>
          <t>1 Pieza</t>
        </is>
      </c>
      <c r="I1668" s="16" t="n">
        <v>1</v>
      </c>
      <c r="J1668" s="17" t="n">
        <v>78.5</v>
      </c>
      <c r="K1668" s="17" t="n">
        <v>81.16</v>
      </c>
      <c r="L1668" s="17" t="n">
        <v>25.86</v>
      </c>
      <c r="M1668" s="17" t="n">
        <v>0</v>
      </c>
      <c r="N1668" s="17">
        <f>K1668*0.08+L1668*0.08</f>
        <v/>
      </c>
      <c r="O1668" s="17">
        <f>-(K1668*0.025+L1668*0.025)</f>
        <v/>
      </c>
      <c r="P1668" s="17">
        <f>32</f>
        <v/>
      </c>
      <c r="Q1668" s="17">
        <f>J1668+L1668+N1668+O1668-P1668-M1668</f>
        <v/>
      </c>
    </row>
    <row r="1669">
      <c r="A1669" s="16" t="inlineStr">
        <is>
          <t>5.15-5.21</t>
        </is>
      </c>
      <c r="B1669" s="16" t="inlineStr">
        <is>
          <t>PO-128-06877065631353456</t>
        </is>
      </c>
      <c r="C1669" s="16" t="inlineStr">
        <is>
          <t>Delivered</t>
        </is>
      </c>
      <c r="D1669" s="16" t="inlineStr">
        <is>
          <t>128-06877147551353456</t>
        </is>
      </c>
      <c r="E1669" s="16" t="inlineStr">
        <is>
          <t>Delivered</t>
        </is>
      </c>
      <c r="F1669" s="16" t="inlineStr">
        <is>
          <t>B03W10-10PZS</t>
        </is>
      </c>
      <c r="G166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669" s="16" t="inlineStr">
        <is>
          <t>B03W10</t>
        </is>
      </c>
      <c r="I1669" s="16" t="n">
        <v>1</v>
      </c>
      <c r="J1669" s="17" t="n">
        <v>66</v>
      </c>
      <c r="K1669" s="17" t="n">
        <v>78.94</v>
      </c>
      <c r="L1669" s="17" t="n">
        <v>25.86</v>
      </c>
      <c r="M1669" s="17" t="n">
        <v>0</v>
      </c>
      <c r="N1669" s="17">
        <f>K1669*0.08+L1669*0.08</f>
        <v/>
      </c>
      <c r="O1669" s="17">
        <f>-(K1669*0.025+L1669*0.025)</f>
        <v/>
      </c>
      <c r="P1669" s="17">
        <f>32</f>
        <v/>
      </c>
      <c r="Q1669" s="17">
        <f>J1669+L1669+N1669+O1669-P1669-M1669</f>
        <v/>
      </c>
    </row>
    <row r="1670">
      <c r="A1670" s="16" t="inlineStr">
        <is>
          <t>5.15-5.21</t>
        </is>
      </c>
      <c r="B1670" s="16" t="inlineStr">
        <is>
          <t>PO-128-07046289987192449</t>
        </is>
      </c>
      <c r="C1670" s="16" t="inlineStr">
        <is>
          <t>Delivered</t>
        </is>
      </c>
      <c r="D1670" s="16" t="inlineStr">
        <is>
          <t>128-07046394844792449</t>
        </is>
      </c>
      <c r="E1670" s="16" t="inlineStr">
        <is>
          <t>Delivered</t>
        </is>
      </c>
      <c r="F1670" s="16" t="inlineStr">
        <is>
          <t>LV64W25</t>
        </is>
      </c>
      <c r="G16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70" s="16" t="inlineStr">
        <is>
          <t>Blanco</t>
        </is>
      </c>
      <c r="I1670" s="16" t="n">
        <v>2</v>
      </c>
      <c r="J1670" s="17" t="n">
        <v>239</v>
      </c>
      <c r="K1670" s="17" t="n">
        <v>275.52</v>
      </c>
      <c r="L1670" s="17" t="n">
        <v>0</v>
      </c>
      <c r="M1670" s="17" t="n">
        <v>0</v>
      </c>
      <c r="N1670" s="17">
        <f>K1670*0.08+L1670*0.08</f>
        <v/>
      </c>
      <c r="O1670" s="17">
        <f>-(K1670*0.025+L1670*0.025)</f>
        <v/>
      </c>
      <c r="P1670" s="17">
        <f>32</f>
        <v/>
      </c>
      <c r="Q1670" s="17">
        <f>J1670+L1670+N1670+O1670-P1670-M1670</f>
        <v/>
      </c>
    </row>
    <row r="1671">
      <c r="A1671" s="16" t="inlineStr">
        <is>
          <t>5.15-5.21</t>
        </is>
      </c>
      <c r="B1671" s="16" t="inlineStr">
        <is>
          <t>PO-128-07103762965112299</t>
        </is>
      </c>
      <c r="C1671" s="16" t="inlineStr">
        <is>
          <t>Delivered</t>
        </is>
      </c>
      <c r="D1671" s="16" t="inlineStr">
        <is>
          <t>128-07103783936632299</t>
        </is>
      </c>
      <c r="E1671" s="16" t="inlineStr">
        <is>
          <t>Delivered</t>
        </is>
      </c>
      <c r="F1671" s="16" t="inlineStr">
        <is>
          <t>LV64W25</t>
        </is>
      </c>
      <c r="G16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71" s="16" t="inlineStr">
        <is>
          <t>Blanco</t>
        </is>
      </c>
      <c r="I1671" s="16" t="n">
        <v>3</v>
      </c>
      <c r="J1671" s="17" t="n">
        <v>358.5</v>
      </c>
      <c r="K1671" s="17" t="n">
        <v>413.28</v>
      </c>
      <c r="L1671" s="17" t="n">
        <v>0</v>
      </c>
      <c r="M1671" s="17" t="n">
        <v>1.5</v>
      </c>
      <c r="N1671" s="17">
        <f>K1671*0.08+L1671*0.08</f>
        <v/>
      </c>
      <c r="O1671" s="17">
        <f>-(K1671*0.025+L1671*0.025)</f>
        <v/>
      </c>
      <c r="P1671" s="17">
        <f>32</f>
        <v/>
      </c>
      <c r="Q1671" s="17">
        <f>J1671+L1671+N1671+O1671-P1671-M1671</f>
        <v/>
      </c>
    </row>
    <row r="1672">
      <c r="A1672" s="16" t="inlineStr">
        <is>
          <t>5.15-5.21</t>
        </is>
      </c>
      <c r="B1672" s="16" t="inlineStr">
        <is>
          <t>PO-128-07500337879670831</t>
        </is>
      </c>
      <c r="C1672" s="16" t="inlineStr">
        <is>
          <t>Delivered</t>
        </is>
      </c>
      <c r="D1672" s="16" t="inlineStr">
        <is>
          <t>128-07500274965110831</t>
        </is>
      </c>
      <c r="E1672" s="16" t="inlineStr">
        <is>
          <t>Delivered</t>
        </is>
      </c>
      <c r="F1672" s="16" t="inlineStr">
        <is>
          <t>LV54W25</t>
        </is>
      </c>
      <c r="G1672" s="16" t="inlineStr">
        <is>
          <t>TIANLAI Lámpara Ventilador E27 2 en 1, Silenciosa, LED Alta Luminosidad 180°, Instalación Rápida, Ahorro Energético para Dormitorio y Interiores Pequeños</t>
        </is>
      </c>
      <c r="H1672" s="16" t="inlineStr">
        <is>
          <t>1 Pieza</t>
        </is>
      </c>
      <c r="I1672" s="16" t="n">
        <v>4</v>
      </c>
      <c r="J1672" s="17" t="n">
        <v>314</v>
      </c>
      <c r="K1672" s="17" t="n">
        <v>321.08</v>
      </c>
      <c r="L1672" s="17" t="n">
        <v>0</v>
      </c>
      <c r="M1672" s="17" t="n">
        <v>0</v>
      </c>
      <c r="N1672" s="17">
        <f>K1672*0.08+L1672*0.08</f>
        <v/>
      </c>
      <c r="O1672" s="17">
        <f>-(K1672*0.025+L1672*0.025)</f>
        <v/>
      </c>
      <c r="P1672" s="17">
        <f>32</f>
        <v/>
      </c>
      <c r="Q1672" s="17">
        <f>J1672+L1672+N1672+O1672-P1672-M1672</f>
        <v/>
      </c>
    </row>
    <row r="1673">
      <c r="A1673" s="16" t="inlineStr">
        <is>
          <t>5.15-5.21</t>
        </is>
      </c>
      <c r="B1673" s="16" t="inlineStr">
        <is>
          <t>PO-128-07552965868150581</t>
        </is>
      </c>
      <c r="C1673" s="16" t="inlineStr">
        <is>
          <t>Delivered</t>
        </is>
      </c>
      <c r="D1673" s="16" t="inlineStr">
        <is>
          <t>128-07553070725750581</t>
        </is>
      </c>
      <c r="E1673" s="16" t="inlineStr">
        <is>
          <t>Delivered</t>
        </is>
      </c>
      <c r="F1673" s="16" t="inlineStr">
        <is>
          <t>KTS-2031</t>
        </is>
      </c>
      <c r="G1673" s="16" t="inlineStr">
        <is>
          <t>Bocina inalámbrica de 3 pulgadas con linterna multifuncional y panel solar integrado.Altavoz Portátil con Linterna LED 4 Modos, Radio FM, Bluetooth, Carga Solar, Ideal para Apagones, Emergencias, Campo y Exteriores</t>
        </is>
      </c>
      <c r="H1673" s="16" t="inlineStr">
        <is>
          <t>NEGRO</t>
        </is>
      </c>
      <c r="I1673" s="16" t="n">
        <v>1</v>
      </c>
      <c r="J1673" s="17" t="n">
        <v>105.26</v>
      </c>
      <c r="K1673" s="17" t="n">
        <v>71.39</v>
      </c>
      <c r="L1673" s="17" t="n">
        <v>25.86</v>
      </c>
      <c r="M1673" s="17" t="n">
        <v>0</v>
      </c>
      <c r="N1673" s="17">
        <f>K1673*0.08+L1673*0.08</f>
        <v/>
      </c>
      <c r="O1673" s="17">
        <f>-(K1673*0.025+L1673*0.025)</f>
        <v/>
      </c>
      <c r="P1673" s="17">
        <f>32</f>
        <v/>
      </c>
      <c r="Q1673" s="17">
        <f>J1673+L1673+N1673+O1673-P1673-M1673</f>
        <v/>
      </c>
    </row>
    <row r="1674">
      <c r="A1674" s="16" t="inlineStr">
        <is>
          <t>5.15-5.21</t>
        </is>
      </c>
      <c r="B1674" s="16" t="inlineStr">
        <is>
          <t>PO-128-07392321720950387</t>
        </is>
      </c>
      <c r="C1674" s="16" t="inlineStr">
        <is>
          <t>Delivered</t>
        </is>
      </c>
      <c r="D1674" s="16" t="inlineStr">
        <is>
          <t>128-07392342692470387</t>
        </is>
      </c>
      <c r="E1674" s="16" t="inlineStr">
        <is>
          <t>Delivered</t>
        </is>
      </c>
      <c r="F1674" s="16" t="inlineStr">
        <is>
          <t>LV64W25</t>
        </is>
      </c>
      <c r="G16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74" s="16" t="inlineStr">
        <is>
          <t>Blanco</t>
        </is>
      </c>
      <c r="I1674" s="16" t="n">
        <v>2</v>
      </c>
      <c r="J1674" s="17" t="n">
        <v>239</v>
      </c>
      <c r="K1674" s="17" t="n">
        <v>220.42</v>
      </c>
      <c r="L1674" s="17" t="n">
        <v>0</v>
      </c>
      <c r="M1674" s="17" t="n">
        <v>0</v>
      </c>
      <c r="N1674" s="17">
        <f>K1674*0.08+L1674*0.08</f>
        <v/>
      </c>
      <c r="O1674" s="17">
        <f>-(K1674*0.025+L1674*0.025)</f>
        <v/>
      </c>
      <c r="P1674" s="17">
        <f>32</f>
        <v/>
      </c>
      <c r="Q1674" s="17">
        <f>J1674+L1674+N1674+O1674-P1674-M1674</f>
        <v/>
      </c>
    </row>
    <row r="1675">
      <c r="A1675" s="16" t="inlineStr">
        <is>
          <t>5.15-5.21</t>
        </is>
      </c>
      <c r="B1675" s="16" t="inlineStr">
        <is>
          <t>PO-128-07459791104630049</t>
        </is>
      </c>
      <c r="C1675" s="16" t="inlineStr">
        <is>
          <t>Delivered</t>
        </is>
      </c>
      <c r="D1675" s="16" t="inlineStr">
        <is>
          <t>128-07459749161590049</t>
        </is>
      </c>
      <c r="E1675" s="16" t="inlineStr">
        <is>
          <t>Delivered</t>
        </is>
      </c>
      <c r="F1675" s="16" t="inlineStr">
        <is>
          <t>LV54W25</t>
        </is>
      </c>
      <c r="G1675" s="16" t="inlineStr">
        <is>
          <t>TIANLAI Lámpara Ventilador E27 2 en 1, Silenciosa, LED Alta Luminosidad 180°, Instalación Rápida, Ahorro Energético para Dormitorio y Interiores Pequeños</t>
        </is>
      </c>
      <c r="H1675" s="16" t="inlineStr">
        <is>
          <t>1 Pieza</t>
        </is>
      </c>
      <c r="I1675" s="16" t="n">
        <v>3</v>
      </c>
      <c r="J1675" s="17" t="n">
        <v>235.5</v>
      </c>
      <c r="K1675" s="17" t="n">
        <v>240.81</v>
      </c>
      <c r="L1675" s="17" t="n">
        <v>0</v>
      </c>
      <c r="M1675" s="17" t="n">
        <v>0</v>
      </c>
      <c r="N1675" s="17">
        <f>K1675*0.08+L1675*0.08</f>
        <v/>
      </c>
      <c r="O1675" s="17">
        <f>-(K1675*0.025+L1675*0.025)</f>
        <v/>
      </c>
      <c r="P1675" s="17">
        <f>32</f>
        <v/>
      </c>
      <c r="Q1675" s="17">
        <f>J1675+L1675+N1675+O1675-P1675-M1675</f>
        <v/>
      </c>
    </row>
    <row r="1676">
      <c r="A1676" s="16" t="inlineStr">
        <is>
          <t>5.15-5.21</t>
        </is>
      </c>
      <c r="B1676" s="16" t="inlineStr">
        <is>
          <t>PO-128-07090392448632184</t>
        </is>
      </c>
      <c r="C1676" s="16" t="inlineStr">
        <is>
          <t>Delivered</t>
        </is>
      </c>
      <c r="D1676" s="16" t="inlineStr">
        <is>
          <t>128-07090544492152184</t>
        </is>
      </c>
      <c r="E1676" s="16" t="inlineStr">
        <is>
          <t>Delivered</t>
        </is>
      </c>
      <c r="F1676" s="16" t="inlineStr">
        <is>
          <t>LV64W25</t>
        </is>
      </c>
      <c r="G16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76" s="16" t="inlineStr">
        <is>
          <t>Blanco</t>
        </is>
      </c>
      <c r="I1676" s="16" t="n">
        <v>2</v>
      </c>
      <c r="J1676" s="17" t="n">
        <v>239</v>
      </c>
      <c r="K1676" s="17" t="n">
        <v>275.52</v>
      </c>
      <c r="L1676" s="17" t="n">
        <v>0</v>
      </c>
      <c r="M1676" s="17" t="n">
        <v>0</v>
      </c>
      <c r="N1676" s="17">
        <f>K1676*0.08+L1676*0.08</f>
        <v/>
      </c>
      <c r="O1676" s="17">
        <f>-(K1676*0.025+L1676*0.025)</f>
        <v/>
      </c>
      <c r="P1676" s="17">
        <f>32</f>
        <v/>
      </c>
      <c r="Q1676" s="17">
        <f>J1676+L1676+N1676+O1676-P1676-M1676</f>
        <v/>
      </c>
    </row>
    <row r="1677">
      <c r="A1677" s="16" t="inlineStr">
        <is>
          <t>5.15-5.21</t>
        </is>
      </c>
      <c r="B1677" s="16" t="inlineStr">
        <is>
          <t>PO-128-06934885514873305</t>
        </is>
      </c>
      <c r="C1677" s="16" t="inlineStr">
        <is>
          <t>Delivered</t>
        </is>
      </c>
      <c r="D1677" s="16" t="inlineStr">
        <is>
          <t>128-06934990372473305</t>
        </is>
      </c>
      <c r="E1677" s="16" t="inlineStr">
        <is>
          <t>Delivered</t>
        </is>
      </c>
      <c r="F1677" s="16" t="inlineStr">
        <is>
          <t>MB-174-N</t>
        </is>
      </c>
      <c r="G1677" s="16" t="inlineStr">
        <is>
          <t>LINK BITS MB-174 Mini Bocina Bluetooth Soporte para Celular Integrado TWS Luz Ambiental 5W 80dB Sonido Claro Carga TYPE-C Material ABS Portátil Ideal como Regalo para Hogar Oficina Exterior Picnic</t>
        </is>
      </c>
      <c r="H1677" s="16" t="inlineStr">
        <is>
          <t>NEGRO</t>
        </is>
      </c>
      <c r="I1677" s="16" t="n">
        <v>1</v>
      </c>
      <c r="J1677" s="17" t="n">
        <v>93</v>
      </c>
      <c r="K1677" s="17" t="n">
        <v>111.06</v>
      </c>
      <c r="L1677" s="17" t="n">
        <v>25.86</v>
      </c>
      <c r="M1677" s="17" t="n">
        <v>0</v>
      </c>
      <c r="N1677" s="17">
        <f>K1677*0.08+L1677*0.08</f>
        <v/>
      </c>
      <c r="O1677" s="17">
        <f>-(K1677*0.025+L1677*0.025)</f>
        <v/>
      </c>
      <c r="P1677" s="17">
        <f>32</f>
        <v/>
      </c>
      <c r="Q1677" s="17">
        <f>J1677+L1677+N1677+O1677-P1677-M1677</f>
        <v/>
      </c>
    </row>
    <row r="1678">
      <c r="A1678" s="16" t="inlineStr">
        <is>
          <t>5.15-5.21</t>
        </is>
      </c>
      <c r="B1678" s="16" t="inlineStr">
        <is>
          <t>PO-128-06906801134713409</t>
        </is>
      </c>
      <c r="C1678" s="16" t="inlineStr">
        <is>
          <t>Delivered</t>
        </is>
      </c>
      <c r="D1678" s="16" t="inlineStr">
        <is>
          <t>128-06906822106233409</t>
        </is>
      </c>
      <c r="E1678" s="16" t="inlineStr">
        <is>
          <t>Delivered</t>
        </is>
      </c>
      <c r="F1678" s="16" t="inlineStr">
        <is>
          <t>TL2663N18C</t>
        </is>
      </c>
      <c r="G1678" s="16" t="inlineStr">
        <is>
          <t>Linkbits，Soporte de pared fijo para televisores de 26"-63", Ultra-Delgado Compatible con VESA 400x400mm, Capacidad de Peso Fuerte de 25KG, Instalación Fácil Sin Electricidad</t>
        </is>
      </c>
      <c r="H1678" s="16" t="inlineStr">
        <is>
          <t>NEGRO</t>
        </is>
      </c>
      <c r="I1678" s="16" t="n">
        <v>1</v>
      </c>
      <c r="J1678" s="17" t="n">
        <v>52</v>
      </c>
      <c r="K1678" s="17" t="n">
        <v>66.97</v>
      </c>
      <c r="L1678" s="17" t="n">
        <v>25.86</v>
      </c>
      <c r="M1678" s="17" t="n">
        <v>0</v>
      </c>
      <c r="N1678" s="17">
        <f>K1678*0.08+L1678*0.08</f>
        <v/>
      </c>
      <c r="O1678" s="17">
        <f>-(K1678*0.025+L1678*0.025)</f>
        <v/>
      </c>
      <c r="P1678" s="17">
        <f>32</f>
        <v/>
      </c>
      <c r="Q1678" s="17">
        <f>J1678+L1678+N1678+O1678-P1678-M1678</f>
        <v/>
      </c>
    </row>
    <row r="1679">
      <c r="A1679" s="16" t="inlineStr">
        <is>
          <t>5.15-5.21</t>
        </is>
      </c>
      <c r="B1679" s="16" t="inlineStr">
        <is>
          <t>PO-128-06997133814393956</t>
        </is>
      </c>
      <c r="C1679" s="16" t="inlineStr">
        <is>
          <t>Delivered</t>
        </is>
      </c>
      <c r="D1679" s="16" t="inlineStr">
        <is>
          <t>128-06997112842873956</t>
        </is>
      </c>
      <c r="E1679" s="16" t="inlineStr">
        <is>
          <t>Delivered</t>
        </is>
      </c>
      <c r="F1679" s="16" t="inlineStr">
        <is>
          <t>LV64W25</t>
        </is>
      </c>
      <c r="G16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79" s="16" t="inlineStr">
        <is>
          <t>Blanco</t>
        </is>
      </c>
      <c r="I1679" s="16" t="n">
        <v>1</v>
      </c>
      <c r="J1679" s="17" t="n">
        <v>119.5</v>
      </c>
      <c r="K1679" s="17" t="n">
        <v>137.76</v>
      </c>
      <c r="L1679" s="17" t="n">
        <v>25.86</v>
      </c>
      <c r="M1679" s="17" t="n">
        <v>0</v>
      </c>
      <c r="N1679" s="17">
        <f>K1679*0.08+L1679*0.08</f>
        <v/>
      </c>
      <c r="O1679" s="17">
        <f>-(K1679*0.025+L1679*0.025)</f>
        <v/>
      </c>
      <c r="P1679" s="17">
        <f>32</f>
        <v/>
      </c>
      <c r="Q1679" s="17">
        <f>J1679+L1679+N1679+O1679-P1679-M1679</f>
        <v/>
      </c>
    </row>
    <row r="1680">
      <c r="A1680" s="16" t="inlineStr">
        <is>
          <t>5.15-5.21</t>
        </is>
      </c>
      <c r="B1680" s="16" t="inlineStr">
        <is>
          <t>PO-128-07305781640311927</t>
        </is>
      </c>
      <c r="C1680" s="16" t="inlineStr">
        <is>
          <t>Delivered</t>
        </is>
      </c>
      <c r="D1680" s="16" t="inlineStr">
        <is>
          <t>128-07305739697271927</t>
        </is>
      </c>
      <c r="E1680" s="16" t="inlineStr">
        <is>
          <t>Delivered</t>
        </is>
      </c>
      <c r="F1680" s="16" t="inlineStr">
        <is>
          <t>B03W10-10PZS</t>
        </is>
      </c>
      <c r="G168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680" s="16" t="inlineStr">
        <is>
          <t>B03W10</t>
        </is>
      </c>
      <c r="I1680" s="16" t="n">
        <v>1</v>
      </c>
      <c r="J1680" s="17" t="n">
        <v>66</v>
      </c>
      <c r="K1680" s="17" t="n">
        <v>71.05</v>
      </c>
      <c r="L1680" s="17" t="n">
        <v>25.86</v>
      </c>
      <c r="M1680" s="17" t="n">
        <v>0</v>
      </c>
      <c r="N1680" s="17">
        <f>K1680*0.08+L1680*0.08</f>
        <v/>
      </c>
      <c r="O1680" s="17">
        <f>-(K1680*0.025+L1680*0.025)</f>
        <v/>
      </c>
      <c r="P1680" s="17">
        <f>32</f>
        <v/>
      </c>
      <c r="Q1680" s="17">
        <f>J1680+L1680+N1680+O1680-P1680-M1680</f>
        <v/>
      </c>
    </row>
    <row r="1681">
      <c r="A1681" s="16" t="inlineStr">
        <is>
          <t>5.15-5.21</t>
        </is>
      </c>
      <c r="B1681" s="16" t="inlineStr">
        <is>
          <t>PO-128-07002305884793734</t>
        </is>
      </c>
      <c r="C1681" s="16" t="inlineStr">
        <is>
          <t>Delivered</t>
        </is>
      </c>
      <c r="D1681" s="16" t="inlineStr">
        <is>
          <t>128-07002263941753734</t>
        </is>
      </c>
      <c r="E1681" s="16" t="inlineStr">
        <is>
          <t>Delivered</t>
        </is>
      </c>
      <c r="F1681" s="16" t="inlineStr">
        <is>
          <t>LV64W25</t>
        </is>
      </c>
      <c r="G16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1" s="16" t="inlineStr">
        <is>
          <t>Blanco</t>
        </is>
      </c>
      <c r="I1681" s="16" t="n">
        <v>1</v>
      </c>
      <c r="J1681" s="17" t="n">
        <v>119.5</v>
      </c>
      <c r="K1681" s="17" t="n">
        <v>55</v>
      </c>
      <c r="L1681" s="17" t="n">
        <v>25.86</v>
      </c>
      <c r="M1681" s="17" t="n">
        <v>0</v>
      </c>
      <c r="N1681" s="17">
        <f>K1681*0.08+L1681*0.08</f>
        <v/>
      </c>
      <c r="O1681" s="17">
        <f>-(K1681*0.025+L1681*0.025)</f>
        <v/>
      </c>
      <c r="P1681" s="17">
        <f>32</f>
        <v/>
      </c>
      <c r="Q1681" s="17">
        <f>J1681+L1681+N1681+O1681-P1681-M1681</f>
        <v/>
      </c>
    </row>
    <row r="1682">
      <c r="A1682" s="16" t="inlineStr">
        <is>
          <t>5.15-5.21</t>
        </is>
      </c>
      <c r="B1682" s="16" t="inlineStr">
        <is>
          <t>PO-128-07248612024951371</t>
        </is>
      </c>
      <c r="C1682" s="16" t="inlineStr">
        <is>
          <t>Delivered</t>
        </is>
      </c>
      <c r="D1682" s="16" t="inlineStr">
        <is>
          <t>128-07248748339831371</t>
        </is>
      </c>
      <c r="E1682" s="16" t="inlineStr">
        <is>
          <t>Delivered</t>
        </is>
      </c>
      <c r="F1682" s="16" t="inlineStr">
        <is>
          <t>LV64W25</t>
        </is>
      </c>
      <c r="G16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2" s="16" t="inlineStr">
        <is>
          <t>Blanco</t>
        </is>
      </c>
      <c r="I1682" s="16" t="n">
        <v>1</v>
      </c>
      <c r="J1682" s="17" t="n">
        <v>119.5</v>
      </c>
      <c r="K1682" s="17" t="n">
        <v>84.31</v>
      </c>
      <c r="L1682" s="17" t="n">
        <v>25.86</v>
      </c>
      <c r="M1682" s="17" t="n">
        <v>0</v>
      </c>
      <c r="N1682" s="17">
        <f>K1682*0.08+L1682*0.08</f>
        <v/>
      </c>
      <c r="O1682" s="17">
        <f>-(K1682*0.025+L1682*0.025)</f>
        <v/>
      </c>
      <c r="P1682" s="17">
        <f>32</f>
        <v/>
      </c>
      <c r="Q1682" s="17">
        <f>J1682+L1682+N1682+O1682-P1682-M1682</f>
        <v/>
      </c>
    </row>
    <row r="1683">
      <c r="A1683" s="16" t="inlineStr">
        <is>
          <t>5.15-5.21</t>
        </is>
      </c>
      <c r="B1683" s="16" t="inlineStr">
        <is>
          <t>PO-128-07218042168951424</t>
        </is>
      </c>
      <c r="C1683" s="16" t="inlineStr">
        <is>
          <t>Delivered</t>
        </is>
      </c>
      <c r="D1683" s="16" t="inlineStr">
        <is>
          <t>128-07218000225911424</t>
        </is>
      </c>
      <c r="E1683" s="16" t="inlineStr">
        <is>
          <t>Delivered</t>
        </is>
      </c>
      <c r="F1683" s="16" t="inlineStr">
        <is>
          <t>KTS-2031</t>
        </is>
      </c>
      <c r="G1683" s="16" t="inlineStr">
        <is>
          <t>Bocina inalámbrica de 3 pulgadas con linterna multifuncional y panel solar integrado.Altavoz Portátil con Linterna LED 4 Modos, Radio FM, Bluetooth, Carga Solar, Ideal para Apagones, Emergencias, Campo y Exteriores</t>
        </is>
      </c>
      <c r="H1683" s="16" t="inlineStr">
        <is>
          <t>NEGRO</t>
        </is>
      </c>
      <c r="I1683" s="16" t="n">
        <v>2</v>
      </c>
      <c r="J1683" s="17" t="n">
        <v>210.52</v>
      </c>
      <c r="K1683" s="17" t="n">
        <v>183.18</v>
      </c>
      <c r="L1683" s="17" t="n">
        <v>25.86</v>
      </c>
      <c r="M1683" s="17" t="n">
        <v>45.24</v>
      </c>
      <c r="N1683" s="17">
        <f>K1683*0.08+L1683*0.08</f>
        <v/>
      </c>
      <c r="O1683" s="17">
        <f>-(K1683*0.025+L1683*0.025)</f>
        <v/>
      </c>
      <c r="P1683" s="17">
        <f>32</f>
        <v/>
      </c>
      <c r="Q1683" s="17">
        <f>J1683+L1683+N1683+O1683-P1683-M1683</f>
        <v/>
      </c>
    </row>
    <row r="1684">
      <c r="A1684" s="16" t="inlineStr">
        <is>
          <t>5.15-5.21</t>
        </is>
      </c>
      <c r="B1684" s="16" t="inlineStr">
        <is>
          <t>PO-128-07199722005112623</t>
        </is>
      </c>
      <c r="C1684" s="16" t="inlineStr">
        <is>
          <t>Delivered</t>
        </is>
      </c>
      <c r="D1684" s="16" t="inlineStr">
        <is>
          <t>128-07199742976632623</t>
        </is>
      </c>
      <c r="E1684" s="16" t="inlineStr">
        <is>
          <t>Delivered</t>
        </is>
      </c>
      <c r="F1684" s="16" t="inlineStr">
        <is>
          <t>LV64W25</t>
        </is>
      </c>
      <c r="G16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4" s="16" t="inlineStr">
        <is>
          <t>Blanco</t>
        </is>
      </c>
      <c r="I1684" s="16" t="n">
        <v>2</v>
      </c>
      <c r="J1684" s="17" t="n">
        <v>239</v>
      </c>
      <c r="K1684" s="17" t="n">
        <v>275.52</v>
      </c>
      <c r="L1684" s="17" t="n">
        <v>0</v>
      </c>
      <c r="M1684" s="17" t="n">
        <v>0</v>
      </c>
      <c r="N1684" s="17">
        <f>K1684*0.08+L1684*0.08</f>
        <v/>
      </c>
      <c r="O1684" s="17">
        <f>-(K1684*0.025+L1684*0.025)</f>
        <v/>
      </c>
      <c r="P1684" s="17">
        <f>32</f>
        <v/>
      </c>
      <c r="Q1684" s="17">
        <f>J1684+L1684+N1684+O1684-P1684-M1684</f>
        <v/>
      </c>
    </row>
    <row r="1685">
      <c r="A1685" s="16" t="inlineStr">
        <is>
          <t>5.15-5.21</t>
        </is>
      </c>
      <c r="B1685" s="16" t="inlineStr">
        <is>
          <t>PO-128-06928368507513278</t>
        </is>
      </c>
      <c r="C1685" s="16" t="inlineStr">
        <is>
          <t>Delivered</t>
        </is>
      </c>
      <c r="D1685" s="16" t="inlineStr">
        <is>
          <t>128-06928373750393278</t>
        </is>
      </c>
      <c r="E1685" s="16" t="inlineStr">
        <is>
          <t>Delivered</t>
        </is>
      </c>
      <c r="F1685" s="16" t="inlineStr">
        <is>
          <t>LV64W25</t>
        </is>
      </c>
      <c r="G16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5" s="16" t="inlineStr">
        <is>
          <t>Blanco</t>
        </is>
      </c>
      <c r="I1685" s="16" t="n">
        <v>1</v>
      </c>
      <c r="J1685" s="17" t="n">
        <v>119.5</v>
      </c>
      <c r="K1685" s="17" t="n">
        <v>137.76</v>
      </c>
      <c r="L1685" s="17" t="n">
        <v>25.86</v>
      </c>
      <c r="M1685" s="17" t="n">
        <v>0</v>
      </c>
      <c r="N1685" s="17">
        <f>K1685*0.08+L1685*0.08</f>
        <v/>
      </c>
      <c r="O1685" s="17">
        <f>-(K1685*0.025+L1685*0.025)</f>
        <v/>
      </c>
      <c r="P1685" s="17">
        <f>32</f>
        <v/>
      </c>
      <c r="Q1685" s="17">
        <f>J1685+L1685+N1685+O1685-P1685-M1685</f>
        <v/>
      </c>
    </row>
    <row r="1686">
      <c r="A1686" s="16" t="inlineStr">
        <is>
          <t>5.15-5.21</t>
        </is>
      </c>
      <c r="B1686" s="16" t="inlineStr">
        <is>
          <t>PO-128-07460714506870043</t>
        </is>
      </c>
      <c r="C1686" s="16" t="inlineStr">
        <is>
          <t>Delivered</t>
        </is>
      </c>
      <c r="D1686" s="16" t="inlineStr">
        <is>
          <t>128-07460704021110043</t>
        </is>
      </c>
      <c r="E1686" s="16" t="inlineStr">
        <is>
          <t>Delivered</t>
        </is>
      </c>
      <c r="F1686" s="16" t="inlineStr">
        <is>
          <t>LV54W25</t>
        </is>
      </c>
      <c r="G1686" s="16" t="inlineStr">
        <is>
          <t>TIANLAI Lámpara Ventilador E27 2 en 1, Silenciosa, LED Alta Luminosidad 180°, Instalación Rápida, Ahorro Energético para Dormitorio y Interiores Pequeños</t>
        </is>
      </c>
      <c r="H1686" s="16" t="inlineStr">
        <is>
          <t>1 Pieza</t>
        </is>
      </c>
      <c r="I1686" s="16" t="n">
        <v>2</v>
      </c>
      <c r="J1686" s="17" t="n">
        <v>157</v>
      </c>
      <c r="K1686" s="17" t="n">
        <v>154.52</v>
      </c>
      <c r="L1686" s="17" t="n">
        <v>25.86</v>
      </c>
      <c r="M1686" s="17" t="n">
        <v>0</v>
      </c>
      <c r="N1686" s="17">
        <f>K1686*0.08+L1686*0.08</f>
        <v/>
      </c>
      <c r="O1686" s="17">
        <f>-(K1686*0.025+L1686*0.025)</f>
        <v/>
      </c>
      <c r="P1686" s="17">
        <f>32</f>
        <v/>
      </c>
      <c r="Q1686" s="17">
        <f>J1686+L1686+N1686+O1686-P1686-M1686</f>
        <v/>
      </c>
    </row>
    <row r="1687">
      <c r="A1687" s="16" t="inlineStr">
        <is>
          <t>5.15-5.21</t>
        </is>
      </c>
      <c r="B1687" s="16" t="inlineStr">
        <is>
          <t>PO-128-07416045916790309</t>
        </is>
      </c>
      <c r="C1687" s="16" t="inlineStr">
        <is>
          <t>Delivered</t>
        </is>
      </c>
      <c r="D1687" s="16" t="inlineStr">
        <is>
          <t>128-07416069509750309</t>
        </is>
      </c>
      <c r="E1687" s="16" t="inlineStr">
        <is>
          <t>Delivered</t>
        </is>
      </c>
      <c r="F1687" s="16" t="inlineStr">
        <is>
          <t>LV64W25</t>
        </is>
      </c>
      <c r="G16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7" s="16" t="inlineStr">
        <is>
          <t>Blanco</t>
        </is>
      </c>
      <c r="I1687" s="16" t="n">
        <v>3</v>
      </c>
      <c r="J1687" s="17" t="n">
        <v>358.5</v>
      </c>
      <c r="K1687" s="17" t="n">
        <v>413.28</v>
      </c>
      <c r="L1687" s="17" t="n">
        <v>0</v>
      </c>
      <c r="M1687" s="17" t="n">
        <v>1.5</v>
      </c>
      <c r="N1687" s="17">
        <f>K1687*0.08+L1687*0.08</f>
        <v/>
      </c>
      <c r="O1687" s="17">
        <f>-(K1687*0.025+L1687*0.025)</f>
        <v/>
      </c>
      <c r="P1687" s="17">
        <f>32</f>
        <v/>
      </c>
      <c r="Q1687" s="17">
        <f>J1687+L1687+N1687+O1687-P1687-M1687</f>
        <v/>
      </c>
    </row>
    <row r="1688">
      <c r="A1688" s="16" t="inlineStr">
        <is>
          <t>5.15-5.21</t>
        </is>
      </c>
      <c r="B1688" s="16" t="inlineStr">
        <is>
          <t>PO-128-07078366075512384</t>
        </is>
      </c>
      <c r="C1688" s="16" t="inlineStr">
        <is>
          <t>Delivered</t>
        </is>
      </c>
      <c r="D1688" s="16" t="inlineStr">
        <is>
          <t>128-07078324132472384</t>
        </is>
      </c>
      <c r="E1688" s="16" t="inlineStr">
        <is>
          <t>Delivered</t>
        </is>
      </c>
      <c r="F1688" s="16" t="inlineStr">
        <is>
          <t>TL2663N18C</t>
        </is>
      </c>
      <c r="G1688" s="16" t="inlineStr">
        <is>
          <t>Linkbits，Soporte de pared fijo para televisores de 26"-63", Ultra-Delgado Compatible con VESA 400x400mm, Capacidad de Peso Fuerte de 25KG, Instalación Fácil Sin Electricidad</t>
        </is>
      </c>
      <c r="H1688" s="16" t="inlineStr">
        <is>
          <t>NEGRO</t>
        </is>
      </c>
      <c r="I1688" s="16" t="n">
        <v>1</v>
      </c>
      <c r="J1688" s="17" t="n">
        <v>52</v>
      </c>
      <c r="K1688" s="17" t="n">
        <v>66.97</v>
      </c>
      <c r="L1688" s="17" t="n">
        <v>25.86</v>
      </c>
      <c r="M1688" s="17" t="n">
        <v>0</v>
      </c>
      <c r="N1688" s="17">
        <f>K1688*0.08+L1688*0.08</f>
        <v/>
      </c>
      <c r="O1688" s="17">
        <f>-(K1688*0.025+L1688*0.025)</f>
        <v/>
      </c>
      <c r="P1688" s="17">
        <f>32</f>
        <v/>
      </c>
      <c r="Q1688" s="17">
        <f>J1688+L1688+N1688+O1688-P1688-M1688</f>
        <v/>
      </c>
    </row>
    <row r="1689">
      <c r="A1689" s="16" t="inlineStr">
        <is>
          <t>5.15-5.21</t>
        </is>
      </c>
      <c r="B1689" s="16" t="inlineStr">
        <is>
          <t>PO-128-07522025411190700</t>
        </is>
      </c>
      <c r="C1689" s="16" t="inlineStr">
        <is>
          <t>Delivered</t>
        </is>
      </c>
      <c r="D1689" s="16" t="inlineStr">
        <is>
          <t>128-07522063422070700</t>
        </is>
      </c>
      <c r="E1689" s="16" t="inlineStr">
        <is>
          <t>Delivered</t>
        </is>
      </c>
      <c r="F1689" s="16" t="inlineStr">
        <is>
          <t>LV64W25</t>
        </is>
      </c>
      <c r="G16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89" s="16" t="inlineStr">
        <is>
          <t>Blanco</t>
        </is>
      </c>
      <c r="I1689" s="16" t="n">
        <v>1</v>
      </c>
      <c r="J1689" s="17" t="n">
        <v>119.5</v>
      </c>
      <c r="K1689" s="17" t="n">
        <v>137.76</v>
      </c>
      <c r="L1689" s="17" t="n">
        <v>25.86</v>
      </c>
      <c r="M1689" s="17" t="n">
        <v>0</v>
      </c>
      <c r="N1689" s="17">
        <f>K1689*0.08+L1689*0.08</f>
        <v/>
      </c>
      <c r="O1689" s="17">
        <f>-(K1689*0.025+L1689*0.025)</f>
        <v/>
      </c>
      <c r="P1689" s="17">
        <f>32</f>
        <v/>
      </c>
      <c r="Q1689" s="17">
        <f>J1689+L1689+N1689+O1689-P1689-M1689</f>
        <v/>
      </c>
    </row>
    <row r="1690">
      <c r="A1690" s="16" t="inlineStr">
        <is>
          <t>5.15-5.21</t>
        </is>
      </c>
      <c r="B1690" s="16" t="inlineStr">
        <is>
          <t>PO-128-07131120128632966</t>
        </is>
      </c>
      <c r="C1690" s="16" t="inlineStr">
        <is>
          <t>Delivered</t>
        </is>
      </c>
      <c r="D1690" s="16" t="inlineStr">
        <is>
          <t>128-07131078185592966</t>
        </is>
      </c>
      <c r="E1690" s="16" t="inlineStr">
        <is>
          <t>Delivered</t>
        </is>
      </c>
      <c r="F1690" s="16" t="inlineStr">
        <is>
          <t>LV64W25</t>
        </is>
      </c>
      <c r="G16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90" s="16" t="inlineStr">
        <is>
          <t>Blanco</t>
        </is>
      </c>
      <c r="I1690" s="16" t="n">
        <v>2</v>
      </c>
      <c r="J1690" s="17" t="n">
        <v>239</v>
      </c>
      <c r="K1690" s="17" t="n">
        <v>204.86</v>
      </c>
      <c r="L1690" s="17" t="n">
        <v>0</v>
      </c>
      <c r="M1690" s="17" t="n">
        <v>0</v>
      </c>
      <c r="N1690" s="17">
        <f>K1690*0.08+L1690*0.08</f>
        <v/>
      </c>
      <c r="O1690" s="17">
        <f>-(K1690*0.025+L1690*0.025)</f>
        <v/>
      </c>
      <c r="P1690" s="17">
        <f>32</f>
        <v/>
      </c>
      <c r="Q1690" s="17">
        <f>J1690+L1690+N1690+O1690-P1690-M1690</f>
        <v/>
      </c>
    </row>
    <row r="1691">
      <c r="A1691" s="16" t="inlineStr">
        <is>
          <t>5.15-5.21</t>
        </is>
      </c>
      <c r="B1691" s="16" t="inlineStr">
        <is>
          <t>PO-128-07272936120951224</t>
        </is>
      </c>
      <c r="C1691" s="16" t="inlineStr">
        <is>
          <t>Delivered</t>
        </is>
      </c>
      <c r="D1691" s="16" t="inlineStr">
        <is>
          <t>128-07273072435831224</t>
        </is>
      </c>
      <c r="E1691" s="16" t="inlineStr">
        <is>
          <t>Delivered</t>
        </is>
      </c>
      <c r="F1691" s="16" t="inlineStr">
        <is>
          <t>LV64W25</t>
        </is>
      </c>
      <c r="G16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91" s="16" t="inlineStr">
        <is>
          <t>Blanco</t>
        </is>
      </c>
      <c r="I1691" s="16" t="n">
        <v>1</v>
      </c>
      <c r="J1691" s="17" t="n">
        <v>119.5</v>
      </c>
      <c r="K1691" s="17" t="n">
        <v>137.76</v>
      </c>
      <c r="L1691" s="17" t="n">
        <v>25.86</v>
      </c>
      <c r="M1691" s="17" t="n">
        <v>0</v>
      </c>
      <c r="N1691" s="17">
        <f>K1691*0.08+L1691*0.08</f>
        <v/>
      </c>
      <c r="O1691" s="17">
        <f>-(K1691*0.025+L1691*0.025)</f>
        <v/>
      </c>
      <c r="P1691" s="17">
        <f>32</f>
        <v/>
      </c>
      <c r="Q1691" s="17">
        <f>J1691+L1691+N1691+O1691-P1691-M1691</f>
        <v/>
      </c>
    </row>
    <row r="1692">
      <c r="A1692" s="16" t="inlineStr">
        <is>
          <t>5.15-5.21</t>
        </is>
      </c>
      <c r="B1692" s="16" t="inlineStr">
        <is>
          <t>PO-128-07502460211830816</t>
        </is>
      </c>
      <c r="C1692" s="16" t="inlineStr">
        <is>
          <t>Delivered</t>
        </is>
      </c>
      <c r="D1692" s="16" t="inlineStr">
        <is>
          <t>128-07502565069430816</t>
        </is>
      </c>
      <c r="E1692" s="16" t="inlineStr">
        <is>
          <t>Delivered</t>
        </is>
      </c>
      <c r="F1692" s="16" t="inlineStr">
        <is>
          <t>B03W10-10PZS</t>
        </is>
      </c>
      <c r="G169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692" s="16" t="inlineStr">
        <is>
          <t>B03W10</t>
        </is>
      </c>
      <c r="I1692" s="16" t="n">
        <v>1</v>
      </c>
      <c r="J1692" s="17" t="n">
        <v>66</v>
      </c>
      <c r="K1692" s="17" t="n">
        <v>71.84</v>
      </c>
      <c r="L1692" s="17" t="n">
        <v>25.86</v>
      </c>
      <c r="M1692" s="17" t="n">
        <v>0</v>
      </c>
      <c r="N1692" s="17">
        <f>K1692*0.08+L1692*0.08</f>
        <v/>
      </c>
      <c r="O1692" s="17">
        <f>-(K1692*0.025+L1692*0.025)</f>
        <v/>
      </c>
      <c r="P1692" s="17">
        <f>32</f>
        <v/>
      </c>
      <c r="Q1692" s="17">
        <f>J1692+L1692+N1692+O1692-P1692-M1692</f>
        <v/>
      </c>
    </row>
    <row r="1693">
      <c r="A1693" s="16" t="inlineStr">
        <is>
          <t>5.15-5.21</t>
        </is>
      </c>
      <c r="B1693" s="16" t="inlineStr">
        <is>
          <t>PO-128-07540261811830529</t>
        </is>
      </c>
      <c r="C1693" s="16" t="inlineStr">
        <is>
          <t>Delivered</t>
        </is>
      </c>
      <c r="D1693" s="16" t="inlineStr">
        <is>
          <t>128-07540198897270529</t>
        </is>
      </c>
      <c r="E1693" s="16" t="inlineStr">
        <is>
          <t>Delivered</t>
        </is>
      </c>
      <c r="F1693" s="16" t="inlineStr">
        <is>
          <t>SA323T</t>
        </is>
      </c>
      <c r="G1693"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693" s="16" t="inlineStr">
        <is>
          <t>AZUL/SA323T</t>
        </is>
      </c>
      <c r="I1693" s="16" t="n">
        <v>2</v>
      </c>
      <c r="J1693" s="17" t="n">
        <v>90</v>
      </c>
      <c r="K1693" s="17" t="n">
        <v>108.12</v>
      </c>
      <c r="L1693" s="17" t="n">
        <v>25.86</v>
      </c>
      <c r="M1693" s="17" t="n">
        <v>0</v>
      </c>
      <c r="N1693" s="17">
        <f>K1693*0.08+L1693*0.08</f>
        <v/>
      </c>
      <c r="O1693" s="17">
        <f>-(K1693*0.025+L1693*0.025)</f>
        <v/>
      </c>
      <c r="P1693" s="17">
        <f>32</f>
        <v/>
      </c>
      <c r="Q1693" s="17">
        <f>J1693+L1693+N1693+O1693-P1693-M1693</f>
        <v/>
      </c>
    </row>
    <row r="1694">
      <c r="A1694" s="16" t="inlineStr">
        <is>
          <t>5.15-5.21</t>
        </is>
      </c>
      <c r="B1694" s="16" t="inlineStr">
        <is>
          <t>PO-128-07052572943992474</t>
        </is>
      </c>
      <c r="C1694" s="16" t="inlineStr">
        <is>
          <t>Delivered</t>
        </is>
      </c>
      <c r="D1694" s="16" t="inlineStr">
        <is>
          <t>128-07052625372792474</t>
        </is>
      </c>
      <c r="E1694" s="16" t="inlineStr">
        <is>
          <t>Delivered</t>
        </is>
      </c>
      <c r="F1694" s="16" t="inlineStr">
        <is>
          <t>LV64W25</t>
        </is>
      </c>
      <c r="G16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694" s="16" t="inlineStr">
        <is>
          <t>Blanco</t>
        </is>
      </c>
      <c r="I1694" s="16" t="n">
        <v>1</v>
      </c>
      <c r="J1694" s="17" t="n">
        <v>119.5</v>
      </c>
      <c r="K1694" s="17" t="n">
        <v>137.76</v>
      </c>
      <c r="L1694" s="17" t="n">
        <v>25.86</v>
      </c>
      <c r="M1694" s="17" t="n">
        <v>0</v>
      </c>
      <c r="N1694" s="17">
        <f>K1694*0.08+L1694*0.08</f>
        <v/>
      </c>
      <c r="O1694" s="17">
        <f>-(K1694*0.025+L1694*0.025)</f>
        <v/>
      </c>
      <c r="P1694" s="17">
        <f>32</f>
        <v/>
      </c>
      <c r="Q1694" s="17">
        <f>J1694+L1694+N1694+O1694-P1694-M1694</f>
        <v/>
      </c>
    </row>
    <row r="1695">
      <c r="A1695" s="16" t="inlineStr">
        <is>
          <t>5.15-5.21</t>
        </is>
      </c>
      <c r="B1695" s="16" t="inlineStr">
        <is>
          <t>PO-128-06950427587193149</t>
        </is>
      </c>
      <c r="C1695" s="16" t="inlineStr">
        <is>
          <t>Delivered</t>
        </is>
      </c>
      <c r="D1695" s="16" t="inlineStr">
        <is>
          <t>128-06950385644153149</t>
        </is>
      </c>
      <c r="E1695" s="16" t="inlineStr">
        <is>
          <t>Delivered</t>
        </is>
      </c>
      <c r="F1695" s="16" t="inlineStr">
        <is>
          <t>VB349T</t>
        </is>
      </c>
      <c r="G1695" s="16" t="inlineStr">
        <is>
          <t>LINKBITS Altavoz Portátil de Doble Altavoz - 3 Pulgadas, Sonido HD, Emparejamiento Rápido de Bluetooth, Conectividad TWS, Reproducción Multimodo (Micro SD/USB/Radio FM) - Perfecto para Oficina, Viajes y Espacios Pequeños</t>
        </is>
      </c>
      <c r="H1695" s="16" t="inlineStr">
        <is>
          <t>NEGRO</t>
        </is>
      </c>
      <c r="I1695" s="16" t="n">
        <v>1</v>
      </c>
      <c r="J1695" s="17" t="n">
        <v>79</v>
      </c>
      <c r="K1695" s="17" t="n">
        <v>92.26000000000001</v>
      </c>
      <c r="L1695" s="17" t="n">
        <v>25.86</v>
      </c>
      <c r="M1695" s="17" t="n">
        <v>0</v>
      </c>
      <c r="N1695" s="17">
        <f>K1695*0.08+L1695*0.08</f>
        <v/>
      </c>
      <c r="O1695" s="17">
        <f>-(K1695*0.025+L1695*0.025)</f>
        <v/>
      </c>
      <c r="P1695" s="17">
        <f>32</f>
        <v/>
      </c>
      <c r="Q1695" s="17">
        <f>J1695+L1695+N1695+O1695-P1695-M1695</f>
        <v/>
      </c>
    </row>
    <row r="1696">
      <c r="A1696" s="16" t="inlineStr">
        <is>
          <t>5.15-5.21</t>
        </is>
      </c>
      <c r="B1696" s="16" t="inlineStr">
        <is>
          <t>PO-128-07310701292151961</t>
        </is>
      </c>
      <c r="C1696" s="16" t="inlineStr">
        <is>
          <t>Delivered</t>
        </is>
      </c>
      <c r="D1696" s="16" t="inlineStr">
        <is>
          <t>128-07310696049271961</t>
        </is>
      </c>
      <c r="E1696" s="16" t="inlineStr">
        <is>
          <t>Delivered</t>
        </is>
      </c>
      <c r="F1696" s="16" t="inlineStr">
        <is>
          <t>TL1412N17C</t>
        </is>
      </c>
      <c r="G1696" s="16" t="inlineStr">
        <is>
          <t>Linkbits, Soporte de Pared Fijo para TV y Monitor de 14"-43", Ultra Delgado 2.3cm, Fuerte Capacidad de Peso de 25KG, Fácil Instalación con Accesorios Completos</t>
        </is>
      </c>
      <c r="H1696" s="16" t="inlineStr">
        <is>
          <t>NEGRO</t>
        </is>
      </c>
      <c r="I1696" s="16" t="n">
        <v>1</v>
      </c>
      <c r="J1696" s="17" t="n">
        <v>36</v>
      </c>
      <c r="K1696" s="17" t="n">
        <v>47.71</v>
      </c>
      <c r="L1696" s="17" t="n">
        <v>25.86</v>
      </c>
      <c r="M1696" s="17" t="n">
        <v>0</v>
      </c>
      <c r="N1696" s="17">
        <f>K1696*0.08+L1696*0.08</f>
        <v/>
      </c>
      <c r="O1696" s="17">
        <f>-(K1696*0.025+L1696*0.025)</f>
        <v/>
      </c>
      <c r="P1696" s="17">
        <f>32</f>
        <v/>
      </c>
      <c r="Q1696" s="17">
        <f>J1696+L1696+N1696+O1696-P1696-M1696</f>
        <v/>
      </c>
    </row>
    <row r="1697">
      <c r="A1697" s="16" t="inlineStr">
        <is>
          <t>5.15-5.21</t>
        </is>
      </c>
      <c r="B1697" s="16" t="inlineStr">
        <is>
          <t>PO-128-07433058366070142</t>
        </is>
      </c>
      <c r="C1697" s="16" t="inlineStr">
        <is>
          <t>Delivered</t>
        </is>
      </c>
      <c r="D1697" s="16" t="inlineStr">
        <is>
          <t>128-07433047880310142</t>
        </is>
      </c>
      <c r="E1697" s="16" t="inlineStr">
        <is>
          <t>Delivered</t>
        </is>
      </c>
      <c r="F1697" s="16" t="inlineStr">
        <is>
          <t>LV54W25</t>
        </is>
      </c>
      <c r="G1697" s="16" t="inlineStr">
        <is>
          <t>TIANLAI Lámpara Ventilador E27 2 en 1, Silenciosa, LED Alta Luminosidad 180°, Instalación Rápida, Ahorro Energético para Dormitorio y Interiores Pequeños</t>
        </is>
      </c>
      <c r="H1697" s="16" t="inlineStr">
        <is>
          <t>1 Pieza</t>
        </is>
      </c>
      <c r="I1697" s="16" t="n">
        <v>1</v>
      </c>
      <c r="J1697" s="17" t="n">
        <v>78.5</v>
      </c>
      <c r="K1697" s="17" t="n">
        <v>72.5</v>
      </c>
      <c r="L1697" s="17" t="n">
        <v>25.86</v>
      </c>
      <c r="M1697" s="17" t="n">
        <v>3.62</v>
      </c>
      <c r="N1697" s="17">
        <f>K1697*0.08+L1697*0.08</f>
        <v/>
      </c>
      <c r="O1697" s="17">
        <f>-(K1697*0.025+L1697*0.025)</f>
        <v/>
      </c>
      <c r="P1697" s="17">
        <f>32</f>
        <v/>
      </c>
      <c r="Q1697" s="17">
        <f>J1697+L1697+N1697+O1697-P1697-M1697</f>
        <v/>
      </c>
    </row>
    <row r="1698">
      <c r="A1698" s="16" t="inlineStr">
        <is>
          <t>5.15-5.21</t>
        </is>
      </c>
      <c r="B1698" s="16" t="inlineStr">
        <is>
          <t>PO-128-07156609167992878</t>
        </is>
      </c>
      <c r="C1698" s="16" t="inlineStr">
        <is>
          <t>Delivered</t>
        </is>
      </c>
      <c r="D1698" s="16" t="inlineStr">
        <is>
          <t>128-07156630139512878</t>
        </is>
      </c>
      <c r="E1698" s="16" t="inlineStr">
        <is>
          <t>Delivered</t>
        </is>
      </c>
      <c r="F1698" s="16" t="inlineStr">
        <is>
          <t>KTS-2031</t>
        </is>
      </c>
      <c r="G1698" s="16" t="inlineStr">
        <is>
          <t>Bocina inalámbrica de 3 pulgadas con linterna multifuncional y panel solar integrado.Altavoz Portátil con Linterna LED 4 Modos, Radio FM, Bluetooth, Carga Solar, Ideal para Apagones, Emergencias, Campo y Exteriores</t>
        </is>
      </c>
      <c r="H1698" s="16" t="inlineStr">
        <is>
          <t>NEGRO</t>
        </is>
      </c>
      <c r="I1698" s="16" t="n">
        <v>1</v>
      </c>
      <c r="J1698" s="17" t="n">
        <v>78</v>
      </c>
      <c r="K1698" s="17" t="n">
        <v>4.46</v>
      </c>
      <c r="L1698" s="17" t="n">
        <v>25.86</v>
      </c>
      <c r="M1698" s="17" t="n">
        <v>0</v>
      </c>
      <c r="N1698" s="17">
        <f>K1698*0.08+L1698*0.08</f>
        <v/>
      </c>
      <c r="O1698" s="17">
        <f>-(K1698*0.025+L1698*0.025)</f>
        <v/>
      </c>
      <c r="P1698" s="17">
        <f>32</f>
        <v/>
      </c>
      <c r="Q1698" s="17">
        <f>J1698+L1698+N1698+O1698-P1698-M1698</f>
        <v/>
      </c>
    </row>
    <row r="1699">
      <c r="A1699" s="16" t="inlineStr">
        <is>
          <t>5.15-5.21</t>
        </is>
      </c>
      <c r="B1699" s="16" t="inlineStr">
        <is>
          <t>PO-128-07112196649592057</t>
        </is>
      </c>
      <c r="C1699" s="16" t="inlineStr">
        <is>
          <t>Delivered</t>
        </is>
      </c>
      <c r="D1699" s="16" t="inlineStr">
        <is>
          <t>128-07112154706552057</t>
        </is>
      </c>
      <c r="E1699" s="16" t="inlineStr">
        <is>
          <t>Delivered</t>
        </is>
      </c>
      <c r="F1699" s="16" t="inlineStr">
        <is>
          <t>LV54W25</t>
        </is>
      </c>
      <c r="G1699" s="16" t="inlineStr">
        <is>
          <t>TIANLAI Lámpara Ventilador E27 2 en 1, Silenciosa, LED Alta Luminosidad 180°, Instalación Rápida, Ahorro Energético para Dormitorio y Interiores Pequeños</t>
        </is>
      </c>
      <c r="H1699" s="16" t="inlineStr">
        <is>
          <t>1 Pieza</t>
        </is>
      </c>
      <c r="I1699" s="16" t="n">
        <v>1</v>
      </c>
      <c r="J1699" s="17" t="n">
        <v>78.5</v>
      </c>
      <c r="K1699" s="17" t="n">
        <v>37.17</v>
      </c>
      <c r="L1699" s="17" t="n">
        <v>25.86</v>
      </c>
      <c r="M1699" s="17" t="n">
        <v>0</v>
      </c>
      <c r="N1699" s="17">
        <f>K1699*0.08+L1699*0.08</f>
        <v/>
      </c>
      <c r="O1699" s="17">
        <f>-(K1699*0.025+L1699*0.025)</f>
        <v/>
      </c>
      <c r="P1699" s="17">
        <f>32</f>
        <v/>
      </c>
      <c r="Q1699" s="17">
        <f>J1699+L1699+N1699+O1699-P1699-M1699</f>
        <v/>
      </c>
    </row>
    <row r="1700">
      <c r="A1700" s="16" t="inlineStr">
        <is>
          <t>5.15-5.21</t>
        </is>
      </c>
      <c r="B1700" s="16" t="inlineStr">
        <is>
          <t>PO-128-07010161019513753</t>
        </is>
      </c>
      <c r="C1700" s="16" t="inlineStr">
        <is>
          <t>Delivered</t>
        </is>
      </c>
      <c r="D1700" s="16" t="inlineStr">
        <is>
          <t>128-07010119076473753</t>
        </is>
      </c>
      <c r="E1700" s="16" t="inlineStr">
        <is>
          <t>Delivered</t>
        </is>
      </c>
      <c r="F1700" s="16" t="inlineStr">
        <is>
          <t>KTS-1936</t>
        </is>
      </c>
      <c r="G1700" s="16" t="inlineStr">
        <is>
          <t>Espejo con Luz para Makeup，Espejo con Luz LED y Bocina Bluetooth，Espejo para Maquillaje con Aumentos y Luces LED de Intensidad Ajustable，Lente de Aumento 10X+Reproductor TF+ TWS，espejo de portátil y para estudiantes, oficina, dormitorio, mejor regalo</t>
        </is>
      </c>
      <c r="H1700" s="16" t="inlineStr">
        <is>
          <t>BLANCO</t>
        </is>
      </c>
      <c r="I1700" s="16" t="n">
        <v>1</v>
      </c>
      <c r="J1700" s="17" t="n">
        <v>201</v>
      </c>
      <c r="K1700" s="17" t="n">
        <v>151.42</v>
      </c>
      <c r="L1700" s="17" t="n">
        <v>25.86</v>
      </c>
      <c r="M1700" s="17" t="n">
        <v>0</v>
      </c>
      <c r="N1700" s="17">
        <f>K1700*0.08+L1700*0.08</f>
        <v/>
      </c>
      <c r="O1700" s="17">
        <f>-(K1700*0.025+L1700*0.025)</f>
        <v/>
      </c>
      <c r="P1700" s="17">
        <f>32</f>
        <v/>
      </c>
      <c r="Q1700" s="17">
        <f>J1700+L1700+N1700+O1700-P1700-M1700</f>
        <v/>
      </c>
    </row>
    <row r="1701">
      <c r="A1701" s="16" t="inlineStr">
        <is>
          <t>5.15-5.21</t>
        </is>
      </c>
      <c r="B1701" s="16" t="inlineStr">
        <is>
          <t>PO-128-07171124634232921</t>
        </is>
      </c>
      <c r="C1701" s="16" t="inlineStr">
        <is>
          <t>Delivered</t>
        </is>
      </c>
      <c r="D1701" s="16" t="inlineStr">
        <is>
          <t>128-07171145605752921</t>
        </is>
      </c>
      <c r="E1701" s="16" t="inlineStr">
        <is>
          <t>Delivered</t>
        </is>
      </c>
      <c r="F1701" s="16" t="inlineStr">
        <is>
          <t>KTS-2031</t>
        </is>
      </c>
      <c r="G1701" s="16" t="inlineStr">
        <is>
          <t>Bocina inalámbrica de 3 pulgadas con linterna multifuncional y panel solar integrado.Altavoz Portátil con Linterna LED 4 Modos, Radio FM, Bluetooth, Carga Solar, Ideal para Apagones, Emergencias, Campo y Exteriores</t>
        </is>
      </c>
      <c r="H1701" s="16" t="inlineStr">
        <is>
          <t>NEGRO</t>
        </is>
      </c>
      <c r="I1701" s="16" t="n">
        <v>1</v>
      </c>
      <c r="J1701" s="17" t="n">
        <v>78</v>
      </c>
      <c r="K1701" s="17" t="n">
        <v>69.77</v>
      </c>
      <c r="L1701" s="17" t="n">
        <v>25.86</v>
      </c>
      <c r="M1701" s="17" t="n">
        <v>0</v>
      </c>
      <c r="N1701" s="17">
        <f>K1701*0.08+L1701*0.08</f>
        <v/>
      </c>
      <c r="O1701" s="17">
        <f>-(K1701*0.025+L1701*0.025)</f>
        <v/>
      </c>
      <c r="P1701" s="17">
        <f>32</f>
        <v/>
      </c>
      <c r="Q1701" s="17">
        <f>J1701+L1701+N1701+O1701-P1701-M1701</f>
        <v/>
      </c>
    </row>
    <row r="1702">
      <c r="A1702" s="16" t="inlineStr">
        <is>
          <t>5.15-5.21</t>
        </is>
      </c>
      <c r="B1702" s="16" t="inlineStr">
        <is>
          <t>PO-128-07433591465590141</t>
        </is>
      </c>
      <c r="C1702" s="16" t="inlineStr">
        <is>
          <t>Delivered</t>
        </is>
      </c>
      <c r="D1702" s="16" t="inlineStr">
        <is>
          <t>128-07433544279670141</t>
        </is>
      </c>
      <c r="E1702" s="16" t="inlineStr">
        <is>
          <t>Delivered</t>
        </is>
      </c>
      <c r="F1702" s="16" t="inlineStr">
        <is>
          <t>B03W10-10PZS</t>
        </is>
      </c>
      <c r="G170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02" s="16" t="inlineStr">
        <is>
          <t>B03W10</t>
        </is>
      </c>
      <c r="I1702" s="16" t="n">
        <v>1</v>
      </c>
      <c r="J1702" s="17" t="n">
        <v>66</v>
      </c>
      <c r="K1702" s="17" t="n">
        <v>69.81999999999999</v>
      </c>
      <c r="L1702" s="17" t="n">
        <v>25.86</v>
      </c>
      <c r="M1702" s="17" t="n">
        <v>0</v>
      </c>
      <c r="N1702" s="17">
        <f>K1702*0.08+L1702*0.08</f>
        <v/>
      </c>
      <c r="O1702" s="17">
        <f>-(K1702*0.025+L1702*0.025)</f>
        <v/>
      </c>
      <c r="P1702" s="17">
        <f>32</f>
        <v/>
      </c>
      <c r="Q1702" s="17">
        <f>J1702+L1702+N1702+O1702-P1702-M1702</f>
        <v/>
      </c>
    </row>
    <row r="1703">
      <c r="A1703" s="16" t="inlineStr">
        <is>
          <t>5.15-5.21</t>
        </is>
      </c>
      <c r="B1703" s="16" t="inlineStr">
        <is>
          <t>PO-128-07241573566071285</t>
        </is>
      </c>
      <c r="C1703" s="16" t="inlineStr">
        <is>
          <t>Delivered</t>
        </is>
      </c>
      <c r="D1703" s="16" t="inlineStr">
        <is>
          <t>128-07241586673271285</t>
        </is>
      </c>
      <c r="E1703" s="16" t="inlineStr">
        <is>
          <t>Delivered</t>
        </is>
      </c>
      <c r="F1703" s="16" t="inlineStr">
        <is>
          <t>LV54W25</t>
        </is>
      </c>
      <c r="G1703" s="16" t="inlineStr">
        <is>
          <t>TIANLAI Lámpara Ventilador E27 2 en 1, Silenciosa, LED Alta Luminosidad 180°, Instalación Rápida, Ahorro Energético para Dormitorio y Interiores Pequeños</t>
        </is>
      </c>
      <c r="H1703" s="16" t="inlineStr">
        <is>
          <t>1 Pieza</t>
        </is>
      </c>
      <c r="I1703" s="16" t="n">
        <v>3</v>
      </c>
      <c r="J1703" s="17" t="n">
        <v>235.5</v>
      </c>
      <c r="K1703" s="17" t="n">
        <v>240.81</v>
      </c>
      <c r="L1703" s="17" t="n">
        <v>0</v>
      </c>
      <c r="M1703" s="17" t="n">
        <v>0</v>
      </c>
      <c r="N1703" s="17">
        <f>K1703*0.08+L1703*0.08</f>
        <v/>
      </c>
      <c r="O1703" s="17">
        <f>-(K1703*0.025+L1703*0.025)</f>
        <v/>
      </c>
      <c r="P1703" s="17">
        <f>32</f>
        <v/>
      </c>
      <c r="Q1703" s="17">
        <f>J1703+L1703+N1703+O1703-P1703-M1703</f>
        <v/>
      </c>
    </row>
    <row r="1704">
      <c r="A1704" s="16" t="inlineStr">
        <is>
          <t>5.15-5.21</t>
        </is>
      </c>
      <c r="B1704" s="16" t="inlineStr">
        <is>
          <t>PO-128-07088116777592198</t>
        </is>
      </c>
      <c r="C1704" s="16" t="inlineStr">
        <is>
          <t>Delivered</t>
        </is>
      </c>
      <c r="D1704" s="16" t="inlineStr">
        <is>
          <t>128-07088064348792198</t>
        </is>
      </c>
      <c r="E1704" s="16" t="inlineStr">
        <is>
          <t>Delivered</t>
        </is>
      </c>
      <c r="F1704" s="16" t="inlineStr">
        <is>
          <t>SA323T</t>
        </is>
      </c>
      <c r="G1704"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1704" s="16" t="inlineStr">
        <is>
          <t>AZUL/SA323T</t>
        </is>
      </c>
      <c r="I1704" s="16" t="n">
        <v>1</v>
      </c>
      <c r="J1704" s="17" t="n">
        <v>45</v>
      </c>
      <c r="K1704" s="17" t="n">
        <v>48.03</v>
      </c>
      <c r="L1704" s="17" t="n">
        <v>25.86</v>
      </c>
      <c r="M1704" s="17" t="n">
        <v>0</v>
      </c>
      <c r="N1704" s="17">
        <f>K1704*0.08+L1704*0.08</f>
        <v/>
      </c>
      <c r="O1704" s="17">
        <f>-(K1704*0.025+L1704*0.025)</f>
        <v/>
      </c>
      <c r="P1704" s="17">
        <f>32</f>
        <v/>
      </c>
      <c r="Q1704" s="17">
        <f>J1704+L1704+N1704+O1704-P1704-M1704</f>
        <v/>
      </c>
    </row>
    <row r="1705">
      <c r="A1705" s="16" t="inlineStr">
        <is>
          <t>5.15-5.21</t>
        </is>
      </c>
      <c r="B1705" s="16" t="inlineStr">
        <is>
          <t>PO-128-07283491349111034</t>
        </is>
      </c>
      <c r="C1705" s="16" t="inlineStr">
        <is>
          <t>Delivered</t>
        </is>
      </c>
      <c r="D1705" s="16" t="inlineStr">
        <is>
          <t>128-07283449406071034</t>
        </is>
      </c>
      <c r="E1705" s="16" t="inlineStr">
        <is>
          <t>Delivered</t>
        </is>
      </c>
      <c r="F1705" s="16" t="inlineStr">
        <is>
          <t>B03W10-10PZS</t>
        </is>
      </c>
      <c r="G170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05" s="16" t="inlineStr">
        <is>
          <t>B03W10</t>
        </is>
      </c>
      <c r="I1705" s="16" t="n">
        <v>1</v>
      </c>
      <c r="J1705" s="17" t="n">
        <v>66</v>
      </c>
      <c r="K1705" s="17" t="n">
        <v>71.05</v>
      </c>
      <c r="L1705" s="17" t="n">
        <v>25.86</v>
      </c>
      <c r="M1705" s="17" t="n">
        <v>0</v>
      </c>
      <c r="N1705" s="17">
        <f>K1705*0.08+L1705*0.08</f>
        <v/>
      </c>
      <c r="O1705" s="17">
        <f>-(K1705*0.025+L1705*0.025)</f>
        <v/>
      </c>
      <c r="P1705" s="17">
        <f>32</f>
        <v/>
      </c>
      <c r="Q1705" s="17">
        <f>J1705+L1705+N1705+O1705-P1705-M1705</f>
        <v/>
      </c>
    </row>
    <row r="1706">
      <c r="A1706" s="16" t="inlineStr">
        <is>
          <t>5.15-5.21</t>
        </is>
      </c>
      <c r="B1706" s="16" t="inlineStr">
        <is>
          <t>PO-128-07066729032312326</t>
        </is>
      </c>
      <c r="C1706" s="16" t="inlineStr">
        <is>
          <t>Delivered</t>
        </is>
      </c>
      <c r="D1706" s="16" t="inlineStr">
        <is>
          <t>128-07066687089272326</t>
        </is>
      </c>
      <c r="E1706" s="16" t="inlineStr">
        <is>
          <t>Delivered</t>
        </is>
      </c>
      <c r="F1706" s="16" t="inlineStr">
        <is>
          <t>LV64W25</t>
        </is>
      </c>
      <c r="G17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06" s="16" t="inlineStr">
        <is>
          <t>Blanco</t>
        </is>
      </c>
      <c r="I1706" s="16" t="n">
        <v>1</v>
      </c>
      <c r="J1706" s="17" t="n">
        <v>119.5</v>
      </c>
      <c r="K1706" s="17" t="n">
        <v>137.76</v>
      </c>
      <c r="L1706" s="17" t="n">
        <v>25.86</v>
      </c>
      <c r="M1706" s="17" t="n">
        <v>0</v>
      </c>
      <c r="N1706" s="17">
        <f>K1706*0.08+L1706*0.08</f>
        <v/>
      </c>
      <c r="O1706" s="17">
        <f>-(K1706*0.025+L1706*0.025)</f>
        <v/>
      </c>
      <c r="P1706" s="17">
        <f>32</f>
        <v/>
      </c>
      <c r="Q1706" s="17">
        <f>J1706+L1706+N1706+O1706-P1706-M1706</f>
        <v/>
      </c>
    </row>
    <row r="1707">
      <c r="A1707" s="16" t="inlineStr">
        <is>
          <t>5.15-5.21</t>
        </is>
      </c>
      <c r="B1707" s="16" t="inlineStr">
        <is>
          <t>PO-128-06978294088314071</t>
        </is>
      </c>
      <c r="C1707" s="16" t="inlineStr">
        <is>
          <t>Delivered</t>
        </is>
      </c>
      <c r="D1707" s="16" t="inlineStr">
        <is>
          <t>128-06978252145274071</t>
        </is>
      </c>
      <c r="E1707" s="16" t="inlineStr">
        <is>
          <t>Delivered</t>
        </is>
      </c>
      <c r="F1707" s="16" t="inlineStr">
        <is>
          <t>MB-174-G</t>
        </is>
      </c>
      <c r="G1707" s="16" t="inlineStr">
        <is>
          <t>LINK BITS MB-174 Mini Bocina Bluetooth Soporte para Celular Integrado TWS Luz Ambiental 5W 80dB Sonido Claro Carga TYPE-C Material ABS Portátil Ideal como Regalo para Hogar Oficina Exterior Picnic</t>
        </is>
      </c>
      <c r="H1707" s="16" t="inlineStr">
        <is>
          <t>GRIS</t>
        </is>
      </c>
      <c r="I1707" s="16" t="n">
        <v>1</v>
      </c>
      <c r="J1707" s="17" t="n">
        <v>93</v>
      </c>
      <c r="K1707" s="17" t="n">
        <v>111.06</v>
      </c>
      <c r="L1707" s="17" t="n">
        <v>25.86</v>
      </c>
      <c r="M1707" s="17" t="n">
        <v>0</v>
      </c>
      <c r="N1707" s="17">
        <f>K1707*0.08+L1707*0.08</f>
        <v/>
      </c>
      <c r="O1707" s="17">
        <f>-(K1707*0.025+L1707*0.025)</f>
        <v/>
      </c>
      <c r="P1707" s="17">
        <f>32</f>
        <v/>
      </c>
      <c r="Q1707" s="17">
        <f>J1707+L1707+N1707+O1707-P1707-M1707</f>
        <v/>
      </c>
    </row>
    <row r="1708">
      <c r="A1708" s="16" t="inlineStr">
        <is>
          <t>5.15-5.21</t>
        </is>
      </c>
      <c r="B1708" s="16" t="inlineStr">
        <is>
          <t>PO-128-06912136791673441</t>
        </is>
      </c>
      <c r="C1708" s="16" t="inlineStr">
        <is>
          <t>Delivered</t>
        </is>
      </c>
      <c r="D1708" s="16" t="inlineStr">
        <is>
          <t>128-06912204949113441</t>
        </is>
      </c>
      <c r="E1708" s="16" t="inlineStr">
        <is>
          <t>Delivered</t>
        </is>
      </c>
      <c r="F1708" s="16" t="inlineStr">
        <is>
          <t>LV64W25</t>
        </is>
      </c>
      <c r="G17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08" s="16" t="inlineStr">
        <is>
          <t>Blanco</t>
        </is>
      </c>
      <c r="I1708" s="16" t="n">
        <v>1</v>
      </c>
      <c r="J1708" s="17" t="n">
        <v>119.5</v>
      </c>
      <c r="K1708" s="17" t="n">
        <v>137.76</v>
      </c>
      <c r="L1708" s="17" t="n">
        <v>25.86</v>
      </c>
      <c r="M1708" s="17" t="n">
        <v>0</v>
      </c>
      <c r="N1708" s="17">
        <f>K1708*0.08+L1708*0.08</f>
        <v/>
      </c>
      <c r="O1708" s="17">
        <f>-(K1708*0.025+L1708*0.025)</f>
        <v/>
      </c>
      <c r="P1708" s="17">
        <f>32</f>
        <v/>
      </c>
      <c r="Q1708" s="17">
        <f>J1708+L1708+N1708+O1708-P1708-M1708</f>
        <v/>
      </c>
    </row>
    <row r="1709">
      <c r="A1709" s="16" t="inlineStr">
        <is>
          <t>5.15-5.21</t>
        </is>
      </c>
      <c r="B1709" s="16" t="inlineStr">
        <is>
          <t>PO-128-07424974602870382</t>
        </is>
      </c>
      <c r="C1709" s="16" t="inlineStr">
        <is>
          <t>Delivered</t>
        </is>
      </c>
      <c r="D1709" s="16" t="inlineStr">
        <is>
          <t>128-07425084703350382</t>
        </is>
      </c>
      <c r="E1709" s="16" t="inlineStr">
        <is>
          <t>Delivered</t>
        </is>
      </c>
      <c r="F1709" s="16" t="inlineStr">
        <is>
          <t>LV64W25</t>
        </is>
      </c>
      <c r="G17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09" s="16" t="inlineStr">
        <is>
          <t>Blanco</t>
        </is>
      </c>
      <c r="I1709" s="16" t="n">
        <v>2</v>
      </c>
      <c r="J1709" s="17" t="n">
        <v>239</v>
      </c>
      <c r="K1709" s="17" t="n">
        <v>220.43</v>
      </c>
      <c r="L1709" s="17" t="n">
        <v>0</v>
      </c>
      <c r="M1709" s="17" t="n">
        <v>0</v>
      </c>
      <c r="N1709" s="17">
        <f>K1709*0.08+L1709*0.08</f>
        <v/>
      </c>
      <c r="O1709" s="17">
        <f>-(K1709*0.025+L1709*0.025)</f>
        <v/>
      </c>
      <c r="P1709" s="17">
        <f>32</f>
        <v/>
      </c>
      <c r="Q1709" s="17">
        <f>J1709+L1709+N1709+O1709-P1709-M1709</f>
        <v/>
      </c>
    </row>
    <row r="1710">
      <c r="A1710" s="16" t="inlineStr">
        <is>
          <t>5.15-5.21</t>
        </is>
      </c>
      <c r="B1710" s="16" t="inlineStr">
        <is>
          <t>PO-128-07424974602870382</t>
        </is>
      </c>
      <c r="C1710" s="16" t="inlineStr">
        <is>
          <t>Delivered</t>
        </is>
      </c>
      <c r="D1710" s="16" t="inlineStr">
        <is>
          <t>128-07425016545910382</t>
        </is>
      </c>
      <c r="E1710" s="16" t="inlineStr">
        <is>
          <t>Delivered</t>
        </is>
      </c>
      <c r="F1710" s="16" t="inlineStr">
        <is>
          <t>BSC07</t>
        </is>
      </c>
      <c r="G1710" s="16" t="inlineStr">
        <is>
          <t>TIANLAI Báscula Digital BSC04/BSC07, Alta Precisión, Fácil Operación, Ligera y Portátil, Función Tara, Unidad Dual oz/g, Ideal para Cocina, Control de Porciones, Sellos y Objetos Pequeños, Uso en Hogar y Viaje</t>
        </is>
      </c>
      <c r="H1710" s="16" t="inlineStr">
        <is>
          <t>1g/White</t>
        </is>
      </c>
      <c r="I1710" s="16" t="n">
        <v>1</v>
      </c>
      <c r="J1710" s="17" t="n">
        <v>35</v>
      </c>
      <c r="K1710" s="17" t="n">
        <v>37.77</v>
      </c>
      <c r="L1710" s="17" t="n">
        <v>0</v>
      </c>
      <c r="M1710" s="17" t="n">
        <v>0</v>
      </c>
      <c r="N1710" s="17">
        <f>K1710*0.08+L1710*0.08</f>
        <v/>
      </c>
      <c r="O1710" s="17">
        <f>-(K1710*0.025+L1710*0.025)</f>
        <v/>
      </c>
      <c r="P1710" s="17">
        <f>32</f>
        <v/>
      </c>
      <c r="Q1710" s="17">
        <f>J1710+L1710+N1710+O1710-P1710-M1710</f>
        <v/>
      </c>
    </row>
    <row r="1711">
      <c r="A1711" s="16" t="inlineStr">
        <is>
          <t>5.15-5.21</t>
        </is>
      </c>
      <c r="B1711" s="16" t="inlineStr">
        <is>
          <t>PO-128-07409882890870280</t>
        </is>
      </c>
      <c r="C1711" s="16" t="inlineStr">
        <is>
          <t>Delivered</t>
        </is>
      </c>
      <c r="D1711" s="16" t="inlineStr">
        <is>
          <t>128-07409840947830280</t>
        </is>
      </c>
      <c r="E1711" s="16" t="inlineStr">
        <is>
          <t>Delivered</t>
        </is>
      </c>
      <c r="F1711" s="16" t="inlineStr">
        <is>
          <t>LV64W25</t>
        </is>
      </c>
      <c r="G17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11" s="16" t="inlineStr">
        <is>
          <t>Blanco</t>
        </is>
      </c>
      <c r="I1711" s="16" t="n">
        <v>1</v>
      </c>
      <c r="J1711" s="17" t="n">
        <v>119.5</v>
      </c>
      <c r="K1711" s="17" t="n">
        <v>125.42</v>
      </c>
      <c r="L1711" s="17" t="n">
        <v>25.86</v>
      </c>
      <c r="M1711" s="17" t="n">
        <v>0</v>
      </c>
      <c r="N1711" s="17">
        <f>K1711*0.08+L1711*0.08</f>
        <v/>
      </c>
      <c r="O1711" s="17">
        <f>-(K1711*0.025+L1711*0.025)</f>
        <v/>
      </c>
      <c r="P1711" s="17">
        <f>32</f>
        <v/>
      </c>
      <c r="Q1711" s="17">
        <f>J1711+L1711+N1711+O1711-P1711-M1711</f>
        <v/>
      </c>
    </row>
    <row r="1712">
      <c r="A1712" s="16" t="inlineStr">
        <is>
          <t>5.15-5.21</t>
        </is>
      </c>
      <c r="B1712" s="16" t="inlineStr">
        <is>
          <t>PO-128-07426271375990374</t>
        </is>
      </c>
      <c r="C1712" s="16" t="inlineStr">
        <is>
          <t>Delivered</t>
        </is>
      </c>
      <c r="D1712" s="16" t="inlineStr">
        <is>
          <t>128-07426347397750374</t>
        </is>
      </c>
      <c r="E1712" s="16" t="inlineStr">
        <is>
          <t>Delivered</t>
        </is>
      </c>
      <c r="F1712" s="16" t="inlineStr">
        <is>
          <t>LV54W25</t>
        </is>
      </c>
      <c r="G1712" s="16" t="inlineStr">
        <is>
          <t>TIANLAI Lámpara Ventilador E27 2 en 1, Silenciosa, LED Alta Luminosidad 180°, Instalación Rápida, Ahorro Energético para Dormitorio y Interiores Pequeños</t>
        </is>
      </c>
      <c r="H1712" s="16" t="inlineStr">
        <is>
          <t>1 Pieza</t>
        </is>
      </c>
      <c r="I1712" s="16" t="n">
        <v>1</v>
      </c>
      <c r="J1712" s="17" t="n">
        <v>78.5</v>
      </c>
      <c r="K1712" s="17" t="n">
        <v>80.27</v>
      </c>
      <c r="L1712" s="17" t="n">
        <v>25.86</v>
      </c>
      <c r="M1712" s="17" t="n">
        <v>0</v>
      </c>
      <c r="N1712" s="17">
        <f>K1712*0.08+L1712*0.08</f>
        <v/>
      </c>
      <c r="O1712" s="17">
        <f>-(K1712*0.025+L1712*0.025)</f>
        <v/>
      </c>
      <c r="P1712" s="17">
        <f>32</f>
        <v/>
      </c>
      <c r="Q1712" s="17">
        <f>J1712+L1712+N1712+O1712-P1712-M1712</f>
        <v/>
      </c>
    </row>
    <row r="1713">
      <c r="A1713" s="16" t="inlineStr">
        <is>
          <t>5.15-5.21</t>
        </is>
      </c>
      <c r="B1713" s="16" t="inlineStr">
        <is>
          <t>PO-128-07251473060471352</t>
        </is>
      </c>
      <c r="C1713" s="16" t="inlineStr">
        <is>
          <t>Delivered</t>
        </is>
      </c>
      <c r="D1713" s="16" t="inlineStr">
        <is>
          <t>128-07251494031991352</t>
        </is>
      </c>
      <c r="E1713" s="16" t="inlineStr">
        <is>
          <t>Delivered</t>
        </is>
      </c>
      <c r="F1713" s="16" t="inlineStr">
        <is>
          <t>LV64W25</t>
        </is>
      </c>
      <c r="G17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13" s="16" t="inlineStr">
        <is>
          <t>Blanco</t>
        </is>
      </c>
      <c r="I1713" s="16" t="n">
        <v>1</v>
      </c>
      <c r="J1713" s="17" t="n">
        <v>119.5</v>
      </c>
      <c r="K1713" s="17" t="n">
        <v>137.76</v>
      </c>
      <c r="L1713" s="17" t="n">
        <v>25.86</v>
      </c>
      <c r="M1713" s="17" t="n">
        <v>0</v>
      </c>
      <c r="N1713" s="17">
        <f>K1713*0.08+L1713*0.08</f>
        <v/>
      </c>
      <c r="O1713" s="17">
        <f>-(K1713*0.025+L1713*0.025)</f>
        <v/>
      </c>
      <c r="P1713" s="17">
        <f>32</f>
        <v/>
      </c>
      <c r="Q1713" s="17">
        <f>J1713+L1713+N1713+O1713-P1713-M1713</f>
        <v/>
      </c>
    </row>
    <row r="1714">
      <c r="A1714" s="16" t="inlineStr">
        <is>
          <t>5.15-5.21</t>
        </is>
      </c>
      <c r="B1714" s="16" t="inlineStr">
        <is>
          <t>PO-128-07089127112312192</t>
        </is>
      </c>
      <c r="C1714" s="16" t="inlineStr">
        <is>
          <t>Delivered</t>
        </is>
      </c>
      <c r="D1714" s="16" t="inlineStr">
        <is>
          <t>128-07089074683512192</t>
        </is>
      </c>
      <c r="E1714" s="16" t="inlineStr">
        <is>
          <t>Delivered</t>
        </is>
      </c>
      <c r="F1714" s="16" t="inlineStr">
        <is>
          <t>LV64W25</t>
        </is>
      </c>
      <c r="G17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14" s="16" t="inlineStr">
        <is>
          <t>Blanco</t>
        </is>
      </c>
      <c r="I1714" s="16" t="n">
        <v>1</v>
      </c>
      <c r="J1714" s="17" t="n">
        <v>119.5</v>
      </c>
      <c r="K1714" s="17" t="n">
        <v>130.87</v>
      </c>
      <c r="L1714" s="17" t="n">
        <v>25.86</v>
      </c>
      <c r="M1714" s="17" t="n">
        <v>0</v>
      </c>
      <c r="N1714" s="17">
        <f>K1714*0.08+L1714*0.08</f>
        <v/>
      </c>
      <c r="O1714" s="17">
        <f>-(K1714*0.025+L1714*0.025)</f>
        <v/>
      </c>
      <c r="P1714" s="17">
        <f>32</f>
        <v/>
      </c>
      <c r="Q1714" s="17">
        <f>J1714+L1714+N1714+O1714-P1714-M1714</f>
        <v/>
      </c>
    </row>
    <row r="1715">
      <c r="A1715" s="16" t="inlineStr">
        <is>
          <t>5.15-5.21</t>
        </is>
      </c>
      <c r="B1715" s="16" t="inlineStr">
        <is>
          <t>PO-128-07394996664950435</t>
        </is>
      </c>
      <c r="C1715" s="16" t="inlineStr">
        <is>
          <t>Delivered</t>
        </is>
      </c>
      <c r="D1715" s="16" t="inlineStr">
        <is>
          <t>128-07395049093750435</t>
        </is>
      </c>
      <c r="E1715" s="16" t="inlineStr">
        <is>
          <t>Delivered</t>
        </is>
      </c>
      <c r="F1715" s="16" t="inlineStr">
        <is>
          <t>KTS-2031</t>
        </is>
      </c>
      <c r="G1715" s="16" t="inlineStr">
        <is>
          <t>Bocina inalámbrica de 3 pulgadas con linterna multifuncional y panel solar integrado.Altavoz Portátil con Linterna LED 4 Modos, Radio FM, Bluetooth, Carga Solar, Ideal para Apagones, Emergencias, Campo y Exteriores</t>
        </is>
      </c>
      <c r="H1715" s="16" t="inlineStr">
        <is>
          <t>NEGRO</t>
        </is>
      </c>
      <c r="I1715" s="16" t="n">
        <v>1</v>
      </c>
      <c r="J1715" s="17" t="n">
        <v>78</v>
      </c>
      <c r="K1715" s="17" t="n">
        <v>1.01</v>
      </c>
      <c r="L1715" s="17" t="n">
        <v>25.86</v>
      </c>
      <c r="M1715" s="17" t="n">
        <v>0</v>
      </c>
      <c r="N1715" s="17">
        <f>K1715*0.08+L1715*0.08</f>
        <v/>
      </c>
      <c r="O1715" s="17">
        <f>-(K1715*0.025+L1715*0.025)</f>
        <v/>
      </c>
      <c r="P1715" s="17">
        <f>32</f>
        <v/>
      </c>
      <c r="Q1715" s="17">
        <f>J1715+L1715+N1715+O1715-P1715-M1715</f>
        <v/>
      </c>
    </row>
    <row r="1716">
      <c r="A1716" s="16" t="inlineStr">
        <is>
          <t>5.15-5.21</t>
        </is>
      </c>
      <c r="B1716" s="16" t="inlineStr">
        <is>
          <t>PO-128-07076098555512398</t>
        </is>
      </c>
      <c r="C1716" s="16" t="inlineStr">
        <is>
          <t>Delivered</t>
        </is>
      </c>
      <c r="D1716" s="16" t="inlineStr">
        <is>
          <t>128-07076056612472398</t>
        </is>
      </c>
      <c r="E1716" s="16" t="inlineStr">
        <is>
          <t>Delivered</t>
        </is>
      </c>
      <c r="F1716" s="16" t="inlineStr">
        <is>
          <t>LV54W25</t>
        </is>
      </c>
      <c r="G1716" s="16" t="inlineStr">
        <is>
          <t>TIANLAI Lámpara Ventilador E27 2 en 1, Silenciosa, LED Alta Luminosidad 180°, Instalación Rápida, Ahorro Energético para Dormitorio y Interiores Pequeños</t>
        </is>
      </c>
      <c r="H1716" s="16" t="inlineStr">
        <is>
          <t>1 Pieza</t>
        </is>
      </c>
      <c r="I1716" s="16" t="n">
        <v>3</v>
      </c>
      <c r="J1716" s="17" t="n">
        <v>235.5</v>
      </c>
      <c r="K1716" s="17" t="n">
        <v>240.81</v>
      </c>
      <c r="L1716" s="17" t="n">
        <v>0</v>
      </c>
      <c r="M1716" s="17" t="n">
        <v>0</v>
      </c>
      <c r="N1716" s="17">
        <f>K1716*0.08+L1716*0.08</f>
        <v/>
      </c>
      <c r="O1716" s="17">
        <f>-(K1716*0.025+L1716*0.025)</f>
        <v/>
      </c>
      <c r="P1716" s="17">
        <f>32</f>
        <v/>
      </c>
      <c r="Q1716" s="17">
        <f>J1716+L1716+N1716+O1716-P1716-M1716</f>
        <v/>
      </c>
    </row>
    <row r="1717">
      <c r="A1717" s="16" t="inlineStr">
        <is>
          <t>5.15-5.21</t>
        </is>
      </c>
      <c r="B1717" s="16" t="inlineStr">
        <is>
          <t>PO-128-07521937342070700</t>
        </is>
      </c>
      <c r="C1717" s="16" t="inlineStr">
        <is>
          <t>Delivered</t>
        </is>
      </c>
      <c r="D1717" s="16" t="inlineStr">
        <is>
          <t>128-07522042199670700</t>
        </is>
      </c>
      <c r="E1717" s="16" t="inlineStr">
        <is>
          <t>Delivered</t>
        </is>
      </c>
      <c r="F1717" s="16" t="inlineStr">
        <is>
          <t>B03W10-10PZS</t>
        </is>
      </c>
      <c r="G171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17" s="16" t="inlineStr">
        <is>
          <t>B03W10</t>
        </is>
      </c>
      <c r="I1717" s="16" t="n">
        <v>1</v>
      </c>
      <c r="J1717" s="17" t="n">
        <v>66</v>
      </c>
      <c r="K1717" s="17" t="n">
        <v>78.94</v>
      </c>
      <c r="L1717" s="17" t="n">
        <v>25.86</v>
      </c>
      <c r="M1717" s="17" t="n">
        <v>0</v>
      </c>
      <c r="N1717" s="17">
        <f>K1717*0.08+L1717*0.08</f>
        <v/>
      </c>
      <c r="O1717" s="17">
        <f>-(K1717*0.025+L1717*0.025)</f>
        <v/>
      </c>
      <c r="P1717" s="17">
        <f>32</f>
        <v/>
      </c>
      <c r="Q1717" s="17">
        <f>J1717+L1717+N1717+O1717-P1717-M1717</f>
        <v/>
      </c>
    </row>
    <row r="1718">
      <c r="A1718" s="16" t="inlineStr">
        <is>
          <t>5.15-5.21</t>
        </is>
      </c>
      <c r="B1718" s="16" t="inlineStr">
        <is>
          <t>PO-128-07178083328632750</t>
        </is>
      </c>
      <c r="C1718" s="16" t="inlineStr">
        <is>
          <t>Delivered</t>
        </is>
      </c>
      <c r="D1718" s="16" t="inlineStr">
        <is>
          <t>128-07178104300152750</t>
        </is>
      </c>
      <c r="E1718" s="16" t="inlineStr">
        <is>
          <t>Delivered</t>
        </is>
      </c>
      <c r="F1718" s="16" t="inlineStr">
        <is>
          <t>LV54W25</t>
        </is>
      </c>
      <c r="G1718" s="16" t="inlineStr">
        <is>
          <t>TIANLAI Lámpara Ventilador E27 2 en 1, Silenciosa, LED Alta Luminosidad 180°, Instalación Rápida, Ahorro Energético para Dormitorio y Interiores Pequeños</t>
        </is>
      </c>
      <c r="H1718" s="16" t="inlineStr">
        <is>
          <t>1 Pieza</t>
        </is>
      </c>
      <c r="I1718" s="16" t="n">
        <v>3</v>
      </c>
      <c r="J1718" s="17" t="n">
        <v>235.5</v>
      </c>
      <c r="K1718" s="17" t="n">
        <v>240.81</v>
      </c>
      <c r="L1718" s="17" t="n">
        <v>0</v>
      </c>
      <c r="M1718" s="17" t="n">
        <v>0</v>
      </c>
      <c r="N1718" s="17">
        <f>K1718*0.08+L1718*0.08</f>
        <v/>
      </c>
      <c r="O1718" s="17">
        <f>-(K1718*0.025+L1718*0.025)</f>
        <v/>
      </c>
      <c r="P1718" s="17">
        <f>32</f>
        <v/>
      </c>
      <c r="Q1718" s="17">
        <f>J1718+L1718+N1718+O1718-P1718-M1718</f>
        <v/>
      </c>
    </row>
    <row r="1719">
      <c r="A1719" s="16" t="inlineStr">
        <is>
          <t>5.15-5.21</t>
        </is>
      </c>
      <c r="B1719" s="16" t="inlineStr">
        <is>
          <t>PO-128-07549144853110602</t>
        </is>
      </c>
      <c r="C1719" s="16" t="inlineStr">
        <is>
          <t>Delivered</t>
        </is>
      </c>
      <c r="D1719" s="16" t="inlineStr">
        <is>
          <t>128-07549186796150602</t>
        </is>
      </c>
      <c r="E1719" s="16" t="inlineStr">
        <is>
          <t>Delivered</t>
        </is>
      </c>
      <c r="F1719" s="16" t="inlineStr">
        <is>
          <t>KTS-2031</t>
        </is>
      </c>
      <c r="G1719" s="16" t="inlineStr">
        <is>
          <t>Bocina inalámbrica de 3 pulgadas con linterna multifuncional y panel solar integrado.Altavoz Portátil con Linterna LED 4 Modos, Radio FM, Bluetooth, Carga Solar, Ideal para Apagones, Emergencias, Campo y Exteriores</t>
        </is>
      </c>
      <c r="H1719" s="16" t="inlineStr">
        <is>
          <t>NEGRO</t>
        </is>
      </c>
      <c r="I1719" s="16" t="n">
        <v>1</v>
      </c>
      <c r="J1719" s="17" t="n">
        <v>78</v>
      </c>
      <c r="K1719" s="17" t="n">
        <v>87.22</v>
      </c>
      <c r="L1719" s="17" t="n">
        <v>25.86</v>
      </c>
      <c r="M1719" s="17" t="n">
        <v>0</v>
      </c>
      <c r="N1719" s="17">
        <f>K1719*0.08+L1719*0.08</f>
        <v/>
      </c>
      <c r="O1719" s="17">
        <f>-(K1719*0.025+L1719*0.025)</f>
        <v/>
      </c>
      <c r="P1719" s="17">
        <f>32</f>
        <v/>
      </c>
      <c r="Q1719" s="17">
        <f>J1719+L1719+N1719+O1719-P1719-M1719</f>
        <v/>
      </c>
    </row>
    <row r="1720">
      <c r="A1720" s="16" t="inlineStr">
        <is>
          <t>5.15-5.21</t>
        </is>
      </c>
      <c r="B1720" s="16" t="inlineStr">
        <is>
          <t>PO-128-07520396416630647</t>
        </is>
      </c>
      <c r="C1720" s="16" t="inlineStr">
        <is>
          <t>Delivered</t>
        </is>
      </c>
      <c r="D1720" s="16" t="inlineStr">
        <is>
          <t>128-07520464574070647</t>
        </is>
      </c>
      <c r="E1720" s="16" t="inlineStr">
        <is>
          <t>Delivered</t>
        </is>
      </c>
      <c r="F1720" s="16" t="inlineStr">
        <is>
          <t>LV54W25</t>
        </is>
      </c>
      <c r="G1720" s="16" t="inlineStr">
        <is>
          <t>TIANLAI Lámpara Ventilador E27 2 en 1, Silenciosa, LED Alta Luminosidad 180°, Instalación Rápida, Ahorro Energético para Dormitorio y Interiores Pequeños</t>
        </is>
      </c>
      <c r="H1720" s="16" t="inlineStr">
        <is>
          <t>1 Pieza</t>
        </is>
      </c>
      <c r="I1720" s="16" t="n">
        <v>2</v>
      </c>
      <c r="J1720" s="17" t="n">
        <v>157</v>
      </c>
      <c r="K1720" s="17" t="n">
        <v>160.54</v>
      </c>
      <c r="L1720" s="17" t="n">
        <v>25.86</v>
      </c>
      <c r="M1720" s="17" t="n">
        <v>0</v>
      </c>
      <c r="N1720" s="17">
        <f>K1720*0.08+L1720*0.08</f>
        <v/>
      </c>
      <c r="O1720" s="17">
        <f>-(K1720*0.025+L1720*0.025)</f>
        <v/>
      </c>
      <c r="P1720" s="17">
        <f>32</f>
        <v/>
      </c>
      <c r="Q1720" s="17">
        <f>J1720+L1720+N1720+O1720-P1720-M1720</f>
        <v/>
      </c>
    </row>
    <row r="1721">
      <c r="A1721" s="16" t="inlineStr">
        <is>
          <t>5.15-5.21</t>
        </is>
      </c>
      <c r="B1721" s="16" t="inlineStr">
        <is>
          <t>PO-128-07494491730550992</t>
        </is>
      </c>
      <c r="C1721" s="16" t="inlineStr">
        <is>
          <t>Delivered</t>
        </is>
      </c>
      <c r="D1721" s="16" t="inlineStr">
        <is>
          <t>128-07494512702070992</t>
        </is>
      </c>
      <c r="E1721" s="16" t="inlineStr">
        <is>
          <t>Delivered</t>
        </is>
      </c>
      <c r="F1721" s="16" t="inlineStr">
        <is>
          <t>KTS-2031</t>
        </is>
      </c>
      <c r="G1721" s="16" t="inlineStr">
        <is>
          <t>Bocina inalámbrica de 3 pulgadas con linterna multifuncional y panel solar integrado.Altavoz Portátil con Linterna LED 4 Modos, Radio FM, Bluetooth, Carga Solar, Ideal para Apagones, Emergencias, Campo y Exteriores</t>
        </is>
      </c>
      <c r="H1721" s="16" t="inlineStr">
        <is>
          <t>NEGRO</t>
        </is>
      </c>
      <c r="I1721" s="16" t="n">
        <v>3</v>
      </c>
      <c r="J1721" s="17" t="n">
        <v>234</v>
      </c>
      <c r="K1721" s="17" t="n">
        <v>261.66</v>
      </c>
      <c r="L1721" s="17" t="n">
        <v>0</v>
      </c>
      <c r="M1721" s="17" t="n">
        <v>0</v>
      </c>
      <c r="N1721" s="17">
        <f>K1721*0.08+L1721*0.08</f>
        <v/>
      </c>
      <c r="O1721" s="17">
        <f>-(K1721*0.025+L1721*0.025)</f>
        <v/>
      </c>
      <c r="P1721" s="17">
        <f>32</f>
        <v/>
      </c>
      <c r="Q1721" s="17">
        <f>J1721+L1721+N1721+O1721-P1721-M1721</f>
        <v/>
      </c>
    </row>
    <row r="1722">
      <c r="A1722" s="16" t="inlineStr">
        <is>
          <t>5.15-5.21</t>
        </is>
      </c>
      <c r="B1722" s="16" t="inlineStr">
        <is>
          <t>PO-128-07004938404473718</t>
        </is>
      </c>
      <c r="C1722" s="16" t="inlineStr">
        <is>
          <t>Delivered</t>
        </is>
      </c>
      <c r="D1722" s="16" t="inlineStr">
        <is>
          <t>128-07004943647353718</t>
        </is>
      </c>
      <c r="E1722" s="16" t="inlineStr">
        <is>
          <t>Delivered</t>
        </is>
      </c>
      <c r="F1722" s="16" t="inlineStr">
        <is>
          <t>LV54W25</t>
        </is>
      </c>
      <c r="G1722" s="16" t="inlineStr">
        <is>
          <t>TIANLAI Lámpara Ventilador E27 2 en 1, Silenciosa, LED Alta Luminosidad 180°, Instalación Rápida, Ahorro Energético para Dormitorio y Interiores Pequeños</t>
        </is>
      </c>
      <c r="H1722" s="16" t="inlineStr">
        <is>
          <t>1 Pieza</t>
        </is>
      </c>
      <c r="I1722" s="16" t="n">
        <v>1</v>
      </c>
      <c r="J1722" s="17" t="n">
        <v>78.5</v>
      </c>
      <c r="K1722" s="17" t="n">
        <v>80.27</v>
      </c>
      <c r="L1722" s="17" t="n">
        <v>25.86</v>
      </c>
      <c r="M1722" s="17" t="n">
        <v>0</v>
      </c>
      <c r="N1722" s="17">
        <f>K1722*0.08+L1722*0.08</f>
        <v/>
      </c>
      <c r="O1722" s="17">
        <f>-(K1722*0.025+L1722*0.025)</f>
        <v/>
      </c>
      <c r="P1722" s="17">
        <f>32</f>
        <v/>
      </c>
      <c r="Q1722" s="17">
        <f>J1722+L1722+N1722+O1722-P1722-M1722</f>
        <v/>
      </c>
    </row>
    <row r="1723">
      <c r="A1723" s="16" t="inlineStr">
        <is>
          <t>5.15-5.21</t>
        </is>
      </c>
      <c r="B1723" s="16" t="inlineStr">
        <is>
          <t>PO-128-06936084992633296</t>
        </is>
      </c>
      <c r="C1723" s="16" t="inlineStr">
        <is>
          <t>Delivered</t>
        </is>
      </c>
      <c r="D1723" s="16" t="inlineStr">
        <is>
          <t>128-06936126935673296</t>
        </is>
      </c>
      <c r="E1723" s="16" t="inlineStr">
        <is>
          <t>Delivered</t>
        </is>
      </c>
      <c r="F1723" s="16" t="inlineStr">
        <is>
          <t>LV54W25</t>
        </is>
      </c>
      <c r="G1723" s="16" t="inlineStr">
        <is>
          <t>TIANLAI Lámpara Ventilador E27 2 en 1, Silenciosa, LED Alta Luminosidad 180°, Instalación Rápida, Ahorro Energético para Dormitorio y Interiores Pequeños</t>
        </is>
      </c>
      <c r="H1723" s="16" t="inlineStr">
        <is>
          <t>1 Pieza</t>
        </is>
      </c>
      <c r="I1723" s="16" t="n">
        <v>1</v>
      </c>
      <c r="J1723" s="17" t="n">
        <v>78.5</v>
      </c>
      <c r="K1723" s="17" t="n">
        <v>80.27</v>
      </c>
      <c r="L1723" s="17" t="n">
        <v>25.86</v>
      </c>
      <c r="M1723" s="17" t="n">
        <v>0</v>
      </c>
      <c r="N1723" s="17">
        <f>K1723*0.08+L1723*0.08</f>
        <v/>
      </c>
      <c r="O1723" s="17">
        <f>-(K1723*0.025+L1723*0.025)</f>
        <v/>
      </c>
      <c r="P1723" s="17">
        <f>32</f>
        <v/>
      </c>
      <c r="Q1723" s="17">
        <f>J1723+L1723+N1723+O1723-P1723-M1723</f>
        <v/>
      </c>
    </row>
    <row r="1724">
      <c r="A1724" s="16" t="inlineStr">
        <is>
          <t>5.15-5.21</t>
        </is>
      </c>
      <c r="B1724" s="16" t="inlineStr">
        <is>
          <t>PO-128-07348548936311670</t>
        </is>
      </c>
      <c r="C1724" s="16" t="inlineStr">
        <is>
          <t>Delivered</t>
        </is>
      </c>
      <c r="D1724" s="16" t="inlineStr">
        <is>
          <t>128-07348586947191670</t>
        </is>
      </c>
      <c r="E1724" s="16" t="inlineStr">
        <is>
          <t>Delivered</t>
        </is>
      </c>
      <c r="F1724" s="16" t="inlineStr">
        <is>
          <t>LV64W25</t>
        </is>
      </c>
      <c r="G17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24" s="16" t="inlineStr">
        <is>
          <t>Blanco</t>
        </is>
      </c>
      <c r="I1724" s="16" t="n">
        <v>1</v>
      </c>
      <c r="J1724" s="17" t="n">
        <v>119.5</v>
      </c>
      <c r="K1724" s="17" t="n">
        <v>137.76</v>
      </c>
      <c r="L1724" s="17" t="n">
        <v>25.86</v>
      </c>
      <c r="M1724" s="17" t="n">
        <v>0</v>
      </c>
      <c r="N1724" s="17">
        <f>K1724*0.08+L1724*0.08</f>
        <v/>
      </c>
      <c r="O1724" s="17">
        <f>-(K1724*0.025+L1724*0.025)</f>
        <v/>
      </c>
      <c r="P1724" s="17">
        <f>32</f>
        <v/>
      </c>
      <c r="Q1724" s="17">
        <f>J1724+L1724+N1724+O1724-P1724-M1724</f>
        <v/>
      </c>
    </row>
    <row r="1725">
      <c r="A1725" s="16" t="inlineStr">
        <is>
          <t>5.15-5.21</t>
        </is>
      </c>
      <c r="B1725" s="16" t="inlineStr">
        <is>
          <t>PO-128-12661800202872896</t>
        </is>
      </c>
      <c r="C1725" s="16" t="inlineStr">
        <is>
          <t>Delivered</t>
        </is>
      </c>
      <c r="D1725" s="16" t="inlineStr">
        <is>
          <t>128-12661905060472896</t>
        </is>
      </c>
      <c r="E1725" s="16" t="inlineStr">
        <is>
          <t>Delivered</t>
        </is>
      </c>
      <c r="F1725" s="16" t="inlineStr">
        <is>
          <t>i12-V</t>
        </is>
      </c>
      <c r="G1725" s="16" t="inlineStr">
        <is>
          <t>Auriculares Inalámbricos TWS - Ideales para Usuarios Android e iPhone, Entusiastas del Deporte &amp; Música, Controles Táctiles, Audífonos Para Correr y Jugar</t>
        </is>
      </c>
      <c r="H1725" s="16" t="inlineStr">
        <is>
          <t>VERDE</t>
        </is>
      </c>
      <c r="I1725" s="16" t="n">
        <v>1</v>
      </c>
      <c r="J1725" s="17" t="n">
        <v>42</v>
      </c>
      <c r="K1725" s="17" t="n">
        <v>58.17</v>
      </c>
      <c r="L1725" s="17" t="n">
        <v>25.86</v>
      </c>
      <c r="M1725" s="17" t="n">
        <v>0</v>
      </c>
      <c r="N1725" s="17">
        <f>K1725*0.08+L1725*0.08</f>
        <v/>
      </c>
      <c r="O1725" s="17">
        <f>-(K1725*0.025+L1725*0.025)</f>
        <v/>
      </c>
      <c r="P1725" s="17">
        <f>32</f>
        <v/>
      </c>
      <c r="Q1725" s="17">
        <f>J1725+L1725+N1725+O1725-P1725-M1725</f>
        <v/>
      </c>
    </row>
    <row r="1726">
      <c r="A1726" s="16" t="inlineStr">
        <is>
          <t>5.15-5.21</t>
        </is>
      </c>
      <c r="B1726" s="16" t="inlineStr">
        <is>
          <t>PO-128-12598881500792249</t>
        </is>
      </c>
      <c r="C1726" s="16" t="inlineStr">
        <is>
          <t>Delivered</t>
        </is>
      </c>
      <c r="D1726" s="16" t="inlineStr">
        <is>
          <t>128-12598886743672249</t>
        </is>
      </c>
      <c r="E1726" s="16" t="inlineStr">
        <is>
          <t>Delivered</t>
        </is>
      </c>
      <c r="F1726" s="16" t="inlineStr">
        <is>
          <t>KTS-2031</t>
        </is>
      </c>
      <c r="G1726" s="16" t="inlineStr">
        <is>
          <t>Bocina inalámbrica de 3 pulgadas con linterna multifuncional y panel solar integrado.Altavoz Portátil con Linterna LED 4 Modos, Radio FM, Bluetooth, Carga Solar, Ideal para Apagones, Emergencias, Campo y Exteriores</t>
        </is>
      </c>
      <c r="H1726" s="16" t="inlineStr">
        <is>
          <t>NEGRO</t>
        </is>
      </c>
      <c r="I1726" s="16" t="n">
        <v>1</v>
      </c>
      <c r="J1726" s="17" t="n">
        <v>78</v>
      </c>
      <c r="K1726" s="17" t="n">
        <v>87.22</v>
      </c>
      <c r="L1726" s="17" t="n">
        <v>25.86</v>
      </c>
      <c r="M1726" s="17" t="n">
        <v>0</v>
      </c>
      <c r="N1726" s="17">
        <f>K1726*0.08+L1726*0.08</f>
        <v/>
      </c>
      <c r="O1726" s="17">
        <f>-(K1726*0.025+L1726*0.025)</f>
        <v/>
      </c>
      <c r="P1726" s="17">
        <f>32</f>
        <v/>
      </c>
      <c r="Q1726" s="17">
        <f>J1726+L1726+N1726+O1726-P1726-M1726</f>
        <v/>
      </c>
    </row>
    <row r="1727">
      <c r="A1727" s="16" t="inlineStr">
        <is>
          <t>5.15-5.21</t>
        </is>
      </c>
      <c r="B1727" s="16" t="inlineStr">
        <is>
          <t>PO-128-12958244050550043</t>
        </is>
      </c>
      <c r="C1727" s="16" t="inlineStr">
        <is>
          <t>Delivered</t>
        </is>
      </c>
      <c r="D1727" s="16" t="inlineStr">
        <is>
          <t>128-12958257157750043</t>
        </is>
      </c>
      <c r="E1727" s="16" t="inlineStr">
        <is>
          <t>Delivered</t>
        </is>
      </c>
      <c r="F1727" s="16" t="inlineStr">
        <is>
          <t>BG-115-B</t>
        </is>
      </c>
      <c r="G1727" s="16" t="inlineStr">
        <is>
          <t>LINK BITS Audífonos Inalámbricos con Luces Multicolor, Recargables y en Adorable Forma de Orejas de Gato - Conecta a Celulares y PCs, Tiene Radio FM, Tarjeta TF y AUX - 7 Horas de Reproducción, Plegables y Perfectos para Trabajo, Juegos y Estudio</t>
        </is>
      </c>
      <c r="H1727" s="16" t="inlineStr">
        <is>
          <t>blanco</t>
        </is>
      </c>
      <c r="I1727" s="16" t="n">
        <v>1</v>
      </c>
      <c r="J1727" s="17" t="n">
        <v>74.25</v>
      </c>
      <c r="K1727" s="17" t="n">
        <v>84.97</v>
      </c>
      <c r="L1727" s="17" t="n">
        <v>25.86</v>
      </c>
      <c r="M1727" s="17" t="n">
        <v>0</v>
      </c>
      <c r="N1727" s="17">
        <f>K1727*0.08+L1727*0.08</f>
        <v/>
      </c>
      <c r="O1727" s="17">
        <f>-(K1727*0.025+L1727*0.025)</f>
        <v/>
      </c>
      <c r="P1727" s="17">
        <f>32</f>
        <v/>
      </c>
      <c r="Q1727" s="17">
        <f>J1727+L1727+N1727+O1727-P1727-M1727</f>
        <v/>
      </c>
    </row>
    <row r="1728">
      <c r="A1728" s="16" t="inlineStr">
        <is>
          <t>5.15-5.21</t>
        </is>
      </c>
      <c r="B1728" s="16" t="inlineStr">
        <is>
          <t>PO-128-12398355031673381</t>
        </is>
      </c>
      <c r="C1728" s="16" t="inlineStr">
        <is>
          <t>Delivered</t>
        </is>
      </c>
      <c r="D1728" s="16" t="inlineStr">
        <is>
          <t>128-12398334060153381</t>
        </is>
      </c>
      <c r="E1728" s="16" t="inlineStr">
        <is>
          <t>Delivered</t>
        </is>
      </c>
      <c r="F1728" s="16" t="inlineStr">
        <is>
          <t>LV54W25</t>
        </is>
      </c>
      <c r="G1728" s="16" t="inlineStr">
        <is>
          <t>TIANLAI Lámpara Ventilador E27 2 en 1, Silenciosa, LED Alta Luminosidad 180°, Instalación Rápida, Ahorro Energético para Dormitorio y Interiores Pequeños</t>
        </is>
      </c>
      <c r="H1728" s="16" t="inlineStr">
        <is>
          <t>1 Pieza</t>
        </is>
      </c>
      <c r="I1728" s="16" t="n">
        <v>3</v>
      </c>
      <c r="J1728" s="17" t="n">
        <v>235.5</v>
      </c>
      <c r="K1728" s="17" t="n">
        <v>240.81</v>
      </c>
      <c r="L1728" s="17" t="n">
        <v>0</v>
      </c>
      <c r="M1728" s="17" t="n">
        <v>0</v>
      </c>
      <c r="N1728" s="17">
        <f>K1728*0.08+L1728*0.08</f>
        <v/>
      </c>
      <c r="O1728" s="17">
        <f>-(K1728*0.025+L1728*0.025)</f>
        <v/>
      </c>
      <c r="P1728" s="17">
        <f>32</f>
        <v/>
      </c>
      <c r="Q1728" s="17">
        <f>J1728+L1728+N1728+O1728-P1728-M1728</f>
        <v/>
      </c>
    </row>
    <row r="1729">
      <c r="A1729" s="16" t="inlineStr">
        <is>
          <t>5.15-5.21</t>
        </is>
      </c>
      <c r="B1729" s="16" t="inlineStr">
        <is>
          <t>PO-128-12911605397110257</t>
        </is>
      </c>
      <c r="C1729" s="16" t="inlineStr">
        <is>
          <t>Delivered</t>
        </is>
      </c>
      <c r="D1729" s="16" t="inlineStr">
        <is>
          <t>128-12911710254710257</t>
        </is>
      </c>
      <c r="E1729" s="16" t="inlineStr">
        <is>
          <t>Delivered</t>
        </is>
      </c>
      <c r="F1729" s="16" t="inlineStr">
        <is>
          <t>LV64W25</t>
        </is>
      </c>
      <c r="G17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29" s="16" t="inlineStr">
        <is>
          <t>Blanco</t>
        </is>
      </c>
      <c r="I1729" s="16" t="n">
        <v>1</v>
      </c>
      <c r="J1729" s="17" t="n">
        <v>119.5</v>
      </c>
      <c r="K1729" s="17" t="n">
        <v>123.98</v>
      </c>
      <c r="L1729" s="17" t="n">
        <v>25.86</v>
      </c>
      <c r="M1729" s="17" t="n">
        <v>0</v>
      </c>
      <c r="N1729" s="17">
        <f>K1729*0.08+L1729*0.08</f>
        <v/>
      </c>
      <c r="O1729" s="17">
        <f>-(K1729*0.025+L1729*0.025)</f>
        <v/>
      </c>
      <c r="P1729" s="17">
        <f>32</f>
        <v/>
      </c>
      <c r="Q1729" s="17">
        <f>J1729+L1729+N1729+O1729-P1729-M1729</f>
        <v/>
      </c>
    </row>
    <row r="1730">
      <c r="A1730" s="16" t="inlineStr">
        <is>
          <t>5.15-5.21</t>
        </is>
      </c>
      <c r="B1730" s="16" t="inlineStr">
        <is>
          <t>PO-128-12489460183673924</t>
        </is>
      </c>
      <c r="C1730" s="16" t="inlineStr">
        <is>
          <t>Delivered</t>
        </is>
      </c>
      <c r="D1730" s="16" t="inlineStr">
        <is>
          <t>128-12489449697913924</t>
        </is>
      </c>
      <c r="E1730" s="16" t="inlineStr">
        <is>
          <t>Delivered</t>
        </is>
      </c>
      <c r="F1730" s="16" t="inlineStr">
        <is>
          <t>KTS-2031</t>
        </is>
      </c>
      <c r="G1730" s="16" t="inlineStr">
        <is>
          <t>Bocina inalámbrica de 3 pulgadas con linterna multifuncional y panel solar integrado.Altavoz Portátil con Linterna LED 4 Modos, Radio FM, Bluetooth, Carga Solar, Ideal para Apagones, Emergencias, Campo y Exteriores</t>
        </is>
      </c>
      <c r="H1730" s="16" t="inlineStr">
        <is>
          <t>NEGRO</t>
        </is>
      </c>
      <c r="I1730" s="16" t="n">
        <v>3</v>
      </c>
      <c r="J1730" s="17" t="n">
        <v>234</v>
      </c>
      <c r="K1730" s="17" t="n">
        <v>261.66</v>
      </c>
      <c r="L1730" s="17" t="n">
        <v>0</v>
      </c>
      <c r="M1730" s="17" t="n">
        <v>0</v>
      </c>
      <c r="N1730" s="17">
        <f>K1730*0.08+L1730*0.08</f>
        <v/>
      </c>
      <c r="O1730" s="17">
        <f>-(K1730*0.025+L1730*0.025)</f>
        <v/>
      </c>
      <c r="P1730" s="17">
        <f>32</f>
        <v/>
      </c>
      <c r="Q1730" s="17">
        <f>J1730+L1730+N1730+O1730-P1730-M1730</f>
        <v/>
      </c>
    </row>
    <row r="1731">
      <c r="A1731" s="16" t="inlineStr">
        <is>
          <t>5.15-5.21</t>
        </is>
      </c>
      <c r="B1731" s="16" t="inlineStr">
        <is>
          <t>PO-128-12975141320310903</t>
        </is>
      </c>
      <c r="C1731" s="16" t="inlineStr">
        <is>
          <t>Delivered</t>
        </is>
      </c>
      <c r="D1731" s="16" t="inlineStr">
        <is>
          <t>128-12975151806070903</t>
        </is>
      </c>
      <c r="E1731" s="16" t="inlineStr">
        <is>
          <t>Delivered</t>
        </is>
      </c>
      <c r="F1731" s="16" t="inlineStr">
        <is>
          <t>B03W10-10PZS</t>
        </is>
      </c>
      <c r="G173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31" s="16" t="inlineStr">
        <is>
          <t>B03W10</t>
        </is>
      </c>
      <c r="I1731" s="16" t="n">
        <v>1</v>
      </c>
      <c r="J1731" s="17" t="n">
        <v>66</v>
      </c>
      <c r="K1731" s="17" t="n">
        <v>71.05</v>
      </c>
      <c r="L1731" s="17" t="n">
        <v>25.86</v>
      </c>
      <c r="M1731" s="17" t="n">
        <v>0</v>
      </c>
      <c r="N1731" s="17">
        <f>K1731*0.08+L1731*0.08</f>
        <v/>
      </c>
      <c r="O1731" s="17">
        <f>-(K1731*0.025+L1731*0.025)</f>
        <v/>
      </c>
      <c r="P1731" s="17">
        <f>32</f>
        <v/>
      </c>
      <c r="Q1731" s="17">
        <f>J1731+L1731+N1731+O1731-P1731-M1731</f>
        <v/>
      </c>
    </row>
    <row r="1732">
      <c r="A1732" s="16" t="inlineStr">
        <is>
          <t>5.15-5.21</t>
        </is>
      </c>
      <c r="B1732" s="16" t="inlineStr">
        <is>
          <t>PO-128-12840678175351894</t>
        </is>
      </c>
      <c r="C1732" s="16" t="inlineStr">
        <is>
          <t>Delivered</t>
        </is>
      </c>
      <c r="D1732" s="16" t="inlineStr">
        <is>
          <t>128-12840617882231894</t>
        </is>
      </c>
      <c r="E1732" s="16" t="inlineStr">
        <is>
          <t>Delivered</t>
        </is>
      </c>
      <c r="F1732" s="16" t="inlineStr">
        <is>
          <t>LV54W25</t>
        </is>
      </c>
      <c r="G1732" s="16" t="inlineStr">
        <is>
          <t>TIANLAI Lámpara Ventilador E27 2 en 1, Silenciosa, LED Alta Luminosidad 180°, Instalación Rápida, Ahorro Energético para Dormitorio y Interiores Pequeños</t>
        </is>
      </c>
      <c r="H1732" s="16" t="inlineStr">
        <is>
          <t>1 Pieza</t>
        </is>
      </c>
      <c r="I1732" s="16" t="n">
        <v>2</v>
      </c>
      <c r="J1732" s="17" t="n">
        <v>157</v>
      </c>
      <c r="K1732" s="17" t="n">
        <v>160.54</v>
      </c>
      <c r="L1732" s="17" t="n">
        <v>25.86</v>
      </c>
      <c r="M1732" s="17" t="n">
        <v>0</v>
      </c>
      <c r="N1732" s="17">
        <f>K1732*0.08+L1732*0.08</f>
        <v/>
      </c>
      <c r="O1732" s="17">
        <f>-(K1732*0.025+L1732*0.025)</f>
        <v/>
      </c>
      <c r="P1732" s="17">
        <f>32</f>
        <v/>
      </c>
      <c r="Q1732" s="17">
        <f>J1732+L1732+N1732+O1732-P1732-M1732</f>
        <v/>
      </c>
    </row>
    <row r="1733">
      <c r="A1733" s="16" t="inlineStr">
        <is>
          <t>5.15-5.21</t>
        </is>
      </c>
      <c r="B1733" s="16" t="inlineStr">
        <is>
          <t>PO-128-12883370629751640</t>
        </is>
      </c>
      <c r="C1733" s="16" t="inlineStr">
        <is>
          <t>Delivered</t>
        </is>
      </c>
      <c r="D1733" s="16" t="inlineStr">
        <is>
          <t>128-12883328686711640</t>
        </is>
      </c>
      <c r="E1733" s="16" t="inlineStr">
        <is>
          <t>Delivered</t>
        </is>
      </c>
      <c r="F1733" s="16" t="inlineStr">
        <is>
          <t>LV54W25</t>
        </is>
      </c>
      <c r="G1733" s="16" t="inlineStr">
        <is>
          <t>TIANLAI Lámpara Ventilador E27 2 en 1, Silenciosa, LED Alta Luminosidad 180°, Instalación Rápida, Ahorro Energético para Dormitorio y Interiores Pequeños</t>
        </is>
      </c>
      <c r="H1733" s="16" t="inlineStr">
        <is>
          <t>1 Pieza</t>
        </is>
      </c>
      <c r="I1733" s="16" t="n">
        <v>1</v>
      </c>
      <c r="J1733" s="17" t="n">
        <v>78.5</v>
      </c>
      <c r="K1733" s="17" t="n">
        <v>80.27</v>
      </c>
      <c r="L1733" s="17" t="n">
        <v>25.86</v>
      </c>
      <c r="M1733" s="17" t="n">
        <v>0</v>
      </c>
      <c r="N1733" s="17">
        <f>K1733*0.08+L1733*0.08</f>
        <v/>
      </c>
      <c r="O1733" s="17">
        <f>-(K1733*0.025+L1733*0.025)</f>
        <v/>
      </c>
      <c r="P1733" s="17">
        <f>32</f>
        <v/>
      </c>
      <c r="Q1733" s="17">
        <f>J1733+L1733+N1733+O1733-P1733-M1733</f>
        <v/>
      </c>
    </row>
    <row r="1734">
      <c r="A1734" s="16" t="inlineStr">
        <is>
          <t>5.15-5.21</t>
        </is>
      </c>
      <c r="B1734" s="16" t="inlineStr">
        <is>
          <t>PO-128-12385743918713582</t>
        </is>
      </c>
      <c r="C1734" s="16" t="inlineStr">
        <is>
          <t>Delivered</t>
        </is>
      </c>
      <c r="D1734" s="16" t="inlineStr">
        <is>
          <t>128-12385770133113582</t>
        </is>
      </c>
      <c r="E1734" s="16" t="inlineStr">
        <is>
          <t>Delivered</t>
        </is>
      </c>
      <c r="F1734" s="16" t="inlineStr">
        <is>
          <t>KTS-2031</t>
        </is>
      </c>
      <c r="G1734" s="16" t="inlineStr">
        <is>
          <t>Bocina inalámbrica de 3 pulgadas con linterna multifuncional y panel solar integrado.Altavoz Portátil con Linterna LED 4 Modos, Radio FM, Bluetooth, Carga Solar, Ideal para Apagones, Emergencias, Campo y Exteriores</t>
        </is>
      </c>
      <c r="H1734" s="16" t="inlineStr">
        <is>
          <t>NEGRO</t>
        </is>
      </c>
      <c r="I1734" s="16" t="n">
        <v>1</v>
      </c>
      <c r="J1734" s="17" t="n">
        <v>75</v>
      </c>
      <c r="K1734" s="17" t="n">
        <v>84.22</v>
      </c>
      <c r="L1734" s="17" t="n">
        <v>25.86</v>
      </c>
      <c r="M1734" s="17" t="n">
        <v>0</v>
      </c>
      <c r="N1734" s="17">
        <f>K1734*0.08+L1734*0.08</f>
        <v/>
      </c>
      <c r="O1734" s="17">
        <f>-(K1734*0.025+L1734*0.025)</f>
        <v/>
      </c>
      <c r="P1734" s="17">
        <f>32</f>
        <v/>
      </c>
      <c r="Q1734" s="17">
        <f>J1734+L1734+N1734+O1734-P1734-M1734</f>
        <v/>
      </c>
    </row>
    <row r="1735">
      <c r="A1735" s="16" t="inlineStr">
        <is>
          <t>5.15-5.21</t>
        </is>
      </c>
      <c r="B1735" s="16" t="inlineStr">
        <is>
          <t>PO-128-12747828373111360</t>
        </is>
      </c>
      <c r="C1735" s="16" t="inlineStr">
        <is>
          <t>Delivered</t>
        </is>
      </c>
      <c r="D1735" s="16" t="inlineStr">
        <is>
          <t>128-12747817887351360</t>
        </is>
      </c>
      <c r="E1735" s="16" t="inlineStr">
        <is>
          <t>Delivered</t>
        </is>
      </c>
      <c r="F1735" s="16" t="inlineStr">
        <is>
          <t>KTS-2031</t>
        </is>
      </c>
      <c r="G1735" s="16" t="inlineStr">
        <is>
          <t>Bocina inalámbrica de 3 pulgadas con linterna multifuncional y panel solar integrado.Altavoz Portátil con Linterna LED 4 Modos, Radio FM, Bluetooth, Carga Solar, Ideal para Apagones, Emergencias, Campo y Exteriores</t>
        </is>
      </c>
      <c r="H1735" s="16" t="inlineStr">
        <is>
          <t>NEGRO</t>
        </is>
      </c>
      <c r="I1735" s="16" t="n">
        <v>1</v>
      </c>
      <c r="J1735" s="17" t="n">
        <v>75</v>
      </c>
      <c r="K1735" s="17" t="n">
        <v>84.22</v>
      </c>
      <c r="L1735" s="17" t="n">
        <v>25.86</v>
      </c>
      <c r="M1735" s="17" t="n">
        <v>0</v>
      </c>
      <c r="N1735" s="17">
        <f>K1735*0.08+L1735*0.08</f>
        <v/>
      </c>
      <c r="O1735" s="17">
        <f>-(K1735*0.025+L1735*0.025)</f>
        <v/>
      </c>
      <c r="P1735" s="17">
        <f>32</f>
        <v/>
      </c>
      <c r="Q1735" s="17">
        <f>J1735+L1735+N1735+O1735-P1735-M1735</f>
        <v/>
      </c>
    </row>
    <row r="1736">
      <c r="A1736" s="16" t="inlineStr">
        <is>
          <t>5.15-5.21</t>
        </is>
      </c>
      <c r="B1736" s="16" t="inlineStr">
        <is>
          <t>PO-128-12496610453113947</t>
        </is>
      </c>
      <c r="C1736" s="16" t="inlineStr">
        <is>
          <t>Delivered</t>
        </is>
      </c>
      <c r="D1736" s="16" t="inlineStr">
        <is>
          <t>128-12496563267193947</t>
        </is>
      </c>
      <c r="E1736" s="16" t="inlineStr">
        <is>
          <t>Delivered</t>
        </is>
      </c>
      <c r="F1736" s="16" t="inlineStr">
        <is>
          <t>BSC07</t>
        </is>
      </c>
      <c r="G1736" s="16" t="inlineStr">
        <is>
          <t>TIANLAI Báscula Digital BSC04/BSC07, Alta Precisión, Fácil Operación, Ligera y Portátil, Función Tara, Unidad Dual oz/g, Ideal para Cocina, Control de Porciones, Sellos y Objetos Pequeños, Uso en Hogar y Viaje</t>
        </is>
      </c>
      <c r="H1736" s="16" t="inlineStr">
        <is>
          <t>1g/White</t>
        </is>
      </c>
      <c r="I1736" s="16" t="n">
        <v>1</v>
      </c>
      <c r="J1736" s="17" t="n">
        <v>35</v>
      </c>
      <c r="K1736" s="17" t="n">
        <v>47.22</v>
      </c>
      <c r="L1736" s="17" t="n">
        <v>25.86</v>
      </c>
      <c r="M1736" s="17" t="n">
        <v>0</v>
      </c>
      <c r="N1736" s="17">
        <f>K1736*0.08+L1736*0.08</f>
        <v/>
      </c>
      <c r="O1736" s="17">
        <f>-(K1736*0.025+L1736*0.025)</f>
        <v/>
      </c>
      <c r="P1736" s="17">
        <f>32</f>
        <v/>
      </c>
      <c r="Q1736" s="17">
        <f>J1736+L1736+N1736+O1736-P1736-M1736</f>
        <v/>
      </c>
    </row>
    <row r="1737">
      <c r="A1737" s="16" t="inlineStr">
        <is>
          <t>5.15-5.21</t>
        </is>
      </c>
      <c r="B1737" s="16" t="inlineStr">
        <is>
          <t>PO-128-12458289367673983</t>
        </is>
      </c>
      <c r="C1737" s="16" t="inlineStr">
        <is>
          <t>Delivered</t>
        </is>
      </c>
      <c r="D1737" s="16" t="inlineStr">
        <is>
          <t>128-12458394225273983</t>
        </is>
      </c>
      <c r="E1737" s="16" t="inlineStr">
        <is>
          <t>Delivered</t>
        </is>
      </c>
      <c r="F1737" s="16" t="inlineStr">
        <is>
          <t>LV64W25</t>
        </is>
      </c>
      <c r="G17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37" s="16" t="inlineStr">
        <is>
          <t>Blanco</t>
        </is>
      </c>
      <c r="I1737" s="16" t="n">
        <v>1</v>
      </c>
      <c r="J1737" s="17" t="n">
        <v>119.5</v>
      </c>
      <c r="K1737" s="17" t="n">
        <v>110.21</v>
      </c>
      <c r="L1737" s="17" t="n">
        <v>25.86</v>
      </c>
      <c r="M1737" s="17" t="n">
        <v>0</v>
      </c>
      <c r="N1737" s="17">
        <f>K1737*0.08+L1737*0.08</f>
        <v/>
      </c>
      <c r="O1737" s="17">
        <f>-(K1737*0.025+L1737*0.025)</f>
        <v/>
      </c>
      <c r="P1737" s="17">
        <f>32</f>
        <v/>
      </c>
      <c r="Q1737" s="17">
        <f>J1737+L1737+N1737+O1737-P1737-M1737</f>
        <v/>
      </c>
    </row>
    <row r="1738">
      <c r="A1738" s="16" t="inlineStr">
        <is>
          <t>5.15-5.21</t>
        </is>
      </c>
      <c r="B1738" s="16" t="inlineStr">
        <is>
          <t>PO-128-12863494190711566</t>
        </is>
      </c>
      <c r="C1738" s="16" t="inlineStr">
        <is>
          <t>Delivered</t>
        </is>
      </c>
      <c r="D1738" s="16" t="inlineStr">
        <is>
          <t>128-12863536133751566</t>
        </is>
      </c>
      <c r="E1738" s="16" t="inlineStr">
        <is>
          <t>Delivered</t>
        </is>
      </c>
      <c r="F1738" s="16" t="inlineStr">
        <is>
          <t>KTS-2031</t>
        </is>
      </c>
      <c r="G1738" s="16" t="inlineStr">
        <is>
          <t>Bocina inalámbrica de 3 pulgadas con linterna multifuncional y panel solar integrado.Altavoz Portátil con Linterna LED 4 Modos, Radio FM, Bluetooth, Carga Solar, Ideal para Apagones, Emergencias, Campo y Exteriores</t>
        </is>
      </c>
      <c r="H1738" s="16" t="inlineStr">
        <is>
          <t>NEGRO</t>
        </is>
      </c>
      <c r="I1738" s="16" t="n">
        <v>1</v>
      </c>
      <c r="J1738" s="17" t="n">
        <v>75</v>
      </c>
      <c r="K1738" s="17" t="n">
        <v>84.22</v>
      </c>
      <c r="L1738" s="17" t="n">
        <v>25.86</v>
      </c>
      <c r="M1738" s="17" t="n">
        <v>0</v>
      </c>
      <c r="N1738" s="17">
        <f>K1738*0.08+L1738*0.08</f>
        <v/>
      </c>
      <c r="O1738" s="17">
        <f>-(K1738*0.025+L1738*0.025)</f>
        <v/>
      </c>
      <c r="P1738" s="17">
        <f>32</f>
        <v/>
      </c>
      <c r="Q1738" s="17">
        <f>J1738+L1738+N1738+O1738-P1738-M1738</f>
        <v/>
      </c>
    </row>
    <row r="1739">
      <c r="A1739" s="16" t="inlineStr">
        <is>
          <t>5.15-5.21</t>
        </is>
      </c>
      <c r="B1739" s="16" t="inlineStr">
        <is>
          <t>PO-128-12584956744312202</t>
        </is>
      </c>
      <c r="C1739" s="16" t="inlineStr">
        <is>
          <t>Delivered</t>
        </is>
      </c>
      <c r="D1739" s="16" t="inlineStr">
        <is>
          <t>128-12585061601912202</t>
        </is>
      </c>
      <c r="E1739" s="16" t="inlineStr">
        <is>
          <t>Delivered</t>
        </is>
      </c>
      <c r="F1739" s="16" t="inlineStr">
        <is>
          <t>KTS-2031</t>
        </is>
      </c>
      <c r="G1739" s="16" t="inlineStr">
        <is>
          <t>Bocina inalámbrica de 3 pulgadas con linterna multifuncional y panel solar integrado.Altavoz Portátil con Linterna LED 4 Modos, Radio FM, Bluetooth, Carga Solar, Ideal para Apagones, Emergencias, Campo y Exteriores</t>
        </is>
      </c>
      <c r="H1739" s="16" t="inlineStr">
        <is>
          <t>NEGRO</t>
        </is>
      </c>
      <c r="I1739" s="16" t="n">
        <v>1</v>
      </c>
      <c r="J1739" s="17" t="n">
        <v>75</v>
      </c>
      <c r="K1739" s="17" t="n">
        <v>84.22</v>
      </c>
      <c r="L1739" s="17" t="n">
        <v>25.86</v>
      </c>
      <c r="M1739" s="17" t="n">
        <v>0</v>
      </c>
      <c r="N1739" s="17">
        <f>K1739*0.08+L1739*0.08</f>
        <v/>
      </c>
      <c r="O1739" s="17">
        <f>-(K1739*0.025+L1739*0.025)</f>
        <v/>
      </c>
      <c r="P1739" s="17">
        <f>32</f>
        <v/>
      </c>
      <c r="Q1739" s="17">
        <f>J1739+L1739+N1739+O1739-P1739-M1739</f>
        <v/>
      </c>
    </row>
    <row r="1740">
      <c r="A1740" s="16" t="inlineStr">
        <is>
          <t>5.15-5.21</t>
        </is>
      </c>
      <c r="B1740" s="16" t="inlineStr">
        <is>
          <t>PO-128-12561516119672534</t>
        </is>
      </c>
      <c r="C1740" s="16" t="inlineStr">
        <is>
          <t>Delivered</t>
        </is>
      </c>
      <c r="D1740" s="16" t="inlineStr">
        <is>
          <t>128-12561474176632534</t>
        </is>
      </c>
      <c r="E1740" s="16" t="inlineStr">
        <is>
          <t>Delivered</t>
        </is>
      </c>
      <c r="F1740" s="16" t="inlineStr">
        <is>
          <t>BG-115-B</t>
        </is>
      </c>
      <c r="G1740" s="16" t="inlineStr">
        <is>
          <t>LINK BITS Audífonos Inalámbricos con Luces Multicolor, Recargables y en Adorable Forma de Orejas de Gato - Conecta a Celulares y PCs, Tiene Radio FM, Tarjeta TF y AUX - 7 Horas de Reproducción, Plegables y Perfectos para Trabajo, Juegos y Estudio</t>
        </is>
      </c>
      <c r="H1740" s="16" t="inlineStr">
        <is>
          <t>blanco</t>
        </is>
      </c>
      <c r="I1740" s="16" t="n">
        <v>1</v>
      </c>
      <c r="J1740" s="17" t="n">
        <v>74.25</v>
      </c>
      <c r="K1740" s="17" t="n">
        <v>84.97</v>
      </c>
      <c r="L1740" s="17" t="n">
        <v>25.86</v>
      </c>
      <c r="M1740" s="17" t="n">
        <v>0</v>
      </c>
      <c r="N1740" s="17">
        <f>K1740*0.08+L1740*0.08</f>
        <v/>
      </c>
      <c r="O1740" s="17">
        <f>-(K1740*0.025+L1740*0.025)</f>
        <v/>
      </c>
      <c r="P1740" s="17">
        <f>32</f>
        <v/>
      </c>
      <c r="Q1740" s="17">
        <f>J1740+L1740+N1740+O1740-P1740-M1740</f>
        <v/>
      </c>
    </row>
    <row r="1741">
      <c r="A1741" s="16" t="inlineStr">
        <is>
          <t>5.15-5.21</t>
        </is>
      </c>
      <c r="B1741" s="16" t="inlineStr">
        <is>
          <t>PO-128-12942188175990203</t>
        </is>
      </c>
      <c r="C1741" s="16" t="inlineStr">
        <is>
          <t>Delivered</t>
        </is>
      </c>
      <c r="D1741" s="16" t="inlineStr">
        <is>
          <t>128-12942177690230203</t>
        </is>
      </c>
      <c r="E1741" s="16" t="inlineStr">
        <is>
          <t>Delivered</t>
        </is>
      </c>
      <c r="F1741" s="16" t="inlineStr">
        <is>
          <t>LV54W25</t>
        </is>
      </c>
      <c r="G1741" s="16" t="inlineStr">
        <is>
          <t>TIANLAI Lámpara Ventilador E27 2 en 1, Silenciosa, LED Alta Luminosidad 180°, Instalación Rápida, Ahorro Energético para Dormitorio y Interiores Pequeños</t>
        </is>
      </c>
      <c r="H1741" s="16" t="inlineStr">
        <is>
          <t>1 Pieza</t>
        </is>
      </c>
      <c r="I1741" s="16" t="n">
        <v>1</v>
      </c>
      <c r="J1741" s="17" t="n">
        <v>78.5</v>
      </c>
      <c r="K1741" s="17" t="n">
        <v>80.27</v>
      </c>
      <c r="L1741" s="17" t="n">
        <v>25.86</v>
      </c>
      <c r="M1741" s="17" t="n">
        <v>0</v>
      </c>
      <c r="N1741" s="17">
        <f>K1741*0.08+L1741*0.08</f>
        <v/>
      </c>
      <c r="O1741" s="17">
        <f>-(K1741*0.025+L1741*0.025)</f>
        <v/>
      </c>
      <c r="P1741" s="17">
        <f>32</f>
        <v/>
      </c>
      <c r="Q1741" s="17">
        <f>J1741+L1741+N1741+O1741-P1741-M1741</f>
        <v/>
      </c>
    </row>
    <row r="1742">
      <c r="A1742" s="16" t="inlineStr">
        <is>
          <t>5.15-5.21</t>
        </is>
      </c>
      <c r="B1742" s="16" t="inlineStr">
        <is>
          <t>PO-128-12606292583032077</t>
        </is>
      </c>
      <c r="C1742" s="16" t="inlineStr">
        <is>
          <t>Delivered</t>
        </is>
      </c>
      <c r="D1742" s="16" t="inlineStr">
        <is>
          <t>128-12606261125752077</t>
        </is>
      </c>
      <c r="E1742" s="16" t="inlineStr">
        <is>
          <t>Delivered</t>
        </is>
      </c>
      <c r="F1742" s="16" t="inlineStr">
        <is>
          <t>LV54W25</t>
        </is>
      </c>
      <c r="G1742" s="16" t="inlineStr">
        <is>
          <t>TIANLAI Lámpara Ventilador E27 2 en 1, Silenciosa, LED Alta Luminosidad 180°, Instalación Rápida, Ahorro Energético para Dormitorio y Interiores Pequeños</t>
        </is>
      </c>
      <c r="H1742" s="16" t="inlineStr">
        <is>
          <t>1 Pieza</t>
        </is>
      </c>
      <c r="I1742" s="16" t="n">
        <v>1</v>
      </c>
      <c r="J1742" s="17" t="n">
        <v>78.5</v>
      </c>
      <c r="K1742" s="17" t="n">
        <v>80.27</v>
      </c>
      <c r="L1742" s="17" t="n">
        <v>25.86</v>
      </c>
      <c r="M1742" s="17" t="n">
        <v>0</v>
      </c>
      <c r="N1742" s="17">
        <f>K1742*0.08+L1742*0.08</f>
        <v/>
      </c>
      <c r="O1742" s="17">
        <f>-(K1742*0.025+L1742*0.025)</f>
        <v/>
      </c>
      <c r="P1742" s="17">
        <f>32</f>
        <v/>
      </c>
      <c r="Q1742" s="17">
        <f>J1742+L1742+N1742+O1742-P1742-M1742</f>
        <v/>
      </c>
    </row>
    <row r="1743">
      <c r="A1743" s="16" t="inlineStr">
        <is>
          <t>5.15-5.21</t>
        </is>
      </c>
      <c r="B1743" s="16" t="inlineStr">
        <is>
          <t>PO-128-12817152333432034</t>
        </is>
      </c>
      <c r="C1743" s="16" t="inlineStr">
        <is>
          <t>Delivered</t>
        </is>
      </c>
      <c r="D1743" s="16" t="inlineStr">
        <is>
          <t>128-12817173304952034</t>
        </is>
      </c>
      <c r="E1743" s="16" t="inlineStr">
        <is>
          <t>Delivered</t>
        </is>
      </c>
      <c r="F1743" s="16" t="inlineStr">
        <is>
          <t>LV54W25</t>
        </is>
      </c>
      <c r="G1743" s="16" t="inlineStr">
        <is>
          <t>TIANLAI Lámpara Ventilador E27 2 en 1, Silenciosa, LED Alta Luminosidad 180°, Instalación Rápida, Ahorro Energético para Dormitorio y Interiores Pequeños</t>
        </is>
      </c>
      <c r="H1743" s="16" t="inlineStr">
        <is>
          <t>1 Pieza</t>
        </is>
      </c>
      <c r="I1743" s="16" t="n">
        <v>1</v>
      </c>
      <c r="J1743" s="17" t="n">
        <v>78.5</v>
      </c>
      <c r="K1743" s="17" t="n">
        <v>80.27</v>
      </c>
      <c r="L1743" s="17" t="n">
        <v>25.86</v>
      </c>
      <c r="M1743" s="17" t="n">
        <v>0</v>
      </c>
      <c r="N1743" s="17">
        <f>K1743*0.08+L1743*0.08</f>
        <v/>
      </c>
      <c r="O1743" s="17">
        <f>-(K1743*0.025+L1743*0.025)</f>
        <v/>
      </c>
      <c r="P1743" s="17">
        <f>32</f>
        <v/>
      </c>
      <c r="Q1743" s="17">
        <f>J1743+L1743+N1743+O1743-P1743-M1743</f>
        <v/>
      </c>
    </row>
    <row r="1744">
      <c r="A1744" s="16" t="inlineStr">
        <is>
          <t>5.15-5.21</t>
        </is>
      </c>
      <c r="B1744" s="16" t="inlineStr">
        <is>
          <t>PO-128-12597189187192259</t>
        </is>
      </c>
      <c r="C1744" s="16" t="inlineStr">
        <is>
          <t>Delivered</t>
        </is>
      </c>
      <c r="D1744" s="16" t="inlineStr">
        <is>
          <t>128-12597325502072259</t>
        </is>
      </c>
      <c r="E1744" s="16" t="inlineStr">
        <is>
          <t>Delivered</t>
        </is>
      </c>
      <c r="F1744" s="16" t="inlineStr">
        <is>
          <t>B03W10-10PZS</t>
        </is>
      </c>
      <c r="G174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44" s="16" t="inlineStr">
        <is>
          <t>B03W10</t>
        </is>
      </c>
      <c r="I1744" s="16" t="n">
        <v>1</v>
      </c>
      <c r="J1744" s="17" t="n">
        <v>66</v>
      </c>
      <c r="K1744" s="17" t="n">
        <v>55.26</v>
      </c>
      <c r="L1744" s="17" t="n">
        <v>25.86</v>
      </c>
      <c r="M1744" s="17" t="n">
        <v>0</v>
      </c>
      <c r="N1744" s="17">
        <f>K1744*0.08+L1744*0.08</f>
        <v/>
      </c>
      <c r="O1744" s="17">
        <f>-(K1744*0.025+L1744*0.025)</f>
        <v/>
      </c>
      <c r="P1744" s="17">
        <f>32</f>
        <v/>
      </c>
      <c r="Q1744" s="17">
        <f>J1744+L1744+N1744+O1744-P1744-M1744</f>
        <v/>
      </c>
    </row>
    <row r="1745">
      <c r="A1745" s="16" t="inlineStr">
        <is>
          <t>5.15-5.21</t>
        </is>
      </c>
      <c r="B1745" s="16" t="inlineStr">
        <is>
          <t>PO-128-12536557159033709</t>
        </is>
      </c>
      <c r="C1745" s="16" t="inlineStr">
        <is>
          <t>Delivered</t>
        </is>
      </c>
      <c r="D1745" s="16" t="inlineStr">
        <is>
          <t>128-12536578130553709</t>
        </is>
      </c>
      <c r="E1745" s="16" t="inlineStr">
        <is>
          <t>Delivered</t>
        </is>
      </c>
      <c r="F1745" s="16" t="inlineStr">
        <is>
          <t>B03W10-10PZS</t>
        </is>
      </c>
      <c r="G174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45" s="16" t="inlineStr">
        <is>
          <t>B03W10</t>
        </is>
      </c>
      <c r="I1745" s="16" t="n">
        <v>1</v>
      </c>
      <c r="J1745" s="17" t="n">
        <v>66</v>
      </c>
      <c r="K1745" s="17" t="n">
        <v>61.85</v>
      </c>
      <c r="L1745" s="17" t="n">
        <v>25.86</v>
      </c>
      <c r="M1745" s="17" t="n">
        <v>0</v>
      </c>
      <c r="N1745" s="17">
        <f>K1745*0.08+L1745*0.08</f>
        <v/>
      </c>
      <c r="O1745" s="17">
        <f>-(K1745*0.025+L1745*0.025)</f>
        <v/>
      </c>
      <c r="P1745" s="17">
        <f>32</f>
        <v/>
      </c>
      <c r="Q1745" s="17">
        <f>J1745+L1745+N1745+O1745-P1745-M1745</f>
        <v/>
      </c>
    </row>
    <row r="1746">
      <c r="A1746" s="16" t="inlineStr">
        <is>
          <t>5.15-5.21</t>
        </is>
      </c>
      <c r="B1746" s="16" t="inlineStr">
        <is>
          <t>PO-128-13002016584310804</t>
        </is>
      </c>
      <c r="C1746" s="16" t="inlineStr">
        <is>
          <t>Delivered</t>
        </is>
      </c>
      <c r="D1746" s="16" t="inlineStr">
        <is>
          <t>128-13002063770230804</t>
        </is>
      </c>
      <c r="E1746" s="16" t="inlineStr">
        <is>
          <t>Delivered</t>
        </is>
      </c>
      <c r="F1746" s="16" t="inlineStr">
        <is>
          <t>LV64W25</t>
        </is>
      </c>
      <c r="G17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46" s="16" t="inlineStr">
        <is>
          <t>Blanco</t>
        </is>
      </c>
      <c r="I1746" s="16" t="n">
        <v>1</v>
      </c>
      <c r="J1746" s="17" t="n">
        <v>119.5</v>
      </c>
      <c r="K1746" s="17" t="n">
        <v>137.76</v>
      </c>
      <c r="L1746" s="17" t="n">
        <v>25.86</v>
      </c>
      <c r="M1746" s="17" t="n">
        <v>0</v>
      </c>
      <c r="N1746" s="17">
        <f>K1746*0.08+L1746*0.08</f>
        <v/>
      </c>
      <c r="O1746" s="17">
        <f>-(K1746*0.025+L1746*0.025)</f>
        <v/>
      </c>
      <c r="P1746" s="17">
        <f>32</f>
        <v/>
      </c>
      <c r="Q1746" s="17">
        <f>J1746+L1746+N1746+O1746-P1746-M1746</f>
        <v/>
      </c>
    </row>
    <row r="1747">
      <c r="A1747" s="16" t="inlineStr">
        <is>
          <t>5.15-5.21</t>
        </is>
      </c>
      <c r="B1747" s="16" t="inlineStr">
        <is>
          <t>PO-128-12837255419511914</t>
        </is>
      </c>
      <c r="C1747" s="16" t="inlineStr">
        <is>
          <t>Delivered</t>
        </is>
      </c>
      <c r="D1747" s="16" t="inlineStr">
        <is>
          <t>128-12837421225591914</t>
        </is>
      </c>
      <c r="E1747" s="16" t="inlineStr">
        <is>
          <t>Delivered</t>
        </is>
      </c>
      <c r="F1747" s="16" t="inlineStr">
        <is>
          <t>KTS-2031</t>
        </is>
      </c>
      <c r="G1747" s="16" t="inlineStr">
        <is>
          <t>Bocina inalámbrica de 3 pulgadas con linterna multifuncional y panel solar integrado.Altavoz Portátil con Linterna LED 4 Modos, Radio FM, Bluetooth, Carga Solar, Ideal para Apagones, Emergencias, Campo y Exteriores</t>
        </is>
      </c>
      <c r="H1747" s="16" t="inlineStr">
        <is>
          <t>NEGRO</t>
        </is>
      </c>
      <c r="I1747" s="16" t="n">
        <v>1</v>
      </c>
      <c r="J1747" s="17" t="n">
        <v>75</v>
      </c>
      <c r="K1747" s="17" t="n">
        <v>41.12</v>
      </c>
      <c r="L1747" s="17" t="n">
        <v>25.86</v>
      </c>
      <c r="M1747" s="17" t="n">
        <v>0</v>
      </c>
      <c r="N1747" s="17">
        <f>K1747*0.08+L1747*0.08</f>
        <v/>
      </c>
      <c r="O1747" s="17">
        <f>-(K1747*0.025+L1747*0.025)</f>
        <v/>
      </c>
      <c r="P1747" s="17">
        <f>32</f>
        <v/>
      </c>
      <c r="Q1747" s="17">
        <f>J1747+L1747+N1747+O1747-P1747-M1747</f>
        <v/>
      </c>
    </row>
    <row r="1748">
      <c r="A1748" s="16" t="inlineStr">
        <is>
          <t>5.15-5.21</t>
        </is>
      </c>
      <c r="B1748" s="16" t="inlineStr">
        <is>
          <t>PO-128-12829411164791835</t>
        </is>
      </c>
      <c r="C1748" s="16" t="inlineStr">
        <is>
          <t>Delivered</t>
        </is>
      </c>
      <c r="D1748" s="16" t="inlineStr">
        <is>
          <t>128-12829432136311835</t>
        </is>
      </c>
      <c r="E1748" s="16" t="inlineStr">
        <is>
          <t>Delivered</t>
        </is>
      </c>
      <c r="F1748" s="16" t="inlineStr">
        <is>
          <t>LV54W25</t>
        </is>
      </c>
      <c r="G1748" s="16" t="inlineStr">
        <is>
          <t>TIANLAI Lámpara Ventilador E27 2 en 1, Silenciosa, LED Alta Luminosidad 180°, Instalación Rápida, Ahorro Energético para Dormitorio y Interiores Pequeños</t>
        </is>
      </c>
      <c r="H1748" s="16" t="inlineStr">
        <is>
          <t>1 Pieza</t>
        </is>
      </c>
      <c r="I1748" s="16" t="n">
        <v>3</v>
      </c>
      <c r="J1748" s="17" t="n">
        <v>235.5</v>
      </c>
      <c r="K1748" s="17" t="n">
        <v>240.81</v>
      </c>
      <c r="L1748" s="17" t="n">
        <v>0</v>
      </c>
      <c r="M1748" s="17" t="n">
        <v>0</v>
      </c>
      <c r="N1748" s="17">
        <f>K1748*0.08+L1748*0.08</f>
        <v/>
      </c>
      <c r="O1748" s="17">
        <f>-(K1748*0.025+L1748*0.025)</f>
        <v/>
      </c>
      <c r="P1748" s="17">
        <f>32</f>
        <v/>
      </c>
      <c r="Q1748" s="17">
        <f>J1748+L1748+N1748+O1748-P1748-M1748</f>
        <v/>
      </c>
    </row>
    <row r="1749">
      <c r="A1749" s="16" t="inlineStr">
        <is>
          <t>5.15-5.21</t>
        </is>
      </c>
      <c r="B1749" s="16" t="inlineStr">
        <is>
          <t>PO-128-13046075571830606</t>
        </is>
      </c>
      <c r="C1749" s="16" t="inlineStr">
        <is>
          <t>Delivered</t>
        </is>
      </c>
      <c r="D1749" s="16" t="inlineStr">
        <is>
          <t>128-13046096543350606</t>
        </is>
      </c>
      <c r="E1749" s="16" t="inlineStr">
        <is>
          <t>Delivered</t>
        </is>
      </c>
      <c r="F1749" s="16" t="inlineStr">
        <is>
          <t>B03W10-10PZS</t>
        </is>
      </c>
      <c r="G174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49" s="16" t="inlineStr">
        <is>
          <t>B03W10</t>
        </is>
      </c>
      <c r="I1749" s="16" t="n">
        <v>1</v>
      </c>
      <c r="J1749" s="17" t="n">
        <v>66</v>
      </c>
      <c r="K1749" s="17" t="n">
        <v>71.05</v>
      </c>
      <c r="L1749" s="17" t="n">
        <v>25.86</v>
      </c>
      <c r="M1749" s="17" t="n">
        <v>0</v>
      </c>
      <c r="N1749" s="17">
        <f>K1749*0.08+L1749*0.08</f>
        <v/>
      </c>
      <c r="O1749" s="17">
        <f>-(K1749*0.025+L1749*0.025)</f>
        <v/>
      </c>
      <c r="P1749" s="17">
        <f>32</f>
        <v/>
      </c>
      <c r="Q1749" s="17">
        <f>J1749+L1749+N1749+O1749-P1749-M1749</f>
        <v/>
      </c>
    </row>
    <row r="1750">
      <c r="A1750" s="16" t="inlineStr">
        <is>
          <t>5.15-5.21</t>
        </is>
      </c>
      <c r="B1750" s="16" t="inlineStr">
        <is>
          <t>PO-128-12826752927351851</t>
        </is>
      </c>
      <c r="C1750" s="16" t="inlineStr">
        <is>
          <t>Delivered</t>
        </is>
      </c>
      <c r="D1750" s="16" t="inlineStr">
        <is>
          <t>128-12826794870391851</t>
        </is>
      </c>
      <c r="E1750" s="16" t="inlineStr">
        <is>
          <t>Delivered</t>
        </is>
      </c>
      <c r="F1750" s="16" t="inlineStr">
        <is>
          <t>LV54W25</t>
        </is>
      </c>
      <c r="G1750" s="16" t="inlineStr">
        <is>
          <t>TIANLAI Lámpara Ventilador E27 2 en 1, Silenciosa, LED Alta Luminosidad 180°, Instalación Rápida, Ahorro Energético para Dormitorio y Interiores Pequeños</t>
        </is>
      </c>
      <c r="H1750" s="16" t="inlineStr">
        <is>
          <t>1 Pieza</t>
        </is>
      </c>
      <c r="I1750" s="16" t="n">
        <v>5</v>
      </c>
      <c r="J1750" s="17" t="n">
        <v>392.5</v>
      </c>
      <c r="K1750" s="17" t="n">
        <v>401.35</v>
      </c>
      <c r="L1750" s="17" t="n">
        <v>0</v>
      </c>
      <c r="M1750" s="17" t="n">
        <v>0</v>
      </c>
      <c r="N1750" s="17">
        <f>K1750*0.08+L1750*0.08</f>
        <v/>
      </c>
      <c r="O1750" s="17">
        <f>-(K1750*0.025+L1750*0.025)</f>
        <v/>
      </c>
      <c r="P1750" s="17">
        <f>32</f>
        <v/>
      </c>
      <c r="Q1750" s="17">
        <f>J1750+L1750+N1750+O1750-P1750-M1750</f>
        <v/>
      </c>
    </row>
    <row r="1751">
      <c r="A1751" s="16" t="inlineStr">
        <is>
          <t>5.15-5.21</t>
        </is>
      </c>
      <c r="B1751" s="16" t="inlineStr">
        <is>
          <t>PO-128-12450547251833197</t>
        </is>
      </c>
      <c r="C1751" s="16" t="inlineStr">
        <is>
          <t>Delivered</t>
        </is>
      </c>
      <c r="D1751" s="16" t="inlineStr">
        <is>
          <t>128-12450573466233197</t>
        </is>
      </c>
      <c r="E1751" s="16" t="inlineStr">
        <is>
          <t>Delivered</t>
        </is>
      </c>
      <c r="F1751" s="16" t="inlineStr">
        <is>
          <t>LV64W25</t>
        </is>
      </c>
      <c r="G17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51" s="16" t="inlineStr">
        <is>
          <t>Blanco</t>
        </is>
      </c>
      <c r="I1751" s="16" t="n">
        <v>4</v>
      </c>
      <c r="J1751" s="17" t="n">
        <v>478</v>
      </c>
      <c r="K1751" s="17" t="n">
        <v>551.04</v>
      </c>
      <c r="L1751" s="17" t="n">
        <v>0</v>
      </c>
      <c r="M1751" s="17" t="n">
        <v>0</v>
      </c>
      <c r="N1751" s="17">
        <f>K1751*0.08+L1751*0.08</f>
        <v/>
      </c>
      <c r="O1751" s="17">
        <f>-(K1751*0.025+L1751*0.025)</f>
        <v/>
      </c>
      <c r="P1751" s="17">
        <f>32</f>
        <v/>
      </c>
      <c r="Q1751" s="17">
        <f>J1751+L1751+N1751+O1751-P1751-M1751</f>
        <v/>
      </c>
    </row>
    <row r="1752">
      <c r="A1752" s="16" t="inlineStr">
        <is>
          <t>5.15-5.21</t>
        </is>
      </c>
      <c r="B1752" s="16" t="inlineStr">
        <is>
          <t>PO-128-12621118116472117</t>
        </is>
      </c>
      <c r="C1752" s="16" t="inlineStr">
        <is>
          <t>Delivered</t>
        </is>
      </c>
      <c r="D1752" s="16" t="inlineStr">
        <is>
          <t>128-12621139087992117</t>
        </is>
      </c>
      <c r="E1752" s="16" t="inlineStr">
        <is>
          <t>Delivered</t>
        </is>
      </c>
      <c r="F1752" s="16" t="inlineStr">
        <is>
          <t>LV54W25</t>
        </is>
      </c>
      <c r="G1752" s="16" t="inlineStr">
        <is>
          <t>TIANLAI Lámpara Ventilador E27 2 en 1, Silenciosa, LED Alta Luminosidad 180°, Instalación Rápida, Ahorro Energético para Dormitorio y Interiores Pequeños</t>
        </is>
      </c>
      <c r="H1752" s="16" t="inlineStr">
        <is>
          <t>1 Pieza</t>
        </is>
      </c>
      <c r="I1752" s="16" t="n">
        <v>3</v>
      </c>
      <c r="J1752" s="17" t="n">
        <v>235.5</v>
      </c>
      <c r="K1752" s="17" t="n">
        <v>240.81</v>
      </c>
      <c r="L1752" s="17" t="n">
        <v>0</v>
      </c>
      <c r="M1752" s="17" t="n">
        <v>0</v>
      </c>
      <c r="N1752" s="17">
        <f>K1752*0.08+L1752*0.08</f>
        <v/>
      </c>
      <c r="O1752" s="17">
        <f>-(K1752*0.025+L1752*0.025)</f>
        <v/>
      </c>
      <c r="P1752" s="17">
        <f>32</f>
        <v/>
      </c>
      <c r="Q1752" s="17">
        <f>J1752+L1752+N1752+O1752-P1752-M1752</f>
        <v/>
      </c>
    </row>
    <row r="1753">
      <c r="A1753" s="16" t="inlineStr">
        <is>
          <t>5.15-5.21</t>
        </is>
      </c>
      <c r="B1753" s="16" t="inlineStr">
        <is>
          <t>PO-128-12662058747512897</t>
        </is>
      </c>
      <c r="C1753" s="16" t="inlineStr">
        <is>
          <t>Delivered</t>
        </is>
      </c>
      <c r="D1753" s="16" t="inlineStr">
        <is>
          <t>128-12662100199032897</t>
        </is>
      </c>
      <c r="E1753" s="16" t="inlineStr">
        <is>
          <t>Delivered</t>
        </is>
      </c>
      <c r="F1753" s="16" t="inlineStr">
        <is>
          <t>LV64W25</t>
        </is>
      </c>
      <c r="G17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53" s="16" t="inlineStr">
        <is>
          <t>Blanco</t>
        </is>
      </c>
      <c r="I1753" s="16" t="n">
        <v>2</v>
      </c>
      <c r="J1753" s="17" t="n">
        <v>239</v>
      </c>
      <c r="K1753" s="17" t="n">
        <v>241.08</v>
      </c>
      <c r="L1753" s="17" t="n">
        <v>0</v>
      </c>
      <c r="M1753" s="17" t="n">
        <v>0</v>
      </c>
      <c r="N1753" s="17">
        <f>K1753*0.08+L1753*0.08</f>
        <v/>
      </c>
      <c r="O1753" s="17">
        <f>-(K1753*0.025+L1753*0.025)</f>
        <v/>
      </c>
      <c r="P1753" s="17">
        <f>32</f>
        <v/>
      </c>
      <c r="Q1753" s="17">
        <f>J1753+L1753+N1753+O1753-P1753-M1753</f>
        <v/>
      </c>
    </row>
    <row r="1754">
      <c r="A1754" s="16" t="inlineStr">
        <is>
          <t>5.15-5.21</t>
        </is>
      </c>
      <c r="B1754" s="16" t="inlineStr">
        <is>
          <t>PO-128-12831482122871887</t>
        </is>
      </c>
      <c r="C1754" s="16" t="inlineStr">
        <is>
          <t>Delivered</t>
        </is>
      </c>
      <c r="D1754" s="16" t="inlineStr">
        <is>
          <t>128-12831534551671887</t>
        </is>
      </c>
      <c r="E1754" s="16" t="inlineStr">
        <is>
          <t>Delivered</t>
        </is>
      </c>
      <c r="F1754" s="16" t="inlineStr">
        <is>
          <t>LV54W25</t>
        </is>
      </c>
      <c r="G1754" s="16" t="inlineStr">
        <is>
          <t>TIANLAI Lámpara Ventilador E27 2 en 1, Silenciosa, LED Alta Luminosidad 180°, Instalación Rápida, Ahorro Energético para Dormitorio y Interiores Pequeños</t>
        </is>
      </c>
      <c r="H1754" s="16" t="inlineStr">
        <is>
          <t>1 Pieza</t>
        </is>
      </c>
      <c r="I1754" s="16" t="n">
        <v>3</v>
      </c>
      <c r="J1754" s="17" t="n">
        <v>235.5</v>
      </c>
      <c r="K1754" s="17" t="n">
        <v>240.81</v>
      </c>
      <c r="L1754" s="17" t="n">
        <v>0</v>
      </c>
      <c r="M1754" s="17" t="n">
        <v>0</v>
      </c>
      <c r="N1754" s="17">
        <f>K1754*0.08+L1754*0.08</f>
        <v/>
      </c>
      <c r="O1754" s="17">
        <f>-(K1754*0.025+L1754*0.025)</f>
        <v/>
      </c>
      <c r="P1754" s="17">
        <f>32</f>
        <v/>
      </c>
      <c r="Q1754" s="17">
        <f>J1754+L1754+N1754+O1754-P1754-M1754</f>
        <v/>
      </c>
    </row>
    <row r="1755">
      <c r="A1755" s="16" t="inlineStr">
        <is>
          <t>5.15-5.21</t>
        </is>
      </c>
      <c r="B1755" s="16" t="inlineStr">
        <is>
          <t>PO-128-12374230620793458</t>
        </is>
      </c>
      <c r="C1755" s="16" t="inlineStr">
        <is>
          <t>Delivered</t>
        </is>
      </c>
      <c r="D1755" s="16" t="inlineStr">
        <is>
          <t>128-12374335478393458</t>
        </is>
      </c>
      <c r="E1755" s="16" t="inlineStr">
        <is>
          <t>Delivered</t>
        </is>
      </c>
      <c r="F1755" s="16" t="inlineStr">
        <is>
          <t>LV64W25</t>
        </is>
      </c>
      <c r="G17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55" s="16" t="inlineStr">
        <is>
          <t>Blanco</t>
        </is>
      </c>
      <c r="I1755" s="16" t="n">
        <v>2</v>
      </c>
      <c r="J1755" s="17" t="n">
        <v>239</v>
      </c>
      <c r="K1755" s="17" t="n">
        <v>275.52</v>
      </c>
      <c r="L1755" s="17" t="n">
        <v>0</v>
      </c>
      <c r="M1755" s="17" t="n">
        <v>0</v>
      </c>
      <c r="N1755" s="17">
        <f>K1755*0.08+L1755*0.08</f>
        <v/>
      </c>
      <c r="O1755" s="17">
        <f>-(K1755*0.025+L1755*0.025)</f>
        <v/>
      </c>
      <c r="P1755" s="17">
        <f>32</f>
        <v/>
      </c>
      <c r="Q1755" s="17">
        <f>J1755+L1755+N1755+O1755-P1755-M1755</f>
        <v/>
      </c>
    </row>
    <row r="1756">
      <c r="A1756" s="16" t="inlineStr">
        <is>
          <t>5.15-5.21</t>
        </is>
      </c>
      <c r="B1756" s="16" t="inlineStr">
        <is>
          <t>PO-128-12886637159030404</t>
        </is>
      </c>
      <c r="C1756" s="16" t="inlineStr">
        <is>
          <t>Delivered</t>
        </is>
      </c>
      <c r="D1756" s="16" t="inlineStr">
        <is>
          <t>128-12886679102070404</t>
        </is>
      </c>
      <c r="E1756" s="16" t="inlineStr">
        <is>
          <t>Delivered</t>
        </is>
      </c>
      <c r="F1756" s="16" t="inlineStr">
        <is>
          <t>KTS-2031</t>
        </is>
      </c>
      <c r="G1756" s="16" t="inlineStr">
        <is>
          <t>Bocina inalámbrica de 3 pulgadas con linterna multifuncional y panel solar integrado.Altavoz Portátil con Linterna LED 4 Modos, Radio FM, Bluetooth, Carga Solar, Ideal para Apagones, Emergencias, Campo y Exteriores</t>
        </is>
      </c>
      <c r="H1756" s="16" t="inlineStr">
        <is>
          <t>NEGRO</t>
        </is>
      </c>
      <c r="I1756" s="16" t="n">
        <v>1</v>
      </c>
      <c r="J1756" s="17" t="n">
        <v>75</v>
      </c>
      <c r="K1756" s="17" t="n">
        <v>23.88</v>
      </c>
      <c r="L1756" s="17" t="n">
        <v>25.86</v>
      </c>
      <c r="M1756" s="17" t="n">
        <v>0</v>
      </c>
      <c r="N1756" s="17">
        <f>K1756*0.08+L1756*0.08</f>
        <v/>
      </c>
      <c r="O1756" s="17">
        <f>-(K1756*0.025+L1756*0.025)</f>
        <v/>
      </c>
      <c r="P1756" s="17">
        <f>32</f>
        <v/>
      </c>
      <c r="Q1756" s="17">
        <f>J1756+L1756+N1756+O1756-P1756-M1756</f>
        <v/>
      </c>
    </row>
    <row r="1757">
      <c r="A1757" s="16" t="inlineStr">
        <is>
          <t>5.15-5.21</t>
        </is>
      </c>
      <c r="B1757" s="16" t="inlineStr">
        <is>
          <t>PO-128-12982218189430986</t>
        </is>
      </c>
      <c r="C1757" s="16" t="inlineStr">
        <is>
          <t>Delivered</t>
        </is>
      </c>
      <c r="D1757" s="16" t="inlineStr">
        <is>
          <t>128-12982370232950986</t>
        </is>
      </c>
      <c r="E1757" s="16" t="inlineStr">
        <is>
          <t>Delivered</t>
        </is>
      </c>
      <c r="F1757" s="16" t="inlineStr">
        <is>
          <t>KTS-2031</t>
        </is>
      </c>
      <c r="G1757" s="16" t="inlineStr">
        <is>
          <t>Bocina inalámbrica de 3 pulgadas con linterna multifuncional y panel solar integrado.Altavoz Portátil con Linterna LED 4 Modos, Radio FM, Bluetooth, Carga Solar, Ideal para Apagones, Emergencias, Campo y Exteriores</t>
        </is>
      </c>
      <c r="H1757" s="16" t="inlineStr">
        <is>
          <t>NEGRO</t>
        </is>
      </c>
      <c r="I1757" s="16" t="n">
        <v>2</v>
      </c>
      <c r="J1757" s="17" t="n">
        <v>150</v>
      </c>
      <c r="K1757" s="17" t="n">
        <v>134.76</v>
      </c>
      <c r="L1757" s="17" t="n">
        <v>25.86</v>
      </c>
      <c r="M1757" s="17" t="n">
        <v>0</v>
      </c>
      <c r="N1757" s="17">
        <f>K1757*0.08+L1757*0.08</f>
        <v/>
      </c>
      <c r="O1757" s="17">
        <f>-(K1757*0.025+L1757*0.025)</f>
        <v/>
      </c>
      <c r="P1757" s="17">
        <f>32</f>
        <v/>
      </c>
      <c r="Q1757" s="17">
        <f>J1757+L1757+N1757+O1757-P1757-M1757</f>
        <v/>
      </c>
    </row>
    <row r="1758">
      <c r="A1758" s="16" t="inlineStr">
        <is>
          <t>5.15-5.21</t>
        </is>
      </c>
      <c r="B1758" s="16" t="inlineStr">
        <is>
          <t>PO-128-12369668424313486</t>
        </is>
      </c>
      <c r="C1758" s="16" t="inlineStr">
        <is>
          <t>Delivered</t>
        </is>
      </c>
      <c r="D1758" s="16" t="inlineStr">
        <is>
          <t>128-12369647452793486</t>
        </is>
      </c>
      <c r="E1758" s="16" t="inlineStr">
        <is>
          <t>Delivered</t>
        </is>
      </c>
      <c r="F1758" s="16" t="inlineStr">
        <is>
          <t>TL2663N18C</t>
        </is>
      </c>
      <c r="G1758" s="16" t="inlineStr">
        <is>
          <t>Linkbits，Soporte de pared fijo para televisores de 26"-63", Ultra-Delgado Compatible con VESA 400x400mm, Capacidad de Peso Fuerte de 25KG, Instalación Fácil Sin Electricidad</t>
        </is>
      </c>
      <c r="H1758" s="16" t="inlineStr">
        <is>
          <t>NEGRO</t>
        </is>
      </c>
      <c r="I1758" s="16" t="n">
        <v>1</v>
      </c>
      <c r="J1758" s="17" t="n">
        <v>52</v>
      </c>
      <c r="K1758" s="17" t="n">
        <v>66.97</v>
      </c>
      <c r="L1758" s="17" t="n">
        <v>25.86</v>
      </c>
      <c r="M1758" s="17" t="n">
        <v>0</v>
      </c>
      <c r="N1758" s="17">
        <f>K1758*0.08+L1758*0.08</f>
        <v/>
      </c>
      <c r="O1758" s="17">
        <f>-(K1758*0.025+L1758*0.025)</f>
        <v/>
      </c>
      <c r="P1758" s="17">
        <f>32</f>
        <v/>
      </c>
      <c r="Q1758" s="17">
        <f>J1758+L1758+N1758+O1758-P1758-M1758</f>
        <v/>
      </c>
    </row>
    <row r="1759">
      <c r="A1759" s="16" t="inlineStr">
        <is>
          <t>5.15-5.21</t>
        </is>
      </c>
      <c r="B1759" s="16" t="inlineStr">
        <is>
          <t>PO-128-12927971968630158</t>
        </is>
      </c>
      <c r="C1759" s="16" t="inlineStr">
        <is>
          <t>Delivered</t>
        </is>
      </c>
      <c r="D1759" s="16" t="inlineStr">
        <is>
          <t>128-12927919539830158</t>
        </is>
      </c>
      <c r="E1759" s="16" t="inlineStr">
        <is>
          <t>Delivered</t>
        </is>
      </c>
      <c r="F1759" s="16" t="inlineStr">
        <is>
          <t>LV64W25</t>
        </is>
      </c>
      <c r="G17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59" s="16" t="inlineStr">
        <is>
          <t>Blanco</t>
        </is>
      </c>
      <c r="I1759" s="16" t="n">
        <v>2</v>
      </c>
      <c r="J1759" s="17" t="n">
        <v>239</v>
      </c>
      <c r="K1759" s="17" t="n">
        <v>275.52</v>
      </c>
      <c r="L1759" s="17" t="n">
        <v>0</v>
      </c>
      <c r="M1759" s="17" t="n">
        <v>0</v>
      </c>
      <c r="N1759" s="17">
        <f>K1759*0.08+L1759*0.08</f>
        <v/>
      </c>
      <c r="O1759" s="17">
        <f>-(K1759*0.025+L1759*0.025)</f>
        <v/>
      </c>
      <c r="P1759" s="17">
        <f>32</f>
        <v/>
      </c>
      <c r="Q1759" s="17">
        <f>J1759+L1759+N1759+O1759-P1759-M1759</f>
        <v/>
      </c>
    </row>
    <row r="1760">
      <c r="A1760" s="16" t="inlineStr">
        <is>
          <t>5.15-5.21</t>
        </is>
      </c>
      <c r="B1760" s="16" t="inlineStr">
        <is>
          <t>PO-128-12456509327993992</t>
        </is>
      </c>
      <c r="C1760" s="16" t="inlineStr">
        <is>
          <t>Delivered</t>
        </is>
      </c>
      <c r="D1760" s="16" t="inlineStr">
        <is>
          <t>128-12456561756793992</t>
        </is>
      </c>
      <c r="E1760" s="16" t="inlineStr">
        <is>
          <t>Delivered</t>
        </is>
      </c>
      <c r="F1760" s="16" t="inlineStr">
        <is>
          <t>LV64W25</t>
        </is>
      </c>
      <c r="G17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0" s="16" t="inlineStr">
        <is>
          <t>Blanco</t>
        </is>
      </c>
      <c r="I1760" s="16" t="n">
        <v>2</v>
      </c>
      <c r="J1760" s="17" t="n">
        <v>239</v>
      </c>
      <c r="K1760" s="17" t="n">
        <v>241.08</v>
      </c>
      <c r="L1760" s="17" t="n">
        <v>0</v>
      </c>
      <c r="M1760" s="17" t="n">
        <v>0</v>
      </c>
      <c r="N1760" s="17">
        <f>K1760*0.08+L1760*0.08</f>
        <v/>
      </c>
      <c r="O1760" s="17">
        <f>-(K1760*0.025+L1760*0.025)</f>
        <v/>
      </c>
      <c r="P1760" s="17">
        <f>32</f>
        <v/>
      </c>
      <c r="Q1760" s="17">
        <f>J1760+L1760+N1760+O1760-P1760-M1760</f>
        <v/>
      </c>
    </row>
    <row r="1761">
      <c r="A1761" s="16" t="inlineStr">
        <is>
          <t>5.15-5.21</t>
        </is>
      </c>
      <c r="B1761" s="16" t="inlineStr">
        <is>
          <t>PO-128-13056424950390608</t>
        </is>
      </c>
      <c r="C1761" s="16" t="inlineStr">
        <is>
          <t>Delivered</t>
        </is>
      </c>
      <c r="D1761" s="16" t="inlineStr">
        <is>
          <t>128-13056435436150608</t>
        </is>
      </c>
      <c r="E1761" s="16" t="inlineStr">
        <is>
          <t>Delivered</t>
        </is>
      </c>
      <c r="F1761" s="16" t="inlineStr">
        <is>
          <t>LV64W25</t>
        </is>
      </c>
      <c r="G17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1" s="16" t="inlineStr">
        <is>
          <t>Blanco</t>
        </is>
      </c>
      <c r="I1761" s="16" t="n">
        <v>1</v>
      </c>
      <c r="J1761" s="17" t="n">
        <v>119.5</v>
      </c>
      <c r="K1761" s="17" t="n">
        <v>110.21</v>
      </c>
      <c r="L1761" s="17" t="n">
        <v>25.86</v>
      </c>
      <c r="M1761" s="17" t="n">
        <v>0.41</v>
      </c>
      <c r="N1761" s="17">
        <f>K1761*0.08+L1761*0.08</f>
        <v/>
      </c>
      <c r="O1761" s="17">
        <f>-(K1761*0.025+L1761*0.025)</f>
        <v/>
      </c>
      <c r="P1761" s="17">
        <f>32</f>
        <v/>
      </c>
      <c r="Q1761" s="17">
        <f>J1761+L1761+N1761+O1761-P1761-M1761</f>
        <v/>
      </c>
    </row>
    <row r="1762">
      <c r="A1762" s="16" t="inlineStr">
        <is>
          <t>5.15-5.21</t>
        </is>
      </c>
      <c r="B1762" s="16" t="inlineStr">
        <is>
          <t>PO-128-12911226010230258</t>
        </is>
      </c>
      <c r="C1762" s="16" t="inlineStr">
        <is>
          <t>Delivered</t>
        </is>
      </c>
      <c r="D1762" s="16" t="inlineStr">
        <is>
          <t>128-12911239117430258</t>
        </is>
      </c>
      <c r="E1762" s="16" t="inlineStr">
        <is>
          <t>Delivered</t>
        </is>
      </c>
      <c r="F1762" s="16" t="inlineStr">
        <is>
          <t>VB349T</t>
        </is>
      </c>
      <c r="G1762" s="16" t="inlineStr">
        <is>
          <t>LINKBITS Altavoz Portátil de Doble Altavoz - 3 Pulgadas, Sonido HD, Emparejamiento Rápido de Bluetooth, Conectividad TWS, Reproducción Multimodo (Micro SD/USB/Radio FM) - Perfecto para Oficina, Viajes y Espacios Pequeños</t>
        </is>
      </c>
      <c r="H1762" s="16" t="inlineStr">
        <is>
          <t>NEGRO</t>
        </is>
      </c>
      <c r="I1762" s="16" t="n">
        <v>1</v>
      </c>
      <c r="J1762" s="17" t="n">
        <v>79</v>
      </c>
      <c r="K1762" s="17" t="n">
        <v>88.36</v>
      </c>
      <c r="L1762" s="17" t="n">
        <v>25.86</v>
      </c>
      <c r="M1762" s="17" t="n">
        <v>0</v>
      </c>
      <c r="N1762" s="17">
        <f>K1762*0.08+L1762*0.08</f>
        <v/>
      </c>
      <c r="O1762" s="17">
        <f>-(K1762*0.025+L1762*0.025)</f>
        <v/>
      </c>
      <c r="P1762" s="17">
        <f>32</f>
        <v/>
      </c>
      <c r="Q1762" s="17">
        <f>J1762+L1762+N1762+O1762-P1762-M1762</f>
        <v/>
      </c>
    </row>
    <row r="1763">
      <c r="A1763" s="16" t="inlineStr">
        <is>
          <t>5.15-5.21</t>
        </is>
      </c>
      <c r="B1763" s="16" t="inlineStr">
        <is>
          <t>PO-128-12596271089272265</t>
        </is>
      </c>
      <c r="C1763" s="16" t="inlineStr">
        <is>
          <t>Delivered</t>
        </is>
      </c>
      <c r="D1763" s="16" t="inlineStr">
        <is>
          <t>128-12596333512312265</t>
        </is>
      </c>
      <c r="E1763" s="16" t="inlineStr">
        <is>
          <t>Delivered</t>
        </is>
      </c>
      <c r="F1763" s="16" t="inlineStr">
        <is>
          <t>B03W10-10PZS</t>
        </is>
      </c>
      <c r="G176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63" s="16" t="inlineStr">
        <is>
          <t>B03W10</t>
        </is>
      </c>
      <c r="I1763" s="16" t="n">
        <v>1</v>
      </c>
      <c r="J1763" s="17" t="n">
        <v>66</v>
      </c>
      <c r="K1763" s="17" t="n">
        <v>78.94</v>
      </c>
      <c r="L1763" s="17" t="n">
        <v>25.86</v>
      </c>
      <c r="M1763" s="17" t="n">
        <v>0</v>
      </c>
      <c r="N1763" s="17">
        <f>K1763*0.08+L1763*0.08</f>
        <v/>
      </c>
      <c r="O1763" s="17">
        <f>-(K1763*0.025+L1763*0.025)</f>
        <v/>
      </c>
      <c r="P1763" s="17">
        <f>32</f>
        <v/>
      </c>
      <c r="Q1763" s="17">
        <f>J1763+L1763+N1763+O1763-P1763-M1763</f>
        <v/>
      </c>
    </row>
    <row r="1764">
      <c r="A1764" s="16" t="inlineStr">
        <is>
          <t>5.15-5.21</t>
        </is>
      </c>
      <c r="B1764" s="16" t="inlineStr">
        <is>
          <t>PO-128-12657327985272861</t>
        </is>
      </c>
      <c r="C1764" s="16" t="inlineStr">
        <is>
          <t>Delivered</t>
        </is>
      </c>
      <c r="D1764" s="16" t="inlineStr">
        <is>
          <t>128-12657396142712861</t>
        </is>
      </c>
      <c r="E1764" s="16" t="inlineStr">
        <is>
          <t>Delivered</t>
        </is>
      </c>
      <c r="F1764" s="16" t="inlineStr">
        <is>
          <t>B03W10-10PZS</t>
        </is>
      </c>
      <c r="G176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64" s="16" t="inlineStr">
        <is>
          <t>B03W10</t>
        </is>
      </c>
      <c r="I1764" s="16" t="n">
        <v>1</v>
      </c>
      <c r="J1764" s="17" t="n">
        <v>66</v>
      </c>
      <c r="K1764" s="17" t="n">
        <v>71.05</v>
      </c>
      <c r="L1764" s="17" t="n">
        <v>25.86</v>
      </c>
      <c r="M1764" s="17" t="n">
        <v>0</v>
      </c>
      <c r="N1764" s="17">
        <f>K1764*0.08+L1764*0.08</f>
        <v/>
      </c>
      <c r="O1764" s="17">
        <f>-(K1764*0.025+L1764*0.025)</f>
        <v/>
      </c>
      <c r="P1764" s="17">
        <f>32</f>
        <v/>
      </c>
      <c r="Q1764" s="17">
        <f>J1764+L1764+N1764+O1764-P1764-M1764</f>
        <v/>
      </c>
    </row>
    <row r="1765">
      <c r="A1765" s="16" t="inlineStr">
        <is>
          <t>5.15-5.21</t>
        </is>
      </c>
      <c r="B1765" s="16" t="inlineStr">
        <is>
          <t>PO-128-12387482547833573</t>
        </is>
      </c>
      <c r="C1765" s="16" t="inlineStr">
        <is>
          <t>Delivered</t>
        </is>
      </c>
      <c r="D1765" s="16" t="inlineStr">
        <is>
          <t>128-12387474683513573</t>
        </is>
      </c>
      <c r="E1765" s="16" t="inlineStr">
        <is>
          <t>Delivered</t>
        </is>
      </c>
      <c r="F1765" s="16" t="inlineStr">
        <is>
          <t>LV64W25</t>
        </is>
      </c>
      <c r="G17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5" s="16" t="inlineStr">
        <is>
          <t>Blanco</t>
        </is>
      </c>
      <c r="I1765" s="16" t="n">
        <v>2</v>
      </c>
      <c r="J1765" s="17" t="n">
        <v>239</v>
      </c>
      <c r="K1765" s="17" t="n">
        <v>245.51</v>
      </c>
      <c r="L1765" s="17" t="n">
        <v>0</v>
      </c>
      <c r="M1765" s="17" t="n">
        <v>0</v>
      </c>
      <c r="N1765" s="17">
        <f>K1765*0.08+L1765*0.08</f>
        <v/>
      </c>
      <c r="O1765" s="17">
        <f>-(K1765*0.025+L1765*0.025)</f>
        <v/>
      </c>
      <c r="P1765" s="17">
        <f>32</f>
        <v/>
      </c>
      <c r="Q1765" s="17">
        <f>J1765+L1765+N1765+O1765-P1765-M1765</f>
        <v/>
      </c>
    </row>
    <row r="1766">
      <c r="A1766" s="16" t="inlineStr">
        <is>
          <t>5.15-5.21</t>
        </is>
      </c>
      <c r="B1766" s="16" t="inlineStr">
        <is>
          <t>PO-128-12606991790712073</t>
        </is>
      </c>
      <c r="C1766" s="16" t="inlineStr">
        <is>
          <t>Delivered</t>
        </is>
      </c>
      <c r="D1766" s="16" t="inlineStr">
        <is>
          <t>128-12607067812472073</t>
        </is>
      </c>
      <c r="E1766" s="16" t="inlineStr">
        <is>
          <t>Delivered</t>
        </is>
      </c>
      <c r="F1766" s="16" t="inlineStr">
        <is>
          <t>B03W10-10PZS</t>
        </is>
      </c>
      <c r="G176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66" s="16" t="inlineStr">
        <is>
          <t>B03W10</t>
        </is>
      </c>
      <c r="I1766" s="16" t="n">
        <v>1</v>
      </c>
      <c r="J1766" s="17" t="n">
        <v>66</v>
      </c>
      <c r="K1766" s="17" t="n">
        <v>27.95</v>
      </c>
      <c r="L1766" s="17" t="n">
        <v>25.86</v>
      </c>
      <c r="M1766" s="17" t="n">
        <v>0</v>
      </c>
      <c r="N1766" s="17">
        <f>K1766*0.08+L1766*0.08</f>
        <v/>
      </c>
      <c r="O1766" s="17">
        <f>-(K1766*0.025+L1766*0.025)</f>
        <v/>
      </c>
      <c r="P1766" s="17">
        <f>32</f>
        <v/>
      </c>
      <c r="Q1766" s="17">
        <f>J1766+L1766+N1766+O1766-P1766-M1766</f>
        <v/>
      </c>
    </row>
    <row r="1767">
      <c r="A1767" s="16" t="inlineStr">
        <is>
          <t>5.15-5.21</t>
        </is>
      </c>
      <c r="B1767" s="16" t="inlineStr">
        <is>
          <t>PO-128-13009429043830888</t>
        </is>
      </c>
      <c r="C1767" s="16" t="inlineStr">
        <is>
          <t>Delivered</t>
        </is>
      </c>
      <c r="D1767" s="16" t="inlineStr">
        <is>
          <t>128-13009418558070888</t>
        </is>
      </c>
      <c r="E1767" s="16" t="inlineStr">
        <is>
          <t>Delivered</t>
        </is>
      </c>
      <c r="F1767" s="16" t="inlineStr">
        <is>
          <t>KTS-2031</t>
        </is>
      </c>
      <c r="G1767" s="16" t="inlineStr">
        <is>
          <t>Bocina inalámbrica de 3 pulgadas con linterna multifuncional y panel solar integrado.Altavoz Portátil con Linterna LED 4 Modos, Radio FM, Bluetooth, Carga Solar, Ideal para Apagones, Emergencias, Campo y Exteriores</t>
        </is>
      </c>
      <c r="H1767" s="16" t="inlineStr">
        <is>
          <t>NEGRO</t>
        </is>
      </c>
      <c r="I1767" s="16" t="n">
        <v>1</v>
      </c>
      <c r="J1767" s="17" t="n">
        <v>78</v>
      </c>
      <c r="K1767" s="17" t="n">
        <v>87.22</v>
      </c>
      <c r="L1767" s="17" t="n">
        <v>25.86</v>
      </c>
      <c r="M1767" s="17" t="n">
        <v>0</v>
      </c>
      <c r="N1767" s="17">
        <f>K1767*0.08+L1767*0.08</f>
        <v/>
      </c>
      <c r="O1767" s="17">
        <f>-(K1767*0.025+L1767*0.025)</f>
        <v/>
      </c>
      <c r="P1767" s="17">
        <f>32</f>
        <v/>
      </c>
      <c r="Q1767" s="17">
        <f>J1767+L1767+N1767+O1767-P1767-M1767</f>
        <v/>
      </c>
    </row>
    <row r="1768">
      <c r="A1768" s="16" t="inlineStr">
        <is>
          <t>5.15-5.21</t>
        </is>
      </c>
      <c r="B1768" s="16" t="inlineStr">
        <is>
          <t>PO-128-12623387858552167</t>
        </is>
      </c>
      <c r="C1768" s="16" t="inlineStr">
        <is>
          <t>Delivered</t>
        </is>
      </c>
      <c r="D1768" s="16" t="inlineStr">
        <is>
          <t>128-12623429801592167</t>
        </is>
      </c>
      <c r="E1768" s="16" t="inlineStr">
        <is>
          <t>Delivered</t>
        </is>
      </c>
      <c r="F1768" s="16" t="inlineStr">
        <is>
          <t>LV64W25</t>
        </is>
      </c>
      <c r="G17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8" s="16" t="inlineStr">
        <is>
          <t>Blanco</t>
        </is>
      </c>
      <c r="I1768" s="16" t="n">
        <v>2</v>
      </c>
      <c r="J1768" s="17" t="n">
        <v>238</v>
      </c>
      <c r="K1768" s="17" t="n">
        <v>274.52</v>
      </c>
      <c r="L1768" s="17" t="n">
        <v>0</v>
      </c>
      <c r="M1768" s="17" t="n">
        <v>0</v>
      </c>
      <c r="N1768" s="17">
        <f>K1768*0.08+L1768*0.08</f>
        <v/>
      </c>
      <c r="O1768" s="17">
        <f>-(K1768*0.025+L1768*0.025)</f>
        <v/>
      </c>
      <c r="P1768" s="17">
        <f>32</f>
        <v/>
      </c>
      <c r="Q1768" s="17">
        <f>J1768+L1768+N1768+O1768-P1768-M1768</f>
        <v/>
      </c>
    </row>
    <row r="1769">
      <c r="A1769" s="16" t="inlineStr">
        <is>
          <t>5.15-5.21</t>
        </is>
      </c>
      <c r="B1769" s="16" t="inlineStr">
        <is>
          <t>PO-128-12815120364152046</t>
        </is>
      </c>
      <c r="C1769" s="16" t="inlineStr">
        <is>
          <t>Delivered</t>
        </is>
      </c>
      <c r="D1769" s="16" t="inlineStr">
        <is>
          <t>128-12815256679032046</t>
        </is>
      </c>
      <c r="E1769" s="16" t="inlineStr">
        <is>
          <t>Delivered</t>
        </is>
      </c>
      <c r="F1769" s="16" t="inlineStr">
        <is>
          <t>LV64W25</t>
        </is>
      </c>
      <c r="G17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69" s="16" t="inlineStr">
        <is>
          <t>Blanco</t>
        </is>
      </c>
      <c r="I1769" s="16" t="n">
        <v>1</v>
      </c>
      <c r="J1769" s="17" t="n">
        <v>119</v>
      </c>
      <c r="K1769" s="17" t="n">
        <v>137.26</v>
      </c>
      <c r="L1769" s="17" t="n">
        <v>25.86</v>
      </c>
      <c r="M1769" s="17" t="n">
        <v>0</v>
      </c>
      <c r="N1769" s="17">
        <f>K1769*0.08+L1769*0.08</f>
        <v/>
      </c>
      <c r="O1769" s="17">
        <f>-(K1769*0.025+L1769*0.025)</f>
        <v/>
      </c>
      <c r="P1769" s="17">
        <f>32</f>
        <v/>
      </c>
      <c r="Q1769" s="17">
        <f>J1769+L1769+N1769+O1769-P1769-M1769</f>
        <v/>
      </c>
    </row>
    <row r="1770">
      <c r="A1770" s="16" t="inlineStr">
        <is>
          <t>5.15-5.21</t>
        </is>
      </c>
      <c r="B1770" s="16" t="inlineStr">
        <is>
          <t>PO-128-13008445937270894</t>
        </is>
      </c>
      <c r="C1770" s="16" t="inlineStr">
        <is>
          <t>Delivered</t>
        </is>
      </c>
      <c r="D1770" s="16" t="inlineStr">
        <is>
          <t>128-13008487880310894</t>
        </is>
      </c>
      <c r="E1770" s="16" t="inlineStr">
        <is>
          <t>Delivered</t>
        </is>
      </c>
      <c r="F1770" s="16" t="inlineStr">
        <is>
          <t>B03W10-10PZS</t>
        </is>
      </c>
      <c r="G177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70" s="16" t="inlineStr">
        <is>
          <t>B03W10</t>
        </is>
      </c>
      <c r="I1770" s="16" t="n">
        <v>1</v>
      </c>
      <c r="J1770" s="17" t="n">
        <v>70</v>
      </c>
      <c r="K1770" s="17" t="n">
        <v>31.55</v>
      </c>
      <c r="L1770" s="17" t="n">
        <v>25.86</v>
      </c>
      <c r="M1770" s="17" t="n">
        <v>0</v>
      </c>
      <c r="N1770" s="17">
        <f>K1770*0.08+L1770*0.08</f>
        <v/>
      </c>
      <c r="O1770" s="17">
        <f>-(K1770*0.025+L1770*0.025)</f>
        <v/>
      </c>
      <c r="P1770" s="17">
        <f>32</f>
        <v/>
      </c>
      <c r="Q1770" s="17">
        <f>J1770+L1770+N1770+O1770-P1770-M1770</f>
        <v/>
      </c>
    </row>
    <row r="1771">
      <c r="A1771" s="16" t="inlineStr">
        <is>
          <t>5.15-5.21</t>
        </is>
      </c>
      <c r="B1771" s="16" t="inlineStr">
        <is>
          <t>PO-128-12594152817272213</t>
        </is>
      </c>
      <c r="C1771" s="16" t="inlineStr">
        <is>
          <t>Delivered</t>
        </is>
      </c>
      <c r="D1771" s="16" t="inlineStr">
        <is>
          <t>128-12594236457592213</t>
        </is>
      </c>
      <c r="E1771" s="16" t="inlineStr">
        <is>
          <t>Delivered</t>
        </is>
      </c>
      <c r="F1771" s="16" t="inlineStr">
        <is>
          <t>LV54W25</t>
        </is>
      </c>
      <c r="G1771" s="16" t="inlineStr">
        <is>
          <t>TIANLAI Lámpara Ventilador E27 2 en 1, Silenciosa, LED Alta Luminosidad 180°, Instalación Rápida, Ahorro Energético para Dormitorio y Interiores Pequeños</t>
        </is>
      </c>
      <c r="H1771" s="16" t="inlineStr">
        <is>
          <t>1 Pieza</t>
        </is>
      </c>
      <c r="I1771" s="16" t="n">
        <v>1</v>
      </c>
      <c r="J1771" s="17" t="n">
        <v>75.8</v>
      </c>
      <c r="K1771" s="17" t="n">
        <v>77.86</v>
      </c>
      <c r="L1771" s="17" t="n">
        <v>25.86</v>
      </c>
      <c r="M1771" s="17" t="n">
        <v>0</v>
      </c>
      <c r="N1771" s="17">
        <f>K1771*0.08+L1771*0.08</f>
        <v/>
      </c>
      <c r="O1771" s="17">
        <f>-(K1771*0.025+L1771*0.025)</f>
        <v/>
      </c>
      <c r="P1771" s="17">
        <f>32</f>
        <v/>
      </c>
      <c r="Q1771" s="17">
        <f>J1771+L1771+N1771+O1771-P1771-M1771</f>
        <v/>
      </c>
    </row>
    <row r="1772">
      <c r="A1772" s="16" t="inlineStr">
        <is>
          <t>5.15-5.21</t>
        </is>
      </c>
      <c r="B1772" s="16" t="inlineStr">
        <is>
          <t>PO-128-12817512489592032</t>
        </is>
      </c>
      <c r="C1772" s="16" t="inlineStr">
        <is>
          <t>Delivered</t>
        </is>
      </c>
      <c r="D1772" s="16" t="inlineStr">
        <is>
          <t>128-12817554432632032</t>
        </is>
      </c>
      <c r="E1772" s="16" t="inlineStr">
        <is>
          <t>Delivered</t>
        </is>
      </c>
      <c r="F1772" s="16" t="inlineStr">
        <is>
          <t>KTS-2031</t>
        </is>
      </c>
      <c r="G1772" s="16" t="inlineStr">
        <is>
          <t>Bocina inalámbrica de 3 pulgadas con linterna multifuncional y panel solar integrado.Altavoz Portátil con Linterna LED 4 Modos, Radio FM, Bluetooth, Carga Solar, Ideal para Apagones, Emergencias, Campo y Exteriores</t>
        </is>
      </c>
      <c r="H1772" s="16" t="inlineStr">
        <is>
          <t>NEGRO</t>
        </is>
      </c>
      <c r="I1772" s="16" t="n">
        <v>1</v>
      </c>
      <c r="J1772" s="17" t="n">
        <v>78</v>
      </c>
      <c r="K1772" s="17" t="n">
        <v>4.46</v>
      </c>
      <c r="L1772" s="17" t="n">
        <v>25.86</v>
      </c>
      <c r="M1772" s="17" t="n">
        <v>0</v>
      </c>
      <c r="N1772" s="17">
        <f>K1772*0.08+L1772*0.08</f>
        <v/>
      </c>
      <c r="O1772" s="17">
        <f>-(K1772*0.025+L1772*0.025)</f>
        <v/>
      </c>
      <c r="P1772" s="17">
        <f>32</f>
        <v/>
      </c>
      <c r="Q1772" s="17">
        <f>J1772+L1772+N1772+O1772-P1772-M1772</f>
        <v/>
      </c>
    </row>
    <row r="1773">
      <c r="A1773" s="16" t="inlineStr">
        <is>
          <t>5.15-5.21</t>
        </is>
      </c>
      <c r="B1773" s="16" t="inlineStr">
        <is>
          <t>PO-128-12723938499191502</t>
        </is>
      </c>
      <c r="C1773" s="16" t="inlineStr">
        <is>
          <t>Delivered</t>
        </is>
      </c>
      <c r="D1773" s="16" t="inlineStr">
        <is>
          <t>128-12723990927991502</t>
        </is>
      </c>
      <c r="E1773" s="16" t="inlineStr">
        <is>
          <t>Delivered</t>
        </is>
      </c>
      <c r="F1773" s="16" t="inlineStr">
        <is>
          <t>BSC04</t>
        </is>
      </c>
      <c r="G1773" s="16" t="inlineStr">
        <is>
          <t>TIANLAI Báscula Digital BSC04/BSC07, Alta Precisión, Fácil Operación, Ligera y Portátil, Función Tara, Unidad Dual oz/g, Ideal para Cocina, Control de Porciones, Sellos y Objetos Pequeños, Uso en Hogar y Viaje</t>
        </is>
      </c>
      <c r="H1773" s="16" t="inlineStr">
        <is>
          <t>5g/White</t>
        </is>
      </c>
      <c r="I1773" s="16" t="n">
        <v>1</v>
      </c>
      <c r="J1773" s="17" t="n">
        <v>58</v>
      </c>
      <c r="K1773" s="17" t="n">
        <v>74.28</v>
      </c>
      <c r="L1773" s="17" t="n">
        <v>25.86</v>
      </c>
      <c r="M1773" s="17" t="n">
        <v>0</v>
      </c>
      <c r="N1773" s="17">
        <f>K1773*0.08+L1773*0.08</f>
        <v/>
      </c>
      <c r="O1773" s="17">
        <f>-(K1773*0.025+L1773*0.025)</f>
        <v/>
      </c>
      <c r="P1773" s="17">
        <f>32</f>
        <v/>
      </c>
      <c r="Q1773" s="17">
        <f>J1773+L1773+N1773+O1773-P1773-M1773</f>
        <v/>
      </c>
    </row>
    <row r="1774">
      <c r="A1774" s="16" t="inlineStr">
        <is>
          <t>5.15-5.21</t>
        </is>
      </c>
      <c r="B1774" s="16" t="inlineStr">
        <is>
          <t>PO-128-12865602386551554</t>
        </is>
      </c>
      <c r="C1774" s="16" t="inlineStr">
        <is>
          <t>Delivered</t>
        </is>
      </c>
      <c r="D1774" s="16" t="inlineStr">
        <is>
          <t>128-12865560443511554</t>
        </is>
      </c>
      <c r="E1774" s="16" t="inlineStr">
        <is>
          <t>Delivered</t>
        </is>
      </c>
      <c r="F1774" s="16" t="inlineStr">
        <is>
          <t>LV64W25</t>
        </is>
      </c>
      <c r="G17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74" s="16" t="inlineStr">
        <is>
          <t>Blanco</t>
        </is>
      </c>
      <c r="I1774" s="16" t="n">
        <v>3</v>
      </c>
      <c r="J1774" s="17" t="n">
        <v>357</v>
      </c>
      <c r="K1774" s="17" t="n">
        <v>377.47</v>
      </c>
      <c r="L1774" s="17" t="n">
        <v>0</v>
      </c>
      <c r="M1774" s="17" t="n">
        <v>0</v>
      </c>
      <c r="N1774" s="17">
        <f>K1774*0.08+L1774*0.08</f>
        <v/>
      </c>
      <c r="O1774" s="17">
        <f>-(K1774*0.025+L1774*0.025)</f>
        <v/>
      </c>
      <c r="P1774" s="17">
        <f>32</f>
        <v/>
      </c>
      <c r="Q1774" s="17">
        <f>J1774+L1774+N1774+O1774-P1774-M1774</f>
        <v/>
      </c>
    </row>
    <row r="1775">
      <c r="A1775" s="16" t="inlineStr">
        <is>
          <t>5.15-5.21</t>
        </is>
      </c>
      <c r="B1775" s="16" t="inlineStr">
        <is>
          <t>PO-128-12435483525753095</t>
        </is>
      </c>
      <c r="C1775" s="16" t="inlineStr">
        <is>
          <t>Delivered</t>
        </is>
      </c>
      <c r="D1775" s="16" t="inlineStr">
        <is>
          <t>128-12435521536633095</t>
        </is>
      </c>
      <c r="E1775" s="16" t="inlineStr">
        <is>
          <t>Delivered</t>
        </is>
      </c>
      <c r="F1775" s="16" t="inlineStr">
        <is>
          <t>BSC04</t>
        </is>
      </c>
      <c r="G1775" s="16" t="inlineStr">
        <is>
          <t>TIANLAI Báscula Digital BSC04/BSC07, Alta Precisión, Fácil Operación, Ligera y Portátil, Función Tara, Unidad Dual oz/g, Ideal para Cocina, Control de Porciones, Sellos y Objetos Pequeños, Uso en Hogar y Viaje</t>
        </is>
      </c>
      <c r="H1775" s="16" t="inlineStr">
        <is>
          <t>5g/White</t>
        </is>
      </c>
      <c r="I1775" s="16" t="n">
        <v>1</v>
      </c>
      <c r="J1775" s="17" t="n">
        <v>58</v>
      </c>
      <c r="K1775" s="17" t="n">
        <v>64.3</v>
      </c>
      <c r="L1775" s="17" t="n">
        <v>25.86</v>
      </c>
      <c r="M1775" s="17" t="n">
        <v>4.5</v>
      </c>
      <c r="N1775" s="17">
        <f>K1775*0.08+L1775*0.08</f>
        <v/>
      </c>
      <c r="O1775" s="17">
        <f>-(K1775*0.025+L1775*0.025)</f>
        <v/>
      </c>
      <c r="P1775" s="17">
        <f>32</f>
        <v/>
      </c>
      <c r="Q1775" s="17">
        <f>J1775+L1775+N1775+O1775-P1775-M1775</f>
        <v/>
      </c>
    </row>
    <row r="1776">
      <c r="A1776" s="16" t="inlineStr">
        <is>
          <t>5.15-5.21</t>
        </is>
      </c>
      <c r="B1776" s="16" t="inlineStr">
        <is>
          <t>PO-128-12597966751352255</t>
        </is>
      </c>
      <c r="C1776" s="16" t="inlineStr">
        <is>
          <t>Delivered</t>
        </is>
      </c>
      <c r="D1776" s="16" t="inlineStr">
        <is>
          <t>128-12597987722872255</t>
        </is>
      </c>
      <c r="E1776" s="16" t="inlineStr">
        <is>
          <t>Delivered</t>
        </is>
      </c>
      <c r="F1776" s="16" t="inlineStr">
        <is>
          <t>KTS-2031</t>
        </is>
      </c>
      <c r="G1776" s="16" t="inlineStr">
        <is>
          <t>Bocina inalámbrica de 3 pulgadas con linterna multifuncional y panel solar integrado.Altavoz Portátil con Linterna LED 4 Modos, Radio FM, Bluetooth, Carga Solar, Ideal para Apagones, Emergencias, Campo y Exteriores</t>
        </is>
      </c>
      <c r="H1776" s="16" t="inlineStr">
        <is>
          <t>NEGRO</t>
        </is>
      </c>
      <c r="I1776" s="16" t="n">
        <v>1</v>
      </c>
      <c r="J1776" s="17" t="n">
        <v>78</v>
      </c>
      <c r="K1776" s="17" t="n">
        <v>87.22</v>
      </c>
      <c r="L1776" s="17" t="n">
        <v>25.86</v>
      </c>
      <c r="M1776" s="17" t="n">
        <v>0</v>
      </c>
      <c r="N1776" s="17">
        <f>K1776*0.08+L1776*0.08</f>
        <v/>
      </c>
      <c r="O1776" s="17">
        <f>-(K1776*0.025+L1776*0.025)</f>
        <v/>
      </c>
      <c r="P1776" s="17">
        <f>32</f>
        <v/>
      </c>
      <c r="Q1776" s="17">
        <f>J1776+L1776+N1776+O1776-P1776-M1776</f>
        <v/>
      </c>
    </row>
    <row r="1777">
      <c r="A1777" s="16" t="inlineStr">
        <is>
          <t>5.15-5.21</t>
        </is>
      </c>
      <c r="B1777" s="16" t="inlineStr">
        <is>
          <t>PO-128-12696166574712565</t>
        </is>
      </c>
      <c r="C1777" s="16" t="inlineStr">
        <is>
          <t>Delivered</t>
        </is>
      </c>
      <c r="D1777" s="16" t="inlineStr">
        <is>
          <t>128-12696234732152565</t>
        </is>
      </c>
      <c r="E1777" s="16" t="inlineStr">
        <is>
          <t>Delivered</t>
        </is>
      </c>
      <c r="F1777" s="16" t="inlineStr">
        <is>
          <t>LV54W25</t>
        </is>
      </c>
      <c r="G1777" s="16" t="inlineStr">
        <is>
          <t>TIANLAI Lámpara Ventilador E27 2 en 1, Silenciosa, LED Alta Luminosidad 180°, Instalación Rápida, Ahorro Energético para Dormitorio y Interiores Pequeños</t>
        </is>
      </c>
      <c r="H1777" s="16" t="inlineStr">
        <is>
          <t>1 Pieza</t>
        </is>
      </c>
      <c r="I1777" s="16" t="n">
        <v>3</v>
      </c>
      <c r="J1777" s="17" t="n">
        <v>227.4</v>
      </c>
      <c r="K1777" s="17" t="n">
        <v>186.86</v>
      </c>
      <c r="L1777" s="17" t="n">
        <v>0</v>
      </c>
      <c r="M1777" s="17" t="n">
        <v>0</v>
      </c>
      <c r="N1777" s="17">
        <f>K1777*0.08+L1777*0.08</f>
        <v/>
      </c>
      <c r="O1777" s="17">
        <f>-(K1777*0.025+L1777*0.025)</f>
        <v/>
      </c>
      <c r="P1777" s="17">
        <f>32</f>
        <v/>
      </c>
      <c r="Q1777" s="17">
        <f>J1777+L1777+N1777+O1777-P1777-M1777</f>
        <v/>
      </c>
    </row>
    <row r="1778">
      <c r="A1778" s="16" t="inlineStr">
        <is>
          <t>5.15-5.21</t>
        </is>
      </c>
      <c r="B1778" s="16" t="inlineStr">
        <is>
          <t>PO-128-12575477238392389</t>
        </is>
      </c>
      <c r="C1778" s="16" t="inlineStr">
        <is>
          <t>Delivered</t>
        </is>
      </c>
      <c r="D1778" s="16" t="inlineStr">
        <is>
          <t>128-12575440538232389</t>
        </is>
      </c>
      <c r="E1778" s="16" t="inlineStr">
        <is>
          <t>Delivered</t>
        </is>
      </c>
      <c r="F1778" s="16" t="inlineStr">
        <is>
          <t>LV54W25</t>
        </is>
      </c>
      <c r="G1778" s="16" t="inlineStr">
        <is>
          <t>TIANLAI Lámpara Ventilador E27 2 en 1, Silenciosa, LED Alta Luminosidad 180°, Instalación Rápida, Ahorro Energético para Dormitorio y Interiores Pequeños</t>
        </is>
      </c>
      <c r="H1778" s="16" t="inlineStr">
        <is>
          <t>1 Pieza</t>
        </is>
      </c>
      <c r="I1778" s="16" t="n">
        <v>3</v>
      </c>
      <c r="J1778" s="17" t="n">
        <v>227.4</v>
      </c>
      <c r="K1778" s="17" t="n">
        <v>187.17</v>
      </c>
      <c r="L1778" s="17" t="n">
        <v>0</v>
      </c>
      <c r="M1778" s="17" t="n">
        <v>0</v>
      </c>
      <c r="N1778" s="17">
        <f>K1778*0.08+L1778*0.08</f>
        <v/>
      </c>
      <c r="O1778" s="17">
        <f>-(K1778*0.025+L1778*0.025)</f>
        <v/>
      </c>
      <c r="P1778" s="17">
        <f>32</f>
        <v/>
      </c>
      <c r="Q1778" s="17">
        <f>J1778+L1778+N1778+O1778-P1778-M1778</f>
        <v/>
      </c>
    </row>
    <row r="1779">
      <c r="A1779" s="16" t="inlineStr">
        <is>
          <t>5.15-5.21</t>
        </is>
      </c>
      <c r="B1779" s="16" t="inlineStr">
        <is>
          <t>PO-128-12558183777912554</t>
        </is>
      </c>
      <c r="C1779" s="16" t="inlineStr">
        <is>
          <t>Delivered</t>
        </is>
      </c>
      <c r="D1779" s="16" t="inlineStr">
        <is>
          <t>128-12558152320632554</t>
        </is>
      </c>
      <c r="E1779" s="16" t="inlineStr">
        <is>
          <t>Delivered</t>
        </is>
      </c>
      <c r="F1779" s="16" t="inlineStr">
        <is>
          <t>B03W10-10PZS</t>
        </is>
      </c>
      <c r="G177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779" s="16" t="inlineStr">
        <is>
          <t>B03W10</t>
        </is>
      </c>
      <c r="I1779" s="16" t="n">
        <v>1</v>
      </c>
      <c r="J1779" s="17" t="n">
        <v>70</v>
      </c>
      <c r="K1779" s="17" t="n">
        <v>82.94</v>
      </c>
      <c r="L1779" s="17" t="n">
        <v>25.86</v>
      </c>
      <c r="M1779" s="17" t="n">
        <v>0</v>
      </c>
      <c r="N1779" s="17">
        <f>K1779*0.08+L1779*0.08</f>
        <v/>
      </c>
      <c r="O1779" s="17">
        <f>-(K1779*0.025+L1779*0.025)</f>
        <v/>
      </c>
      <c r="P1779" s="17">
        <f>32</f>
        <v/>
      </c>
      <c r="Q1779" s="17">
        <f>J1779+L1779+N1779+O1779-P1779-M1779</f>
        <v/>
      </c>
    </row>
    <row r="1780">
      <c r="A1780" s="16" t="inlineStr">
        <is>
          <t>5.15-5.21</t>
        </is>
      </c>
      <c r="B1780" s="16" t="inlineStr">
        <is>
          <t>PO-128-12377490908793505</t>
        </is>
      </c>
      <c r="C1780" s="16" t="inlineStr">
        <is>
          <t>Delivered</t>
        </is>
      </c>
      <c r="D1780" s="16" t="inlineStr">
        <is>
          <t>128-12377543337593505</t>
        </is>
      </c>
      <c r="E1780" s="16" t="inlineStr">
        <is>
          <t>Delivered</t>
        </is>
      </c>
      <c r="F1780" s="16" t="inlineStr">
        <is>
          <t>LV64W25</t>
        </is>
      </c>
      <c r="G17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80" s="16" t="inlineStr">
        <is>
          <t>Blanco</t>
        </is>
      </c>
      <c r="I1780" s="16" t="n">
        <v>2</v>
      </c>
      <c r="J1780" s="17" t="n">
        <v>238</v>
      </c>
      <c r="K1780" s="17" t="n">
        <v>231.42</v>
      </c>
      <c r="L1780" s="17" t="n">
        <v>0</v>
      </c>
      <c r="M1780" s="17" t="n">
        <v>0</v>
      </c>
      <c r="N1780" s="17">
        <f>K1780*0.08+L1780*0.08</f>
        <v/>
      </c>
      <c r="O1780" s="17">
        <f>-(K1780*0.025+L1780*0.025)</f>
        <v/>
      </c>
      <c r="P1780" s="17">
        <f>32</f>
        <v/>
      </c>
      <c r="Q1780" s="17">
        <f>J1780+L1780+N1780+O1780-P1780-M1780</f>
        <v/>
      </c>
    </row>
    <row r="1781">
      <c r="A1781" s="16" t="inlineStr">
        <is>
          <t>5.15-5.21</t>
        </is>
      </c>
      <c r="B1781" s="16" t="inlineStr">
        <is>
          <t>PO-128-13035454807670543</t>
        </is>
      </c>
      <c r="C1781" s="16" t="inlineStr">
        <is>
          <t>Delivered</t>
        </is>
      </c>
      <c r="D1781" s="16" t="inlineStr">
        <is>
          <t>128-13035465293430543</t>
        </is>
      </c>
      <c r="E1781" s="16" t="inlineStr">
        <is>
          <t>Delivered</t>
        </is>
      </c>
      <c r="F1781" s="16" t="inlineStr">
        <is>
          <t>LV64W25</t>
        </is>
      </c>
      <c r="G17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81" s="16" t="inlineStr">
        <is>
          <t>Blanco</t>
        </is>
      </c>
      <c r="I1781" s="16" t="n">
        <v>2</v>
      </c>
      <c r="J1781" s="17" t="n">
        <v>238</v>
      </c>
      <c r="K1781" s="17" t="n">
        <v>274.52</v>
      </c>
      <c r="L1781" s="17" t="n">
        <v>0</v>
      </c>
      <c r="M1781" s="17" t="n">
        <v>0</v>
      </c>
      <c r="N1781" s="17">
        <f>K1781*0.08+L1781*0.08</f>
        <v/>
      </c>
      <c r="O1781" s="17">
        <f>-(K1781*0.025+L1781*0.025)</f>
        <v/>
      </c>
      <c r="P1781" s="17">
        <f>32</f>
        <v/>
      </c>
      <c r="Q1781" s="17">
        <f>J1781+L1781+N1781+O1781-P1781-M1781</f>
        <v/>
      </c>
    </row>
    <row r="1782">
      <c r="A1782" s="16" t="inlineStr">
        <is>
          <t>5.15-5.21</t>
        </is>
      </c>
      <c r="B1782" s="16" t="inlineStr">
        <is>
          <t>PO-128-13034548270710741</t>
        </is>
      </c>
      <c r="C1782" s="16" t="inlineStr">
        <is>
          <t>Delivered</t>
        </is>
      </c>
      <c r="D1782" s="16" t="inlineStr">
        <is>
          <t>128-13034527299190741</t>
        </is>
      </c>
      <c r="E1782" s="16" t="inlineStr">
        <is>
          <t>Delivered</t>
        </is>
      </c>
      <c r="F1782" s="16" t="inlineStr">
        <is>
          <t>LV54W25</t>
        </is>
      </c>
      <c r="G1782" s="16" t="inlineStr">
        <is>
          <t>TIANLAI Lámpara Ventilador E27 2 en 1, Silenciosa, LED Alta Luminosidad 180°, Instalación Rápida, Ahorro Energético para Dormitorio y Interiores Pequeños</t>
        </is>
      </c>
      <c r="H1782" s="16" t="inlineStr">
        <is>
          <t>1 Pieza</t>
        </is>
      </c>
      <c r="I1782" s="16" t="n">
        <v>1</v>
      </c>
      <c r="J1782" s="17" t="n">
        <v>75.8</v>
      </c>
      <c r="K1782" s="17" t="n">
        <v>77.86</v>
      </c>
      <c r="L1782" s="17" t="n">
        <v>25.86</v>
      </c>
      <c r="M1782" s="17" t="n">
        <v>0</v>
      </c>
      <c r="N1782" s="17">
        <f>K1782*0.08+L1782*0.08</f>
        <v/>
      </c>
      <c r="O1782" s="17">
        <f>-(K1782*0.025+L1782*0.025)</f>
        <v/>
      </c>
      <c r="P1782" s="17">
        <f>32</f>
        <v/>
      </c>
      <c r="Q1782" s="17">
        <f>J1782+L1782+N1782+O1782-P1782-M1782</f>
        <v/>
      </c>
    </row>
    <row r="1783">
      <c r="A1783" s="16" t="inlineStr">
        <is>
          <t>5.15-5.21</t>
        </is>
      </c>
      <c r="B1783" s="16" t="inlineStr">
        <is>
          <t>PO-128-12816487465592038</t>
        </is>
      </c>
      <c r="C1783" s="16" t="inlineStr">
        <is>
          <t>Delivered</t>
        </is>
      </c>
      <c r="D1783" s="16" t="inlineStr">
        <is>
          <t>128-12816476979832038</t>
        </is>
      </c>
      <c r="E1783" s="16" t="inlineStr">
        <is>
          <t>Delivered</t>
        </is>
      </c>
      <c r="F1783" s="16" t="inlineStr">
        <is>
          <t>BG-115-B</t>
        </is>
      </c>
      <c r="G1783" s="16" t="inlineStr">
        <is>
          <t>LINK BITS Audífonos Inalámbricos con Luces Multicolor, Recargables y en Adorable Forma de Orejas de Gato - Conecta a Celulares y PCs, Tiene Radio FM, Tarjeta TF y AUX - 7 Horas de Reproducción, Plegables y Perfectos para Trabajo, Juegos y Estudio</t>
        </is>
      </c>
      <c r="H1783" s="16" t="inlineStr">
        <is>
          <t>blanco</t>
        </is>
      </c>
      <c r="I1783" s="16" t="n">
        <v>1</v>
      </c>
      <c r="J1783" s="17" t="n">
        <v>80</v>
      </c>
      <c r="K1783" s="17" t="n">
        <v>90.72</v>
      </c>
      <c r="L1783" s="17" t="n">
        <v>25.86</v>
      </c>
      <c r="M1783" s="17" t="n">
        <v>0</v>
      </c>
      <c r="N1783" s="17">
        <f>K1783*0.08+L1783*0.08</f>
        <v/>
      </c>
      <c r="O1783" s="17">
        <f>-(K1783*0.025+L1783*0.025)</f>
        <v/>
      </c>
      <c r="P1783" s="17">
        <f>32</f>
        <v/>
      </c>
      <c r="Q1783" s="17">
        <f>J1783+L1783+N1783+O1783-P1783-M1783</f>
        <v/>
      </c>
    </row>
    <row r="1784">
      <c r="A1784" s="16" t="inlineStr">
        <is>
          <t>5.15-5.21</t>
        </is>
      </c>
      <c r="B1784" s="16" t="inlineStr">
        <is>
          <t>PO-128-12719008922231469</t>
        </is>
      </c>
      <c r="C1784" s="16" t="inlineStr">
        <is>
          <t>Delivered</t>
        </is>
      </c>
      <c r="D1784" s="16" t="inlineStr">
        <is>
          <t>128-12719113779831469</t>
        </is>
      </c>
      <c r="E1784" s="16" t="inlineStr">
        <is>
          <t>Delivered</t>
        </is>
      </c>
      <c r="F1784" s="16" t="inlineStr">
        <is>
          <t>LV64W25</t>
        </is>
      </c>
      <c r="G17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84" s="16" t="inlineStr">
        <is>
          <t>Blanco</t>
        </is>
      </c>
      <c r="I1784" s="16" t="n">
        <v>1</v>
      </c>
      <c r="J1784" s="17" t="n">
        <v>119</v>
      </c>
      <c r="K1784" s="17" t="n">
        <v>137.26</v>
      </c>
      <c r="L1784" s="17" t="n">
        <v>25.86</v>
      </c>
      <c r="M1784" s="17" t="n">
        <v>0</v>
      </c>
      <c r="N1784" s="17">
        <f>K1784*0.08+L1784*0.08</f>
        <v/>
      </c>
      <c r="O1784" s="17">
        <f>-(K1784*0.025+L1784*0.025)</f>
        <v/>
      </c>
      <c r="P1784" s="17">
        <f>32</f>
        <v/>
      </c>
      <c r="Q1784" s="17">
        <f>J1784+L1784+N1784+O1784-P1784-M1784</f>
        <v/>
      </c>
    </row>
    <row r="1785">
      <c r="A1785" s="16" t="inlineStr">
        <is>
          <t>5.15-5.21</t>
        </is>
      </c>
      <c r="B1785" s="16" t="inlineStr">
        <is>
          <t>PO-128-12761371310711153</t>
        </is>
      </c>
      <c r="C1785" s="16" t="inlineStr">
        <is>
          <t>Delivered</t>
        </is>
      </c>
      <c r="D1785" s="16" t="inlineStr">
        <is>
          <t>128-12761392282231153</t>
        </is>
      </c>
      <c r="E1785" s="16" t="inlineStr">
        <is>
          <t>Delivered</t>
        </is>
      </c>
      <c r="F1785" s="16" t="inlineStr">
        <is>
          <t>LV54W25</t>
        </is>
      </c>
      <c r="G1785" s="16" t="inlineStr">
        <is>
          <t>TIANLAI Lámpara Ventilador E27 2 en 1, Silenciosa, LED Alta Luminosidad 180°, Instalación Rápida, Ahorro Energético para Dormitorio y Interiores Pequeños</t>
        </is>
      </c>
      <c r="H1785" s="16" t="inlineStr">
        <is>
          <t>1 Pieza</t>
        </is>
      </c>
      <c r="I1785" s="16" t="n">
        <v>1</v>
      </c>
      <c r="J1785" s="17" t="n">
        <v>75.8</v>
      </c>
      <c r="K1785" s="17" t="n">
        <v>77.86</v>
      </c>
      <c r="L1785" s="17" t="n">
        <v>25.86</v>
      </c>
      <c r="M1785" s="17" t="n">
        <v>0</v>
      </c>
      <c r="N1785" s="17">
        <f>K1785*0.08+L1785*0.08</f>
        <v/>
      </c>
      <c r="O1785" s="17">
        <f>-(K1785*0.025+L1785*0.025)</f>
        <v/>
      </c>
      <c r="P1785" s="17">
        <f>32</f>
        <v/>
      </c>
      <c r="Q1785" s="17">
        <f>J1785+L1785+N1785+O1785-P1785-M1785</f>
        <v/>
      </c>
    </row>
    <row r="1786">
      <c r="A1786" s="16" t="inlineStr">
        <is>
          <t>5.15-5.21</t>
        </is>
      </c>
      <c r="B1786" s="16" t="inlineStr">
        <is>
          <t>PO-128-12903076623990498</t>
        </is>
      </c>
      <c r="C1786" s="16" t="inlineStr">
        <is>
          <t>Delivered</t>
        </is>
      </c>
      <c r="D1786" s="16" t="inlineStr">
        <is>
          <t>128-12903118567030498</t>
        </is>
      </c>
      <c r="E1786" s="16" t="inlineStr">
        <is>
          <t>Delivered</t>
        </is>
      </c>
      <c r="F1786" s="16" t="inlineStr">
        <is>
          <t>KTS-2031</t>
        </is>
      </c>
      <c r="G1786" s="16" t="inlineStr">
        <is>
          <t>Bocina inalámbrica de 3 pulgadas con linterna multifuncional y panel solar integrado.Altavoz Portátil con Linterna LED 4 Modos, Radio FM, Bluetooth, Carga Solar, Ideal para Apagones, Emergencias, Campo y Exteriores</t>
        </is>
      </c>
      <c r="H1786" s="16" t="inlineStr">
        <is>
          <t>NEGRO</t>
        </is>
      </c>
      <c r="I1786" s="16" t="n">
        <v>3</v>
      </c>
      <c r="J1786" s="17" t="n">
        <v>234</v>
      </c>
      <c r="K1786" s="17" t="n">
        <v>261.66</v>
      </c>
      <c r="L1786" s="17" t="n">
        <v>0</v>
      </c>
      <c r="M1786" s="17" t="n">
        <v>9</v>
      </c>
      <c r="N1786" s="17">
        <f>K1786*0.08+L1786*0.08</f>
        <v/>
      </c>
      <c r="O1786" s="17">
        <f>-(K1786*0.025+L1786*0.025)</f>
        <v/>
      </c>
      <c r="P1786" s="17">
        <f>32</f>
        <v/>
      </c>
      <c r="Q1786" s="17">
        <f>J1786+L1786+N1786+O1786-P1786-M1786</f>
        <v/>
      </c>
    </row>
    <row r="1787">
      <c r="A1787" s="16" t="inlineStr">
        <is>
          <t>5.15-5.21</t>
        </is>
      </c>
      <c r="B1787" s="16" t="inlineStr">
        <is>
          <t>PO-128-12764359834231199</t>
        </is>
      </c>
      <c r="C1787" s="16" t="inlineStr">
        <is>
          <t>Delivered</t>
        </is>
      </c>
      <c r="D1787" s="16" t="inlineStr">
        <is>
          <t>128-12764439788151199</t>
        </is>
      </c>
      <c r="E1787" s="16" t="inlineStr">
        <is>
          <t>Delivered</t>
        </is>
      </c>
      <c r="F1787" s="16" t="inlineStr">
        <is>
          <t>LV54W25</t>
        </is>
      </c>
      <c r="G1787" s="16" t="inlineStr">
        <is>
          <t>TIANLAI Lámpara Ventilador E27 2 en 1, Silenciosa, LED Alta Luminosidad 180°, Instalación Rápida, Ahorro Energético para Dormitorio y Interiores Pequeños</t>
        </is>
      </c>
      <c r="H1787" s="16" t="inlineStr">
        <is>
          <t>1 Pieza</t>
        </is>
      </c>
      <c r="I1787" s="16" t="n">
        <v>1</v>
      </c>
      <c r="J1787" s="17" t="n">
        <v>75.8</v>
      </c>
      <c r="K1787" s="17" t="n">
        <v>77.86</v>
      </c>
      <c r="L1787" s="17" t="n">
        <v>25.86</v>
      </c>
      <c r="M1787" s="17" t="n">
        <v>0</v>
      </c>
      <c r="N1787" s="17">
        <f>K1787*0.08+L1787*0.08</f>
        <v/>
      </c>
      <c r="O1787" s="17">
        <f>-(K1787*0.025+L1787*0.025)</f>
        <v/>
      </c>
      <c r="P1787" s="17">
        <f>32</f>
        <v/>
      </c>
      <c r="Q1787" s="17">
        <f>J1787+L1787+N1787+O1787-P1787-M1787</f>
        <v/>
      </c>
    </row>
    <row r="1788">
      <c r="A1788" s="16" t="inlineStr">
        <is>
          <t>5.15-5.21</t>
        </is>
      </c>
      <c r="B1788" s="16" t="inlineStr">
        <is>
          <t>PO-128-12407698842233453</t>
        </is>
      </c>
      <c r="C1788" s="16" t="inlineStr">
        <is>
          <t>Delivered</t>
        </is>
      </c>
      <c r="D1788" s="16" t="inlineStr">
        <is>
          <t>128-12407719813753453</t>
        </is>
      </c>
      <c r="E1788" s="16" t="inlineStr">
        <is>
          <t>Delivered</t>
        </is>
      </c>
      <c r="F1788" s="16" t="inlineStr">
        <is>
          <t>VB349T</t>
        </is>
      </c>
      <c r="G1788" s="16" t="inlineStr">
        <is>
          <t>LINKBITS Altavoz Portátil de Doble Altavoz - 3 Pulgadas, Sonido HD, Emparejamiento Rápido de Bluetooth, Conectividad TWS, Reproducción Multimodo (Micro SD/USB/Radio FM) - Perfecto para Oficina, Viajes y Espacios Pequeños</t>
        </is>
      </c>
      <c r="H1788" s="16" t="inlineStr">
        <is>
          <t>NEGRO</t>
        </is>
      </c>
      <c r="I1788" s="16" t="n">
        <v>1</v>
      </c>
      <c r="J1788" s="17" t="n">
        <v>81</v>
      </c>
      <c r="K1788" s="17" t="n">
        <v>94.25</v>
      </c>
      <c r="L1788" s="17" t="n">
        <v>25.86</v>
      </c>
      <c r="M1788" s="17" t="n">
        <v>0</v>
      </c>
      <c r="N1788" s="17">
        <f>K1788*0.08+L1788*0.08</f>
        <v/>
      </c>
      <c r="O1788" s="17">
        <f>-(K1788*0.025+L1788*0.025)</f>
        <v/>
      </c>
      <c r="P1788" s="17">
        <f>32</f>
        <v/>
      </c>
      <c r="Q1788" s="17">
        <f>J1788+L1788+N1788+O1788-P1788-M1788</f>
        <v/>
      </c>
    </row>
    <row r="1789">
      <c r="A1789" s="16" t="inlineStr">
        <is>
          <t>5.15-5.21</t>
        </is>
      </c>
      <c r="B1789" s="16" t="inlineStr">
        <is>
          <t>PO-128-12567954063992304</t>
        </is>
      </c>
      <c r="C1789" s="16" t="inlineStr">
        <is>
          <t>Delivered</t>
        </is>
      </c>
      <c r="D1789" s="16" t="inlineStr">
        <is>
          <t>128-12567964549752304</t>
        </is>
      </c>
      <c r="E1789" s="16" t="inlineStr">
        <is>
          <t>Delivered</t>
        </is>
      </c>
      <c r="F1789" s="16" t="inlineStr">
        <is>
          <t>LV64W25</t>
        </is>
      </c>
      <c r="G17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89" s="16" t="inlineStr">
        <is>
          <t>Blanco</t>
        </is>
      </c>
      <c r="I1789" s="16" t="n">
        <v>1</v>
      </c>
      <c r="J1789" s="17" t="n">
        <v>119</v>
      </c>
      <c r="K1789" s="17" t="n">
        <v>120.29</v>
      </c>
      <c r="L1789" s="17" t="n">
        <v>25.86</v>
      </c>
      <c r="M1789" s="17" t="n">
        <v>0</v>
      </c>
      <c r="N1789" s="17">
        <f>K1789*0.08+L1789*0.08</f>
        <v/>
      </c>
      <c r="O1789" s="17">
        <f>-(K1789*0.025+L1789*0.025)</f>
        <v/>
      </c>
      <c r="P1789" s="17">
        <f>32</f>
        <v/>
      </c>
      <c r="Q1789" s="17">
        <f>J1789+L1789+N1789+O1789-P1789-M1789</f>
        <v/>
      </c>
    </row>
    <row r="1790">
      <c r="A1790" s="16" t="inlineStr">
        <is>
          <t>5.15-5.21</t>
        </is>
      </c>
      <c r="B1790" s="16" t="inlineStr">
        <is>
          <t>PO-128-12978393467510947</t>
        </is>
      </c>
      <c r="C1790" s="16" t="inlineStr">
        <is>
          <t>Delivered</t>
        </is>
      </c>
      <c r="D1790" s="16" t="inlineStr">
        <is>
          <t>128-12978392484470947</t>
        </is>
      </c>
      <c r="E1790" s="16" t="inlineStr">
        <is>
          <t>Delivered</t>
        </is>
      </c>
      <c r="F1790" s="16" t="inlineStr">
        <is>
          <t>KTS-2031</t>
        </is>
      </c>
      <c r="G1790" s="16" t="inlineStr">
        <is>
          <t>Bocina inalámbrica de 3 pulgadas con linterna multifuncional y panel solar integrado.Altavoz Portátil con Linterna LED 4 Modos, Radio FM, Bluetooth, Carga Solar, Ideal para Apagones, Emergencias, Campo y Exteriores</t>
        </is>
      </c>
      <c r="H1790" s="16" t="inlineStr">
        <is>
          <t>NEGRO</t>
        </is>
      </c>
      <c r="I1790" s="16" t="n">
        <v>3</v>
      </c>
      <c r="J1790" s="17" t="n">
        <v>234</v>
      </c>
      <c r="K1790" s="17" t="n">
        <v>261.66</v>
      </c>
      <c r="L1790" s="17" t="n">
        <v>0</v>
      </c>
      <c r="M1790" s="17" t="n">
        <v>0</v>
      </c>
      <c r="N1790" s="17">
        <f>K1790*0.08+L1790*0.08</f>
        <v/>
      </c>
      <c r="O1790" s="17">
        <f>-(K1790*0.025+L1790*0.025)</f>
        <v/>
      </c>
      <c r="P1790" s="17">
        <f>32</f>
        <v/>
      </c>
      <c r="Q1790" s="17">
        <f>J1790+L1790+N1790+O1790-P1790-M1790</f>
        <v/>
      </c>
    </row>
    <row r="1791">
      <c r="A1791" s="16" t="inlineStr">
        <is>
          <t>5.15-5.21</t>
        </is>
      </c>
      <c r="B1791" s="16" t="inlineStr">
        <is>
          <t>PO-128-12790502482551107</t>
        </is>
      </c>
      <c r="C1791" s="16" t="inlineStr">
        <is>
          <t>Delivered</t>
        </is>
      </c>
      <c r="D1791" s="16" t="inlineStr">
        <is>
          <t>128-12790471025271107</t>
        </is>
      </c>
      <c r="E1791" s="16" t="inlineStr">
        <is>
          <t>Delivered</t>
        </is>
      </c>
      <c r="F1791" s="16" t="inlineStr">
        <is>
          <t>LV54W25</t>
        </is>
      </c>
      <c r="G1791" s="16" t="inlineStr">
        <is>
          <t>TIANLAI Lámpara Ventilador E27 2 en 1, Silenciosa, LED Alta Luminosidad 180°, Instalación Rápida, Ahorro Energético para Dormitorio y Interiores Pequeños</t>
        </is>
      </c>
      <c r="H1791" s="16" t="inlineStr">
        <is>
          <t>1 Pieza</t>
        </is>
      </c>
      <c r="I1791" s="16" t="n">
        <v>2</v>
      </c>
      <c r="J1791" s="17" t="n">
        <v>151.6</v>
      </c>
      <c r="K1791" s="17" t="n">
        <v>150.77</v>
      </c>
      <c r="L1791" s="17" t="n">
        <v>12.93</v>
      </c>
      <c r="M1791" s="17" t="n">
        <v>87.48</v>
      </c>
      <c r="N1791" s="17">
        <f>K1791*0.08+L1791*0.08</f>
        <v/>
      </c>
      <c r="O1791" s="17">
        <f>-(K1791*0.025+L1791*0.025)</f>
        <v/>
      </c>
      <c r="P1791" s="17">
        <f>32</f>
        <v/>
      </c>
      <c r="Q1791" s="17">
        <f>J1791+L1791+N1791+O1791-P1791-M1791</f>
        <v/>
      </c>
    </row>
    <row r="1792">
      <c r="A1792" s="16" t="inlineStr">
        <is>
          <t>5.15-5.21</t>
        </is>
      </c>
      <c r="B1792" s="16" t="inlineStr">
        <is>
          <t>PO-128-12890247214710385</t>
        </is>
      </c>
      <c r="C1792" s="16" t="inlineStr">
        <is>
          <t>Delivered</t>
        </is>
      </c>
      <c r="D1792" s="16" t="inlineStr">
        <is>
          <t>128-12890205271670385</t>
        </is>
      </c>
      <c r="E1792" s="16" t="inlineStr">
        <is>
          <t>Delivered</t>
        </is>
      </c>
      <c r="F1792" s="16" t="inlineStr">
        <is>
          <t>LV64W25</t>
        </is>
      </c>
      <c r="G17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2" s="16" t="inlineStr">
        <is>
          <t>Blanco</t>
        </is>
      </c>
      <c r="I1792" s="16" t="n">
        <v>1</v>
      </c>
      <c r="J1792" s="17" t="n">
        <v>119</v>
      </c>
      <c r="K1792" s="17" t="n">
        <v>137.26</v>
      </c>
      <c r="L1792" s="17" t="n">
        <v>25.86</v>
      </c>
      <c r="M1792" s="17" t="n">
        <v>0</v>
      </c>
      <c r="N1792" s="17">
        <f>K1792*0.08+L1792*0.08</f>
        <v/>
      </c>
      <c r="O1792" s="17">
        <f>-(K1792*0.025+L1792*0.025)</f>
        <v/>
      </c>
      <c r="P1792" s="17">
        <f>32</f>
        <v/>
      </c>
      <c r="Q1792" s="17">
        <f>J1792+L1792+N1792+O1792-P1792-M1792</f>
        <v/>
      </c>
    </row>
    <row r="1793">
      <c r="A1793" s="16" t="inlineStr">
        <is>
          <t>5.15-5.21</t>
        </is>
      </c>
      <c r="B1793" s="16" t="inlineStr">
        <is>
          <t>PO-128-12918466642550342</t>
        </is>
      </c>
      <c r="C1793" s="16" t="inlineStr">
        <is>
          <t>Delivered</t>
        </is>
      </c>
      <c r="D1793" s="16" t="inlineStr">
        <is>
          <t>128-12918618686070342</t>
        </is>
      </c>
      <c r="E1793" s="16" t="inlineStr">
        <is>
          <t>Delivered</t>
        </is>
      </c>
      <c r="F1793" s="16" t="inlineStr">
        <is>
          <t>LV54W25</t>
        </is>
      </c>
      <c r="G1793" s="16" t="inlineStr">
        <is>
          <t>TIANLAI Lámpara Ventilador E27 2 en 1, Silenciosa, LED Alta Luminosidad 180°, Instalación Rápida, Ahorro Energético para Dormitorio y Interiores Pequeños</t>
        </is>
      </c>
      <c r="H1793" s="16" t="inlineStr">
        <is>
          <t>1 Pieza</t>
        </is>
      </c>
      <c r="I1793" s="16" t="n">
        <v>1</v>
      </c>
      <c r="J1793" s="17" t="n">
        <v>75.8</v>
      </c>
      <c r="K1793" s="17" t="n">
        <v>77.86</v>
      </c>
      <c r="L1793" s="17" t="n">
        <v>25.86</v>
      </c>
      <c r="M1793" s="17" t="n">
        <v>0</v>
      </c>
      <c r="N1793" s="17">
        <f>K1793*0.08+L1793*0.08</f>
        <v/>
      </c>
      <c r="O1793" s="17">
        <f>-(K1793*0.025+L1793*0.025)</f>
        <v/>
      </c>
      <c r="P1793" s="17">
        <f>32</f>
        <v/>
      </c>
      <c r="Q1793" s="17">
        <f>J1793+L1793+N1793+O1793-P1793-M1793</f>
        <v/>
      </c>
    </row>
    <row r="1794">
      <c r="A1794" s="16" t="inlineStr">
        <is>
          <t>5.15-5.21</t>
        </is>
      </c>
      <c r="B1794" s="16" t="inlineStr">
        <is>
          <t>PO-128-02029769124470732</t>
        </is>
      </c>
      <c r="C1794" s="16" t="inlineStr">
        <is>
          <t>Delivered</t>
        </is>
      </c>
      <c r="D1794" s="16" t="inlineStr">
        <is>
          <t>128-02029811067510732</t>
        </is>
      </c>
      <c r="E1794" s="16" t="inlineStr">
        <is>
          <t>Delivered</t>
        </is>
      </c>
      <c r="F1794" s="16" t="inlineStr">
        <is>
          <t>LV64W25</t>
        </is>
      </c>
      <c r="G17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4" s="16" t="inlineStr">
        <is>
          <t>Blanco</t>
        </is>
      </c>
      <c r="I1794" s="16" t="n">
        <v>2</v>
      </c>
      <c r="J1794" s="17" t="n">
        <v>238</v>
      </c>
      <c r="K1794" s="17" t="n">
        <v>274.52</v>
      </c>
      <c r="L1794" s="17" t="n">
        <v>0</v>
      </c>
      <c r="M1794" s="17" t="n">
        <v>0</v>
      </c>
      <c r="N1794" s="17">
        <f>K1794*0.08+L1794*0.08</f>
        <v/>
      </c>
      <c r="O1794" s="17">
        <f>-(K1794*0.025+L1794*0.025)</f>
        <v/>
      </c>
      <c r="P1794" s="17">
        <f>32</f>
        <v/>
      </c>
      <c r="Q1794" s="17">
        <f>J1794+L1794+N1794+O1794-P1794-M1794</f>
        <v/>
      </c>
    </row>
    <row r="1795">
      <c r="A1795" s="16" t="inlineStr">
        <is>
          <t>5.15-5.21</t>
        </is>
      </c>
      <c r="B1795" s="16" t="inlineStr">
        <is>
          <t>PO-128-01643753887353035</t>
        </is>
      </c>
      <c r="C1795" s="16" t="inlineStr">
        <is>
          <t>Delivered</t>
        </is>
      </c>
      <c r="D1795" s="16" t="inlineStr">
        <is>
          <t>128-01643822044793035</t>
        </is>
      </c>
      <c r="E1795" s="16" t="inlineStr">
        <is>
          <t>Delivered</t>
        </is>
      </c>
      <c r="F1795" s="16" t="inlineStr">
        <is>
          <t>LV64W25</t>
        </is>
      </c>
      <c r="G17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5" s="16" t="inlineStr">
        <is>
          <t>Blanco</t>
        </is>
      </c>
      <c r="I1795" s="16" t="n">
        <v>3</v>
      </c>
      <c r="J1795" s="17" t="n">
        <v>357</v>
      </c>
      <c r="K1795" s="17" t="n">
        <v>411.78</v>
      </c>
      <c r="L1795" s="17" t="n">
        <v>0</v>
      </c>
      <c r="M1795" s="17" t="n">
        <v>0</v>
      </c>
      <c r="N1795" s="17">
        <f>K1795*0.08+L1795*0.08</f>
        <v/>
      </c>
      <c r="O1795" s="17">
        <f>-(K1795*0.025+L1795*0.025)</f>
        <v/>
      </c>
      <c r="P1795" s="17">
        <f>32</f>
        <v/>
      </c>
      <c r="Q1795" s="17">
        <f>J1795+L1795+N1795+O1795-P1795-M1795</f>
        <v/>
      </c>
    </row>
    <row r="1796">
      <c r="A1796" s="16" t="inlineStr">
        <is>
          <t>5.15-5.21</t>
        </is>
      </c>
      <c r="B1796" s="16" t="inlineStr">
        <is>
          <t>PO-128-01720311327351427</t>
        </is>
      </c>
      <c r="C1796" s="16" t="inlineStr">
        <is>
          <t>Delivered</t>
        </is>
      </c>
      <c r="D1796" s="16" t="inlineStr">
        <is>
          <t>128-01720269384311427</t>
        </is>
      </c>
      <c r="E1796" s="16" t="inlineStr">
        <is>
          <t>Delivered</t>
        </is>
      </c>
      <c r="F1796" s="16" t="inlineStr">
        <is>
          <t>KTS-2031</t>
        </is>
      </c>
      <c r="G1796" s="16" t="inlineStr">
        <is>
          <t>Bocina inalámbrica de 3 pulgadas con linterna multifuncional y panel solar integrado.Altavoz Portátil con Linterna LED 4 Modos, Radio FM, Bluetooth, Carga Solar, Ideal para Apagones, Emergencias, Campo y Exteriores</t>
        </is>
      </c>
      <c r="H1796" s="16" t="inlineStr">
        <is>
          <t>NEGRO</t>
        </is>
      </c>
      <c r="I1796" s="16" t="n">
        <v>3</v>
      </c>
      <c r="J1796" s="17" t="n">
        <v>234</v>
      </c>
      <c r="K1796" s="17" t="n">
        <v>261.66</v>
      </c>
      <c r="L1796" s="17" t="n">
        <v>0</v>
      </c>
      <c r="M1796" s="17" t="n">
        <v>0</v>
      </c>
      <c r="N1796" s="17">
        <f>K1796*0.08+L1796*0.08</f>
        <v/>
      </c>
      <c r="O1796" s="17">
        <f>-(K1796*0.025+L1796*0.025)</f>
        <v/>
      </c>
      <c r="P1796" s="17">
        <f>32</f>
        <v/>
      </c>
      <c r="Q1796" s="17">
        <f>J1796+L1796+N1796+O1796-P1796-M1796</f>
        <v/>
      </c>
    </row>
    <row r="1797">
      <c r="A1797" s="16" t="inlineStr">
        <is>
          <t>5.15-5.21</t>
        </is>
      </c>
      <c r="B1797" s="16" t="inlineStr">
        <is>
          <t>PO-128-01867717519991762</t>
        </is>
      </c>
      <c r="C1797" s="16" t="inlineStr">
        <is>
          <t>Delivered</t>
        </is>
      </c>
      <c r="D1797" s="16" t="inlineStr">
        <is>
          <t>128-01867728005751762</t>
        </is>
      </c>
      <c r="E1797" s="16" t="inlineStr">
        <is>
          <t>Delivered</t>
        </is>
      </c>
      <c r="F1797" s="16" t="inlineStr">
        <is>
          <t>LV54W25</t>
        </is>
      </c>
      <c r="G1797" s="16" t="inlineStr">
        <is>
          <t>TIANLAI Lámpara Ventilador E27 2 en 1, Silenciosa, LED Alta Luminosidad 180°, Instalación Rápida, Ahorro Energético para Dormitorio y Interiores Pequeños</t>
        </is>
      </c>
      <c r="H1797" s="16" t="inlineStr">
        <is>
          <t>1 Pieza</t>
        </is>
      </c>
      <c r="I1797" s="16" t="n">
        <v>1</v>
      </c>
      <c r="J1797" s="17" t="n">
        <v>75.8</v>
      </c>
      <c r="K1797" s="17" t="n">
        <v>77.86</v>
      </c>
      <c r="L1797" s="17" t="n">
        <v>25.86</v>
      </c>
      <c r="M1797" s="17" t="n">
        <v>0</v>
      </c>
      <c r="N1797" s="17">
        <f>K1797*0.08+L1797*0.08</f>
        <v/>
      </c>
      <c r="O1797" s="17">
        <f>-(K1797*0.025+L1797*0.025)</f>
        <v/>
      </c>
      <c r="P1797" s="17">
        <f>32</f>
        <v/>
      </c>
      <c r="Q1797" s="17">
        <f>J1797+L1797+N1797+O1797-P1797-M1797</f>
        <v/>
      </c>
    </row>
    <row r="1798">
      <c r="A1798" s="16" t="inlineStr">
        <is>
          <t>5.15-5.21</t>
        </is>
      </c>
      <c r="B1798" s="16" t="inlineStr">
        <is>
          <t>PO-128-01588207693432404</t>
        </is>
      </c>
      <c r="C1798" s="16" t="inlineStr">
        <is>
          <t>Delivered</t>
        </is>
      </c>
      <c r="D1798" s="16" t="inlineStr">
        <is>
          <t>128-01588186721912404</t>
        </is>
      </c>
      <c r="E1798" s="16" t="inlineStr">
        <is>
          <t>Delivered</t>
        </is>
      </c>
      <c r="F1798" s="16" t="inlineStr">
        <is>
          <t>LV64W25</t>
        </is>
      </c>
      <c r="G17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8" s="16" t="inlineStr">
        <is>
          <t>Blanco</t>
        </is>
      </c>
      <c r="I1798" s="16" t="n">
        <v>1</v>
      </c>
      <c r="J1798" s="17" t="n">
        <v>119</v>
      </c>
      <c r="K1798" s="17" t="n">
        <v>137.26</v>
      </c>
      <c r="L1798" s="17" t="n">
        <v>25.86</v>
      </c>
      <c r="M1798" s="17" t="n">
        <v>0</v>
      </c>
      <c r="N1798" s="17">
        <f>K1798*0.08+L1798*0.08</f>
        <v/>
      </c>
      <c r="O1798" s="17">
        <f>-(K1798*0.025+L1798*0.025)</f>
        <v/>
      </c>
      <c r="P1798" s="17">
        <f>32</f>
        <v/>
      </c>
      <c r="Q1798" s="17">
        <f>J1798+L1798+N1798+O1798-P1798-M1798</f>
        <v/>
      </c>
    </row>
    <row r="1799">
      <c r="A1799" s="16" t="inlineStr">
        <is>
          <t>5.15-5.21</t>
        </is>
      </c>
      <c r="B1799" s="16" t="inlineStr">
        <is>
          <t>PO-128-01643266785913036</t>
        </is>
      </c>
      <c r="C1799" s="16" t="inlineStr">
        <is>
          <t>Delivered</t>
        </is>
      </c>
      <c r="D1799" s="16" t="inlineStr">
        <is>
          <t>128-01643287757433036</t>
        </is>
      </c>
      <c r="E1799" s="16" t="inlineStr">
        <is>
          <t>Delivered</t>
        </is>
      </c>
      <c r="F1799" s="16" t="inlineStr">
        <is>
          <t>LV64W25</t>
        </is>
      </c>
      <c r="G17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799" s="16" t="inlineStr">
        <is>
          <t>Blanco</t>
        </is>
      </c>
      <c r="I1799" s="16" t="n">
        <v>2</v>
      </c>
      <c r="J1799" s="17" t="n">
        <v>238</v>
      </c>
      <c r="K1799" s="17" t="n">
        <v>274.52</v>
      </c>
      <c r="L1799" s="17" t="n">
        <v>0</v>
      </c>
      <c r="M1799" s="17" t="n">
        <v>0</v>
      </c>
      <c r="N1799" s="17">
        <f>K1799*0.08+L1799*0.08</f>
        <v/>
      </c>
      <c r="O1799" s="17">
        <f>-(K1799*0.025+L1799*0.025)</f>
        <v/>
      </c>
      <c r="P1799" s="17">
        <f>32</f>
        <v/>
      </c>
      <c r="Q1799" s="17">
        <f>J1799+L1799+N1799+O1799-P1799-M1799</f>
        <v/>
      </c>
    </row>
    <row r="1800">
      <c r="A1800" s="16" t="inlineStr">
        <is>
          <t>5.15-5.21</t>
        </is>
      </c>
      <c r="B1800" s="16" t="inlineStr">
        <is>
          <t>PO-128-01817380762231998</t>
        </is>
      </c>
      <c r="C1800" s="16" t="inlineStr">
        <is>
          <t>Delivered</t>
        </is>
      </c>
      <c r="D1800" s="16" t="inlineStr">
        <is>
          <t>128-01817359790711998</t>
        </is>
      </c>
      <c r="E1800" s="16" t="inlineStr">
        <is>
          <t>Delivered</t>
        </is>
      </c>
      <c r="F1800" s="16" t="inlineStr">
        <is>
          <t>LV64W25</t>
        </is>
      </c>
      <c r="G18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00" s="16" t="inlineStr">
        <is>
          <t>Blanco</t>
        </is>
      </c>
      <c r="I1800" s="16" t="n">
        <v>2</v>
      </c>
      <c r="J1800" s="17" t="n">
        <v>238</v>
      </c>
      <c r="K1800" s="17" t="n">
        <v>274.52</v>
      </c>
      <c r="L1800" s="17" t="n">
        <v>0</v>
      </c>
      <c r="M1800" s="17" t="n">
        <v>0</v>
      </c>
      <c r="N1800" s="17">
        <f>K1800*0.08+L1800*0.08</f>
        <v/>
      </c>
      <c r="O1800" s="17">
        <f>-(K1800*0.025+L1800*0.025)</f>
        <v/>
      </c>
      <c r="P1800" s="17">
        <f>32</f>
        <v/>
      </c>
      <c r="Q1800" s="17">
        <f>J1800+L1800+N1800+O1800-P1800-M1800</f>
        <v/>
      </c>
    </row>
    <row r="1801">
      <c r="A1801" s="16" t="inlineStr">
        <is>
          <t>5.15-5.21</t>
        </is>
      </c>
      <c r="B1801" s="16" t="inlineStr">
        <is>
          <t>PO-128-01636980301432947</t>
        </is>
      </c>
      <c r="C1801" s="16" t="inlineStr">
        <is>
          <t>Delivered</t>
        </is>
      </c>
      <c r="D1801" s="16" t="inlineStr">
        <is>
          <t>128-01636959329912947</t>
        </is>
      </c>
      <c r="E1801" s="16" t="inlineStr">
        <is>
          <t>Delivered</t>
        </is>
      </c>
      <c r="F1801" s="16" t="inlineStr">
        <is>
          <t>KTS-2031</t>
        </is>
      </c>
      <c r="G1801" s="16" t="inlineStr">
        <is>
          <t>Bocina inalámbrica de 3 pulgadas con linterna multifuncional y panel solar integrado.Altavoz Portátil con Linterna LED 4 Modos, Radio FM, Bluetooth, Carga Solar, Ideal para Apagones, Emergencias, Campo y Exteriores</t>
        </is>
      </c>
      <c r="H1801" s="16" t="inlineStr">
        <is>
          <t>NEGRO</t>
        </is>
      </c>
      <c r="I1801" s="16" t="n">
        <v>1</v>
      </c>
      <c r="J1801" s="17" t="n">
        <v>78</v>
      </c>
      <c r="K1801" s="17" t="n">
        <v>82.97</v>
      </c>
      <c r="L1801" s="17" t="n">
        <v>25.86</v>
      </c>
      <c r="M1801" s="17" t="n">
        <v>0</v>
      </c>
      <c r="N1801" s="17">
        <f>K1801*0.08+L1801*0.08</f>
        <v/>
      </c>
      <c r="O1801" s="17">
        <f>-(K1801*0.025+L1801*0.025)</f>
        <v/>
      </c>
      <c r="P1801" s="17">
        <f>32</f>
        <v/>
      </c>
      <c r="Q1801" s="17">
        <f>J1801+L1801+N1801+O1801-P1801-M1801</f>
        <v/>
      </c>
    </row>
    <row r="1802">
      <c r="A1802" s="16" t="inlineStr">
        <is>
          <t>5.15-5.21</t>
        </is>
      </c>
      <c r="B1802" s="16" t="inlineStr">
        <is>
          <t>PO-128-01982482663030950</t>
        </is>
      </c>
      <c r="C1802" s="16" t="inlineStr">
        <is>
          <t>Delivered</t>
        </is>
      </c>
      <c r="D1802" s="16" t="inlineStr">
        <is>
          <t>128-01982432855670950</t>
        </is>
      </c>
      <c r="E1802" s="16" t="inlineStr">
        <is>
          <t>Delivered</t>
        </is>
      </c>
      <c r="F1802" s="16" t="inlineStr">
        <is>
          <t>KTS-2031</t>
        </is>
      </c>
      <c r="G1802" s="16" t="inlineStr">
        <is>
          <t>Bocina inalámbrica de 3 pulgadas con linterna multifuncional y panel solar integrado.Altavoz Portátil con Linterna LED 4 Modos, Radio FM, Bluetooth, Carga Solar, Ideal para Apagones, Emergencias, Campo y Exteriores</t>
        </is>
      </c>
      <c r="H1802" s="16" t="inlineStr">
        <is>
          <t>NEGRO</t>
        </is>
      </c>
      <c r="I1802" s="16" t="n">
        <v>1</v>
      </c>
      <c r="J1802" s="17" t="n">
        <v>78</v>
      </c>
      <c r="K1802" s="17" t="n">
        <v>79.66</v>
      </c>
      <c r="L1802" s="17" t="n">
        <v>25.86</v>
      </c>
      <c r="M1802" s="17" t="n">
        <v>0</v>
      </c>
      <c r="N1802" s="17">
        <f>K1802*0.08+L1802*0.08</f>
        <v/>
      </c>
      <c r="O1802" s="17">
        <f>-(K1802*0.025+L1802*0.025)</f>
        <v/>
      </c>
      <c r="P1802" s="17">
        <f>32</f>
        <v/>
      </c>
      <c r="Q1802" s="17">
        <f>J1802+L1802+N1802+O1802-P1802-M1802</f>
        <v/>
      </c>
    </row>
    <row r="1803">
      <c r="A1803" s="16" t="inlineStr">
        <is>
          <t>5.15-5.21</t>
        </is>
      </c>
      <c r="B1803" s="16" t="inlineStr">
        <is>
          <t>PO-128-01650185150073061</t>
        </is>
      </c>
      <c r="C1803" s="16" t="inlineStr">
        <is>
          <t>Delivered</t>
        </is>
      </c>
      <c r="D1803" s="16" t="inlineStr">
        <is>
          <t>128-01650174664313061</t>
        </is>
      </c>
      <c r="E1803" s="16" t="inlineStr">
        <is>
          <t>Delivered</t>
        </is>
      </c>
      <c r="F1803" s="16" t="inlineStr">
        <is>
          <t>LV54W25</t>
        </is>
      </c>
      <c r="G1803" s="16" t="inlineStr">
        <is>
          <t>TIANLAI Lámpara Ventilador E27 2 en 1, Silenciosa, LED Alta Luminosidad 180°, Instalación Rápida, Ahorro Energético para Dormitorio y Interiores Pequeños</t>
        </is>
      </c>
      <c r="H1803" s="16" t="inlineStr">
        <is>
          <t>1 Pieza</t>
        </is>
      </c>
      <c r="I1803" s="16" t="n">
        <v>2</v>
      </c>
      <c r="J1803" s="17" t="n">
        <v>151.6</v>
      </c>
      <c r="K1803" s="17" t="n">
        <v>155.72</v>
      </c>
      <c r="L1803" s="17" t="n">
        <v>25.86</v>
      </c>
      <c r="M1803" s="17" t="n">
        <v>0</v>
      </c>
      <c r="N1803" s="17">
        <f>K1803*0.08+L1803*0.08</f>
        <v/>
      </c>
      <c r="O1803" s="17">
        <f>-(K1803*0.025+L1803*0.025)</f>
        <v/>
      </c>
      <c r="P1803" s="17">
        <f>32</f>
        <v/>
      </c>
      <c r="Q1803" s="17">
        <f>J1803+L1803+N1803+O1803-P1803-M1803</f>
        <v/>
      </c>
    </row>
    <row r="1804">
      <c r="A1804" s="16" t="inlineStr">
        <is>
          <t>5.15-5.21</t>
        </is>
      </c>
      <c r="B1804" s="16" t="inlineStr">
        <is>
          <t>PO-128-01822407009912032</t>
        </is>
      </c>
      <c r="C1804" s="16" t="inlineStr">
        <is>
          <t>Delivered</t>
        </is>
      </c>
      <c r="D1804" s="16" t="inlineStr">
        <is>
          <t>128-01822448952952032</t>
        </is>
      </c>
      <c r="E1804" s="16" t="inlineStr">
        <is>
          <t>Delivered</t>
        </is>
      </c>
      <c r="F1804" s="16" t="inlineStr">
        <is>
          <t>VA371T</t>
        </is>
      </c>
      <c r="G1804" s="16" t="inlineStr">
        <is>
          <t>Linkbits Bocina Bluetooth Portátil 3" de Alta Gama，Hi-Res Audio y Graves Potentes，Luces LED + Soporte USB/TF/FM/TWS，Ideal para Hogar y Aire Libre</t>
        </is>
      </c>
      <c r="H1804" s="16" t="inlineStr">
        <is>
          <t>VA371T</t>
        </is>
      </c>
      <c r="I1804" s="16" t="n">
        <v>1</v>
      </c>
      <c r="J1804" s="17" t="n">
        <v>45.8</v>
      </c>
      <c r="K1804" s="17" t="n">
        <v>0.71</v>
      </c>
      <c r="L1804" s="17" t="n">
        <v>25.86</v>
      </c>
      <c r="M1804" s="17" t="n">
        <v>0</v>
      </c>
      <c r="N1804" s="17">
        <f>K1804*0.08+L1804*0.08</f>
        <v/>
      </c>
      <c r="O1804" s="17">
        <f>-(K1804*0.025+L1804*0.025)</f>
        <v/>
      </c>
      <c r="P1804" s="17">
        <f>32</f>
        <v/>
      </c>
      <c r="Q1804" s="17">
        <f>J1804+L1804+N1804+O1804-P1804-M1804</f>
        <v/>
      </c>
    </row>
    <row r="1805">
      <c r="A1805" s="16" t="inlineStr">
        <is>
          <t>5.15-5.21</t>
        </is>
      </c>
      <c r="B1805" s="16" t="inlineStr">
        <is>
          <t>PO-128-01711154366072633</t>
        </is>
      </c>
      <c r="C1805" s="16" t="inlineStr">
        <is>
          <t>Delivered</t>
        </is>
      </c>
      <c r="D1805" s="16" t="inlineStr">
        <is>
          <t>128-01711196309112633</t>
        </is>
      </c>
      <c r="E1805" s="16" t="inlineStr">
        <is>
          <t>Delivered</t>
        </is>
      </c>
      <c r="F1805" s="16" t="inlineStr">
        <is>
          <t>LV64W25</t>
        </is>
      </c>
      <c r="G18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05" s="16" t="inlineStr">
        <is>
          <t>Blanco</t>
        </is>
      </c>
      <c r="I1805" s="16" t="n">
        <v>2</v>
      </c>
      <c r="J1805" s="17" t="n">
        <v>238</v>
      </c>
      <c r="K1805" s="17" t="n">
        <v>274.52</v>
      </c>
      <c r="L1805" s="17" t="n">
        <v>0</v>
      </c>
      <c r="M1805" s="17" t="n">
        <v>0</v>
      </c>
      <c r="N1805" s="17">
        <f>K1805*0.08+L1805*0.08</f>
        <v/>
      </c>
      <c r="O1805" s="17">
        <f>-(K1805*0.025+L1805*0.025)</f>
        <v/>
      </c>
      <c r="P1805" s="17">
        <f>32</f>
        <v/>
      </c>
      <c r="Q1805" s="17">
        <f>J1805+L1805+N1805+O1805-P1805-M1805</f>
        <v/>
      </c>
    </row>
    <row r="1806">
      <c r="A1806" s="16" t="inlineStr">
        <is>
          <t>5.15-5.21</t>
        </is>
      </c>
      <c r="B1806" s="16" t="inlineStr">
        <is>
          <t>PO-128-01975019715190098</t>
        </is>
      </c>
      <c r="C1806" s="16" t="inlineStr">
        <is>
          <t>Delivered</t>
        </is>
      </c>
      <c r="D1806" s="16" t="inlineStr">
        <is>
          <t>128-01975024958070098</t>
        </is>
      </c>
      <c r="E1806" s="16" t="inlineStr">
        <is>
          <t>Delivered</t>
        </is>
      </c>
      <c r="F1806" s="16" t="inlineStr">
        <is>
          <t>LV64W25</t>
        </is>
      </c>
      <c r="G18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06" s="16" t="inlineStr">
        <is>
          <t>Blanco</t>
        </is>
      </c>
      <c r="I1806" s="16" t="n">
        <v>1</v>
      </c>
      <c r="J1806" s="17" t="n">
        <v>119</v>
      </c>
      <c r="K1806" s="17" t="n">
        <v>137.26</v>
      </c>
      <c r="L1806" s="17" t="n">
        <v>25.86</v>
      </c>
      <c r="M1806" s="17" t="n">
        <v>0</v>
      </c>
      <c r="N1806" s="17">
        <f>K1806*0.08+L1806*0.08</f>
        <v/>
      </c>
      <c r="O1806" s="17">
        <f>-(K1806*0.025+L1806*0.025)</f>
        <v/>
      </c>
      <c r="P1806" s="17">
        <f>32</f>
        <v/>
      </c>
      <c r="Q1806" s="17">
        <f>J1806+L1806+N1806+O1806-P1806-M1806</f>
        <v/>
      </c>
    </row>
    <row r="1807">
      <c r="A1807" s="16" t="inlineStr">
        <is>
          <t>5.15-5.21</t>
        </is>
      </c>
      <c r="B1807" s="16" t="inlineStr">
        <is>
          <t>PO-128-01968432640630074</t>
        </is>
      </c>
      <c r="C1807" s="16" t="inlineStr">
        <is>
          <t>Delivered</t>
        </is>
      </c>
      <c r="D1807" s="16" t="inlineStr">
        <is>
          <t>128-01968466719350074</t>
        </is>
      </c>
      <c r="E1807" s="16" t="inlineStr">
        <is>
          <t>Delivered</t>
        </is>
      </c>
      <c r="F1807" s="16" t="inlineStr">
        <is>
          <t>LV54W25</t>
        </is>
      </c>
      <c r="G1807" s="16" t="inlineStr">
        <is>
          <t>TIANLAI Lámpara Ventilador E27 2 en 1, Silenciosa, LED Alta Luminosidad 180°, Instalación Rápida, Ahorro Energético para Dormitorio y Interiores Pequeños</t>
        </is>
      </c>
      <c r="H1807" s="16" t="inlineStr">
        <is>
          <t>1 Pieza</t>
        </is>
      </c>
      <c r="I1807" s="16" t="n">
        <v>1</v>
      </c>
      <c r="J1807" s="17" t="n">
        <v>75.8</v>
      </c>
      <c r="K1807" s="17" t="n">
        <v>54.7</v>
      </c>
      <c r="L1807" s="17" t="n">
        <v>25.86</v>
      </c>
      <c r="M1807" s="17" t="n">
        <v>0</v>
      </c>
      <c r="N1807" s="17">
        <f>K1807*0.08+L1807*0.08</f>
        <v/>
      </c>
      <c r="O1807" s="17">
        <f>-(K1807*0.025+L1807*0.025)</f>
        <v/>
      </c>
      <c r="P1807" s="17">
        <f>32</f>
        <v/>
      </c>
      <c r="Q1807" s="17">
        <f>J1807+L1807+N1807+O1807-P1807-M1807</f>
        <v/>
      </c>
    </row>
    <row r="1808">
      <c r="A1808" s="16" t="inlineStr">
        <is>
          <t>5.15-5.21</t>
        </is>
      </c>
      <c r="B1808" s="16" t="inlineStr">
        <is>
          <t>PO-128-01955004104310026</t>
        </is>
      </c>
      <c r="C1808" s="16" t="inlineStr">
        <is>
          <t>Delivered</t>
        </is>
      </c>
      <c r="D1808" s="16" t="inlineStr">
        <is>
          <t>128-01955025075830026</t>
        </is>
      </c>
      <c r="E1808" s="16" t="inlineStr">
        <is>
          <t>Delivered</t>
        </is>
      </c>
      <c r="F1808" s="16" t="inlineStr">
        <is>
          <t>B03W10-10PZS</t>
        </is>
      </c>
      <c r="G180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808" s="16" t="inlineStr">
        <is>
          <t>B03W10</t>
        </is>
      </c>
      <c r="I1808" s="16" t="n">
        <v>1</v>
      </c>
      <c r="J1808" s="17" t="n">
        <v>70</v>
      </c>
      <c r="K1808" s="17" t="n">
        <v>82.94</v>
      </c>
      <c r="L1808" s="17" t="n">
        <v>25.86</v>
      </c>
      <c r="M1808" s="17" t="n">
        <v>0</v>
      </c>
      <c r="N1808" s="17">
        <f>K1808*0.08+L1808*0.08</f>
        <v/>
      </c>
      <c r="O1808" s="17">
        <f>-(K1808*0.025+L1808*0.025)</f>
        <v/>
      </c>
      <c r="P1808" s="17">
        <f>32</f>
        <v/>
      </c>
      <c r="Q1808" s="17">
        <f>J1808+L1808+N1808+O1808-P1808-M1808</f>
        <v/>
      </c>
    </row>
    <row r="1809">
      <c r="A1809" s="16" t="inlineStr">
        <is>
          <t>5.15-5.21</t>
        </is>
      </c>
      <c r="B1809" s="16" t="inlineStr">
        <is>
          <t>PO-128-01827602622071811</t>
        </is>
      </c>
      <c r="C1809" s="16" t="inlineStr">
        <is>
          <t>Delivered</t>
        </is>
      </c>
      <c r="D1809" s="16" t="inlineStr">
        <is>
          <t>128-01827644565111811</t>
        </is>
      </c>
      <c r="E1809" s="16" t="inlineStr">
        <is>
          <t>Delivered</t>
        </is>
      </c>
      <c r="F1809" s="16" t="inlineStr">
        <is>
          <t>KTS-2031</t>
        </is>
      </c>
      <c r="G1809" s="16" t="inlineStr">
        <is>
          <t>Bocina inalámbrica de 3 pulgadas con linterna multifuncional y panel solar integrado.Altavoz Portátil con Linterna LED 4 Modos, Radio FM, Bluetooth, Carga Solar, Ideal para Apagones, Emergencias, Campo y Exteriores</t>
        </is>
      </c>
      <c r="H1809" s="16" t="inlineStr">
        <is>
          <t>NEGRO</t>
        </is>
      </c>
      <c r="I1809" s="16" t="n">
        <v>1</v>
      </c>
      <c r="J1809" s="17" t="n">
        <v>78</v>
      </c>
      <c r="K1809" s="17" t="n">
        <v>87.22</v>
      </c>
      <c r="L1809" s="17" t="n">
        <v>25.86</v>
      </c>
      <c r="M1809" s="17" t="n">
        <v>0</v>
      </c>
      <c r="N1809" s="17">
        <f>K1809*0.08+L1809*0.08</f>
        <v/>
      </c>
      <c r="O1809" s="17">
        <f>-(K1809*0.025+L1809*0.025)</f>
        <v/>
      </c>
      <c r="P1809" s="17">
        <f>32</f>
        <v/>
      </c>
      <c r="Q1809" s="17">
        <f>J1809+L1809+N1809+O1809-P1809-M1809</f>
        <v/>
      </c>
    </row>
    <row r="1810">
      <c r="A1810" s="16" t="inlineStr">
        <is>
          <t>5.15-5.21</t>
        </is>
      </c>
      <c r="B1810" s="16" t="inlineStr">
        <is>
          <t>PO-128-01961100979830055</t>
        </is>
      </c>
      <c r="C1810" s="16" t="inlineStr">
        <is>
          <t>Delivered</t>
        </is>
      </c>
      <c r="D1810" s="16" t="inlineStr">
        <is>
          <t>128-01961237294710055</t>
        </is>
      </c>
      <c r="E1810" s="16" t="inlineStr">
        <is>
          <t>Delivered</t>
        </is>
      </c>
      <c r="F1810" s="16" t="inlineStr">
        <is>
          <t>KTS-2031</t>
        </is>
      </c>
      <c r="G1810" s="16" t="inlineStr">
        <is>
          <t>Bocina inalámbrica de 3 pulgadas con linterna multifuncional y panel solar integrado.Altavoz Portátil con Linterna LED 4 Modos, Radio FM, Bluetooth, Carga Solar, Ideal para Apagones, Emergencias, Campo y Exteriores</t>
        </is>
      </c>
      <c r="H1810" s="16" t="inlineStr">
        <is>
          <t>NEGRO</t>
        </is>
      </c>
      <c r="I1810" s="16" t="n">
        <v>1</v>
      </c>
      <c r="J1810" s="17" t="n">
        <v>78</v>
      </c>
      <c r="K1810" s="17" t="n">
        <v>87.22</v>
      </c>
      <c r="L1810" s="17" t="n">
        <v>25.86</v>
      </c>
      <c r="M1810" s="17" t="n">
        <v>0</v>
      </c>
      <c r="N1810" s="17">
        <f>K1810*0.08+L1810*0.08</f>
        <v/>
      </c>
      <c r="O1810" s="17">
        <f>-(K1810*0.025+L1810*0.025)</f>
        <v/>
      </c>
      <c r="P1810" s="17">
        <f>32</f>
        <v/>
      </c>
      <c r="Q1810" s="17">
        <f>J1810+L1810+N1810+O1810-P1810-M1810</f>
        <v/>
      </c>
    </row>
    <row r="1811">
      <c r="A1811" s="16" t="inlineStr">
        <is>
          <t>5.15-5.21</t>
        </is>
      </c>
      <c r="B1811" s="16" t="inlineStr">
        <is>
          <t>PO-128-01900536177270478</t>
        </is>
      </c>
      <c r="C1811" s="16" t="inlineStr">
        <is>
          <t>Delivered</t>
        </is>
      </c>
      <c r="D1811" s="16" t="inlineStr">
        <is>
          <t>128-01900546663030478</t>
        </is>
      </c>
      <c r="E1811" s="16" t="inlineStr">
        <is>
          <t>Delivered</t>
        </is>
      </c>
      <c r="F1811" s="16" t="inlineStr">
        <is>
          <t>LV54W25</t>
        </is>
      </c>
      <c r="G1811" s="16" t="inlineStr">
        <is>
          <t>TIANLAI Lámpara Ventilador E27 2 en 1, Silenciosa, LED Alta Luminosidad 180°, Instalación Rápida, Ahorro Energético para Dormitorio y Interiores Pequeños</t>
        </is>
      </c>
      <c r="H1811" s="16" t="inlineStr">
        <is>
          <t>1 Pieza</t>
        </is>
      </c>
      <c r="I1811" s="16" t="n">
        <v>3</v>
      </c>
      <c r="J1811" s="17" t="n">
        <v>227.4</v>
      </c>
      <c r="K1811" s="17" t="n">
        <v>233.58</v>
      </c>
      <c r="L1811" s="17" t="n">
        <v>0</v>
      </c>
      <c r="M1811" s="17" t="n">
        <v>0</v>
      </c>
      <c r="N1811" s="17">
        <f>K1811*0.08+L1811*0.08</f>
        <v/>
      </c>
      <c r="O1811" s="17">
        <f>-(K1811*0.025+L1811*0.025)</f>
        <v/>
      </c>
      <c r="P1811" s="17">
        <f>32</f>
        <v/>
      </c>
      <c r="Q1811" s="17">
        <f>J1811+L1811+N1811+O1811-P1811-M1811</f>
        <v/>
      </c>
    </row>
    <row r="1812">
      <c r="A1812" s="16" t="inlineStr">
        <is>
          <t>5.15-5.21</t>
        </is>
      </c>
      <c r="B1812" s="16" t="inlineStr">
        <is>
          <t>PO-128-01791825290871062</t>
        </is>
      </c>
      <c r="C1812" s="16" t="inlineStr">
        <is>
          <t>Delivered</t>
        </is>
      </c>
      <c r="D1812" s="16" t="inlineStr">
        <is>
          <t>128-01791856748151062</t>
        </is>
      </c>
      <c r="E1812" s="16" t="inlineStr">
        <is>
          <t>Delivered</t>
        </is>
      </c>
      <c r="F1812" s="16" t="inlineStr">
        <is>
          <t>LV54W25</t>
        </is>
      </c>
      <c r="G1812" s="16" t="inlineStr">
        <is>
          <t>TIANLAI Lámpara Ventilador E27 2 en 1, Silenciosa, LED Alta Luminosidad 180°, Instalación Rápida, Ahorro Energético para Dormitorio y Interiores Pequeños</t>
        </is>
      </c>
      <c r="H1812" s="16" t="inlineStr">
        <is>
          <t>1 Pieza</t>
        </is>
      </c>
      <c r="I1812" s="16" t="n">
        <v>1</v>
      </c>
      <c r="J1812" s="17" t="n">
        <v>75.8</v>
      </c>
      <c r="K1812" s="17" t="n">
        <v>77.86</v>
      </c>
      <c r="L1812" s="17" t="n">
        <v>25.86</v>
      </c>
      <c r="M1812" s="17" t="n">
        <v>0</v>
      </c>
      <c r="N1812" s="17">
        <f>K1812*0.08+L1812*0.08</f>
        <v/>
      </c>
      <c r="O1812" s="17">
        <f>-(K1812*0.025+L1812*0.025)</f>
        <v/>
      </c>
      <c r="P1812" s="17">
        <f>32</f>
        <v/>
      </c>
      <c r="Q1812" s="17">
        <f>J1812+L1812+N1812+O1812-P1812-M1812</f>
        <v/>
      </c>
    </row>
    <row r="1813">
      <c r="A1813" s="16" t="inlineStr">
        <is>
          <t>5.15-5.21</t>
        </is>
      </c>
      <c r="B1813" s="16" t="inlineStr">
        <is>
          <t>PO-128-01814584766071953</t>
        </is>
      </c>
      <c r="C1813" s="16" t="inlineStr">
        <is>
          <t>Delivered</t>
        </is>
      </c>
      <c r="D1813" s="16" t="inlineStr">
        <is>
          <t>128-01814542823031953</t>
        </is>
      </c>
      <c r="E1813" s="16" t="inlineStr">
        <is>
          <t>Delivered</t>
        </is>
      </c>
      <c r="F1813" s="16" t="inlineStr">
        <is>
          <t>LV54W25</t>
        </is>
      </c>
      <c r="G1813" s="16" t="inlineStr">
        <is>
          <t>TIANLAI Lámpara Ventilador E27 2 en 1, Silenciosa, LED Alta Luminosidad 180°, Instalación Rápida, Ahorro Energético para Dormitorio y Interiores Pequeños</t>
        </is>
      </c>
      <c r="H1813" s="16" t="inlineStr">
        <is>
          <t>1 Pieza</t>
        </is>
      </c>
      <c r="I1813" s="16" t="n">
        <v>1</v>
      </c>
      <c r="J1813" s="17" t="n">
        <v>75.8</v>
      </c>
      <c r="K1813" s="17" t="n">
        <v>77.86</v>
      </c>
      <c r="L1813" s="17" t="n">
        <v>25.86</v>
      </c>
      <c r="M1813" s="17" t="n">
        <v>0</v>
      </c>
      <c r="N1813" s="17">
        <f>K1813*0.08+L1813*0.08</f>
        <v/>
      </c>
      <c r="O1813" s="17">
        <f>-(K1813*0.025+L1813*0.025)</f>
        <v/>
      </c>
      <c r="P1813" s="17">
        <f>32</f>
        <v/>
      </c>
      <c r="Q1813" s="17">
        <f>J1813+L1813+N1813+O1813-P1813-M1813</f>
        <v/>
      </c>
    </row>
    <row r="1814">
      <c r="A1814" s="16" t="inlineStr">
        <is>
          <t>5.15-5.21</t>
        </is>
      </c>
      <c r="B1814" s="16" t="inlineStr">
        <is>
          <t>PO-128-01443917261433072</t>
        </is>
      </c>
      <c r="C1814" s="16" t="inlineStr">
        <is>
          <t>Delivered</t>
        </is>
      </c>
      <c r="D1814" s="16" t="inlineStr">
        <is>
          <t>128-01443959204473072</t>
        </is>
      </c>
      <c r="E1814" s="16" t="inlineStr">
        <is>
          <t>Delivered</t>
        </is>
      </c>
      <c r="F1814" s="16" t="inlineStr">
        <is>
          <t>KTS-2031</t>
        </is>
      </c>
      <c r="G1814" s="16" t="inlineStr">
        <is>
          <t>Bocina inalámbrica de 3 pulgadas con linterna multifuncional y panel solar integrado.Altavoz Portátil con Linterna LED 4 Modos, Radio FM, Bluetooth, Carga Solar, Ideal para Apagones, Emergencias, Campo y Exteriores</t>
        </is>
      </c>
      <c r="H1814" s="16" t="inlineStr">
        <is>
          <t>NEGRO</t>
        </is>
      </c>
      <c r="I1814" s="16" t="n">
        <v>1</v>
      </c>
      <c r="J1814" s="17" t="n">
        <v>78</v>
      </c>
      <c r="K1814" s="17" t="n">
        <v>44.12</v>
      </c>
      <c r="L1814" s="17" t="n">
        <v>25.86</v>
      </c>
      <c r="M1814" s="17" t="n">
        <v>0</v>
      </c>
      <c r="N1814" s="17">
        <f>K1814*0.08+L1814*0.08</f>
        <v/>
      </c>
      <c r="O1814" s="17">
        <f>-(K1814*0.025+L1814*0.025)</f>
        <v/>
      </c>
      <c r="P1814" s="17">
        <f>32</f>
        <v/>
      </c>
      <c r="Q1814" s="17">
        <f>J1814+L1814+N1814+O1814-P1814-M1814</f>
        <v/>
      </c>
    </row>
    <row r="1815">
      <c r="A1815" s="16" t="inlineStr">
        <is>
          <t>5.15-5.21</t>
        </is>
      </c>
      <c r="B1815" s="16" t="inlineStr">
        <is>
          <t>PO-128-01380716846713515</t>
        </is>
      </c>
      <c r="C1815" s="16" t="inlineStr">
        <is>
          <t>Delivered</t>
        </is>
      </c>
      <c r="D1815" s="16" t="inlineStr">
        <is>
          <t>128-01380737818233515</t>
        </is>
      </c>
      <c r="E1815" s="16" t="inlineStr">
        <is>
          <t>Delivered</t>
        </is>
      </c>
      <c r="F1815" s="16" t="inlineStr">
        <is>
          <t>LV64W25</t>
        </is>
      </c>
      <c r="G18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15" s="16" t="inlineStr">
        <is>
          <t>Blanco</t>
        </is>
      </c>
      <c r="I1815" s="16" t="n">
        <v>3</v>
      </c>
      <c r="J1815" s="17" t="n">
        <v>357</v>
      </c>
      <c r="K1815" s="17" t="n">
        <v>411.78</v>
      </c>
      <c r="L1815" s="17" t="n">
        <v>0</v>
      </c>
      <c r="M1815" s="17" t="n">
        <v>0</v>
      </c>
      <c r="N1815" s="17">
        <f>K1815*0.08+L1815*0.08</f>
        <v/>
      </c>
      <c r="O1815" s="17">
        <f>-(K1815*0.025+L1815*0.025)</f>
        <v/>
      </c>
      <c r="P1815" s="17">
        <f>32</f>
        <v/>
      </c>
      <c r="Q1815" s="17">
        <f>J1815+L1815+N1815+O1815-P1815-M1815</f>
        <v/>
      </c>
    </row>
    <row r="1816">
      <c r="A1816" s="16" t="inlineStr">
        <is>
          <t>5.15-5.21</t>
        </is>
      </c>
      <c r="B1816" s="16" t="inlineStr">
        <is>
          <t>PO-128-01810925235831975</t>
        </is>
      </c>
      <c r="C1816" s="16" t="inlineStr">
        <is>
          <t>Delivered</t>
        </is>
      </c>
      <c r="D1816" s="16" t="inlineStr">
        <is>
          <t>128-01810883292791975</t>
        </is>
      </c>
      <c r="E1816" s="16" t="inlineStr">
        <is>
          <t>Delivered</t>
        </is>
      </c>
      <c r="F1816" s="16" t="inlineStr">
        <is>
          <t>LV54W25</t>
        </is>
      </c>
      <c r="G1816" s="16" t="inlineStr">
        <is>
          <t>TIANLAI Lámpara Ventilador E27 2 en 1, Silenciosa, LED Alta Luminosidad 180°, Instalación Rápida, Ahorro Energético para Dormitorio y Interiores Pequeños</t>
        </is>
      </c>
      <c r="H1816" s="16" t="inlineStr">
        <is>
          <t>1 Pieza</t>
        </is>
      </c>
      <c r="I1816" s="16" t="n">
        <v>2</v>
      </c>
      <c r="J1816" s="17" t="n">
        <v>151.6</v>
      </c>
      <c r="K1816" s="17" t="n">
        <v>155.72</v>
      </c>
      <c r="L1816" s="17" t="n">
        <v>25.86</v>
      </c>
      <c r="M1816" s="17" t="n">
        <v>0</v>
      </c>
      <c r="N1816" s="17">
        <f>K1816*0.08+L1816*0.08</f>
        <v/>
      </c>
      <c r="O1816" s="17">
        <f>-(K1816*0.025+L1816*0.025)</f>
        <v/>
      </c>
      <c r="P1816" s="17">
        <f>32</f>
        <v/>
      </c>
      <c r="Q1816" s="17">
        <f>J1816+L1816+N1816+O1816-P1816-M1816</f>
        <v/>
      </c>
    </row>
    <row r="1817">
      <c r="A1817" s="16" t="inlineStr">
        <is>
          <t>5.15-5.21</t>
        </is>
      </c>
      <c r="B1817" s="16" t="inlineStr">
        <is>
          <t>PO-128-01807265029751930</t>
        </is>
      </c>
      <c r="C1817" s="16" t="inlineStr">
        <is>
          <t>Delivered</t>
        </is>
      </c>
      <c r="D1817" s="16" t="inlineStr">
        <is>
          <t>128-01807282069111930</t>
        </is>
      </c>
      <c r="E1817" s="16" t="inlineStr">
        <is>
          <t>Delivered</t>
        </is>
      </c>
      <c r="F1817" s="16" t="inlineStr">
        <is>
          <t>LV64W25</t>
        </is>
      </c>
      <c r="G18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17" s="16" t="inlineStr">
        <is>
          <t>Blanco</t>
        </is>
      </c>
      <c r="I1817" s="16" t="n">
        <v>1</v>
      </c>
      <c r="J1817" s="17" t="n">
        <v>119</v>
      </c>
      <c r="K1817" s="17" t="n">
        <v>125.7</v>
      </c>
      <c r="L1817" s="17" t="n">
        <v>25.86</v>
      </c>
      <c r="M1817" s="17" t="n">
        <v>0</v>
      </c>
      <c r="N1817" s="17">
        <f>K1817*0.08+L1817*0.08</f>
        <v/>
      </c>
      <c r="O1817" s="17">
        <f>-(K1817*0.025+L1817*0.025)</f>
        <v/>
      </c>
      <c r="P1817" s="17">
        <f>32</f>
        <v/>
      </c>
      <c r="Q1817" s="17">
        <f>J1817+L1817+N1817+O1817-P1817-M1817</f>
        <v/>
      </c>
    </row>
    <row r="1818">
      <c r="A1818" s="16" t="inlineStr">
        <is>
          <t>5.15-5.21</t>
        </is>
      </c>
      <c r="B1818" s="16" t="inlineStr">
        <is>
          <t>PO-128-01601911409272258</t>
        </is>
      </c>
      <c r="C1818" s="16" t="inlineStr">
        <is>
          <t>Delivered</t>
        </is>
      </c>
      <c r="D1818" s="16" t="inlineStr">
        <is>
          <t>128-01601928448632258</t>
        </is>
      </c>
      <c r="E1818" s="16" t="inlineStr">
        <is>
          <t>Delivered</t>
        </is>
      </c>
      <c r="F1818" s="16" t="inlineStr">
        <is>
          <t>LV54W25</t>
        </is>
      </c>
      <c r="G1818" s="16" t="inlineStr">
        <is>
          <t>TIANLAI Lámpara Ventilador E27 2 en 1, Silenciosa, LED Alta Luminosidad 180°, Instalación Rápida, Ahorro Energético para Dormitorio y Interiores Pequeños</t>
        </is>
      </c>
      <c r="H1818" s="16" t="inlineStr">
        <is>
          <t>1 Pieza</t>
        </is>
      </c>
      <c r="I1818" s="16" t="n">
        <v>1</v>
      </c>
      <c r="J1818" s="17" t="n">
        <v>75.8</v>
      </c>
      <c r="K1818" s="17" t="n">
        <v>60.51</v>
      </c>
      <c r="L1818" s="17" t="n">
        <v>25.86</v>
      </c>
      <c r="M1818" s="17" t="n">
        <v>0</v>
      </c>
      <c r="N1818" s="17">
        <f>K1818*0.08+L1818*0.08</f>
        <v/>
      </c>
      <c r="O1818" s="17">
        <f>-(K1818*0.025+L1818*0.025)</f>
        <v/>
      </c>
      <c r="P1818" s="17">
        <f>32</f>
        <v/>
      </c>
      <c r="Q1818" s="17">
        <f>J1818+L1818+N1818+O1818-P1818-M1818</f>
        <v/>
      </c>
    </row>
    <row r="1819">
      <c r="A1819" s="16" t="inlineStr">
        <is>
          <t>5.15-5.21</t>
        </is>
      </c>
      <c r="B1819" s="16" t="inlineStr">
        <is>
          <t>PO-128-01688518405752766</t>
        </is>
      </c>
      <c r="C1819" s="16" t="inlineStr">
        <is>
          <t>Delivered</t>
        </is>
      </c>
      <c r="D1819" s="16" t="inlineStr">
        <is>
          <t>128-01688471219832766</t>
        </is>
      </c>
      <c r="E1819" s="16" t="inlineStr">
        <is>
          <t>Delivered</t>
        </is>
      </c>
      <c r="F1819" s="16" t="inlineStr">
        <is>
          <t>LV54W25</t>
        </is>
      </c>
      <c r="G1819" s="16" t="inlineStr">
        <is>
          <t>TIANLAI Lámpara Ventilador E27 2 en 1, Silenciosa, LED Alta Luminosidad 180°, Instalación Rápida, Ahorro Energético para Dormitorio y Interiores Pequeños</t>
        </is>
      </c>
      <c r="H1819" s="16" t="inlineStr">
        <is>
          <t>1 Pieza</t>
        </is>
      </c>
      <c r="I1819" s="16" t="n">
        <v>1</v>
      </c>
      <c r="J1819" s="17" t="n">
        <v>75.8</v>
      </c>
      <c r="K1819" s="17" t="n">
        <v>77.86</v>
      </c>
      <c r="L1819" s="17" t="n">
        <v>25.86</v>
      </c>
      <c r="M1819" s="17" t="n">
        <v>0</v>
      </c>
      <c r="N1819" s="17">
        <f>K1819*0.08+L1819*0.08</f>
        <v/>
      </c>
      <c r="O1819" s="17">
        <f>-(K1819*0.025+L1819*0.025)</f>
        <v/>
      </c>
      <c r="P1819" s="17">
        <f>32</f>
        <v/>
      </c>
      <c r="Q1819" s="17">
        <f>J1819+L1819+N1819+O1819-P1819-M1819</f>
        <v/>
      </c>
    </row>
    <row r="1820">
      <c r="A1820" s="16" t="inlineStr">
        <is>
          <t>5.15-5.21</t>
        </is>
      </c>
      <c r="B1820" s="16" t="inlineStr">
        <is>
          <t>PO-128-01733025807991479</t>
        </is>
      </c>
      <c r="C1820" s="16" t="inlineStr">
        <is>
          <t>Delivered</t>
        </is>
      </c>
      <c r="D1820" s="16" t="inlineStr">
        <is>
          <t>128-01733046779511479</t>
        </is>
      </c>
      <c r="E1820" s="16" t="inlineStr">
        <is>
          <t>Delivered</t>
        </is>
      </c>
      <c r="F1820" s="16" t="inlineStr">
        <is>
          <t>BSC07</t>
        </is>
      </c>
      <c r="G1820" s="16" t="inlineStr">
        <is>
          <t>TIANLAI Báscula Digital BSC04/BSC07, Alta Precisión, Fácil Operación, Ligera y Portátil, Función Tara, Unidad Dual oz/g, Ideal para Cocina, Control de Porciones, Sellos y Objetos Pequeños, Uso en Hogar y Viaje</t>
        </is>
      </c>
      <c r="H1820" s="16" t="inlineStr">
        <is>
          <t>1g/White</t>
        </is>
      </c>
      <c r="I1820" s="16" t="n">
        <v>1</v>
      </c>
      <c r="J1820" s="17" t="n">
        <v>38</v>
      </c>
      <c r="K1820" s="17" t="n">
        <v>7.12</v>
      </c>
      <c r="L1820" s="17" t="n">
        <v>25.86</v>
      </c>
      <c r="M1820" s="17" t="n">
        <v>0</v>
      </c>
      <c r="N1820" s="17">
        <f>K1820*0.08+L1820*0.08</f>
        <v/>
      </c>
      <c r="O1820" s="17">
        <f>-(K1820*0.025+L1820*0.025)</f>
        <v/>
      </c>
      <c r="P1820" s="17">
        <f>32</f>
        <v/>
      </c>
      <c r="Q1820" s="17">
        <f>J1820+L1820+N1820+O1820-P1820-M1820</f>
        <v/>
      </c>
    </row>
    <row r="1821">
      <c r="A1821" s="16" t="inlineStr">
        <is>
          <t>5.15-5.21</t>
        </is>
      </c>
      <c r="B1821" s="16" t="inlineStr">
        <is>
          <t>PO-128-01866068321911772</t>
        </is>
      </c>
      <c r="C1821" s="16" t="inlineStr">
        <is>
          <t>Delivered</t>
        </is>
      </c>
      <c r="D1821" s="16" t="inlineStr">
        <is>
          <t>128-01866089293431772</t>
        </is>
      </c>
      <c r="E1821" s="16" t="inlineStr">
        <is>
          <t>Delivered</t>
        </is>
      </c>
      <c r="F1821" s="16" t="inlineStr">
        <is>
          <t>VB349T</t>
        </is>
      </c>
      <c r="G1821" s="16" t="inlineStr">
        <is>
          <t>LINKBITS Altavoz Portátil de Doble Altavoz - 3 Pulgadas, Sonido HD, Emparejamiento Rápido de Bluetooth, Conectividad TWS, Reproducción Multimodo (Micro SD/USB/Radio FM) - Perfecto para Oficina, Viajes y Espacios Pequeños</t>
        </is>
      </c>
      <c r="H1821" s="16" t="inlineStr">
        <is>
          <t>NEGRO</t>
        </is>
      </c>
      <c r="I1821" s="16" t="n">
        <v>1</v>
      </c>
      <c r="J1821" s="17" t="n">
        <v>81</v>
      </c>
      <c r="K1821" s="17" t="n">
        <v>94.25</v>
      </c>
      <c r="L1821" s="17" t="n">
        <v>25.86</v>
      </c>
      <c r="M1821" s="17" t="n">
        <v>0</v>
      </c>
      <c r="N1821" s="17">
        <f>K1821*0.08+L1821*0.08</f>
        <v/>
      </c>
      <c r="O1821" s="17">
        <f>-(K1821*0.025+L1821*0.025)</f>
        <v/>
      </c>
      <c r="P1821" s="17">
        <f>32</f>
        <v/>
      </c>
      <c r="Q1821" s="17">
        <f>J1821+L1821+N1821+O1821-P1821-M1821</f>
        <v/>
      </c>
    </row>
    <row r="1822">
      <c r="A1822" s="16" t="inlineStr">
        <is>
          <t>5.15-5.21</t>
        </is>
      </c>
      <c r="B1822" s="16" t="inlineStr">
        <is>
          <t>PO-128-01476848922234092</t>
        </is>
      </c>
      <c r="C1822" s="16" t="inlineStr">
        <is>
          <t>Delivered</t>
        </is>
      </c>
      <c r="D1822" s="16" t="inlineStr">
        <is>
          <t>128-01476869893754092</t>
        </is>
      </c>
      <c r="E1822" s="16" t="inlineStr">
        <is>
          <t>Delivered</t>
        </is>
      </c>
      <c r="F1822" s="16" t="inlineStr">
        <is>
          <t>LV54W25</t>
        </is>
      </c>
      <c r="G1822" s="16" t="inlineStr">
        <is>
          <t>TIANLAI Lámpara Ventilador E27 2 en 1, Silenciosa, LED Alta Luminosidad 180°, Instalación Rápida, Ahorro Energético para Dormitorio y Interiores Pequeños</t>
        </is>
      </c>
      <c r="H1822" s="16" t="inlineStr">
        <is>
          <t>1 Pieza</t>
        </is>
      </c>
      <c r="I1822" s="16" t="n">
        <v>3</v>
      </c>
      <c r="J1822" s="17" t="n">
        <v>227.4</v>
      </c>
      <c r="K1822" s="17" t="n">
        <v>233.58</v>
      </c>
      <c r="L1822" s="17" t="n">
        <v>0</v>
      </c>
      <c r="M1822" s="17" t="n">
        <v>0</v>
      </c>
      <c r="N1822" s="17">
        <f>K1822*0.08+L1822*0.08</f>
        <v/>
      </c>
      <c r="O1822" s="17">
        <f>-(K1822*0.025+L1822*0.025)</f>
        <v/>
      </c>
      <c r="P1822" s="17">
        <f>32</f>
        <v/>
      </c>
      <c r="Q1822" s="17">
        <f>J1822+L1822+N1822+O1822-P1822-M1822</f>
        <v/>
      </c>
    </row>
    <row r="1823">
      <c r="A1823" s="16" t="inlineStr">
        <is>
          <t>5.15-5.21</t>
        </is>
      </c>
      <c r="B1823" s="16" t="inlineStr">
        <is>
          <t>PO-128-01396433628793357</t>
        </is>
      </c>
      <c r="C1823" s="16" t="inlineStr">
        <is>
          <t>Delivered</t>
        </is>
      </c>
      <c r="D1823" s="16" t="inlineStr">
        <is>
          <t>128-01396391685753357</t>
        </is>
      </c>
      <c r="E1823" s="16" t="inlineStr">
        <is>
          <t>Delivered</t>
        </is>
      </c>
      <c r="F1823" s="16" t="inlineStr">
        <is>
          <t>LV54W25</t>
        </is>
      </c>
      <c r="G1823" s="16" t="inlineStr">
        <is>
          <t>TIANLAI Lámpara Ventilador E27 2 en 1, Silenciosa, LED Alta Luminosidad 180°, Instalación Rápida, Ahorro Energético para Dormitorio y Interiores Pequeños</t>
        </is>
      </c>
      <c r="H1823" s="16" t="inlineStr">
        <is>
          <t>1 Pieza</t>
        </is>
      </c>
      <c r="I1823" s="16" t="n">
        <v>1</v>
      </c>
      <c r="J1823" s="17" t="n">
        <v>75.8</v>
      </c>
      <c r="K1823" s="17" t="n">
        <v>77.86</v>
      </c>
      <c r="L1823" s="17" t="n">
        <v>25.86</v>
      </c>
      <c r="M1823" s="17" t="n">
        <v>0</v>
      </c>
      <c r="N1823" s="17">
        <f>K1823*0.08+L1823*0.08</f>
        <v/>
      </c>
      <c r="O1823" s="17">
        <f>-(K1823*0.025+L1823*0.025)</f>
        <v/>
      </c>
      <c r="P1823" s="17">
        <f>32</f>
        <v/>
      </c>
      <c r="Q1823" s="17">
        <f>J1823+L1823+N1823+O1823-P1823-M1823</f>
        <v/>
      </c>
    </row>
    <row r="1824">
      <c r="A1824" s="16" t="inlineStr">
        <is>
          <t>5.15-5.21</t>
        </is>
      </c>
      <c r="B1824" s="16" t="inlineStr">
        <is>
          <t>PO-128-01809963167351978</t>
        </is>
      </c>
      <c r="C1824" s="16" t="inlineStr">
        <is>
          <t>Delivered</t>
        </is>
      </c>
      <c r="D1824" s="16" t="inlineStr">
        <is>
          <t>128-01810068024951978</t>
        </is>
      </c>
      <c r="E1824" s="16" t="inlineStr">
        <is>
          <t>Delivered</t>
        </is>
      </c>
      <c r="F1824" s="16" t="inlineStr">
        <is>
          <t>TLCD04-10P-R</t>
        </is>
      </c>
      <c r="G182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824" s="16" t="inlineStr">
        <is>
          <t>ROJO/pantalla de 10.5 pulgadas</t>
        </is>
      </c>
      <c r="I1824" s="16" t="n">
        <v>1</v>
      </c>
      <c r="J1824" s="17" t="n">
        <v>35</v>
      </c>
      <c r="K1824" s="17" t="n">
        <v>4.15</v>
      </c>
      <c r="L1824" s="17" t="n">
        <v>25.86</v>
      </c>
      <c r="M1824" s="17" t="n">
        <v>0</v>
      </c>
      <c r="N1824" s="17">
        <f>K1824*0.08+L1824*0.08</f>
        <v/>
      </c>
      <c r="O1824" s="17">
        <f>-(K1824*0.025+L1824*0.025)</f>
        <v/>
      </c>
      <c r="P1824" s="17">
        <f>32</f>
        <v/>
      </c>
      <c r="Q1824" s="17">
        <f>J1824+L1824+N1824+O1824-P1824-M1824</f>
        <v/>
      </c>
    </row>
    <row r="1825">
      <c r="A1825" s="16" t="inlineStr">
        <is>
          <t>5.15-5.21</t>
        </is>
      </c>
      <c r="B1825" s="16" t="inlineStr">
        <is>
          <t>PO-128-01463157581433983</t>
        </is>
      </c>
      <c r="C1825" s="16" t="inlineStr">
        <is>
          <t>Delivered</t>
        </is>
      </c>
      <c r="D1825" s="16" t="inlineStr">
        <is>
          <t>128-01463210010233983</t>
        </is>
      </c>
      <c r="E1825" s="16" t="inlineStr">
        <is>
          <t>Delivered</t>
        </is>
      </c>
      <c r="F1825" s="16" t="inlineStr">
        <is>
          <t>VB349T</t>
        </is>
      </c>
      <c r="G1825" s="16" t="inlineStr">
        <is>
          <t>LINKBITS Altavoz Portátil de Doble Altavoz - 3 Pulgadas, Sonido HD, Emparejamiento Rápido de Bluetooth, Conectividad TWS, Reproducción Multimodo (Micro SD/USB/Radio FM) - Perfecto para Oficina, Viajes y Espacios Pequeños</t>
        </is>
      </c>
      <c r="H1825" s="16" t="inlineStr">
        <is>
          <t>NEGRO</t>
        </is>
      </c>
      <c r="I1825" s="16" t="n">
        <v>1</v>
      </c>
      <c r="J1825" s="17" t="n">
        <v>81</v>
      </c>
      <c r="K1825" s="17" t="n">
        <v>94.25</v>
      </c>
      <c r="L1825" s="17" t="n">
        <v>25.86</v>
      </c>
      <c r="M1825" s="17" t="n">
        <v>0</v>
      </c>
      <c r="N1825" s="17">
        <f>K1825*0.08+L1825*0.08</f>
        <v/>
      </c>
      <c r="O1825" s="17">
        <f>-(K1825*0.025+L1825*0.025)</f>
        <v/>
      </c>
      <c r="P1825" s="17">
        <f>32</f>
        <v/>
      </c>
      <c r="Q1825" s="17">
        <f>J1825+L1825+N1825+O1825-P1825-M1825</f>
        <v/>
      </c>
    </row>
    <row r="1826">
      <c r="A1826" s="16" t="inlineStr">
        <is>
          <t>5.15-5.21</t>
        </is>
      </c>
      <c r="B1826" s="16" t="inlineStr">
        <is>
          <t>PO-128-01847663468151690</t>
        </is>
      </c>
      <c r="C1826" s="16" t="inlineStr">
        <is>
          <t>Delivered</t>
        </is>
      </c>
      <c r="D1826" s="16" t="inlineStr">
        <is>
          <t>128-01847621525111690</t>
        </is>
      </c>
      <c r="E1826" s="16" t="inlineStr">
        <is>
          <t>Delivered</t>
        </is>
      </c>
      <c r="F1826" s="16" t="inlineStr">
        <is>
          <t>LV64W25</t>
        </is>
      </c>
      <c r="G18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26" s="16" t="inlineStr">
        <is>
          <t>Blanco</t>
        </is>
      </c>
      <c r="I1826" s="16" t="n">
        <v>2</v>
      </c>
      <c r="J1826" s="17" t="n">
        <v>238</v>
      </c>
      <c r="K1826" s="17" t="n">
        <v>274.52</v>
      </c>
      <c r="L1826" s="17" t="n">
        <v>0</v>
      </c>
      <c r="M1826" s="17" t="n">
        <v>0</v>
      </c>
      <c r="N1826" s="17">
        <f>K1826*0.08+L1826*0.08</f>
        <v/>
      </c>
      <c r="O1826" s="17">
        <f>-(K1826*0.025+L1826*0.025)</f>
        <v/>
      </c>
      <c r="P1826" s="17">
        <f>32</f>
        <v/>
      </c>
      <c r="Q1826" s="17">
        <f>J1826+L1826+N1826+O1826-P1826-M1826</f>
        <v/>
      </c>
    </row>
    <row r="1827">
      <c r="A1827" s="16" t="inlineStr">
        <is>
          <t>5.15-5.21</t>
        </is>
      </c>
      <c r="B1827" s="16" t="inlineStr">
        <is>
          <t>PO-128-01410785347193398</t>
        </is>
      </c>
      <c r="C1827" s="16" t="inlineStr">
        <is>
          <t>Delivered</t>
        </is>
      </c>
      <c r="D1827" s="16" t="inlineStr">
        <is>
          <t>128-01410743404153398</t>
        </is>
      </c>
      <c r="E1827" s="16" t="inlineStr">
        <is>
          <t>Delivered</t>
        </is>
      </c>
      <c r="F1827" s="16" t="inlineStr">
        <is>
          <t>LV54W25</t>
        </is>
      </c>
      <c r="G1827" s="16" t="inlineStr">
        <is>
          <t>TIANLAI Lámpara Ventilador E27 2 en 1, Silenciosa, LED Alta Luminosidad 180°, Instalación Rápida, Ahorro Energético para Dormitorio y Interiores Pequeños</t>
        </is>
      </c>
      <c r="H1827" s="16" t="inlineStr">
        <is>
          <t>1 Pieza</t>
        </is>
      </c>
      <c r="I1827" s="16" t="n">
        <v>1</v>
      </c>
      <c r="J1827" s="17" t="n">
        <v>75.8</v>
      </c>
      <c r="K1827" s="17" t="n">
        <v>34.76</v>
      </c>
      <c r="L1827" s="17" t="n">
        <v>25.86</v>
      </c>
      <c r="M1827" s="17" t="n">
        <v>0</v>
      </c>
      <c r="N1827" s="17">
        <f>K1827*0.08+L1827*0.08</f>
        <v/>
      </c>
      <c r="O1827" s="17">
        <f>-(K1827*0.025+L1827*0.025)</f>
        <v/>
      </c>
      <c r="P1827" s="17">
        <f>32</f>
        <v/>
      </c>
      <c r="Q1827" s="17">
        <f>J1827+L1827+N1827+O1827-P1827-M1827</f>
        <v/>
      </c>
    </row>
    <row r="1828">
      <c r="A1828" s="16" t="inlineStr">
        <is>
          <t>5.15-5.21</t>
        </is>
      </c>
      <c r="B1828" s="16" t="inlineStr">
        <is>
          <t>PO-128-02001615160950772</t>
        </is>
      </c>
      <c r="C1828" s="16" t="inlineStr">
        <is>
          <t>Delivered</t>
        </is>
      </c>
      <c r="D1828" s="16" t="inlineStr">
        <is>
          <t>128-02001683318390772</t>
        </is>
      </c>
      <c r="E1828" s="16" t="inlineStr">
        <is>
          <t>Delivered</t>
        </is>
      </c>
      <c r="F1828" s="16" t="inlineStr">
        <is>
          <t>B03W10-10PZS</t>
        </is>
      </c>
      <c r="G182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828" s="16" t="inlineStr">
        <is>
          <t>B03W10</t>
        </is>
      </c>
      <c r="I1828" s="16" t="n">
        <v>3</v>
      </c>
      <c r="J1828" s="17" t="n">
        <v>210</v>
      </c>
      <c r="K1828" s="17" t="n">
        <v>163.61</v>
      </c>
      <c r="L1828" s="17" t="n">
        <v>25.86</v>
      </c>
      <c r="M1828" s="17" t="n">
        <v>0</v>
      </c>
      <c r="N1828" s="17">
        <f>K1828*0.08+L1828*0.08</f>
        <v/>
      </c>
      <c r="O1828" s="17">
        <f>-(K1828*0.025+L1828*0.025)</f>
        <v/>
      </c>
      <c r="P1828" s="17">
        <f>32</f>
        <v/>
      </c>
      <c r="Q1828" s="17">
        <f>J1828+L1828+N1828+O1828-P1828-M1828</f>
        <v/>
      </c>
    </row>
    <row r="1829">
      <c r="A1829" s="16" t="inlineStr">
        <is>
          <t>5.15-5.21</t>
        </is>
      </c>
      <c r="B1829" s="16" t="inlineStr">
        <is>
          <t>PO-128-01429172009593288</t>
        </is>
      </c>
      <c r="C1829" s="16" t="inlineStr">
        <is>
          <t>Delivered</t>
        </is>
      </c>
      <c r="D1829" s="16" t="inlineStr">
        <is>
          <t>128-01429248031353288</t>
        </is>
      </c>
      <c r="E1829" s="16" t="inlineStr">
        <is>
          <t>Delivered</t>
        </is>
      </c>
      <c r="F1829" s="16" t="inlineStr">
        <is>
          <t>LV64W25</t>
        </is>
      </c>
      <c r="G18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29" s="16" t="inlineStr">
        <is>
          <t>Blanco</t>
        </is>
      </c>
      <c r="I1829" s="16" t="n">
        <v>1</v>
      </c>
      <c r="J1829" s="17" t="n">
        <v>119</v>
      </c>
      <c r="K1829" s="17" t="n">
        <v>137.26</v>
      </c>
      <c r="L1829" s="17" t="n">
        <v>25.86</v>
      </c>
      <c r="M1829" s="17" t="n">
        <v>0</v>
      </c>
      <c r="N1829" s="17">
        <f>K1829*0.08+L1829*0.08</f>
        <v/>
      </c>
      <c r="O1829" s="17">
        <f>-(K1829*0.025+L1829*0.025)</f>
        <v/>
      </c>
      <c r="P1829" s="17">
        <f>32</f>
        <v/>
      </c>
      <c r="Q1829" s="17">
        <f>J1829+L1829+N1829+O1829-P1829-M1829</f>
        <v/>
      </c>
    </row>
    <row r="1830">
      <c r="A1830" s="16" t="inlineStr">
        <is>
          <t>5.15-5.21</t>
        </is>
      </c>
      <c r="B1830" s="16" t="inlineStr">
        <is>
          <t>PO-128-01835333965431829</t>
        </is>
      </c>
      <c r="C1830" s="16" t="inlineStr">
        <is>
          <t>Delivered</t>
        </is>
      </c>
      <c r="D1830" s="16" t="inlineStr">
        <is>
          <t>128-01835292022391829</t>
        </is>
      </c>
      <c r="E1830" s="16" t="inlineStr">
        <is>
          <t>Delivered</t>
        </is>
      </c>
      <c r="F1830" s="16" t="inlineStr">
        <is>
          <t>BG-115-B</t>
        </is>
      </c>
      <c r="G1830" s="16" t="inlineStr">
        <is>
          <t>LINK BITS Audífonos Inalámbricos con Luces Multicolor, Recargables y en Adorable Forma de Orejas de Gato - Conecta a Celulares y PCs, Tiene Radio FM, Tarjeta TF y AUX - 7 Horas de Reproducción, Plegables y Perfectos para Trabajo, Juegos y Estudio</t>
        </is>
      </c>
      <c r="H1830" s="16" t="inlineStr">
        <is>
          <t>blanco</t>
        </is>
      </c>
      <c r="I1830" s="16" t="n">
        <v>1</v>
      </c>
      <c r="J1830" s="17" t="n">
        <v>80</v>
      </c>
      <c r="K1830" s="17" t="n">
        <v>90.72</v>
      </c>
      <c r="L1830" s="17" t="n">
        <v>25.86</v>
      </c>
      <c r="M1830" s="17" t="n">
        <v>0</v>
      </c>
      <c r="N1830" s="17">
        <f>K1830*0.08+L1830*0.08</f>
        <v/>
      </c>
      <c r="O1830" s="17">
        <f>-(K1830*0.025+L1830*0.025)</f>
        <v/>
      </c>
      <c r="P1830" s="17">
        <f>32</f>
        <v/>
      </c>
      <c r="Q1830" s="17">
        <f>J1830+L1830+N1830+O1830-P1830-M1830</f>
        <v/>
      </c>
    </row>
    <row r="1831">
      <c r="A1831" s="16" t="inlineStr">
        <is>
          <t>5.15-5.21</t>
        </is>
      </c>
      <c r="B1831" s="16" t="inlineStr">
        <is>
          <t>PO-128-01939190769270184</t>
        </is>
      </c>
      <c r="C1831" s="16" t="inlineStr">
        <is>
          <t>Delivered</t>
        </is>
      </c>
      <c r="D1831" s="16" t="inlineStr">
        <is>
          <t>128-01939159311990184</t>
        </is>
      </c>
      <c r="E1831" s="16" t="inlineStr">
        <is>
          <t>Delivered</t>
        </is>
      </c>
      <c r="F1831" s="16" t="inlineStr">
        <is>
          <t>LV54W25</t>
        </is>
      </c>
      <c r="G1831" s="16" t="inlineStr">
        <is>
          <t>TIANLAI Lámpara Ventilador E27 2 en 1, Silenciosa, LED Alta Luminosidad 180°, Instalación Rápida, Ahorro Energético para Dormitorio y Interiores Pequeños</t>
        </is>
      </c>
      <c r="H1831" s="16" t="inlineStr">
        <is>
          <t>1 Pieza</t>
        </is>
      </c>
      <c r="I1831" s="16" t="n">
        <v>1</v>
      </c>
      <c r="J1831" s="17" t="n">
        <v>75.8</v>
      </c>
      <c r="K1831" s="17" t="n">
        <v>77.86</v>
      </c>
      <c r="L1831" s="17" t="n">
        <v>25.86</v>
      </c>
      <c r="M1831" s="17" t="n">
        <v>1.61</v>
      </c>
      <c r="N1831" s="17">
        <f>K1831*0.08+L1831*0.08</f>
        <v/>
      </c>
      <c r="O1831" s="17">
        <f>-(K1831*0.025+L1831*0.025)</f>
        <v/>
      </c>
      <c r="P1831" s="17">
        <f>32</f>
        <v/>
      </c>
      <c r="Q1831" s="17">
        <f>J1831+L1831+N1831+O1831-P1831-M1831</f>
        <v/>
      </c>
    </row>
    <row r="1832">
      <c r="A1832" s="16" t="inlineStr">
        <is>
          <t>5.15-5.21</t>
        </is>
      </c>
      <c r="B1832" s="16" t="inlineStr">
        <is>
          <t>PO-128-01652689132153044</t>
        </is>
      </c>
      <c r="C1832" s="16" t="inlineStr">
        <is>
          <t>Delivered</t>
        </is>
      </c>
      <c r="D1832" s="16" t="inlineStr">
        <is>
          <t>128-01652715346553044</t>
        </is>
      </c>
      <c r="E1832" s="16" t="inlineStr">
        <is>
          <t>Delivered</t>
        </is>
      </c>
      <c r="F1832" s="16" t="inlineStr">
        <is>
          <t>LV54W25</t>
        </is>
      </c>
      <c r="G1832" s="16" t="inlineStr">
        <is>
          <t>TIANLAI Lámpara Ventilador E27 2 en 1, Silenciosa, LED Alta Luminosidad 180°, Instalación Rápida, Ahorro Energético para Dormitorio y Interiores Pequeños</t>
        </is>
      </c>
      <c r="H1832" s="16" t="inlineStr">
        <is>
          <t>1 Pieza</t>
        </is>
      </c>
      <c r="I1832" s="16" t="n">
        <v>1</v>
      </c>
      <c r="J1832" s="17" t="n">
        <v>75.8</v>
      </c>
      <c r="K1832" s="17" t="n">
        <v>62.29</v>
      </c>
      <c r="L1832" s="17" t="n">
        <v>25.86</v>
      </c>
      <c r="M1832" s="17" t="n">
        <v>0</v>
      </c>
      <c r="N1832" s="17">
        <f>K1832*0.08+L1832*0.08</f>
        <v/>
      </c>
      <c r="O1832" s="17">
        <f>-(K1832*0.025+L1832*0.025)</f>
        <v/>
      </c>
      <c r="P1832" s="17">
        <f>32</f>
        <v/>
      </c>
      <c r="Q1832" s="17">
        <f>J1832+L1832+N1832+O1832-P1832-M1832</f>
        <v/>
      </c>
    </row>
    <row r="1833">
      <c r="A1833" s="16" t="inlineStr">
        <is>
          <t>5.15-5.21</t>
        </is>
      </c>
      <c r="B1833" s="16" t="inlineStr">
        <is>
          <t>PO-128-01868919260791565</t>
        </is>
      </c>
      <c r="C1833" s="16" t="inlineStr">
        <is>
          <t>Delivered</t>
        </is>
      </c>
      <c r="D1833" s="16" t="inlineStr">
        <is>
          <t>128-01868929255031565</t>
        </is>
      </c>
      <c r="E1833" s="16" t="inlineStr">
        <is>
          <t>Delivered</t>
        </is>
      </c>
      <c r="F1833" s="16" t="inlineStr">
        <is>
          <t>KTS-2031</t>
        </is>
      </c>
      <c r="G1833" s="16" t="inlineStr">
        <is>
          <t>Bocina inalámbrica de 3 pulgadas con linterna multifuncional y panel solar integrado.Altavoz Portátil con Linterna LED 4 Modos, Radio FM, Bluetooth, Carga Solar, Ideal para Apagones, Emergencias, Campo y Exteriores</t>
        </is>
      </c>
      <c r="H1833" s="16" t="inlineStr">
        <is>
          <t>NEGRO</t>
        </is>
      </c>
      <c r="I1833" s="16" t="n">
        <v>1</v>
      </c>
      <c r="J1833" s="17" t="n">
        <v>78</v>
      </c>
      <c r="K1833" s="17" t="n">
        <v>87.22</v>
      </c>
      <c r="L1833" s="17" t="n">
        <v>16.62</v>
      </c>
      <c r="M1833" s="17" t="n">
        <v>0</v>
      </c>
      <c r="N1833" s="17">
        <f>K1833*0.08+L1833*0.08</f>
        <v/>
      </c>
      <c r="O1833" s="17">
        <f>-(K1833*0.025+L1833*0.025)</f>
        <v/>
      </c>
      <c r="P1833" s="17">
        <f>32</f>
        <v/>
      </c>
      <c r="Q1833" s="17">
        <f>J1833+L1833+N1833+O1833-P1833-M1833</f>
        <v/>
      </c>
    </row>
    <row r="1834">
      <c r="A1834" s="16" t="inlineStr">
        <is>
          <t>5.15-5.21</t>
        </is>
      </c>
      <c r="B1834" s="16" t="inlineStr">
        <is>
          <t>PO-128-01868919260791565</t>
        </is>
      </c>
      <c r="C1834" s="16" t="inlineStr">
        <is>
          <t>Delivered</t>
        </is>
      </c>
      <c r="D1834" s="16" t="inlineStr">
        <is>
          <t>128-01868924012151565</t>
        </is>
      </c>
      <c r="E1834" s="16" t="inlineStr">
        <is>
          <t>Delivered</t>
        </is>
      </c>
      <c r="F1834" s="16" t="inlineStr">
        <is>
          <t>TL1412N17C</t>
        </is>
      </c>
      <c r="G1834" s="16" t="inlineStr">
        <is>
          <t>Linkbits, Soporte de Pared Fijo para TV y Monitor de 14"-43", Ultra Delgado 2.3cm, Fuerte Capacidad de Peso de 25KG, Fácil Instalación con Accesorios Completos</t>
        </is>
      </c>
      <c r="H1834" s="16" t="inlineStr">
        <is>
          <t>NEGRO</t>
        </is>
      </c>
      <c r="I1834" s="16" t="n">
        <v>1</v>
      </c>
      <c r="J1834" s="17" t="n">
        <v>36.84</v>
      </c>
      <c r="K1834" s="17" t="n">
        <v>48.53</v>
      </c>
      <c r="L1834" s="17" t="n">
        <v>9.24</v>
      </c>
      <c r="M1834" s="17" t="n">
        <v>0</v>
      </c>
      <c r="N1834" s="17">
        <f>K1834*0.08+L1834*0.08</f>
        <v/>
      </c>
      <c r="O1834" s="17">
        <f>-(K1834*0.025+L1834*0.025)</f>
        <v/>
      </c>
      <c r="P1834" s="17">
        <f>32</f>
        <v/>
      </c>
      <c r="Q1834" s="17">
        <f>J1834+L1834+N1834+O1834-P1834-M1834</f>
        <v/>
      </c>
    </row>
    <row r="1835">
      <c r="A1835" s="16" t="inlineStr">
        <is>
          <t>5.15-5.21</t>
        </is>
      </c>
      <c r="B1835" s="16" t="inlineStr">
        <is>
          <t>PO-128-01522811198073818</t>
        </is>
      </c>
      <c r="C1835" s="16" t="inlineStr">
        <is>
          <t>Delivered</t>
        </is>
      </c>
      <c r="D1835" s="16" t="inlineStr">
        <is>
          <t>128-01522790226553818</t>
        </is>
      </c>
      <c r="E1835" s="16" t="inlineStr">
        <is>
          <t>Delivered</t>
        </is>
      </c>
      <c r="F1835" s="16" t="inlineStr">
        <is>
          <t>LV54W25</t>
        </is>
      </c>
      <c r="G1835" s="16" t="inlineStr">
        <is>
          <t>TIANLAI Lámpara Ventilador E27 2 en 1, Silenciosa, LED Alta Luminosidad 180°, Instalación Rápida, Ahorro Energético para Dormitorio y Interiores Pequeños</t>
        </is>
      </c>
      <c r="H1835" s="16" t="inlineStr">
        <is>
          <t>1 Pieza</t>
        </is>
      </c>
      <c r="I1835" s="16" t="n">
        <v>1</v>
      </c>
      <c r="J1835" s="17" t="n">
        <v>75.8</v>
      </c>
      <c r="K1835" s="17" t="n">
        <v>77.86</v>
      </c>
      <c r="L1835" s="17" t="n">
        <v>25.86</v>
      </c>
      <c r="M1835" s="17" t="n">
        <v>0</v>
      </c>
      <c r="N1835" s="17">
        <f>K1835*0.08+L1835*0.08</f>
        <v/>
      </c>
      <c r="O1835" s="17">
        <f>-(K1835*0.025+L1835*0.025)</f>
        <v/>
      </c>
      <c r="P1835" s="17">
        <f>32</f>
        <v/>
      </c>
      <c r="Q1835" s="17">
        <f>J1835+L1835+N1835+O1835-P1835-M1835</f>
        <v/>
      </c>
    </row>
    <row r="1836">
      <c r="A1836" s="16" t="inlineStr">
        <is>
          <t>5.15-5.21</t>
        </is>
      </c>
      <c r="B1836" s="16" t="inlineStr">
        <is>
          <t>PO-128-01668165724792889</t>
        </is>
      </c>
      <c r="C1836" s="16" t="inlineStr">
        <is>
          <t>Delivered</t>
        </is>
      </c>
      <c r="D1836" s="16" t="inlineStr">
        <is>
          <t>128-01668181453432889</t>
        </is>
      </c>
      <c r="E1836" s="16" t="inlineStr">
        <is>
          <t>Delivered</t>
        </is>
      </c>
      <c r="F1836" s="16" t="inlineStr">
        <is>
          <t>KTS-2031</t>
        </is>
      </c>
      <c r="G1836" s="16" t="inlineStr">
        <is>
          <t>Bocina inalámbrica de 3 pulgadas con linterna multifuncional y panel solar integrado.Altavoz Portátil con Linterna LED 4 Modos, Radio FM, Bluetooth, Carga Solar, Ideal para Apagones, Emergencias, Campo y Exteriores</t>
        </is>
      </c>
      <c r="H1836" s="16" t="inlineStr">
        <is>
          <t>NEGRO</t>
        </is>
      </c>
      <c r="I1836" s="16" t="n">
        <v>1</v>
      </c>
      <c r="J1836" s="17" t="n">
        <v>78</v>
      </c>
      <c r="K1836" s="17" t="n">
        <v>87.22</v>
      </c>
      <c r="L1836" s="17" t="n">
        <v>25.86</v>
      </c>
      <c r="M1836" s="17" t="n">
        <v>0</v>
      </c>
      <c r="N1836" s="17">
        <f>K1836*0.08+L1836*0.08</f>
        <v/>
      </c>
      <c r="O1836" s="17">
        <f>-(K1836*0.025+L1836*0.025)</f>
        <v/>
      </c>
      <c r="P1836" s="17">
        <f>32</f>
        <v/>
      </c>
      <c r="Q1836" s="17">
        <f>J1836+L1836+N1836+O1836-P1836-M1836</f>
        <v/>
      </c>
    </row>
    <row r="1837">
      <c r="A1837" s="16" t="inlineStr">
        <is>
          <t>5.15-5.21</t>
        </is>
      </c>
      <c r="B1837" s="16" t="inlineStr">
        <is>
          <t>PO-128-01420620150393213</t>
        </is>
      </c>
      <c r="C1837" s="16" t="inlineStr">
        <is>
          <t>Delivered</t>
        </is>
      </c>
      <c r="D1837" s="16" t="inlineStr">
        <is>
          <t>128-01420688307833213</t>
        </is>
      </c>
      <c r="E1837" s="16" t="inlineStr">
        <is>
          <t>Delivered</t>
        </is>
      </c>
      <c r="F1837" s="16" t="inlineStr">
        <is>
          <t>LV64W25</t>
        </is>
      </c>
      <c r="G18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37" s="16" t="inlineStr">
        <is>
          <t>Blanco</t>
        </is>
      </c>
      <c r="I1837" s="16" t="n">
        <v>1</v>
      </c>
      <c r="J1837" s="17" t="n">
        <v>119</v>
      </c>
      <c r="K1837" s="17" t="n">
        <v>137.26</v>
      </c>
      <c r="L1837" s="17" t="n">
        <v>25.86</v>
      </c>
      <c r="M1837" s="17" t="n">
        <v>0</v>
      </c>
      <c r="N1837" s="17">
        <f>K1837*0.08+L1837*0.08</f>
        <v/>
      </c>
      <c r="O1837" s="17">
        <f>-(K1837*0.025+L1837*0.025)</f>
        <v/>
      </c>
      <c r="P1837" s="17">
        <f>32</f>
        <v/>
      </c>
      <c r="Q1837" s="17">
        <f>J1837+L1837+N1837+O1837-P1837-M1837</f>
        <v/>
      </c>
    </row>
    <row r="1838">
      <c r="A1838" s="16" t="inlineStr">
        <is>
          <t>5.15-5.21</t>
        </is>
      </c>
      <c r="B1838" s="16" t="inlineStr">
        <is>
          <t>PO-128-01637363118712945</t>
        </is>
      </c>
      <c r="C1838" s="16" t="inlineStr">
        <is>
          <t>Delivered</t>
        </is>
      </c>
      <c r="D1838" s="16" t="inlineStr">
        <is>
          <t>128-01637405061752945</t>
        </is>
      </c>
      <c r="E1838" s="16" t="inlineStr">
        <is>
          <t>Delivered</t>
        </is>
      </c>
      <c r="F1838" s="16" t="inlineStr">
        <is>
          <t>LV54W25</t>
        </is>
      </c>
      <c r="G1838" s="16" t="inlineStr">
        <is>
          <t>TIANLAI Lámpara Ventilador E27 2 en 1, Silenciosa, LED Alta Luminosidad 180°, Instalación Rápida, Ahorro Energético para Dormitorio y Interiores Pequeños</t>
        </is>
      </c>
      <c r="H1838" s="16" t="inlineStr">
        <is>
          <t>1 Pieza</t>
        </is>
      </c>
      <c r="I1838" s="16" t="n">
        <v>1</v>
      </c>
      <c r="J1838" s="17" t="n">
        <v>75.8</v>
      </c>
      <c r="K1838" s="17" t="n">
        <v>77.86</v>
      </c>
      <c r="L1838" s="17" t="n">
        <v>25.86</v>
      </c>
      <c r="M1838" s="17" t="n">
        <v>0</v>
      </c>
      <c r="N1838" s="17">
        <f>K1838*0.08+L1838*0.08</f>
        <v/>
      </c>
      <c r="O1838" s="17">
        <f>-(K1838*0.025+L1838*0.025)</f>
        <v/>
      </c>
      <c r="P1838" s="17">
        <f>32</f>
        <v/>
      </c>
      <c r="Q1838" s="17">
        <f>J1838+L1838+N1838+O1838-P1838-M1838</f>
        <v/>
      </c>
    </row>
    <row r="1839">
      <c r="A1839" s="16" t="inlineStr">
        <is>
          <t>5.15-5.21</t>
        </is>
      </c>
      <c r="B1839" s="16" t="inlineStr">
        <is>
          <t>PO-128-02043074135670527</t>
        </is>
      </c>
      <c r="C1839" s="16" t="inlineStr">
        <is>
          <t>Delivered</t>
        </is>
      </c>
      <c r="D1839" s="16" t="inlineStr">
        <is>
          <t>128-02043095107190527</t>
        </is>
      </c>
      <c r="E1839" s="16" t="inlineStr">
        <is>
          <t>Delivered</t>
        </is>
      </c>
      <c r="F1839" s="16" t="inlineStr">
        <is>
          <t>TL1455N20B</t>
        </is>
      </c>
      <c r="G1839" s="16" t="inlineStr">
        <is>
          <t>LINK BITS Soporte para TV 14 A 55 Pulgadas, Base para TV Pantalla Articulado Inclinable y Giratorio, MAX VESA 400×400 mm, Soporta hasta 18kg, adaptarse a la mayoría de los televisores de 14 Pulgadas/20 Pulgadas/32 Pulgadas/42 Pulgadas/55 pulgadas</t>
        </is>
      </c>
      <c r="H1839" s="16" t="inlineStr">
        <is>
          <t>TL1455N20B</t>
        </is>
      </c>
      <c r="I1839" s="16" t="n">
        <v>1</v>
      </c>
      <c r="J1839" s="17" t="n">
        <v>80</v>
      </c>
      <c r="K1839" s="17" t="n">
        <v>16.6</v>
      </c>
      <c r="L1839" s="17" t="n">
        <v>25.86</v>
      </c>
      <c r="M1839" s="17" t="n">
        <v>0</v>
      </c>
      <c r="N1839" s="17">
        <f>K1839*0.08+L1839*0.08</f>
        <v/>
      </c>
      <c r="O1839" s="17">
        <f>-(K1839*0.025+L1839*0.025)</f>
        <v/>
      </c>
      <c r="P1839" s="17">
        <f>32</f>
        <v/>
      </c>
      <c r="Q1839" s="17">
        <f>J1839+L1839+N1839+O1839-P1839-M1839</f>
        <v/>
      </c>
    </row>
    <row r="1840">
      <c r="A1840" s="16" t="inlineStr">
        <is>
          <t>5.15-5.21</t>
        </is>
      </c>
      <c r="B1840" s="16" t="inlineStr">
        <is>
          <t>PO-128-01693723495032801</t>
        </is>
      </c>
      <c r="C1840" s="16" t="inlineStr">
        <is>
          <t>Delivered</t>
        </is>
      </c>
      <c r="D1840" s="16" t="inlineStr">
        <is>
          <t>128-01693765438072801</t>
        </is>
      </c>
      <c r="E1840" s="16" t="inlineStr">
        <is>
          <t>Delivered</t>
        </is>
      </c>
      <c r="F1840" s="16" t="inlineStr">
        <is>
          <t>LV54W25</t>
        </is>
      </c>
      <c r="G1840" s="16" t="inlineStr">
        <is>
          <t>TIANLAI Lámpara Ventilador E27 2 en 1, Silenciosa, LED Alta Luminosidad 180°, Instalación Rápida, Ahorro Energético para Dormitorio y Interiores Pequeños</t>
        </is>
      </c>
      <c r="H1840" s="16" t="inlineStr">
        <is>
          <t>1 Pieza</t>
        </is>
      </c>
      <c r="I1840" s="16" t="n">
        <v>2</v>
      </c>
      <c r="J1840" s="17" t="n">
        <v>151.6</v>
      </c>
      <c r="K1840" s="17" t="n">
        <v>69.52</v>
      </c>
      <c r="L1840" s="17" t="n">
        <v>25.86</v>
      </c>
      <c r="M1840" s="17" t="n">
        <v>0</v>
      </c>
      <c r="N1840" s="17">
        <f>K1840*0.08+L1840*0.08</f>
        <v/>
      </c>
      <c r="O1840" s="17">
        <f>-(K1840*0.025+L1840*0.025)</f>
        <v/>
      </c>
      <c r="P1840" s="17">
        <f>32</f>
        <v/>
      </c>
      <c r="Q1840" s="17">
        <f>J1840+L1840+N1840+O1840-P1840-M1840</f>
        <v/>
      </c>
    </row>
    <row r="1841">
      <c r="A1841" s="16" t="inlineStr">
        <is>
          <t>5.15-5.21</t>
        </is>
      </c>
      <c r="B1841" s="16" t="inlineStr">
        <is>
          <t>PO-128-01460828979833997</t>
        </is>
      </c>
      <c r="C1841" s="16" t="inlineStr">
        <is>
          <t>Delivered</t>
        </is>
      </c>
      <c r="D1841" s="16" t="inlineStr">
        <is>
          <t>128-01460933837433997</t>
        </is>
      </c>
      <c r="E1841" s="16" t="inlineStr">
        <is>
          <t>Delivered</t>
        </is>
      </c>
      <c r="F1841" s="16" t="inlineStr">
        <is>
          <t>KTS-2031</t>
        </is>
      </c>
      <c r="G1841" s="16" t="inlineStr">
        <is>
          <t>Bocina inalámbrica de 3 pulgadas con linterna multifuncional y panel solar integrado.Altavoz Portátil con Linterna LED 4 Modos, Radio FM, Bluetooth, Carga Solar, Ideal para Apagones, Emergencias, Campo y Exteriores</t>
        </is>
      </c>
      <c r="H1841" s="16" t="inlineStr">
        <is>
          <t>NEGRO</t>
        </is>
      </c>
      <c r="I1841" s="16" t="n">
        <v>1</v>
      </c>
      <c r="J1841" s="17" t="n">
        <v>78</v>
      </c>
      <c r="K1841" s="17" t="n">
        <v>87.22</v>
      </c>
      <c r="L1841" s="17" t="n">
        <v>25.86</v>
      </c>
      <c r="M1841" s="17" t="n">
        <v>0</v>
      </c>
      <c r="N1841" s="17">
        <f>K1841*0.08+L1841*0.08</f>
        <v/>
      </c>
      <c r="O1841" s="17">
        <f>-(K1841*0.025+L1841*0.025)</f>
        <v/>
      </c>
      <c r="P1841" s="17">
        <f>32</f>
        <v/>
      </c>
      <c r="Q1841" s="17">
        <f>J1841+L1841+N1841+O1841-P1841-M1841</f>
        <v/>
      </c>
    </row>
    <row r="1842">
      <c r="A1842" s="16" t="inlineStr">
        <is>
          <t>5.15-5.21</t>
        </is>
      </c>
      <c r="B1842" s="16" t="inlineStr">
        <is>
          <t>PO-128-01497772175993905</t>
        </is>
      </c>
      <c r="C1842" s="16" t="inlineStr">
        <is>
          <t>Delivered</t>
        </is>
      </c>
      <c r="D1842" s="16" t="inlineStr">
        <is>
          <t>128-01497814119033905</t>
        </is>
      </c>
      <c r="E1842" s="16" t="inlineStr">
        <is>
          <t>Delivered</t>
        </is>
      </c>
      <c r="F1842" s="16" t="inlineStr">
        <is>
          <t>LV54W25</t>
        </is>
      </c>
      <c r="G1842" s="16" t="inlineStr">
        <is>
          <t>TIANLAI Lámpara Ventilador E27 2 en 1, Silenciosa, LED Alta Luminosidad 180°, Instalación Rápida, Ahorro Energético para Dormitorio y Interiores Pequeños</t>
        </is>
      </c>
      <c r="H1842" s="16" t="inlineStr">
        <is>
          <t>1 Pieza</t>
        </is>
      </c>
      <c r="I1842" s="16" t="n">
        <v>1</v>
      </c>
      <c r="J1842" s="17" t="n">
        <v>75.8</v>
      </c>
      <c r="K1842" s="17" t="n">
        <v>66.19</v>
      </c>
      <c r="L1842" s="17" t="n">
        <v>25.86</v>
      </c>
      <c r="M1842" s="17" t="n">
        <v>0</v>
      </c>
      <c r="N1842" s="17">
        <f>K1842*0.08+L1842*0.08</f>
        <v/>
      </c>
      <c r="O1842" s="17">
        <f>-(K1842*0.025+L1842*0.025)</f>
        <v/>
      </c>
      <c r="P1842" s="17">
        <f>32</f>
        <v/>
      </c>
      <c r="Q1842" s="17">
        <f>J1842+L1842+N1842+O1842-P1842-M1842</f>
        <v/>
      </c>
    </row>
    <row r="1843">
      <c r="A1843" s="16" t="inlineStr">
        <is>
          <t>5.15-5.21</t>
        </is>
      </c>
      <c r="B1843" s="16" t="inlineStr">
        <is>
          <t>PO-128-01700412524152569</t>
        </is>
      </c>
      <c r="C1843" s="16" t="inlineStr">
        <is>
          <t>Delivered</t>
        </is>
      </c>
      <c r="D1843" s="16" t="inlineStr">
        <is>
          <t>128-01700402038392569</t>
        </is>
      </c>
      <c r="E1843" s="16" t="inlineStr">
        <is>
          <t>Delivered</t>
        </is>
      </c>
      <c r="F1843" s="16" t="inlineStr">
        <is>
          <t>KTS-2031</t>
        </is>
      </c>
      <c r="G1843" s="16" t="inlineStr">
        <is>
          <t>Bocina inalámbrica de 3 pulgadas con linterna multifuncional y panel solar integrado.Altavoz Portátil con Linterna LED 4 Modos, Radio FM, Bluetooth, Carga Solar, Ideal para Apagones, Emergencias, Campo y Exteriores</t>
        </is>
      </c>
      <c r="H1843" s="16" t="inlineStr">
        <is>
          <t>NEGRO</t>
        </is>
      </c>
      <c r="I1843" s="16" t="n">
        <v>1</v>
      </c>
      <c r="J1843" s="17" t="n">
        <v>78</v>
      </c>
      <c r="K1843" s="17" t="n">
        <v>87.22</v>
      </c>
      <c r="L1843" s="17" t="n">
        <v>25.86</v>
      </c>
      <c r="M1843" s="17" t="n">
        <v>0</v>
      </c>
      <c r="N1843" s="17">
        <f>K1843*0.08+L1843*0.08</f>
        <v/>
      </c>
      <c r="O1843" s="17">
        <f>-(K1843*0.025+L1843*0.025)</f>
        <v/>
      </c>
      <c r="P1843" s="17">
        <f>32</f>
        <v/>
      </c>
      <c r="Q1843" s="17">
        <f>J1843+L1843+N1843+O1843-P1843-M1843</f>
        <v/>
      </c>
    </row>
    <row r="1844">
      <c r="A1844" s="16" t="inlineStr">
        <is>
          <t>5.15-5.21</t>
        </is>
      </c>
      <c r="B1844" s="16" t="inlineStr">
        <is>
          <t>PO-128-01468707405434012</t>
        </is>
      </c>
      <c r="C1844" s="16" t="inlineStr">
        <is>
          <t>Delivered</t>
        </is>
      </c>
      <c r="D1844" s="16" t="inlineStr">
        <is>
          <t>128-01468728376954012</t>
        </is>
      </c>
      <c r="E1844" s="16" t="inlineStr">
        <is>
          <t>Delivered</t>
        </is>
      </c>
      <c r="F1844" s="16" t="inlineStr">
        <is>
          <t>LV64W25</t>
        </is>
      </c>
      <c r="G18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44" s="16" t="inlineStr">
        <is>
          <t>Blanco</t>
        </is>
      </c>
      <c r="I1844" s="16" t="n">
        <v>2</v>
      </c>
      <c r="J1844" s="17" t="n">
        <v>238</v>
      </c>
      <c r="K1844" s="17" t="n">
        <v>274.52</v>
      </c>
      <c r="L1844" s="17" t="n">
        <v>0</v>
      </c>
      <c r="M1844" s="17" t="n">
        <v>0</v>
      </c>
      <c r="N1844" s="17">
        <f>K1844*0.08+L1844*0.08</f>
        <v/>
      </c>
      <c r="O1844" s="17">
        <f>-(K1844*0.025+L1844*0.025)</f>
        <v/>
      </c>
      <c r="P1844" s="17">
        <f>32</f>
        <v/>
      </c>
      <c r="Q1844" s="17">
        <f>J1844+L1844+N1844+O1844-P1844-M1844</f>
        <v/>
      </c>
    </row>
    <row r="1845">
      <c r="A1845" s="16" t="inlineStr">
        <is>
          <t>5.15-5.21</t>
        </is>
      </c>
      <c r="B1845" s="16" t="inlineStr">
        <is>
          <t>PO-128-01395899034233358</t>
        </is>
      </c>
      <c r="C1845" s="16" t="inlineStr">
        <is>
          <t>Delivered</t>
        </is>
      </c>
      <c r="D1845" s="16" t="inlineStr">
        <is>
          <t>128-01395888548473358</t>
        </is>
      </c>
      <c r="E1845" s="16" t="inlineStr">
        <is>
          <t>Delivered</t>
        </is>
      </c>
      <c r="F1845" s="16" t="inlineStr">
        <is>
          <t>TL1412N17C</t>
        </is>
      </c>
      <c r="G1845" s="16" t="inlineStr">
        <is>
          <t>Linkbits, Soporte de Pared Fijo para TV y Monitor de 14"-43", Ultra Delgado 2.3cm, Fuerte Capacidad de Peso de 25KG, Fácil Instalación con Accesorios Completos</t>
        </is>
      </c>
      <c r="H1845" s="16" t="inlineStr">
        <is>
          <t>NEGRO</t>
        </is>
      </c>
      <c r="I1845" s="16" t="n">
        <v>1</v>
      </c>
      <c r="J1845" s="17" t="n">
        <v>36.84</v>
      </c>
      <c r="K1845" s="17" t="n">
        <v>48.53</v>
      </c>
      <c r="L1845" s="17" t="n">
        <v>25.86</v>
      </c>
      <c r="M1845" s="17" t="n">
        <v>0</v>
      </c>
      <c r="N1845" s="17">
        <f>K1845*0.08+L1845*0.08</f>
        <v/>
      </c>
      <c r="O1845" s="17">
        <f>-(K1845*0.025+L1845*0.025)</f>
        <v/>
      </c>
      <c r="P1845" s="17">
        <f>32</f>
        <v/>
      </c>
      <c r="Q1845" s="17">
        <f>J1845+L1845+N1845+O1845-P1845-M1845</f>
        <v/>
      </c>
    </row>
    <row r="1846">
      <c r="A1846" s="16" t="inlineStr">
        <is>
          <t>5.15-5.21</t>
        </is>
      </c>
      <c r="B1846" s="16" t="inlineStr">
        <is>
          <t>PO-128-01587402194552411</t>
        </is>
      </c>
      <c r="C1846" s="16" t="inlineStr">
        <is>
          <t>Delivered</t>
        </is>
      </c>
      <c r="D1846" s="16" t="inlineStr">
        <is>
          <t>128-01587352387192411</t>
        </is>
      </c>
      <c r="E1846" s="16" t="inlineStr">
        <is>
          <t>Delivered</t>
        </is>
      </c>
      <c r="F1846" s="16" t="inlineStr">
        <is>
          <t>LV64W25</t>
        </is>
      </c>
      <c r="G18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46" s="16" t="inlineStr">
        <is>
          <t>Blanco</t>
        </is>
      </c>
      <c r="I1846" s="16" t="n">
        <v>2</v>
      </c>
      <c r="J1846" s="17" t="n">
        <v>238</v>
      </c>
      <c r="K1846" s="17" t="n">
        <v>247.13</v>
      </c>
      <c r="L1846" s="17" t="n">
        <v>0</v>
      </c>
      <c r="M1846" s="17" t="n">
        <v>0</v>
      </c>
      <c r="N1846" s="17">
        <f>K1846*0.08+L1846*0.08</f>
        <v/>
      </c>
      <c r="O1846" s="17">
        <f>-(K1846*0.025+L1846*0.025)</f>
        <v/>
      </c>
      <c r="P1846" s="17">
        <f>32</f>
        <v/>
      </c>
      <c r="Q1846" s="17">
        <f>J1846+L1846+N1846+O1846-P1846-M1846</f>
        <v/>
      </c>
    </row>
    <row r="1847">
      <c r="A1847" s="16" t="inlineStr">
        <is>
          <t>5.15-5.21</t>
        </is>
      </c>
      <c r="B1847" s="16" t="inlineStr">
        <is>
          <t>PO-128-01700766679672567</t>
        </is>
      </c>
      <c r="C1847" s="16" t="inlineStr">
        <is>
          <t>Delivered</t>
        </is>
      </c>
      <c r="D1847" s="16" t="inlineStr">
        <is>
          <t>128-01700808622712567</t>
        </is>
      </c>
      <c r="E1847" s="16" t="inlineStr">
        <is>
          <t>Delivered</t>
        </is>
      </c>
      <c r="F1847" s="16" t="inlineStr">
        <is>
          <t>KTS-2031</t>
        </is>
      </c>
      <c r="G1847" s="16" t="inlineStr">
        <is>
          <t>Bocina inalámbrica de 3 pulgadas con linterna multifuncional y panel solar integrado.Altavoz Portátil con Linterna LED 4 Modos, Radio FM, Bluetooth, Carga Solar, Ideal para Apagones, Emergencias, Campo y Exteriores</t>
        </is>
      </c>
      <c r="H1847" s="16" t="inlineStr">
        <is>
          <t>NEGRO</t>
        </is>
      </c>
      <c r="I1847" s="16" t="n">
        <v>1</v>
      </c>
      <c r="J1847" s="17" t="n">
        <v>78</v>
      </c>
      <c r="K1847" s="17" t="n">
        <v>4.46</v>
      </c>
      <c r="L1847" s="17" t="n">
        <v>25.86</v>
      </c>
      <c r="M1847" s="17" t="n">
        <v>0</v>
      </c>
      <c r="N1847" s="17">
        <f>K1847*0.08+L1847*0.08</f>
        <v/>
      </c>
      <c r="O1847" s="17">
        <f>-(K1847*0.025+L1847*0.025)</f>
        <v/>
      </c>
      <c r="P1847" s="17">
        <f>32</f>
        <v/>
      </c>
      <c r="Q1847" s="17">
        <f>J1847+L1847+N1847+O1847-P1847-M1847</f>
        <v/>
      </c>
    </row>
    <row r="1848">
      <c r="A1848" s="16" t="inlineStr">
        <is>
          <t>5.15-5.21</t>
        </is>
      </c>
      <c r="B1848" s="16" t="inlineStr">
        <is>
          <t>PO-128-02032624917110717</t>
        </is>
      </c>
      <c r="C1848" s="16" t="inlineStr">
        <is>
          <t>Delivered</t>
        </is>
      </c>
      <c r="D1848" s="16" t="inlineStr">
        <is>
          <t>128-02032582974070717</t>
        </is>
      </c>
      <c r="E1848" s="16" t="inlineStr">
        <is>
          <t>Delivered</t>
        </is>
      </c>
      <c r="F1848" s="16" t="inlineStr">
        <is>
          <t>VB349T</t>
        </is>
      </c>
      <c r="G1848" s="16" t="inlineStr">
        <is>
          <t>LINKBITS Altavoz Portátil de Doble Altavoz - 3 Pulgadas, Sonido HD, Emparejamiento Rápido de Bluetooth, Conectividad TWS, Reproducción Multimodo (Micro SD/USB/Radio FM) - Perfecto para Oficina, Viajes y Espacios Pequeños</t>
        </is>
      </c>
      <c r="H1848" s="16" t="inlineStr">
        <is>
          <t>NEGRO</t>
        </is>
      </c>
      <c r="I1848" s="16" t="n">
        <v>4</v>
      </c>
      <c r="J1848" s="17" t="n">
        <v>324</v>
      </c>
      <c r="K1848" s="17" t="n">
        <v>314.12</v>
      </c>
      <c r="L1848" s="17" t="n">
        <v>0</v>
      </c>
      <c r="M1848" s="17" t="n">
        <v>0</v>
      </c>
      <c r="N1848" s="17">
        <f>K1848*0.08+L1848*0.08</f>
        <v/>
      </c>
      <c r="O1848" s="17">
        <f>-(K1848*0.025+L1848*0.025)</f>
        <v/>
      </c>
      <c r="P1848" s="17">
        <f>32</f>
        <v/>
      </c>
      <c r="Q1848" s="17">
        <f>J1848+L1848+N1848+O1848-P1848-M1848</f>
        <v/>
      </c>
    </row>
    <row r="1849">
      <c r="A1849" s="16" t="inlineStr">
        <is>
          <t>5.15-5.21</t>
        </is>
      </c>
      <c r="B1849" s="16" t="inlineStr">
        <is>
          <t>PO-128-01912929925750279</t>
        </is>
      </c>
      <c r="C1849" s="16" t="inlineStr">
        <is>
          <t>Delivered</t>
        </is>
      </c>
      <c r="D1849" s="16" t="inlineStr">
        <is>
          <t>128-01912887982710279</t>
        </is>
      </c>
      <c r="E1849" s="16" t="inlineStr">
        <is>
          <t>Delivered</t>
        </is>
      </c>
      <c r="F1849" s="16" t="inlineStr">
        <is>
          <t>VB349T</t>
        </is>
      </c>
      <c r="G1849" s="16" t="inlineStr">
        <is>
          <t>LINKBITS Altavoz Portátil de Doble Altavoz - 3 Pulgadas, Sonido HD, Emparejamiento Rápido de Bluetooth, Conectividad TWS, Reproducción Multimodo (Micro SD/USB/Radio FM) - Perfecto para Oficina, Viajes y Espacios Pequeños</t>
        </is>
      </c>
      <c r="H1849" s="16" t="inlineStr">
        <is>
          <t>NEGRO</t>
        </is>
      </c>
      <c r="I1849" s="16" t="n">
        <v>1</v>
      </c>
      <c r="J1849" s="17" t="n">
        <v>81</v>
      </c>
      <c r="K1849" s="17" t="n">
        <v>11.49</v>
      </c>
      <c r="L1849" s="17" t="n">
        <v>25.86</v>
      </c>
      <c r="M1849" s="17" t="n">
        <v>0</v>
      </c>
      <c r="N1849" s="17">
        <f>K1849*0.08+L1849*0.08</f>
        <v/>
      </c>
      <c r="O1849" s="17">
        <f>-(K1849*0.025+L1849*0.025)</f>
        <v/>
      </c>
      <c r="P1849" s="17">
        <f>32</f>
        <v/>
      </c>
      <c r="Q1849" s="17">
        <f>J1849+L1849+N1849+O1849-P1849-M1849</f>
        <v/>
      </c>
    </row>
    <row r="1850">
      <c r="A1850" s="16" t="inlineStr">
        <is>
          <t>5.15-5.21</t>
        </is>
      </c>
      <c r="B1850" s="16" t="inlineStr">
        <is>
          <t>PO-128-01679312138872695</t>
        </is>
      </c>
      <c r="C1850" s="16" t="inlineStr">
        <is>
          <t>Delivered</t>
        </is>
      </c>
      <c r="D1850" s="16" t="inlineStr">
        <is>
          <t>128-01679354081912695</t>
        </is>
      </c>
      <c r="E1850" s="16" t="inlineStr">
        <is>
          <t>Delivered</t>
        </is>
      </c>
      <c r="F1850" s="16" t="inlineStr">
        <is>
          <t>LV54W25</t>
        </is>
      </c>
      <c r="G1850" s="16" t="inlineStr">
        <is>
          <t>TIANLAI Lámpara Ventilador E27 2 en 1, Silenciosa, LED Alta Luminosidad 180°, Instalación Rápida, Ahorro Energético para Dormitorio y Interiores Pequeños</t>
        </is>
      </c>
      <c r="H1850" s="16" t="inlineStr">
        <is>
          <t>1 Pieza</t>
        </is>
      </c>
      <c r="I1850" s="16" t="n">
        <v>1</v>
      </c>
      <c r="J1850" s="17" t="n">
        <v>75.8</v>
      </c>
      <c r="K1850" s="17" t="n">
        <v>63.99</v>
      </c>
      <c r="L1850" s="17" t="n">
        <v>25.86</v>
      </c>
      <c r="M1850" s="17" t="n">
        <v>5.04</v>
      </c>
      <c r="N1850" s="17">
        <f>K1850*0.08+L1850*0.08</f>
        <v/>
      </c>
      <c r="O1850" s="17">
        <f>-(K1850*0.025+L1850*0.025)</f>
        <v/>
      </c>
      <c r="P1850" s="17">
        <f>32</f>
        <v/>
      </c>
      <c r="Q1850" s="17">
        <f>J1850+L1850+N1850+O1850-P1850-M1850</f>
        <v/>
      </c>
    </row>
    <row r="1851">
      <c r="A1851" s="16" t="inlineStr">
        <is>
          <t>5.15-5.21</t>
        </is>
      </c>
      <c r="B1851" s="16" t="inlineStr">
        <is>
          <t>PO-128-01889911178870414</t>
        </is>
      </c>
      <c r="C1851" s="16" t="inlineStr">
        <is>
          <t>Delivered</t>
        </is>
      </c>
      <c r="D1851" s="16" t="inlineStr">
        <is>
          <t>128-01889858750070414</t>
        </is>
      </c>
      <c r="E1851" s="16" t="inlineStr">
        <is>
          <t>Delivered</t>
        </is>
      </c>
      <c r="F1851" s="16" t="inlineStr">
        <is>
          <t>LV54W25</t>
        </is>
      </c>
      <c r="G1851" s="16" t="inlineStr">
        <is>
          <t>TIANLAI Lámpara Ventilador E27 2 en 1, Silenciosa, LED Alta Luminosidad 180°, Instalación Rápida, Ahorro Energético para Dormitorio y Interiores Pequeños</t>
        </is>
      </c>
      <c r="H1851" s="16" t="inlineStr">
        <is>
          <t>1 Pieza</t>
        </is>
      </c>
      <c r="I1851" s="16" t="n">
        <v>3</v>
      </c>
      <c r="J1851" s="17" t="n">
        <v>227.4</v>
      </c>
      <c r="K1851" s="17" t="n">
        <v>237.15</v>
      </c>
      <c r="L1851" s="17" t="n">
        <v>0</v>
      </c>
      <c r="M1851" s="17" t="n">
        <v>0</v>
      </c>
      <c r="N1851" s="17">
        <f>K1851*0.08+L1851*0.08</f>
        <v/>
      </c>
      <c r="O1851" s="17">
        <f>-(K1851*0.025+L1851*0.025)</f>
        <v/>
      </c>
      <c r="P1851" s="17">
        <f>32</f>
        <v/>
      </c>
      <c r="Q1851" s="17">
        <f>J1851+L1851+N1851+O1851-P1851-M1851</f>
        <v/>
      </c>
    </row>
    <row r="1852">
      <c r="A1852" s="16" t="inlineStr">
        <is>
          <t>5.15-5.21</t>
        </is>
      </c>
      <c r="B1852" s="16" t="inlineStr">
        <is>
          <t>PO-128-01606079509112298</t>
        </is>
      </c>
      <c r="C1852" s="16" t="inlineStr">
        <is>
          <t>Delivered</t>
        </is>
      </c>
      <c r="D1852" s="16" t="inlineStr">
        <is>
          <t>128-01606037566072298</t>
        </is>
      </c>
      <c r="E1852" s="16" t="inlineStr">
        <is>
          <t>Delivered</t>
        </is>
      </c>
      <c r="F1852" s="16" t="inlineStr">
        <is>
          <t>KTS-2031</t>
        </is>
      </c>
      <c r="G1852" s="16" t="inlineStr">
        <is>
          <t>Bocina inalámbrica de 3 pulgadas con linterna multifuncional y panel solar integrado.Altavoz Portátil con Linterna LED 4 Modos, Radio FM, Bluetooth, Carga Solar, Ideal para Apagones, Emergencias, Campo y Exteriores</t>
        </is>
      </c>
      <c r="H1852" s="16" t="inlineStr">
        <is>
          <t>NEGRO</t>
        </is>
      </c>
      <c r="I1852" s="16" t="n">
        <v>1</v>
      </c>
      <c r="J1852" s="17" t="n">
        <v>78</v>
      </c>
      <c r="K1852" s="17" t="n">
        <v>87.22</v>
      </c>
      <c r="L1852" s="17" t="n">
        <v>25.86</v>
      </c>
      <c r="M1852" s="17" t="n">
        <v>0</v>
      </c>
      <c r="N1852" s="17">
        <f>K1852*0.08+L1852*0.08</f>
        <v/>
      </c>
      <c r="O1852" s="17">
        <f>-(K1852*0.025+L1852*0.025)</f>
        <v/>
      </c>
      <c r="P1852" s="17">
        <f>32</f>
        <v/>
      </c>
      <c r="Q1852" s="17">
        <f>J1852+L1852+N1852+O1852-P1852-M1852</f>
        <v/>
      </c>
    </row>
    <row r="1853">
      <c r="A1853" s="16" t="inlineStr">
        <is>
          <t>5.15-5.21</t>
        </is>
      </c>
      <c r="B1853" s="16" t="inlineStr">
        <is>
          <t>PO-128-01958662492790004</t>
        </is>
      </c>
      <c r="C1853" s="16" t="inlineStr">
        <is>
          <t>Delivered</t>
        </is>
      </c>
      <c r="D1853" s="16" t="inlineStr">
        <is>
          <t>128-01958730650230004</t>
        </is>
      </c>
      <c r="E1853" s="16" t="inlineStr">
        <is>
          <t>Delivered</t>
        </is>
      </c>
      <c r="F1853" s="16" t="inlineStr">
        <is>
          <t>LV54W25</t>
        </is>
      </c>
      <c r="G1853" s="16" t="inlineStr">
        <is>
          <t>TIANLAI Lámpara Ventilador E27 2 en 1, Silenciosa, LED Alta Luminosidad 180°, Instalación Rápida, Ahorro Energético para Dormitorio y Interiores Pequeños</t>
        </is>
      </c>
      <c r="H1853" s="16" t="inlineStr">
        <is>
          <t>1 Pieza</t>
        </is>
      </c>
      <c r="I1853" s="16" t="n">
        <v>3</v>
      </c>
      <c r="J1853" s="17" t="n">
        <v>227.4</v>
      </c>
      <c r="K1853" s="17" t="n">
        <v>279</v>
      </c>
      <c r="L1853" s="17" t="n">
        <v>0</v>
      </c>
      <c r="M1853" s="17" t="n">
        <v>0</v>
      </c>
      <c r="N1853" s="17">
        <f>K1853*0.08+L1853*0.08</f>
        <v/>
      </c>
      <c r="O1853" s="17">
        <f>-(K1853*0.025+L1853*0.025)</f>
        <v/>
      </c>
      <c r="P1853" s="17">
        <f>32</f>
        <v/>
      </c>
      <c r="Q1853" s="17">
        <f>J1853+L1853+N1853+O1853-P1853-M1853</f>
        <v/>
      </c>
    </row>
    <row r="1854">
      <c r="A1854" s="16" t="inlineStr">
        <is>
          <t>5.15-5.21</t>
        </is>
      </c>
      <c r="B1854" s="16" t="inlineStr">
        <is>
          <t>PO-128-01805774244471941</t>
        </is>
      </c>
      <c r="C1854" s="16" t="inlineStr">
        <is>
          <t>Delivered</t>
        </is>
      </c>
      <c r="D1854" s="16" t="inlineStr">
        <is>
          <t>128-01805816187511941</t>
        </is>
      </c>
      <c r="E1854" s="16" t="inlineStr">
        <is>
          <t>Delivered</t>
        </is>
      </c>
      <c r="F1854" s="16" t="inlineStr">
        <is>
          <t>LV64W25</t>
        </is>
      </c>
      <c r="G18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54" s="16" t="inlineStr">
        <is>
          <t>Blanco</t>
        </is>
      </c>
      <c r="I1854" s="16" t="n">
        <v>1</v>
      </c>
      <c r="J1854" s="17" t="n">
        <v>119</v>
      </c>
      <c r="K1854" s="17" t="n">
        <v>137.28</v>
      </c>
      <c r="L1854" s="17" t="n">
        <v>25.86</v>
      </c>
      <c r="M1854" s="17" t="n">
        <v>0</v>
      </c>
      <c r="N1854" s="17">
        <f>K1854*0.08+L1854*0.08</f>
        <v/>
      </c>
      <c r="O1854" s="17">
        <f>-(K1854*0.025+L1854*0.025)</f>
        <v/>
      </c>
      <c r="P1854" s="17">
        <f>32</f>
        <v/>
      </c>
      <c r="Q1854" s="17">
        <f>J1854+L1854+N1854+O1854-P1854-M1854</f>
        <v/>
      </c>
    </row>
    <row r="1855">
      <c r="A1855" s="16" t="inlineStr">
        <is>
          <t>5.15-5.21</t>
        </is>
      </c>
      <c r="B1855" s="16" t="inlineStr">
        <is>
          <t>PO-128-01480591934074071</t>
        </is>
      </c>
      <c r="C1855" s="16" t="inlineStr">
        <is>
          <t>Delivered</t>
        </is>
      </c>
      <c r="D1855" s="16" t="inlineStr">
        <is>
          <t>128-01480615527034071</t>
        </is>
      </c>
      <c r="E1855" s="16" t="inlineStr">
        <is>
          <t>Delivered</t>
        </is>
      </c>
      <c r="F1855" s="16" t="inlineStr">
        <is>
          <t>KTS-2031</t>
        </is>
      </c>
      <c r="G1855" s="16" t="inlineStr">
        <is>
          <t>Bocina inalámbrica de 3 pulgadas con linterna multifuncional y panel solar integrado.Altavoz Portátil con Linterna LED 4 Modos, Radio FM, Bluetooth, Carga Solar, Ideal para Apagones, Emergencias, Campo y Exteriores</t>
        </is>
      </c>
      <c r="H1855" s="16" t="inlineStr">
        <is>
          <t>NEGRO</t>
        </is>
      </c>
      <c r="I1855" s="16" t="n">
        <v>2</v>
      </c>
      <c r="J1855" s="17" t="n">
        <v>156</v>
      </c>
      <c r="K1855" s="17" t="n">
        <v>153.77</v>
      </c>
      <c r="L1855" s="17" t="n">
        <v>25.86</v>
      </c>
      <c r="M1855" s="17" t="n">
        <v>0</v>
      </c>
      <c r="N1855" s="17">
        <f>K1855*0.08+L1855*0.08</f>
        <v/>
      </c>
      <c r="O1855" s="17">
        <f>-(K1855*0.025+L1855*0.025)</f>
        <v/>
      </c>
      <c r="P1855" s="17">
        <f>32</f>
        <v/>
      </c>
      <c r="Q1855" s="17">
        <f>J1855+L1855+N1855+O1855-P1855-M1855</f>
        <v/>
      </c>
    </row>
    <row r="1856">
      <c r="A1856" s="16" t="inlineStr">
        <is>
          <t>5.15-5.21</t>
        </is>
      </c>
      <c r="B1856" s="16" t="inlineStr">
        <is>
          <t>PO-128-20906038052472911</t>
        </is>
      </c>
      <c r="C1856" s="16" t="inlineStr">
        <is>
          <t>Delivered</t>
        </is>
      </c>
      <c r="D1856" s="16" t="inlineStr">
        <is>
          <t>128-20906059023992911</t>
        </is>
      </c>
      <c r="E1856" s="16" t="inlineStr">
        <is>
          <t>Delivered</t>
        </is>
      </c>
      <c r="F1856" s="16" t="inlineStr">
        <is>
          <t>BG-115-B</t>
        </is>
      </c>
      <c r="G1856" s="16" t="inlineStr">
        <is>
          <t>LINK BITS Audífonos Inalámbricos con Luces Multicolor, Recargables y en Adorable Forma de Orejas de Gato - Conecta a Celulares y PCs, Tiene Radio FM, Tarjeta TF y AUX - 7 Horas de Reproducción, Plegables y Perfectos para Trabajo, Juegos y Estudio</t>
        </is>
      </c>
      <c r="H1856" s="16" t="inlineStr">
        <is>
          <t>blanco</t>
        </is>
      </c>
      <c r="I1856" s="16" t="n">
        <v>1</v>
      </c>
      <c r="J1856" s="17" t="n">
        <v>80</v>
      </c>
      <c r="K1856" s="17" t="n">
        <v>90.72</v>
      </c>
      <c r="L1856" s="17" t="n">
        <v>25.86</v>
      </c>
      <c r="M1856" s="17" t="n">
        <v>0</v>
      </c>
      <c r="N1856" s="17">
        <f>K1856*0.08+L1856*0.08</f>
        <v/>
      </c>
      <c r="O1856" s="17">
        <f>-(K1856*0.025+L1856*0.025)</f>
        <v/>
      </c>
      <c r="P1856" s="17">
        <f>32</f>
        <v/>
      </c>
      <c r="Q1856" s="17">
        <f>J1856+L1856+N1856+O1856-P1856-M1856</f>
        <v/>
      </c>
    </row>
    <row r="1857">
      <c r="A1857" s="16" t="inlineStr">
        <is>
          <t>5.15-5.21</t>
        </is>
      </c>
      <c r="B1857" s="16" t="inlineStr">
        <is>
          <t>PO-128-20635698432633560</t>
        </is>
      </c>
      <c r="C1857" s="16" t="inlineStr">
        <is>
          <t>Delivered</t>
        </is>
      </c>
      <c r="D1857" s="16" t="inlineStr">
        <is>
          <t>128-20635656489593560</t>
        </is>
      </c>
      <c r="E1857" s="16" t="inlineStr">
        <is>
          <t>Delivered</t>
        </is>
      </c>
      <c r="F1857" s="16" t="inlineStr">
        <is>
          <t>LV64W25</t>
        </is>
      </c>
      <c r="G18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57" s="16" t="inlineStr">
        <is>
          <t>Blanco</t>
        </is>
      </c>
      <c r="I1857" s="16" t="n">
        <v>2</v>
      </c>
      <c r="J1857" s="17" t="n">
        <v>238</v>
      </c>
      <c r="K1857" s="17" t="n">
        <v>274.56</v>
      </c>
      <c r="L1857" s="17" t="n">
        <v>0</v>
      </c>
      <c r="M1857" s="17" t="n">
        <v>0</v>
      </c>
      <c r="N1857" s="17">
        <f>K1857*0.08+L1857*0.08</f>
        <v/>
      </c>
      <c r="O1857" s="17">
        <f>-(K1857*0.025+L1857*0.025)</f>
        <v/>
      </c>
      <c r="P1857" s="17">
        <f>32</f>
        <v/>
      </c>
      <c r="Q1857" s="17">
        <f>J1857+L1857+N1857+O1857-P1857-M1857</f>
        <v/>
      </c>
    </row>
    <row r="1858">
      <c r="A1858" s="16" t="inlineStr">
        <is>
          <t>5.15-5.21</t>
        </is>
      </c>
      <c r="B1858" s="16" t="inlineStr">
        <is>
          <t>PO-128-21174342021750158</t>
        </is>
      </c>
      <c r="C1858" s="16" t="inlineStr">
        <is>
          <t>Delivered</t>
        </is>
      </c>
      <c r="D1858" s="16" t="inlineStr">
        <is>
          <t>128-21174300078710158</t>
        </is>
      </c>
      <c r="E1858" s="16" t="inlineStr">
        <is>
          <t>Delivered</t>
        </is>
      </c>
      <c r="F1858" s="16" t="inlineStr">
        <is>
          <t>LV54W25</t>
        </is>
      </c>
      <c r="G1858" s="16" t="inlineStr">
        <is>
          <t>TIANLAI Lámpara Ventilador E27 2 en 1, Silenciosa, LED Alta Luminosidad 180°, Instalación Rápida, Ahorro Energético para Dormitorio y Interiores Pequeños</t>
        </is>
      </c>
      <c r="H1858" s="16" t="inlineStr">
        <is>
          <t>1 Pieza</t>
        </is>
      </c>
      <c r="I1858" s="16" t="n">
        <v>3</v>
      </c>
      <c r="J1858" s="17" t="n">
        <v>227.4</v>
      </c>
      <c r="K1858" s="17" t="n">
        <v>237.15</v>
      </c>
      <c r="L1858" s="17" t="n">
        <v>0</v>
      </c>
      <c r="M1858" s="17" t="n">
        <v>0</v>
      </c>
      <c r="N1858" s="17">
        <f>K1858*0.08+L1858*0.08</f>
        <v/>
      </c>
      <c r="O1858" s="17">
        <f>-(K1858*0.025+L1858*0.025)</f>
        <v/>
      </c>
      <c r="P1858" s="17">
        <f>32</f>
        <v/>
      </c>
      <c r="Q1858" s="17">
        <f>J1858+L1858+N1858+O1858-P1858-M1858</f>
        <v/>
      </c>
    </row>
    <row r="1859">
      <c r="A1859" s="16" t="inlineStr">
        <is>
          <t>5.15-5.21</t>
        </is>
      </c>
      <c r="B1859" s="16" t="inlineStr">
        <is>
          <t>PO-128-21011150618231194</t>
        </is>
      </c>
      <c r="C1859" s="16" t="inlineStr">
        <is>
          <t>Delivered</t>
        </is>
      </c>
      <c r="D1859" s="16" t="inlineStr">
        <is>
          <t>128-21011171589751194</t>
        </is>
      </c>
      <c r="E1859" s="16" t="inlineStr">
        <is>
          <t>Delivered</t>
        </is>
      </c>
      <c r="F1859" s="16" t="inlineStr">
        <is>
          <t>LV64W25</t>
        </is>
      </c>
      <c r="G18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59" s="16" t="inlineStr">
        <is>
          <t>Blanco</t>
        </is>
      </c>
      <c r="I1859" s="16" t="n">
        <v>1</v>
      </c>
      <c r="J1859" s="17" t="n">
        <v>119</v>
      </c>
      <c r="K1859" s="17" t="n">
        <v>109.82</v>
      </c>
      <c r="L1859" s="17" t="n">
        <v>25.86</v>
      </c>
      <c r="M1859" s="17" t="n">
        <v>0</v>
      </c>
      <c r="N1859" s="17">
        <f>K1859*0.08+L1859*0.08</f>
        <v/>
      </c>
      <c r="O1859" s="17">
        <f>-(K1859*0.025+L1859*0.025)</f>
        <v/>
      </c>
      <c r="P1859" s="17">
        <f>32</f>
        <v/>
      </c>
      <c r="Q1859" s="17">
        <f>J1859+L1859+N1859+O1859-P1859-M1859</f>
        <v/>
      </c>
    </row>
    <row r="1860">
      <c r="A1860" s="16" t="inlineStr">
        <is>
          <t>5.15-5.21</t>
        </is>
      </c>
      <c r="B1860" s="16" t="inlineStr">
        <is>
          <t>PO-128-20941207189112573</t>
        </is>
      </c>
      <c r="C1860" s="16" t="inlineStr">
        <is>
          <t>Delivered</t>
        </is>
      </c>
      <c r="D1860" s="16" t="inlineStr">
        <is>
          <t>128-20941175731832573</t>
        </is>
      </c>
      <c r="E1860" s="16" t="inlineStr">
        <is>
          <t>Delivered</t>
        </is>
      </c>
      <c r="F1860" s="16" t="inlineStr">
        <is>
          <t>LV64W25</t>
        </is>
      </c>
      <c r="G18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0" s="16" t="inlineStr">
        <is>
          <t>Blanco</t>
        </is>
      </c>
      <c r="I1860" s="16" t="n">
        <v>1</v>
      </c>
      <c r="J1860" s="17" t="n">
        <v>119</v>
      </c>
      <c r="K1860" s="17" t="n">
        <v>137.28</v>
      </c>
      <c r="L1860" s="17" t="n">
        <v>25.86</v>
      </c>
      <c r="M1860" s="17" t="n">
        <v>0</v>
      </c>
      <c r="N1860" s="17">
        <f>K1860*0.08+L1860*0.08</f>
        <v/>
      </c>
      <c r="O1860" s="17">
        <f>-(K1860*0.025+L1860*0.025)</f>
        <v/>
      </c>
      <c r="P1860" s="17">
        <f>32</f>
        <v/>
      </c>
      <c r="Q1860" s="17">
        <f>J1860+L1860+N1860+O1860-P1860-M1860</f>
        <v/>
      </c>
    </row>
    <row r="1861">
      <c r="A1861" s="16" t="inlineStr">
        <is>
          <t>5.15-5.21</t>
        </is>
      </c>
      <c r="B1861" s="16" t="inlineStr">
        <is>
          <t>PO-128-20893833503353046</t>
        </is>
      </c>
      <c r="C1861" s="16" t="inlineStr">
        <is>
          <t>Delivered</t>
        </is>
      </c>
      <c r="D1861" s="16" t="inlineStr">
        <is>
          <t>128-20893791560313046</t>
        </is>
      </c>
      <c r="E1861" s="16" t="inlineStr">
        <is>
          <t>Delivered</t>
        </is>
      </c>
      <c r="F1861" s="16" t="inlineStr">
        <is>
          <t>LV64W25</t>
        </is>
      </c>
      <c r="G18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1" s="16" t="inlineStr">
        <is>
          <t>Blanco</t>
        </is>
      </c>
      <c r="I1861" s="16" t="n">
        <v>1</v>
      </c>
      <c r="J1861" s="17" t="n">
        <v>119</v>
      </c>
      <c r="K1861" s="17" t="n">
        <v>109.82</v>
      </c>
      <c r="L1861" s="17" t="n">
        <v>25.86</v>
      </c>
      <c r="M1861" s="17" t="n">
        <v>0</v>
      </c>
      <c r="N1861" s="17">
        <f>K1861*0.08+L1861*0.08</f>
        <v/>
      </c>
      <c r="O1861" s="17">
        <f>-(K1861*0.025+L1861*0.025)</f>
        <v/>
      </c>
      <c r="P1861" s="17">
        <f>32</f>
        <v/>
      </c>
      <c r="Q1861" s="17">
        <f>J1861+L1861+N1861+O1861-P1861-M1861</f>
        <v/>
      </c>
    </row>
    <row r="1862">
      <c r="A1862" s="16" t="inlineStr">
        <is>
          <t>5.15-5.21</t>
        </is>
      </c>
      <c r="B1862" s="16" t="inlineStr">
        <is>
          <t>PO-128-20847948938872297</t>
        </is>
      </c>
      <c r="C1862" s="16" t="inlineStr">
        <is>
          <t>Delivered</t>
        </is>
      </c>
      <c r="D1862" s="16" t="inlineStr">
        <is>
          <t>128-20847927967352297</t>
        </is>
      </c>
      <c r="E1862" s="16" t="inlineStr">
        <is>
          <t>Delivered</t>
        </is>
      </c>
      <c r="F1862" s="16" t="inlineStr">
        <is>
          <t>KTS-2031</t>
        </is>
      </c>
      <c r="G1862" s="16" t="inlineStr">
        <is>
          <t>Bocina inalámbrica de 3 pulgadas con linterna multifuncional y panel solar integrado.Altavoz Portátil con Linterna LED 4 Modos, Radio FM, Bluetooth, Carga Solar, Ideal para Apagones, Emergencias, Campo y Exteriores</t>
        </is>
      </c>
      <c r="H1862" s="16" t="inlineStr">
        <is>
          <t>NEGRO</t>
        </is>
      </c>
      <c r="I1862" s="16" t="n">
        <v>1</v>
      </c>
      <c r="J1862" s="17" t="n">
        <v>78</v>
      </c>
      <c r="K1862" s="17" t="n">
        <v>87.22</v>
      </c>
      <c r="L1862" s="17" t="n">
        <v>25.86</v>
      </c>
      <c r="M1862" s="17" t="n">
        <v>0</v>
      </c>
      <c r="N1862" s="17">
        <f>K1862*0.08+L1862*0.08</f>
        <v/>
      </c>
      <c r="O1862" s="17">
        <f>-(K1862*0.025+L1862*0.025)</f>
        <v/>
      </c>
      <c r="P1862" s="17">
        <f>32</f>
        <v/>
      </c>
      <c r="Q1862" s="17">
        <f>J1862+L1862+N1862+O1862-P1862-M1862</f>
        <v/>
      </c>
    </row>
    <row r="1863">
      <c r="A1863" s="16" t="inlineStr">
        <is>
          <t>5.15-5.21</t>
        </is>
      </c>
      <c r="B1863" s="16" t="inlineStr">
        <is>
          <t>PO-128-20752121743993762</t>
        </is>
      </c>
      <c r="C1863" s="16" t="inlineStr">
        <is>
          <t>Delivered</t>
        </is>
      </c>
      <c r="D1863" s="16" t="inlineStr">
        <is>
          <t>128-20752163687033762</t>
        </is>
      </c>
      <c r="E1863" s="16" t="inlineStr">
        <is>
          <t>Delivered</t>
        </is>
      </c>
      <c r="F1863" s="16" t="inlineStr">
        <is>
          <t>TL1455N20B</t>
        </is>
      </c>
      <c r="G1863" s="16" t="inlineStr">
        <is>
          <t>LINK BITS Soporte para TV 14 A 55 Pulgadas, Base para TV Pantalla Articulado Inclinable y Giratorio, MAX VESA 400×400 mm, Soporta hasta 18kg, adaptarse a la mayoría de los televisores de 14 Pulgadas/20 Pulgadas/32 Pulgadas/42 Pulgadas/55 pulgadas</t>
        </is>
      </c>
      <c r="H1863" s="16" t="inlineStr">
        <is>
          <t>TL1455N20B</t>
        </is>
      </c>
      <c r="I1863" s="16" t="n">
        <v>3</v>
      </c>
      <c r="J1863" s="17" t="n">
        <v>207</v>
      </c>
      <c r="K1863" s="17" t="n">
        <v>220.35</v>
      </c>
      <c r="L1863" s="17" t="n">
        <v>0</v>
      </c>
      <c r="M1863" s="17" t="n">
        <v>0</v>
      </c>
      <c r="N1863" s="17">
        <f>K1863*0.08+L1863*0.08</f>
        <v/>
      </c>
      <c r="O1863" s="17">
        <f>-(K1863*0.025+L1863*0.025)</f>
        <v/>
      </c>
      <c r="P1863" s="17">
        <f>32</f>
        <v/>
      </c>
      <c r="Q1863" s="17">
        <f>J1863+L1863+N1863+O1863-P1863-M1863</f>
        <v/>
      </c>
    </row>
    <row r="1864">
      <c r="A1864" s="16" t="inlineStr">
        <is>
          <t>5.15-5.21</t>
        </is>
      </c>
      <c r="B1864" s="16" t="inlineStr">
        <is>
          <t>PO-128-10243989722230796</t>
        </is>
      </c>
      <c r="C1864" s="16" t="inlineStr">
        <is>
          <t>Delivered</t>
        </is>
      </c>
      <c r="D1864" s="16" t="inlineStr">
        <is>
          <t>128-10243947779190796</t>
        </is>
      </c>
      <c r="E1864" s="16" t="inlineStr">
        <is>
          <t>Delivered</t>
        </is>
      </c>
      <c r="F1864" s="16" t="inlineStr">
        <is>
          <t>LV64W25</t>
        </is>
      </c>
      <c r="G18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4" s="16" t="inlineStr">
        <is>
          <t>Blanco</t>
        </is>
      </c>
      <c r="I1864" s="16" t="n">
        <v>2</v>
      </c>
      <c r="J1864" s="17" t="n">
        <v>238</v>
      </c>
      <c r="K1864" s="17" t="n">
        <v>219.64</v>
      </c>
      <c r="L1864" s="17" t="n">
        <v>0</v>
      </c>
      <c r="M1864" s="17" t="n">
        <v>0</v>
      </c>
      <c r="N1864" s="17">
        <f>K1864*0.08+L1864*0.08</f>
        <v/>
      </c>
      <c r="O1864" s="17">
        <f>-(K1864*0.025+L1864*0.025)</f>
        <v/>
      </c>
      <c r="P1864" s="17">
        <f>32</f>
        <v/>
      </c>
      <c r="Q1864" s="17">
        <f>J1864+L1864+N1864+O1864-P1864-M1864</f>
        <v/>
      </c>
    </row>
    <row r="1865">
      <c r="A1865" s="16" t="inlineStr">
        <is>
          <t>5.15-5.21</t>
        </is>
      </c>
      <c r="B1865" s="16" t="inlineStr">
        <is>
          <t>PO-128-09779412234873631</t>
        </is>
      </c>
      <c r="C1865" s="16" t="inlineStr">
        <is>
          <t>Delivered</t>
        </is>
      </c>
      <c r="D1865" s="16" t="inlineStr">
        <is>
          <t>128-09779370291833631</t>
        </is>
      </c>
      <c r="E1865" s="16" t="inlineStr">
        <is>
          <t>Delivered</t>
        </is>
      </c>
      <c r="F1865" s="16" t="inlineStr">
        <is>
          <t>B03W10-10PZS</t>
        </is>
      </c>
      <c r="G186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1865" s="16" t="inlineStr">
        <is>
          <t>B03W10</t>
        </is>
      </c>
      <c r="I1865" s="16" t="n">
        <v>2</v>
      </c>
      <c r="J1865" s="17" t="n">
        <v>140</v>
      </c>
      <c r="K1865" s="17" t="n">
        <v>155.12</v>
      </c>
      <c r="L1865" s="17" t="n">
        <v>25.86</v>
      </c>
      <c r="M1865" s="17" t="n">
        <v>0</v>
      </c>
      <c r="N1865" s="17">
        <f>K1865*0.08+L1865*0.08</f>
        <v/>
      </c>
      <c r="O1865" s="17">
        <f>-(K1865*0.025+L1865*0.025)</f>
        <v/>
      </c>
      <c r="P1865" s="17">
        <f>32</f>
        <v/>
      </c>
      <c r="Q1865" s="17">
        <f>J1865+L1865+N1865+O1865-P1865-M1865</f>
        <v/>
      </c>
    </row>
    <row r="1866">
      <c r="A1866" s="16" t="inlineStr">
        <is>
          <t>5.15-5.21</t>
        </is>
      </c>
      <c r="B1866" s="16" t="inlineStr">
        <is>
          <t>PO-128-09767021363833833</t>
        </is>
      </c>
      <c r="C1866" s="16" t="inlineStr">
        <is>
          <t>Delivered</t>
        </is>
      </c>
      <c r="D1866" s="16" t="inlineStr">
        <is>
          <t>128-09766979420793833</t>
        </is>
      </c>
      <c r="E1866" s="16" t="inlineStr">
        <is>
          <t>Delivered</t>
        </is>
      </c>
      <c r="F1866" s="16" t="inlineStr">
        <is>
          <t>LV64W25</t>
        </is>
      </c>
      <c r="G18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6" s="16" t="inlineStr">
        <is>
          <t>Blanco</t>
        </is>
      </c>
      <c r="I1866" s="16" t="n">
        <v>2</v>
      </c>
      <c r="J1866" s="17" t="n">
        <v>238</v>
      </c>
      <c r="K1866" s="17" t="n">
        <v>240.24</v>
      </c>
      <c r="L1866" s="17" t="n">
        <v>0</v>
      </c>
      <c r="M1866" s="17" t="n">
        <v>0</v>
      </c>
      <c r="N1866" s="17">
        <f>K1866*0.08+L1866*0.08</f>
        <v/>
      </c>
      <c r="O1866" s="17">
        <f>-(K1866*0.025+L1866*0.025)</f>
        <v/>
      </c>
      <c r="P1866" s="17">
        <f>32</f>
        <v/>
      </c>
      <c r="Q1866" s="17">
        <f>J1866+L1866+N1866+O1866-P1866-M1866</f>
        <v/>
      </c>
    </row>
    <row r="1867">
      <c r="A1867" s="16" t="inlineStr">
        <is>
          <t>5.15-5.21</t>
        </is>
      </c>
      <c r="B1867" s="16" t="inlineStr">
        <is>
          <t>PO-128-15291279032952457</t>
        </is>
      </c>
      <c r="C1867" s="16" t="inlineStr">
        <is>
          <t>Delivered</t>
        </is>
      </c>
      <c r="D1867" s="16" t="inlineStr">
        <is>
          <t>128-15291299758712457</t>
        </is>
      </c>
      <c r="E1867" s="16" t="inlineStr">
        <is>
          <t>Delivered</t>
        </is>
      </c>
      <c r="F1867" s="16" t="inlineStr">
        <is>
          <t>LV64W25</t>
        </is>
      </c>
      <c r="G18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67" s="16" t="inlineStr">
        <is>
          <t>Blanco</t>
        </is>
      </c>
      <c r="I1867" s="16" t="n">
        <v>1</v>
      </c>
      <c r="J1867" s="17" t="n">
        <v>120</v>
      </c>
      <c r="K1867" s="17" t="n">
        <v>138.28</v>
      </c>
      <c r="L1867" s="17" t="n">
        <v>25.86</v>
      </c>
      <c r="M1867" s="17" t="n">
        <v>0</v>
      </c>
      <c r="N1867" s="17">
        <f>K1867*0.08+L1867*0.08</f>
        <v/>
      </c>
      <c r="O1867" s="17">
        <f>-(K1867*0.025+L1867*0.025)</f>
        <v/>
      </c>
      <c r="P1867" s="17">
        <f>32</f>
        <v/>
      </c>
      <c r="Q1867" s="17">
        <f>J1867+L1867+N1867+O1867-P1867-M1867</f>
        <v/>
      </c>
    </row>
    <row r="1868">
      <c r="A1868" s="16" t="inlineStr">
        <is>
          <t>5.15-5.21</t>
        </is>
      </c>
      <c r="B1868" s="16" t="inlineStr">
        <is>
          <t>PO-128-18404631045750282</t>
        </is>
      </c>
      <c r="C1868" s="16" t="inlineStr">
        <is>
          <t>Partially delivered</t>
        </is>
      </c>
      <c r="D1868" s="16" t="inlineStr">
        <is>
          <t>128-18404735903350282</t>
        </is>
      </c>
      <c r="E1868" s="16" t="inlineStr">
        <is>
          <t>Shipped</t>
        </is>
      </c>
      <c r="F1868" s="16" t="inlineStr">
        <is>
          <t>TL1455N20B</t>
        </is>
      </c>
      <c r="G1868" s="16" t="inlineStr">
        <is>
          <t>LINK BITS Soporte para TV 14 A 55 Pulgadas, Base para TV Pantalla Articulado Inclinable y Giratorio, MAX VESA 400×400 mm, Soporta hasta 18kg, adaptarse a la mayoría de los televisores de 14 Pulgadas/20 Pulgadas/32 Pulgadas/42 Pulgadas/55 pulgadas</t>
        </is>
      </c>
      <c r="H1868" s="16" t="inlineStr">
        <is>
          <t>TL1455N20B</t>
        </is>
      </c>
      <c r="I1868" s="16" t="n">
        <v>50</v>
      </c>
      <c r="J1868" s="17" t="n">
        <v>3550</v>
      </c>
      <c r="K1868" s="17" t="n">
        <v>4570.63</v>
      </c>
      <c r="L1868" s="17" t="n">
        <v>0</v>
      </c>
      <c r="M1868" s="17" t="n">
        <v>0</v>
      </c>
      <c r="N1868" s="17">
        <f>K1868*0.08+L1868*0.08</f>
        <v/>
      </c>
      <c r="O1868" s="17">
        <f>-(K1868*0.025+L1868*0.025)</f>
        <v/>
      </c>
      <c r="P1868" s="17">
        <f>32</f>
        <v/>
      </c>
      <c r="Q1868" s="17">
        <f>J1868+L1868+N1868+O1868-P1868-M1868</f>
        <v/>
      </c>
    </row>
    <row r="1869">
      <c r="A1869" s="16" t="inlineStr">
        <is>
          <t>5.22-5.28</t>
        </is>
      </c>
      <c r="B1869" s="16" t="inlineStr">
        <is>
          <t>PO-128-10901501891190076</t>
        </is>
      </c>
      <c r="C1869" s="16" t="inlineStr">
        <is>
          <t>Shipped</t>
        </is>
      </c>
      <c r="D1869" s="16" t="inlineStr">
        <is>
          <t>128-10901665731190076</t>
        </is>
      </c>
      <c r="E1869" s="16" t="inlineStr">
        <is>
          <t>Shipped</t>
        </is>
      </c>
      <c r="F1869" s="16" t="inlineStr">
        <is>
          <t>LV54W25</t>
        </is>
      </c>
      <c r="G1869" s="16" t="inlineStr">
        <is>
          <t>TIANLAI Lámpara Ventilador E27 2 en 1, Silenciosa, LED Alta Luminosidad 180°, Instalación Rápida, Ahorro Energético para Dormitorio y Interiores Pequeños</t>
        </is>
      </c>
      <c r="H1869" s="16" t="inlineStr">
        <is>
          <t>1 Pieza</t>
        </is>
      </c>
      <c r="I1869" s="16" t="n">
        <v>2</v>
      </c>
      <c r="J1869" s="17" t="n">
        <v>148</v>
      </c>
      <c r="K1869" s="17" t="n">
        <v>154.24</v>
      </c>
      <c r="L1869" s="17" t="n">
        <v>25.86</v>
      </c>
      <c r="M1869" s="17" t="n">
        <v>0</v>
      </c>
      <c r="N1869" s="17">
        <f>K1869*0.08+L1869*0.08</f>
        <v/>
      </c>
      <c r="O1869" s="17">
        <f>-(K1869*0.025+L1869*0.025)</f>
        <v/>
      </c>
      <c r="P1869" s="17">
        <f>32</f>
        <v/>
      </c>
      <c r="Q1869" s="17">
        <f>J1869+L1869+N1869+O1869-P1869-M1869</f>
        <v/>
      </c>
    </row>
    <row r="1870">
      <c r="A1870" s="16" t="inlineStr">
        <is>
          <t>5.22-5.28</t>
        </is>
      </c>
      <c r="B1870" s="16" t="inlineStr">
        <is>
          <t>PO-128-10527229450872181</t>
        </is>
      </c>
      <c r="C1870" s="16" t="inlineStr">
        <is>
          <t>Shipped</t>
        </is>
      </c>
      <c r="D1870" s="16" t="inlineStr">
        <is>
          <t>128-10527234693752181</t>
        </is>
      </c>
      <c r="E1870" s="16" t="inlineStr">
        <is>
          <t>Shipped</t>
        </is>
      </c>
      <c r="F1870" s="16" t="inlineStr">
        <is>
          <t>LV54W25</t>
        </is>
      </c>
      <c r="G1870" s="16" t="inlineStr">
        <is>
          <t>TIANLAI Lámpara Ventilador E27 2 en 1, Silenciosa, LED Alta Luminosidad 180°, Instalación Rápida, Ahorro Energético para Dormitorio y Interiores Pequeños</t>
        </is>
      </c>
      <c r="H1870" s="16" t="inlineStr">
        <is>
          <t>1 Pieza</t>
        </is>
      </c>
      <c r="I1870" s="16" t="n">
        <v>1</v>
      </c>
      <c r="J1870" s="17" t="n">
        <v>74</v>
      </c>
      <c r="K1870" s="17" t="n">
        <v>77.12</v>
      </c>
      <c r="L1870" s="17" t="n">
        <v>25.86</v>
      </c>
      <c r="M1870" s="17" t="n">
        <v>0</v>
      </c>
      <c r="N1870" s="17">
        <f>K1870*0.08+L1870*0.08</f>
        <v/>
      </c>
      <c r="O1870" s="17">
        <f>-(K1870*0.025+L1870*0.025)</f>
        <v/>
      </c>
      <c r="P1870" s="17">
        <f>32</f>
        <v/>
      </c>
      <c r="Q1870" s="17">
        <f>J1870+L1870+N1870+O1870-P1870-M1870</f>
        <v/>
      </c>
    </row>
    <row r="1871">
      <c r="A1871" s="16" t="inlineStr">
        <is>
          <t>5.22-5.28</t>
        </is>
      </c>
      <c r="B1871" s="16" t="inlineStr">
        <is>
          <t>PO-128-10355811497593203</t>
        </is>
      </c>
      <c r="C1871" s="16" t="inlineStr">
        <is>
          <t>Shipped</t>
        </is>
      </c>
      <c r="D1871" s="16" t="inlineStr">
        <is>
          <t>128-10355780040313203</t>
        </is>
      </c>
      <c r="E1871" s="16" t="inlineStr">
        <is>
          <t>Shipped</t>
        </is>
      </c>
      <c r="F1871" s="16" t="inlineStr">
        <is>
          <t>KTS-2031</t>
        </is>
      </c>
      <c r="G1871" s="16" t="inlineStr">
        <is>
          <t>Bocina inalámbrica de 3 pulgadas con linterna multifuncional y panel solar integrado.Altavoz Portátil con Linterna LED 4 Modos, Radio FM, Bluetooth, Carga Solar, Ideal para Apagones, Emergencias, Campo y Exteriores</t>
        </is>
      </c>
      <c r="H1871" s="16" t="inlineStr">
        <is>
          <t>NEGRO</t>
        </is>
      </c>
      <c r="I1871" s="16" t="n">
        <v>1</v>
      </c>
      <c r="J1871" s="17" t="n">
        <v>90</v>
      </c>
      <c r="K1871" s="17" t="n">
        <v>89.03</v>
      </c>
      <c r="L1871" s="17" t="n">
        <v>25.86</v>
      </c>
      <c r="M1871" s="17" t="n">
        <v>0</v>
      </c>
      <c r="N1871" s="17">
        <f>K1871*0.08+L1871*0.08</f>
        <v/>
      </c>
      <c r="O1871" s="17">
        <f>-(K1871*0.025+L1871*0.025)</f>
        <v/>
      </c>
      <c r="P1871" s="17">
        <f>32</f>
        <v/>
      </c>
      <c r="Q1871" s="17">
        <f>J1871+L1871+N1871+O1871-P1871-M1871</f>
        <v/>
      </c>
    </row>
    <row r="1872">
      <c r="A1872" s="16" t="inlineStr">
        <is>
          <t>5.22-5.28</t>
        </is>
      </c>
      <c r="B1872" s="16" t="inlineStr">
        <is>
          <t>PO-128-10356423035513263</t>
        </is>
      </c>
      <c r="C1872" s="16" t="inlineStr">
        <is>
          <t>Shipped</t>
        </is>
      </c>
      <c r="D1872" s="16" t="inlineStr">
        <is>
          <t>128-10356559350393263</t>
        </is>
      </c>
      <c r="E1872" s="16" t="inlineStr">
        <is>
          <t>Shipped</t>
        </is>
      </c>
      <c r="F1872" s="16" t="inlineStr">
        <is>
          <t>LV64W25</t>
        </is>
      </c>
      <c r="G18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72" s="16" t="inlineStr">
        <is>
          <t>Blanco</t>
        </is>
      </c>
      <c r="I1872" s="16" t="n">
        <v>1</v>
      </c>
      <c r="J1872" s="17" t="n">
        <v>125</v>
      </c>
      <c r="K1872" s="17" t="n">
        <v>46.18</v>
      </c>
      <c r="L1872" s="17" t="n">
        <v>25.86</v>
      </c>
      <c r="M1872" s="17" t="n">
        <v>0</v>
      </c>
      <c r="N1872" s="17">
        <f>K1872*0.08+L1872*0.08</f>
        <v/>
      </c>
      <c r="O1872" s="17">
        <f>-(K1872*0.025+L1872*0.025)</f>
        <v/>
      </c>
      <c r="P1872" s="17">
        <f>32</f>
        <v/>
      </c>
      <c r="Q1872" s="17">
        <f>J1872+L1872+N1872+O1872-P1872-M1872</f>
        <v/>
      </c>
    </row>
    <row r="1873">
      <c r="A1873" s="16" t="inlineStr">
        <is>
          <t>5.22-5.28</t>
        </is>
      </c>
      <c r="B1873" s="16" t="inlineStr">
        <is>
          <t>PO-128-10356458363513263</t>
        </is>
      </c>
      <c r="C1873" s="16" t="inlineStr">
        <is>
          <t>Shipped</t>
        </is>
      </c>
      <c r="D1873" s="16" t="inlineStr">
        <is>
          <t>128-10356500306553263</t>
        </is>
      </c>
      <c r="E1873" s="16" t="inlineStr">
        <is>
          <t>Shipped</t>
        </is>
      </c>
      <c r="F1873" s="16" t="inlineStr">
        <is>
          <t>LV64W25</t>
        </is>
      </c>
      <c r="G18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73" s="16" t="inlineStr">
        <is>
          <t>Blanco</t>
        </is>
      </c>
      <c r="I1873" s="16" t="n">
        <v>1</v>
      </c>
      <c r="J1873" s="17" t="n">
        <v>125</v>
      </c>
      <c r="K1873" s="17" t="n">
        <v>46.18</v>
      </c>
      <c r="L1873" s="17" t="n">
        <v>25.86</v>
      </c>
      <c r="M1873" s="17" t="n">
        <v>0</v>
      </c>
      <c r="N1873" s="17">
        <f>K1873*0.08+L1873*0.08</f>
        <v/>
      </c>
      <c r="O1873" s="17">
        <f>-(K1873*0.025+L1873*0.025)</f>
        <v/>
      </c>
      <c r="P1873" s="17">
        <f>32</f>
        <v/>
      </c>
      <c r="Q1873" s="17">
        <f>J1873+L1873+N1873+O1873-P1873-M1873</f>
        <v/>
      </c>
    </row>
    <row r="1874">
      <c r="A1874" s="16" t="inlineStr">
        <is>
          <t>5.22-5.28</t>
        </is>
      </c>
      <c r="B1874" s="16" t="inlineStr">
        <is>
          <t>PO-128-10760348908151814</t>
        </is>
      </c>
      <c r="C1874" s="16" t="inlineStr">
        <is>
          <t>Shipped</t>
        </is>
      </c>
      <c r="D1874" s="16" t="inlineStr">
        <is>
          <t>128-10760369879671814</t>
        </is>
      </c>
      <c r="E1874" s="16" t="inlineStr">
        <is>
          <t>Shipped</t>
        </is>
      </c>
      <c r="F1874" s="16" t="inlineStr">
        <is>
          <t>KTS-1369</t>
        </is>
      </c>
      <c r="G1874" s="16" t="inlineStr">
        <is>
          <t>Bocina 3 Pulgadas Portátil Bluetooth con Luces LED, Sonido Claro y Batería Larga Duración, TWS TF USB FM, Ideal para Hogar Oficina y Exterior</t>
        </is>
      </c>
      <c r="H1874" s="16" t="inlineStr">
        <is>
          <t>NEGRO</t>
        </is>
      </c>
      <c r="I1874" s="16" t="n">
        <v>1</v>
      </c>
      <c r="J1874" s="17" t="n">
        <v>55</v>
      </c>
      <c r="K1874" s="17" t="n">
        <v>66.28</v>
      </c>
      <c r="L1874" s="17" t="n">
        <v>25.86</v>
      </c>
      <c r="M1874" s="17" t="n">
        <v>0</v>
      </c>
      <c r="N1874" s="17">
        <f>K1874*0.08+L1874*0.08</f>
        <v/>
      </c>
      <c r="O1874" s="17">
        <f>-(K1874*0.025+L1874*0.025)</f>
        <v/>
      </c>
      <c r="P1874" s="17">
        <f>32</f>
        <v/>
      </c>
      <c r="Q1874" s="17">
        <f>J1874+L1874+N1874+O1874-P1874-M1874</f>
        <v/>
      </c>
    </row>
    <row r="1875">
      <c r="A1875" s="16" t="inlineStr">
        <is>
          <t>5.22-5.28</t>
        </is>
      </c>
      <c r="B1875" s="16" t="inlineStr">
        <is>
          <t>PO-128-10707421061751235</t>
        </is>
      </c>
      <c r="C1875" s="16" t="inlineStr">
        <is>
          <t>Shipped</t>
        </is>
      </c>
      <c r="D1875" s="16" t="inlineStr">
        <is>
          <t>128-10707410575991235</t>
        </is>
      </c>
      <c r="E1875" s="16" t="inlineStr">
        <is>
          <t>Shipped</t>
        </is>
      </c>
      <c r="F1875" s="16" t="inlineStr">
        <is>
          <t>LV54W25</t>
        </is>
      </c>
      <c r="G1875" s="16" t="inlineStr">
        <is>
          <t>TIANLAI Lámpara Ventilador E27 2 en 1, Silenciosa, LED Alta Luminosidad 180°, Instalación Rápida, Ahorro Energético para Dormitorio y Interiores Pequeños</t>
        </is>
      </c>
      <c r="H1875" s="16" t="inlineStr">
        <is>
          <t>1 Pieza</t>
        </is>
      </c>
      <c r="I1875" s="16" t="n">
        <v>1</v>
      </c>
      <c r="J1875" s="17" t="n">
        <v>74</v>
      </c>
      <c r="K1875" s="17" t="n">
        <v>64.27</v>
      </c>
      <c r="L1875" s="17" t="n">
        <v>25.86</v>
      </c>
      <c r="M1875" s="17" t="n">
        <v>0</v>
      </c>
      <c r="N1875" s="17">
        <f>K1875*0.08+L1875*0.08</f>
        <v/>
      </c>
      <c r="O1875" s="17">
        <f>-(K1875*0.025+L1875*0.025)</f>
        <v/>
      </c>
      <c r="P1875" s="17">
        <f>32</f>
        <v/>
      </c>
      <c r="Q1875" s="17">
        <f>J1875+L1875+N1875+O1875-P1875-M1875</f>
        <v/>
      </c>
    </row>
    <row r="1876">
      <c r="A1876" s="16" t="inlineStr">
        <is>
          <t>5.22-5.28</t>
        </is>
      </c>
      <c r="B1876" s="16" t="inlineStr">
        <is>
          <t>PO-128-10777757481591902</t>
        </is>
      </c>
      <c r="C1876" s="16" t="inlineStr">
        <is>
          <t>Shipped</t>
        </is>
      </c>
      <c r="D1876" s="16" t="inlineStr">
        <is>
          <t>128-10777799424631902</t>
        </is>
      </c>
      <c r="E1876" s="16" t="inlineStr">
        <is>
          <t>Shipped</t>
        </is>
      </c>
      <c r="F1876" s="16" t="inlineStr">
        <is>
          <t>LV64W25</t>
        </is>
      </c>
      <c r="G18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76" s="16" t="inlineStr">
        <is>
          <t>Blanco</t>
        </is>
      </c>
      <c r="I1876" s="16" t="n">
        <v>2</v>
      </c>
      <c r="J1876" s="17" t="n">
        <v>250</v>
      </c>
      <c r="K1876" s="17" t="n">
        <v>257.88</v>
      </c>
      <c r="L1876" s="17" t="n">
        <v>0</v>
      </c>
      <c r="M1876" s="17" t="n">
        <v>0</v>
      </c>
      <c r="N1876" s="17">
        <f>K1876*0.08+L1876*0.08</f>
        <v/>
      </c>
      <c r="O1876" s="17">
        <f>-(K1876*0.025+L1876*0.025)</f>
        <v/>
      </c>
      <c r="P1876" s="17">
        <f>32</f>
        <v/>
      </c>
      <c r="Q1876" s="17">
        <f>J1876+L1876+N1876+O1876-P1876-M1876</f>
        <v/>
      </c>
    </row>
    <row r="1877">
      <c r="A1877" s="16" t="inlineStr">
        <is>
          <t>5.22-5.28</t>
        </is>
      </c>
      <c r="B1877" s="16" t="inlineStr">
        <is>
          <t>PO-128-10536235448952254</t>
        </is>
      </c>
      <c r="C1877" s="16" t="inlineStr">
        <is>
          <t>Shipped</t>
        </is>
      </c>
      <c r="D1877" s="16" t="inlineStr">
        <is>
          <t>128-10536193505912254</t>
        </is>
      </c>
      <c r="E1877" s="16" t="inlineStr">
        <is>
          <t>Shipped</t>
        </is>
      </c>
      <c r="F1877" s="16" t="inlineStr">
        <is>
          <t>KTS-2031</t>
        </is>
      </c>
      <c r="G1877" s="16" t="inlineStr">
        <is>
          <t>Bocina inalámbrica de 3 pulgadas con linterna multifuncional y panel solar integrado.Altavoz Portátil con Linterna LED 4 Modos, Radio FM, Bluetooth, Carga Solar, Ideal para Apagones, Emergencias, Campo y Exteriores</t>
        </is>
      </c>
      <c r="H1877" s="16" t="inlineStr">
        <is>
          <t>NEGRO</t>
        </is>
      </c>
      <c r="I1877" s="16" t="n">
        <v>2</v>
      </c>
      <c r="J1877" s="17" t="n">
        <v>180</v>
      </c>
      <c r="K1877" s="17" t="n">
        <v>198.44</v>
      </c>
      <c r="L1877" s="17" t="n">
        <v>25.86</v>
      </c>
      <c r="M1877" s="17" t="n">
        <v>0</v>
      </c>
      <c r="N1877" s="17">
        <f>K1877*0.08+L1877*0.08</f>
        <v/>
      </c>
      <c r="O1877" s="17">
        <f>-(K1877*0.025+L1877*0.025)</f>
        <v/>
      </c>
      <c r="P1877" s="17">
        <f>32</f>
        <v/>
      </c>
      <c r="Q1877" s="17">
        <f>J1877+L1877+N1877+O1877-P1877-M1877</f>
        <v/>
      </c>
    </row>
    <row r="1878">
      <c r="A1878" s="16" t="inlineStr">
        <is>
          <t>5.22-5.28</t>
        </is>
      </c>
      <c r="B1878" s="16" t="inlineStr">
        <is>
          <t>PO-128-10962320609910674</t>
        </is>
      </c>
      <c r="C1878" s="16" t="inlineStr">
        <is>
          <t>Shipped</t>
        </is>
      </c>
      <c r="D1878" s="16" t="inlineStr">
        <is>
          <t>128-10962333717110674</t>
        </is>
      </c>
      <c r="E1878" s="16" t="inlineStr">
        <is>
          <t>Shipped</t>
        </is>
      </c>
      <c r="F1878" s="16" t="inlineStr">
        <is>
          <t>LV54W25</t>
        </is>
      </c>
      <c r="G1878" s="16" t="inlineStr">
        <is>
          <t>TIANLAI Lámpara Ventilador E27 2 en 1, Silenciosa, LED Alta Luminosidad 180°, Instalación Rápida, Ahorro Energético para Dormitorio y Interiores Pequeños</t>
        </is>
      </c>
      <c r="H1878" s="16" t="inlineStr">
        <is>
          <t>1 Pieza</t>
        </is>
      </c>
      <c r="I1878" s="16" t="n">
        <v>2</v>
      </c>
      <c r="J1878" s="17" t="n">
        <v>148</v>
      </c>
      <c r="K1878" s="17" t="n">
        <v>154.24</v>
      </c>
      <c r="L1878" s="17" t="n">
        <v>25.86</v>
      </c>
      <c r="M1878" s="17" t="n">
        <v>0</v>
      </c>
      <c r="N1878" s="17">
        <f>K1878*0.08+L1878*0.08</f>
        <v/>
      </c>
      <c r="O1878" s="17">
        <f>-(K1878*0.025+L1878*0.025)</f>
        <v/>
      </c>
      <c r="P1878" s="17">
        <f>32</f>
        <v/>
      </c>
      <c r="Q1878" s="17">
        <f>J1878+L1878+N1878+O1878-P1878-M1878</f>
        <v/>
      </c>
    </row>
    <row r="1879">
      <c r="A1879" s="16" t="inlineStr">
        <is>
          <t>5.22-5.28</t>
        </is>
      </c>
      <c r="B1879" s="16" t="inlineStr">
        <is>
          <t>PO-128-10500888289912528</t>
        </is>
      </c>
      <c r="C1879" s="16" t="inlineStr">
        <is>
          <t>Shipped</t>
        </is>
      </c>
      <c r="D1879" s="16" t="inlineStr">
        <is>
          <t>128-10500909261432528</t>
        </is>
      </c>
      <c r="E1879" s="16" t="inlineStr">
        <is>
          <t>Shipped</t>
        </is>
      </c>
      <c r="F1879" s="16" t="inlineStr">
        <is>
          <t>KTS-2031</t>
        </is>
      </c>
      <c r="G1879" s="16" t="inlineStr">
        <is>
          <t>Bocina inalámbrica de 3 pulgadas con linterna multifuncional y panel solar integrado.Altavoz Portátil con Linterna LED 4 Modos, Radio FM, Bluetooth, Carga Solar, Ideal para Apagones, Emergencias, Campo y Exteriores</t>
        </is>
      </c>
      <c r="H1879" s="16" t="inlineStr">
        <is>
          <t>NEGRO</t>
        </is>
      </c>
      <c r="I1879" s="16" t="n">
        <v>3</v>
      </c>
      <c r="J1879" s="17" t="n">
        <v>270</v>
      </c>
      <c r="K1879" s="17" t="n">
        <v>275.94</v>
      </c>
      <c r="L1879" s="17" t="n">
        <v>0</v>
      </c>
      <c r="M1879" s="17" t="n">
        <v>0</v>
      </c>
      <c r="N1879" s="17">
        <f>K1879*0.08+L1879*0.08</f>
        <v/>
      </c>
      <c r="O1879" s="17">
        <f>-(K1879*0.025+L1879*0.025)</f>
        <v/>
      </c>
      <c r="P1879" s="17">
        <f>32</f>
        <v/>
      </c>
      <c r="Q1879" s="17">
        <f>J1879+L1879+N1879+O1879-P1879-M1879</f>
        <v/>
      </c>
    </row>
    <row r="1880">
      <c r="A1880" s="16" t="inlineStr">
        <is>
          <t>5.22-5.28</t>
        </is>
      </c>
      <c r="B1880" s="16" t="inlineStr">
        <is>
          <t>PO-128-10403546317434007</t>
        </is>
      </c>
      <c r="C1880" s="16" t="inlineStr">
        <is>
          <t>Shipped</t>
        </is>
      </c>
      <c r="D1880" s="16" t="inlineStr">
        <is>
          <t>128-10403504374394007</t>
        </is>
      </c>
      <c r="E1880" s="16" t="inlineStr">
        <is>
          <t>Shipped</t>
        </is>
      </c>
      <c r="F1880" s="16" t="inlineStr">
        <is>
          <t>LV64W25</t>
        </is>
      </c>
      <c r="G18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80" s="16" t="inlineStr">
        <is>
          <t>Blanco</t>
        </is>
      </c>
      <c r="I1880" s="16" t="n">
        <v>3</v>
      </c>
      <c r="J1880" s="17" t="n">
        <v>375</v>
      </c>
      <c r="K1880" s="17" t="n">
        <v>352.2</v>
      </c>
      <c r="L1880" s="17" t="n">
        <v>0</v>
      </c>
      <c r="M1880" s="17" t="n">
        <v>0</v>
      </c>
      <c r="N1880" s="17">
        <f>K1880*0.08+L1880*0.08</f>
        <v/>
      </c>
      <c r="O1880" s="17">
        <f>-(K1880*0.025+L1880*0.025)</f>
        <v/>
      </c>
      <c r="P1880" s="17">
        <f>32</f>
        <v/>
      </c>
      <c r="Q1880" s="17">
        <f>J1880+L1880+N1880+O1880-P1880-M1880</f>
        <v/>
      </c>
    </row>
    <row r="1881">
      <c r="A1881" s="16" t="inlineStr">
        <is>
          <t>5.22-5.28</t>
        </is>
      </c>
      <c r="B1881" s="16" t="inlineStr">
        <is>
          <t>PO-128-10931367373430794</t>
        </is>
      </c>
      <c r="C1881" s="16" t="inlineStr">
        <is>
          <t>Shipped</t>
        </is>
      </c>
      <c r="D1881" s="16" t="inlineStr">
        <is>
          <t>128-10931401452150794</t>
        </is>
      </c>
      <c r="E1881" s="16" t="inlineStr">
        <is>
          <t>Shipped</t>
        </is>
      </c>
      <c r="F1881" s="16" t="inlineStr">
        <is>
          <t>LV64W25</t>
        </is>
      </c>
      <c r="G18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81" s="16" t="inlineStr">
        <is>
          <t>Blanco</t>
        </is>
      </c>
      <c r="I1881" s="16" t="n">
        <v>1</v>
      </c>
      <c r="J1881" s="17" t="n">
        <v>125</v>
      </c>
      <c r="K1881" s="17" t="n">
        <v>128.94</v>
      </c>
      <c r="L1881" s="17" t="n">
        <v>25.86</v>
      </c>
      <c r="M1881" s="17" t="n">
        <v>0</v>
      </c>
      <c r="N1881" s="17">
        <f>K1881*0.08+L1881*0.08</f>
        <v/>
      </c>
      <c r="O1881" s="17">
        <f>-(K1881*0.025+L1881*0.025)</f>
        <v/>
      </c>
      <c r="P1881" s="17">
        <f>32</f>
        <v/>
      </c>
      <c r="Q1881" s="17">
        <f>J1881+L1881+N1881+O1881-P1881-M1881</f>
        <v/>
      </c>
    </row>
    <row r="1882">
      <c r="A1882" s="16" t="inlineStr">
        <is>
          <t>5.22-5.28</t>
        </is>
      </c>
      <c r="B1882" s="16" t="inlineStr">
        <is>
          <t>PO-128-10922149038710979</t>
        </is>
      </c>
      <c r="C1882" s="16" t="inlineStr">
        <is>
          <t>Shipped</t>
        </is>
      </c>
      <c r="D1882" s="16" t="inlineStr">
        <is>
          <t>128-10922201467510979</t>
        </is>
      </c>
      <c r="E1882" s="16" t="inlineStr">
        <is>
          <t>Shipped</t>
        </is>
      </c>
      <c r="F1882" s="16" t="inlineStr">
        <is>
          <t>LV54W25</t>
        </is>
      </c>
      <c r="G1882" s="16" t="inlineStr">
        <is>
          <t>TIANLAI Lámpara Ventilador E27 2 en 1, Silenciosa, LED Alta Luminosidad 180°, Instalación Rápida, Ahorro Energético para Dormitorio y Interiores Pequeños</t>
        </is>
      </c>
      <c r="H1882" s="16" t="inlineStr">
        <is>
          <t>1 Pieza</t>
        </is>
      </c>
      <c r="I1882" s="16" t="n">
        <v>1</v>
      </c>
      <c r="J1882" s="17" t="n">
        <v>74</v>
      </c>
      <c r="K1882" s="17" t="n">
        <v>76.26000000000001</v>
      </c>
      <c r="L1882" s="17" t="n">
        <v>25.86</v>
      </c>
      <c r="M1882" s="17" t="n">
        <v>0</v>
      </c>
      <c r="N1882" s="17">
        <f>K1882*0.08+L1882*0.08</f>
        <v/>
      </c>
      <c r="O1882" s="17">
        <f>-(K1882*0.025+L1882*0.025)</f>
        <v/>
      </c>
      <c r="P1882" s="17">
        <f>32</f>
        <v/>
      </c>
      <c r="Q1882" s="17">
        <f>J1882+L1882+N1882+O1882-P1882-M1882</f>
        <v/>
      </c>
    </row>
    <row r="1883">
      <c r="A1883" s="16" t="inlineStr">
        <is>
          <t>5.22-5.28</t>
        </is>
      </c>
      <c r="B1883" s="16" t="inlineStr">
        <is>
          <t>PO-128-10357791826553255</t>
        </is>
      </c>
      <c r="C1883" s="16" t="inlineStr">
        <is>
          <t>Shipped</t>
        </is>
      </c>
      <c r="D1883" s="16" t="inlineStr">
        <is>
          <t>128-10357775975033255</t>
        </is>
      </c>
      <c r="E1883" s="16" t="inlineStr">
        <is>
          <t>Shipped</t>
        </is>
      </c>
      <c r="F1883" s="16" t="inlineStr">
        <is>
          <t>LV54W25</t>
        </is>
      </c>
      <c r="G1883" s="16" t="inlineStr">
        <is>
          <t>TIANLAI Lámpara Ventilador E27 2 en 1, Silenciosa, LED Alta Luminosidad 180°, Instalación Rápida, Ahorro Energético para Dormitorio y Interiores Pequeños</t>
        </is>
      </c>
      <c r="H1883" s="16" t="inlineStr">
        <is>
          <t>1 Pieza</t>
        </is>
      </c>
      <c r="I1883" s="16" t="n">
        <v>1</v>
      </c>
      <c r="J1883" s="17" t="n">
        <v>74</v>
      </c>
      <c r="K1883" s="17" t="n">
        <v>65.84</v>
      </c>
      <c r="L1883" s="17" t="n">
        <v>25.86</v>
      </c>
      <c r="M1883" s="17" t="n">
        <v>0</v>
      </c>
      <c r="N1883" s="17">
        <f>K1883*0.08+L1883*0.08</f>
        <v/>
      </c>
      <c r="O1883" s="17">
        <f>-(K1883*0.025+L1883*0.025)</f>
        <v/>
      </c>
      <c r="P1883" s="17">
        <f>32</f>
        <v/>
      </c>
      <c r="Q1883" s="17">
        <f>J1883+L1883+N1883+O1883-P1883-M1883</f>
        <v/>
      </c>
    </row>
    <row r="1884">
      <c r="A1884" s="16" t="inlineStr">
        <is>
          <t>5.22-5.28</t>
        </is>
      </c>
      <c r="B1884" s="16" t="inlineStr">
        <is>
          <t>PO-128-10829780644470440</t>
        </is>
      </c>
      <c r="C1884" s="16" t="inlineStr">
        <is>
          <t>Shipped</t>
        </is>
      </c>
      <c r="D1884" s="16" t="inlineStr">
        <is>
          <t>128-10829856666230440</t>
        </is>
      </c>
      <c r="E1884" s="16" t="inlineStr">
        <is>
          <t>Shipped</t>
        </is>
      </c>
      <c r="F1884" s="16" t="inlineStr">
        <is>
          <t>TL2663N18C</t>
        </is>
      </c>
      <c r="G1884" s="16" t="inlineStr">
        <is>
          <t>Linkbits，Soporte de pared fijo para televisores de 26"-63", Ultra-Delgado Compatible con VESA 400x400mm, Capacidad de Peso Fuerte de 25KG, Instalación Fácil Sin Electricidad</t>
        </is>
      </c>
      <c r="H1884" s="16" t="inlineStr">
        <is>
          <t>NEGRO</t>
        </is>
      </c>
      <c r="I1884" s="16" t="n">
        <v>1</v>
      </c>
      <c r="J1884" s="17" t="n">
        <v>47</v>
      </c>
      <c r="K1884" s="17" t="n">
        <v>61.97</v>
      </c>
      <c r="L1884" s="17" t="n">
        <v>25.86</v>
      </c>
      <c r="M1884" s="17" t="n">
        <v>0</v>
      </c>
      <c r="N1884" s="17">
        <f>K1884*0.08+L1884*0.08</f>
        <v/>
      </c>
      <c r="O1884" s="17">
        <f>-(K1884*0.025+L1884*0.025)</f>
        <v/>
      </c>
      <c r="P1884" s="17">
        <f>32</f>
        <v/>
      </c>
      <c r="Q1884" s="17">
        <f>J1884+L1884+N1884+O1884-P1884-M1884</f>
        <v/>
      </c>
    </row>
    <row r="1885">
      <c r="A1885" s="16" t="inlineStr">
        <is>
          <t>5.22-5.28</t>
        </is>
      </c>
      <c r="B1885" s="16" t="inlineStr">
        <is>
          <t>PO-128-10709842934391221</t>
        </is>
      </c>
      <c r="C1885" s="16" t="inlineStr">
        <is>
          <t>Shipped</t>
        </is>
      </c>
      <c r="D1885" s="16" t="inlineStr">
        <is>
          <t>128-10709821962871221</t>
        </is>
      </c>
      <c r="E1885" s="16" t="inlineStr">
        <is>
          <t>Shipped</t>
        </is>
      </c>
      <c r="F1885" s="16" t="inlineStr">
        <is>
          <t>LV54W25</t>
        </is>
      </c>
      <c r="G1885" s="16" t="inlineStr">
        <is>
          <t>TIANLAI Lámpara Ventilador E27 2 en 1, Silenciosa, LED Alta Luminosidad 180°, Instalación Rápida, Ahorro Energético para Dormitorio y Interiores Pequeños</t>
        </is>
      </c>
      <c r="H1885" s="16" t="inlineStr">
        <is>
          <t>1 Pieza</t>
        </is>
      </c>
      <c r="I1885" s="16" t="n">
        <v>2</v>
      </c>
      <c r="J1885" s="17" t="n">
        <v>148</v>
      </c>
      <c r="K1885" s="17" t="n">
        <v>147.15</v>
      </c>
      <c r="L1885" s="17" t="n">
        <v>25.86</v>
      </c>
      <c r="M1885" s="17" t="n">
        <v>0</v>
      </c>
      <c r="N1885" s="17">
        <f>K1885*0.08+L1885*0.08</f>
        <v/>
      </c>
      <c r="O1885" s="17">
        <f>-(K1885*0.025+L1885*0.025)</f>
        <v/>
      </c>
      <c r="P1885" s="17">
        <f>32</f>
        <v/>
      </c>
      <c r="Q1885" s="17">
        <f>J1885+L1885+N1885+O1885-P1885-M1885</f>
        <v/>
      </c>
    </row>
    <row r="1886">
      <c r="A1886" s="16" t="inlineStr">
        <is>
          <t>5.22-5.28</t>
        </is>
      </c>
      <c r="B1886" s="16" t="inlineStr">
        <is>
          <t>PO-128-10456378737273818</t>
        </is>
      </c>
      <c r="C1886" s="16" t="inlineStr">
        <is>
          <t>Shipped</t>
        </is>
      </c>
      <c r="D1886" s="16" t="inlineStr">
        <is>
          <t>128-10456336794233818</t>
        </is>
      </c>
      <c r="E1886" s="16" t="inlineStr">
        <is>
          <t>Shipped</t>
        </is>
      </c>
      <c r="F1886" s="16" t="inlineStr">
        <is>
          <t>i12-B</t>
        </is>
      </c>
      <c r="G1886" s="16" t="inlineStr">
        <is>
          <t>Auriculares Inalámbricos TWS - Ideales para Usuarios Android e iPhone, Entusiastas del Deporte &amp; Música, Controles Táctiles, Audífonos Para Correr y Jugar</t>
        </is>
      </c>
      <c r="H1886" s="16" t="inlineStr">
        <is>
          <t>Blanco</t>
        </is>
      </c>
      <c r="I1886" s="16" t="n">
        <v>1</v>
      </c>
      <c r="J1886" s="17" t="n">
        <v>45.8</v>
      </c>
      <c r="K1886" s="17" t="n">
        <v>61.03</v>
      </c>
      <c r="L1886" s="17" t="n">
        <v>25.86</v>
      </c>
      <c r="M1886" s="17" t="n">
        <v>0</v>
      </c>
      <c r="N1886" s="17">
        <f>K1886*0.08+L1886*0.08</f>
        <v/>
      </c>
      <c r="O1886" s="17">
        <f>-(K1886*0.025+L1886*0.025)</f>
        <v/>
      </c>
      <c r="P1886" s="17">
        <f>32</f>
        <v/>
      </c>
      <c r="Q1886" s="17">
        <f>J1886+L1886+N1886+O1886-P1886-M1886</f>
        <v/>
      </c>
    </row>
    <row r="1887">
      <c r="A1887" s="16" t="inlineStr">
        <is>
          <t>5.22-5.28</t>
        </is>
      </c>
      <c r="B1887" s="16" t="inlineStr">
        <is>
          <t>PO-128-10452441539193779</t>
        </is>
      </c>
      <c r="C1887" s="16" t="inlineStr">
        <is>
          <t>Shipped</t>
        </is>
      </c>
      <c r="D1887" s="16" t="inlineStr">
        <is>
          <t>128-10452383867513779</t>
        </is>
      </c>
      <c r="E1887" s="16" t="inlineStr">
        <is>
          <t>Shipped</t>
        </is>
      </c>
      <c r="F1887" s="16" t="inlineStr">
        <is>
          <t>LV54W25</t>
        </is>
      </c>
      <c r="G1887" s="16" t="inlineStr">
        <is>
          <t>TIANLAI Lámpara Ventilador E27 2 en 1, Silenciosa, LED Alta Luminosidad 180°, Instalación Rápida, Ahorro Energético para Dormitorio y Interiores Pequeños</t>
        </is>
      </c>
      <c r="H1887" s="16" t="inlineStr">
        <is>
          <t>1 Pieza</t>
        </is>
      </c>
      <c r="I1887" s="16" t="n">
        <v>1</v>
      </c>
      <c r="J1887" s="17" t="n">
        <v>74</v>
      </c>
      <c r="K1887" s="17" t="n">
        <v>76.26000000000001</v>
      </c>
      <c r="L1887" s="17" t="n">
        <v>25.86</v>
      </c>
      <c r="M1887" s="17" t="n">
        <v>0</v>
      </c>
      <c r="N1887" s="17">
        <f>K1887*0.08+L1887*0.08</f>
        <v/>
      </c>
      <c r="O1887" s="17">
        <f>-(K1887*0.025+L1887*0.025)</f>
        <v/>
      </c>
      <c r="P1887" s="17">
        <f>32</f>
        <v/>
      </c>
      <c r="Q1887" s="17">
        <f>J1887+L1887+N1887+O1887-P1887-M1887</f>
        <v/>
      </c>
    </row>
    <row r="1888">
      <c r="A1888" s="16" t="inlineStr">
        <is>
          <t>5.22-5.28</t>
        </is>
      </c>
      <c r="B1888" s="16" t="inlineStr">
        <is>
          <t>PO-128-10564049306232152</t>
        </is>
      </c>
      <c r="C1888" s="16" t="inlineStr">
        <is>
          <t>Shipped</t>
        </is>
      </c>
      <c r="D1888" s="16" t="inlineStr">
        <is>
          <t>128-10564070277752152</t>
        </is>
      </c>
      <c r="E1888" s="16" t="inlineStr">
        <is>
          <t>Shipped</t>
        </is>
      </c>
      <c r="F1888" s="16" t="inlineStr">
        <is>
          <t>LV64W25</t>
        </is>
      </c>
      <c r="G18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88" s="16" t="inlineStr">
        <is>
          <t>Blanco</t>
        </is>
      </c>
      <c r="I1888" s="16" t="n">
        <v>1</v>
      </c>
      <c r="J1888" s="17" t="n">
        <v>125</v>
      </c>
      <c r="K1888" s="17" t="n">
        <v>128.94</v>
      </c>
      <c r="L1888" s="17" t="n">
        <v>25.86</v>
      </c>
      <c r="M1888" s="17" t="n">
        <v>0</v>
      </c>
      <c r="N1888" s="17">
        <f>K1888*0.08+L1888*0.08</f>
        <v/>
      </c>
      <c r="O1888" s="17">
        <f>-(K1888*0.025+L1888*0.025)</f>
        <v/>
      </c>
      <c r="P1888" s="17">
        <f>32</f>
        <v/>
      </c>
      <c r="Q1888" s="17">
        <f>J1888+L1888+N1888+O1888-P1888-M1888</f>
        <v/>
      </c>
    </row>
    <row r="1889">
      <c r="A1889" s="16" t="inlineStr">
        <is>
          <t>5.22-5.28</t>
        </is>
      </c>
      <c r="B1889" s="16" t="inlineStr">
        <is>
          <t>PO-128-10541844060792284</t>
        </is>
      </c>
      <c r="C1889" s="16" t="inlineStr">
        <is>
          <t>Shipped</t>
        </is>
      </c>
      <c r="D1889" s="16" t="inlineStr">
        <is>
          <t>128-10541886003832284</t>
        </is>
      </c>
      <c r="E1889" s="16" t="inlineStr">
        <is>
          <t>Shipped</t>
        </is>
      </c>
      <c r="F1889" s="16" t="inlineStr">
        <is>
          <t>LV54W25</t>
        </is>
      </c>
      <c r="G1889" s="16" t="inlineStr">
        <is>
          <t>TIANLAI Lámpara Ventilador E27 2 en 1, Silenciosa, LED Alta Luminosidad 180°, Instalación Rápida, Ahorro Energético para Dormitorio y Interiores Pequeños</t>
        </is>
      </c>
      <c r="H1889" s="16" t="inlineStr">
        <is>
          <t>1 Pieza</t>
        </is>
      </c>
      <c r="I1889" s="16" t="n">
        <v>1</v>
      </c>
      <c r="J1889" s="17" t="n">
        <v>74</v>
      </c>
      <c r="K1889" s="17" t="n">
        <v>77.12</v>
      </c>
      <c r="L1889" s="17" t="n">
        <v>25.86</v>
      </c>
      <c r="M1889" s="17" t="n">
        <v>0</v>
      </c>
      <c r="N1889" s="17">
        <f>K1889*0.08+L1889*0.08</f>
        <v/>
      </c>
      <c r="O1889" s="17">
        <f>-(K1889*0.025+L1889*0.025)</f>
        <v/>
      </c>
      <c r="P1889" s="17">
        <f>32</f>
        <v/>
      </c>
      <c r="Q1889" s="17">
        <f>J1889+L1889+N1889+O1889-P1889-M1889</f>
        <v/>
      </c>
    </row>
    <row r="1890">
      <c r="A1890" s="16" t="inlineStr">
        <is>
          <t>5.22-5.28</t>
        </is>
      </c>
      <c r="B1890" s="16" t="inlineStr">
        <is>
          <t>PO-128-10657180846711471</t>
        </is>
      </c>
      <c r="C1890" s="16" t="inlineStr">
        <is>
          <t>Shipped</t>
        </is>
      </c>
      <c r="D1890" s="16" t="inlineStr">
        <is>
          <t>128-10657159875191471</t>
        </is>
      </c>
      <c r="E1890" s="16" t="inlineStr">
        <is>
          <t>Shipped</t>
        </is>
      </c>
      <c r="F1890" s="16" t="inlineStr">
        <is>
          <t>LV54W25</t>
        </is>
      </c>
      <c r="G1890" s="16" t="inlineStr">
        <is>
          <t>TIANLAI Lámpara Ventilador E27 2 en 1, Silenciosa, LED Alta Luminosidad 180°, Instalación Rápida, Ahorro Energético para Dormitorio y Interiores Pequeños</t>
        </is>
      </c>
      <c r="H1890" s="16" t="inlineStr">
        <is>
          <t>1 Pieza</t>
        </is>
      </c>
      <c r="I1890" s="16" t="n">
        <v>1</v>
      </c>
      <c r="J1890" s="17" t="n">
        <v>74</v>
      </c>
      <c r="K1890" s="17" t="n">
        <v>76.26000000000001</v>
      </c>
      <c r="L1890" s="17" t="n">
        <v>25.86</v>
      </c>
      <c r="M1890" s="17" t="n">
        <v>0</v>
      </c>
      <c r="N1890" s="17">
        <f>K1890*0.08+L1890*0.08</f>
        <v/>
      </c>
      <c r="O1890" s="17">
        <f>-(K1890*0.025+L1890*0.025)</f>
        <v/>
      </c>
      <c r="P1890" s="17">
        <f>32</f>
        <v/>
      </c>
      <c r="Q1890" s="17">
        <f>J1890+L1890+N1890+O1890-P1890-M1890</f>
        <v/>
      </c>
    </row>
    <row r="1891">
      <c r="A1891" s="16" t="inlineStr">
        <is>
          <t>5.22-5.28</t>
        </is>
      </c>
      <c r="B1891" s="16" t="inlineStr">
        <is>
          <t>PO-128-10818224420471663</t>
        </is>
      </c>
      <c r="C1891" s="16" t="inlineStr">
        <is>
          <t>Shipped</t>
        </is>
      </c>
      <c r="D1891" s="16" t="inlineStr">
        <is>
          <t>128-10818245391991663</t>
        </is>
      </c>
      <c r="E1891" s="16" t="inlineStr">
        <is>
          <t>Shipped</t>
        </is>
      </c>
      <c r="F1891" s="16" t="inlineStr">
        <is>
          <t>LV64W25</t>
        </is>
      </c>
      <c r="G18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91" s="16" t="inlineStr">
        <is>
          <t>Blanco</t>
        </is>
      </c>
      <c r="I1891" s="16" t="n">
        <v>1</v>
      </c>
      <c r="J1891" s="17" t="n">
        <v>125</v>
      </c>
      <c r="K1891" s="17" t="n">
        <v>128.94</v>
      </c>
      <c r="L1891" s="17" t="n">
        <v>25.86</v>
      </c>
      <c r="M1891" s="17" t="n">
        <v>0</v>
      </c>
      <c r="N1891" s="17">
        <f>K1891*0.08+L1891*0.08</f>
        <v/>
      </c>
      <c r="O1891" s="17">
        <f>-(K1891*0.025+L1891*0.025)</f>
        <v/>
      </c>
      <c r="P1891" s="17">
        <f>32</f>
        <v/>
      </c>
      <c r="Q1891" s="17">
        <f>J1891+L1891+N1891+O1891-P1891-M1891</f>
        <v/>
      </c>
    </row>
    <row r="1892">
      <c r="A1892" s="16" t="inlineStr">
        <is>
          <t>5.22-5.28</t>
        </is>
      </c>
      <c r="B1892" s="16" t="inlineStr">
        <is>
          <t>PO-128-10657371469431468</t>
        </is>
      </c>
      <c r="C1892" s="16" t="inlineStr">
        <is>
          <t>Shipped</t>
        </is>
      </c>
      <c r="D1892" s="16" t="inlineStr">
        <is>
          <t>128-10657329526391468</t>
        </is>
      </c>
      <c r="E1892" s="16" t="inlineStr">
        <is>
          <t>Shipped</t>
        </is>
      </c>
      <c r="F1892" s="16" t="inlineStr">
        <is>
          <t>TL2663N18C</t>
        </is>
      </c>
      <c r="G1892" s="16" t="inlineStr">
        <is>
          <t>Linkbits，Soporte de pared fijo para televisores de 26"-63", Ultra-Delgado Compatible con VESA 400x400mm, Capacidad de Peso Fuerte de 25KG, Instalación Fácil Sin Electricidad</t>
        </is>
      </c>
      <c r="H1892" s="16" t="inlineStr">
        <is>
          <t>NEGRO</t>
        </is>
      </c>
      <c r="I1892" s="16" t="n">
        <v>1</v>
      </c>
      <c r="J1892" s="17" t="n">
        <v>47</v>
      </c>
      <c r="K1892" s="17" t="n">
        <v>61.97</v>
      </c>
      <c r="L1892" s="17" t="n">
        <v>25.86</v>
      </c>
      <c r="M1892" s="17" t="n">
        <v>0</v>
      </c>
      <c r="N1892" s="17">
        <f>K1892*0.08+L1892*0.08</f>
        <v/>
      </c>
      <c r="O1892" s="17">
        <f>-(K1892*0.025+L1892*0.025)</f>
        <v/>
      </c>
      <c r="P1892" s="17">
        <f>32</f>
        <v/>
      </c>
      <c r="Q1892" s="17">
        <f>J1892+L1892+N1892+O1892-P1892-M1892</f>
        <v/>
      </c>
    </row>
    <row r="1893">
      <c r="A1893" s="16" t="inlineStr">
        <is>
          <t>5.22-5.28</t>
        </is>
      </c>
      <c r="B1893" s="16" t="inlineStr">
        <is>
          <t>PO-128-10596881388152852</t>
        </is>
      </c>
      <c r="C1893" s="16" t="inlineStr">
        <is>
          <t>Shipped</t>
        </is>
      </c>
      <c r="D1893" s="16" t="inlineStr">
        <is>
          <t>128-10596849930872852</t>
        </is>
      </c>
      <c r="E1893" s="16" t="inlineStr">
        <is>
          <t>Shipped</t>
        </is>
      </c>
      <c r="F1893" s="16" t="inlineStr">
        <is>
          <t>KTS-2031</t>
        </is>
      </c>
      <c r="G1893" s="16" t="inlineStr">
        <is>
          <t>Bocina inalámbrica de 3 pulgadas con linterna multifuncional y panel solar integrado.Altavoz Portátil con Linterna LED 4 Modos, Radio FM, Bluetooth, Carga Solar, Ideal para Apagones, Emergencias, Campo y Exteriores</t>
        </is>
      </c>
      <c r="H1893" s="16" t="inlineStr">
        <is>
          <t>NEGRO</t>
        </is>
      </c>
      <c r="I1893" s="16" t="n">
        <v>3</v>
      </c>
      <c r="J1893" s="17" t="n">
        <v>270</v>
      </c>
      <c r="K1893" s="17" t="n">
        <v>209.08</v>
      </c>
      <c r="L1893" s="17" t="n">
        <v>0</v>
      </c>
      <c r="M1893" s="17" t="n">
        <v>0</v>
      </c>
      <c r="N1893" s="17">
        <f>K1893*0.08+L1893*0.08</f>
        <v/>
      </c>
      <c r="O1893" s="17">
        <f>-(K1893*0.025+L1893*0.025)</f>
        <v/>
      </c>
      <c r="P1893" s="17">
        <f>32</f>
        <v/>
      </c>
      <c r="Q1893" s="17">
        <f>J1893+L1893+N1893+O1893-P1893-M1893</f>
        <v/>
      </c>
    </row>
    <row r="1894">
      <c r="A1894" s="16" t="inlineStr">
        <is>
          <t>5.22-5.28</t>
        </is>
      </c>
      <c r="B1894" s="16" t="inlineStr">
        <is>
          <t>PO-128-10403293389434006</t>
        </is>
      </c>
      <c r="C1894" s="16" t="inlineStr">
        <is>
          <t>Shipped</t>
        </is>
      </c>
      <c r="D1894" s="16" t="inlineStr">
        <is>
          <t>128-10403335332474006</t>
        </is>
      </c>
      <c r="E1894" s="16" t="inlineStr">
        <is>
          <t>Shipped</t>
        </is>
      </c>
      <c r="F1894" s="16" t="inlineStr">
        <is>
          <t>KTS-2031</t>
        </is>
      </c>
      <c r="G1894" s="16" t="inlineStr">
        <is>
          <t>Bocina inalámbrica de 3 pulgadas con linterna multifuncional y panel solar integrado.Altavoz Portátil con Linterna LED 4 Modos, Radio FM, Bluetooth, Carga Solar, Ideal para Apagones, Emergencias, Campo y Exteriores</t>
        </is>
      </c>
      <c r="H1894" s="16" t="inlineStr">
        <is>
          <t>NEGRO</t>
        </is>
      </c>
      <c r="I1894" s="16" t="n">
        <v>1</v>
      </c>
      <c r="J1894" s="17" t="n">
        <v>90</v>
      </c>
      <c r="K1894" s="17" t="n">
        <v>99.22</v>
      </c>
      <c r="L1894" s="17" t="n">
        <v>25.86</v>
      </c>
      <c r="M1894" s="17" t="n">
        <v>0</v>
      </c>
      <c r="N1894" s="17">
        <f>K1894*0.08+L1894*0.08</f>
        <v/>
      </c>
      <c r="O1894" s="17">
        <f>-(K1894*0.025+L1894*0.025)</f>
        <v/>
      </c>
      <c r="P1894" s="17">
        <f>32</f>
        <v/>
      </c>
      <c r="Q1894" s="17">
        <f>J1894+L1894+N1894+O1894-P1894-M1894</f>
        <v/>
      </c>
    </row>
    <row r="1895">
      <c r="A1895" s="16" t="inlineStr">
        <is>
          <t>5.22-5.28</t>
        </is>
      </c>
      <c r="B1895" s="16" t="inlineStr">
        <is>
          <t>PO-128-10574042194552988</t>
        </is>
      </c>
      <c r="C1895" s="16" t="inlineStr">
        <is>
          <t>Shipped</t>
        </is>
      </c>
      <c r="D1895" s="16" t="inlineStr">
        <is>
          <t>128-10574063166072988</t>
        </is>
      </c>
      <c r="E1895" s="16" t="inlineStr">
        <is>
          <t>Shipped</t>
        </is>
      </c>
      <c r="F1895" s="16" t="inlineStr">
        <is>
          <t>LV54W25</t>
        </is>
      </c>
      <c r="G1895" s="16" t="inlineStr">
        <is>
          <t>TIANLAI Lámpara Ventilador E27 2 en 1, Silenciosa, LED Alta Luminosidad 180°, Instalación Rápida, Ahorro Energético para Dormitorio y Interiores Pequeños</t>
        </is>
      </c>
      <c r="H1895" s="16" t="inlineStr">
        <is>
          <t>1 Pieza</t>
        </is>
      </c>
      <c r="I1895" s="16" t="n">
        <v>1</v>
      </c>
      <c r="J1895" s="17" t="n">
        <v>74</v>
      </c>
      <c r="K1895" s="17" t="n">
        <v>76.26000000000001</v>
      </c>
      <c r="L1895" s="17" t="n">
        <v>25.86</v>
      </c>
      <c r="M1895" s="17" t="n">
        <v>0</v>
      </c>
      <c r="N1895" s="17">
        <f>K1895*0.08+L1895*0.08</f>
        <v/>
      </c>
      <c r="O1895" s="17">
        <f>-(K1895*0.025+L1895*0.025)</f>
        <v/>
      </c>
      <c r="P1895" s="17">
        <f>32</f>
        <v/>
      </c>
      <c r="Q1895" s="17">
        <f>J1895+L1895+N1895+O1895-P1895-M1895</f>
        <v/>
      </c>
    </row>
    <row r="1896">
      <c r="A1896" s="16" t="inlineStr">
        <is>
          <t>5.22-5.28</t>
        </is>
      </c>
      <c r="B1896" s="16" t="inlineStr">
        <is>
          <t>PO-128-10530408008312224</t>
        </is>
      </c>
      <c r="C1896" s="16" t="inlineStr">
        <is>
          <t>Shipped</t>
        </is>
      </c>
      <c r="D1896" s="16" t="inlineStr">
        <is>
          <t>128-10530413251192224</t>
        </is>
      </c>
      <c r="E1896" s="16" t="inlineStr">
        <is>
          <t>Shipped</t>
        </is>
      </c>
      <c r="F1896" s="16" t="inlineStr">
        <is>
          <t>LV54W25</t>
        </is>
      </c>
      <c r="G1896" s="16" t="inlineStr">
        <is>
          <t>TIANLAI Lámpara Ventilador E27 2 en 1, Silenciosa, LED Alta Luminosidad 180°, Instalación Rápida, Ahorro Energético para Dormitorio y Interiores Pequeños</t>
        </is>
      </c>
      <c r="H1896" s="16" t="inlineStr">
        <is>
          <t>1 Pieza</t>
        </is>
      </c>
      <c r="I1896" s="16" t="n">
        <v>1</v>
      </c>
      <c r="J1896" s="17" t="n">
        <v>74</v>
      </c>
      <c r="K1896" s="17" t="n">
        <v>76.26000000000001</v>
      </c>
      <c r="L1896" s="17" t="n">
        <v>25.86</v>
      </c>
      <c r="M1896" s="17" t="n">
        <v>0</v>
      </c>
      <c r="N1896" s="17">
        <f>K1896*0.08+L1896*0.08</f>
        <v/>
      </c>
      <c r="O1896" s="17">
        <f>-(K1896*0.025+L1896*0.025)</f>
        <v/>
      </c>
      <c r="P1896" s="17">
        <f>32</f>
        <v/>
      </c>
      <c r="Q1896" s="17">
        <f>J1896+L1896+N1896+O1896-P1896-M1896</f>
        <v/>
      </c>
    </row>
    <row r="1897">
      <c r="A1897" s="16" t="inlineStr">
        <is>
          <t>5.22-5.28</t>
        </is>
      </c>
      <c r="B1897" s="16" t="inlineStr">
        <is>
          <t>PO-128-10870692792950132</t>
        </is>
      </c>
      <c r="C1897" s="16" t="inlineStr">
        <is>
          <t>Shipped</t>
        </is>
      </c>
      <c r="D1897" s="16" t="inlineStr">
        <is>
          <t>128-10870713764470132</t>
        </is>
      </c>
      <c r="E1897" s="16" t="inlineStr">
        <is>
          <t>Shipped</t>
        </is>
      </c>
      <c r="F1897" s="16" t="inlineStr">
        <is>
          <t>TL2663N18C</t>
        </is>
      </c>
      <c r="G1897" s="16" t="inlineStr">
        <is>
          <t>Linkbits，Soporte de pared fijo para televisores de 26"-63", Ultra-Delgado Compatible con VESA 400x400mm, Capacidad de Peso Fuerte de 25KG, Instalación Fácil Sin Electricidad</t>
        </is>
      </c>
      <c r="H1897" s="16" t="inlineStr">
        <is>
          <t>NEGRO</t>
        </is>
      </c>
      <c r="I1897" s="16" t="n">
        <v>1</v>
      </c>
      <c r="J1897" s="17" t="n">
        <v>47</v>
      </c>
      <c r="K1897" s="17" t="n">
        <v>49.58</v>
      </c>
      <c r="L1897" s="17" t="n">
        <v>25.86</v>
      </c>
      <c r="M1897" s="17" t="n">
        <v>0</v>
      </c>
      <c r="N1897" s="17">
        <f>K1897*0.08+L1897*0.08</f>
        <v/>
      </c>
      <c r="O1897" s="17">
        <f>-(K1897*0.025+L1897*0.025)</f>
        <v/>
      </c>
      <c r="P1897" s="17">
        <f>32</f>
        <v/>
      </c>
      <c r="Q1897" s="17">
        <f>J1897+L1897+N1897+O1897-P1897-M1897</f>
        <v/>
      </c>
    </row>
    <row r="1898">
      <c r="A1898" s="16" t="inlineStr">
        <is>
          <t>5.22-5.28</t>
        </is>
      </c>
      <c r="B1898" s="16" t="inlineStr">
        <is>
          <t>PO-128-10572388188792998</t>
        </is>
      </c>
      <c r="C1898" s="16" t="inlineStr">
        <is>
          <t>Shipped</t>
        </is>
      </c>
      <c r="D1898" s="16" t="inlineStr">
        <is>
          <t>128-10572430131832998</t>
        </is>
      </c>
      <c r="E1898" s="16" t="inlineStr">
        <is>
          <t>Shipped</t>
        </is>
      </c>
      <c r="F1898" s="16" t="inlineStr">
        <is>
          <t>LV64W25</t>
        </is>
      </c>
      <c r="G18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898" s="16" t="inlineStr">
        <is>
          <t>Blanco</t>
        </is>
      </c>
      <c r="I1898" s="16" t="n">
        <v>2</v>
      </c>
      <c r="J1898" s="17" t="n">
        <v>250</v>
      </c>
      <c r="K1898" s="17" t="n">
        <v>257.88</v>
      </c>
      <c r="L1898" s="17" t="n">
        <v>0</v>
      </c>
      <c r="M1898" s="17" t="n">
        <v>0</v>
      </c>
      <c r="N1898" s="17">
        <f>K1898*0.08+L1898*0.08</f>
        <v/>
      </c>
      <c r="O1898" s="17">
        <f>-(K1898*0.025+L1898*0.025)</f>
        <v/>
      </c>
      <c r="P1898" s="17">
        <f>32</f>
        <v/>
      </c>
      <c r="Q1898" s="17">
        <f>J1898+L1898+N1898+O1898-P1898-M1898</f>
        <v/>
      </c>
    </row>
    <row r="1899">
      <c r="A1899" s="16" t="inlineStr">
        <is>
          <t>5.22-5.28</t>
        </is>
      </c>
      <c r="B1899" s="16" t="inlineStr">
        <is>
          <t>PO-128-10732176333431150</t>
        </is>
      </c>
      <c r="C1899" s="16" t="inlineStr">
        <is>
          <t>Shipped</t>
        </is>
      </c>
      <c r="D1899" s="16" t="inlineStr">
        <is>
          <t>128-10732134390391150</t>
        </is>
      </c>
      <c r="E1899" s="16" t="inlineStr">
        <is>
          <t>Shipped</t>
        </is>
      </c>
      <c r="F1899" s="16" t="inlineStr">
        <is>
          <t>KTS-2031</t>
        </is>
      </c>
      <c r="G1899" s="16" t="inlineStr">
        <is>
          <t>Bocina inalámbrica de 3 pulgadas con linterna multifuncional y panel solar integrado.Altavoz Portátil con Linterna LED 4 Modos, Radio FM, Bluetooth, Carga Solar, Ideal para Apagones, Emergencias, Campo y Exteriores</t>
        </is>
      </c>
      <c r="H1899" s="16" t="inlineStr">
        <is>
          <t>NEGRO</t>
        </is>
      </c>
      <c r="I1899" s="16" t="n">
        <v>3</v>
      </c>
      <c r="J1899" s="17" t="n">
        <v>270</v>
      </c>
      <c r="K1899" s="17" t="n">
        <v>297.66</v>
      </c>
      <c r="L1899" s="17" t="n">
        <v>0</v>
      </c>
      <c r="M1899" s="17" t="n">
        <v>0</v>
      </c>
      <c r="N1899" s="17">
        <f>K1899*0.08+L1899*0.08</f>
        <v/>
      </c>
      <c r="O1899" s="17">
        <f>-(K1899*0.025+L1899*0.025)</f>
        <v/>
      </c>
      <c r="P1899" s="17">
        <f>32</f>
        <v/>
      </c>
      <c r="Q1899" s="17">
        <f>J1899+L1899+N1899+O1899-P1899-M1899</f>
        <v/>
      </c>
    </row>
    <row r="1900">
      <c r="A1900" s="16" t="inlineStr">
        <is>
          <t>5.22-5.28</t>
        </is>
      </c>
      <c r="B1900" s="16" t="inlineStr">
        <is>
          <t>PO-128-10591165358712822</t>
        </is>
      </c>
      <c r="C1900" s="16" t="inlineStr">
        <is>
          <t>Shipped</t>
        </is>
      </c>
      <c r="D1900" s="16" t="inlineStr">
        <is>
          <t>128-10591203369592822</t>
        </is>
      </c>
      <c r="E1900" s="16" t="inlineStr">
        <is>
          <t>Shipped</t>
        </is>
      </c>
      <c r="F1900" s="16" t="inlineStr">
        <is>
          <t>LV54W25</t>
        </is>
      </c>
      <c r="G1900" s="16" t="inlineStr">
        <is>
          <t>TIANLAI Lámpara Ventilador E27 2 en 1, Silenciosa, LED Alta Luminosidad 180°, Instalación Rápida, Ahorro Energético para Dormitorio y Interiores Pequeños</t>
        </is>
      </c>
      <c r="H1900" s="16" t="inlineStr">
        <is>
          <t>1 Pieza</t>
        </is>
      </c>
      <c r="I1900" s="16" t="n">
        <v>1</v>
      </c>
      <c r="J1900" s="17" t="n">
        <v>74</v>
      </c>
      <c r="K1900" s="17" t="n">
        <v>76.26000000000001</v>
      </c>
      <c r="L1900" s="17" t="n">
        <v>25.86</v>
      </c>
      <c r="M1900" s="17" t="n">
        <v>0</v>
      </c>
      <c r="N1900" s="17">
        <f>K1900*0.08+L1900*0.08</f>
        <v/>
      </c>
      <c r="O1900" s="17">
        <f>-(K1900*0.025+L1900*0.025)</f>
        <v/>
      </c>
      <c r="P1900" s="17">
        <f>32</f>
        <v/>
      </c>
      <c r="Q1900" s="17">
        <f>J1900+L1900+N1900+O1900-P1900-M1900</f>
        <v/>
      </c>
    </row>
    <row r="1901">
      <c r="A1901" s="16" t="inlineStr">
        <is>
          <t>5.22-5.28</t>
        </is>
      </c>
      <c r="B1901" s="16" t="inlineStr">
        <is>
          <t>PO-128-10833675105910419</t>
        </is>
      </c>
      <c r="C1901" s="16" t="inlineStr">
        <is>
          <t>Shipped</t>
        </is>
      </c>
      <c r="D1901" s="16" t="inlineStr">
        <is>
          <t>128-10833696077430419</t>
        </is>
      </c>
      <c r="E1901" s="16" t="inlineStr">
        <is>
          <t>Shipped</t>
        </is>
      </c>
      <c r="F1901" s="16" t="inlineStr">
        <is>
          <t>LV64W25</t>
        </is>
      </c>
      <c r="G19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01" s="16" t="inlineStr">
        <is>
          <t>Blanco</t>
        </is>
      </c>
      <c r="I1901" s="16" t="n">
        <v>1</v>
      </c>
      <c r="J1901" s="17" t="n">
        <v>125</v>
      </c>
      <c r="K1901" s="17" t="n">
        <v>128.94</v>
      </c>
      <c r="L1901" s="17" t="n">
        <v>25.86</v>
      </c>
      <c r="M1901" s="17" t="n">
        <v>0</v>
      </c>
      <c r="N1901" s="17">
        <f>K1901*0.08+L1901*0.08</f>
        <v/>
      </c>
      <c r="O1901" s="17">
        <f>-(K1901*0.025+L1901*0.025)</f>
        <v/>
      </c>
      <c r="P1901" s="17">
        <f>32</f>
        <v/>
      </c>
      <c r="Q1901" s="17">
        <f>J1901+L1901+N1901+O1901-P1901-M1901</f>
        <v/>
      </c>
    </row>
    <row r="1902">
      <c r="A1902" s="16" t="inlineStr">
        <is>
          <t>5.22-5.28</t>
        </is>
      </c>
      <c r="B1902" s="16" t="inlineStr">
        <is>
          <t>PO-128-10845663908470283</t>
        </is>
      </c>
      <c r="C1902" s="16" t="inlineStr">
        <is>
          <t>Shipped</t>
        </is>
      </c>
      <c r="D1902" s="16" t="inlineStr">
        <is>
          <t>128-10845768766070283</t>
        </is>
      </c>
      <c r="E1902" s="16" t="inlineStr">
        <is>
          <t>Shipped</t>
        </is>
      </c>
      <c r="F1902" s="16" t="inlineStr">
        <is>
          <t>LV54W25</t>
        </is>
      </c>
      <c r="G1902" s="16" t="inlineStr">
        <is>
          <t>TIANLAI Lámpara Ventilador E27 2 en 1, Silenciosa, LED Alta Luminosidad 180°, Instalación Rápida, Ahorro Energético para Dormitorio y Interiores Pequeños</t>
        </is>
      </c>
      <c r="H1902" s="16" t="inlineStr">
        <is>
          <t>1 Pieza</t>
        </is>
      </c>
      <c r="I1902" s="16" t="n">
        <v>3</v>
      </c>
      <c r="J1902" s="17" t="n">
        <v>222</v>
      </c>
      <c r="K1902" s="17" t="n">
        <v>228.78</v>
      </c>
      <c r="L1902" s="17" t="n">
        <v>25.86</v>
      </c>
      <c r="M1902" s="17" t="n">
        <v>0</v>
      </c>
      <c r="N1902" s="17">
        <f>K1902*0.08+L1902*0.08</f>
        <v/>
      </c>
      <c r="O1902" s="17">
        <f>-(K1902*0.025+L1902*0.025)</f>
        <v/>
      </c>
      <c r="P1902" s="17">
        <f>32</f>
        <v/>
      </c>
      <c r="Q1902" s="17">
        <f>J1902+L1902+N1902+O1902-P1902-M1902</f>
        <v/>
      </c>
    </row>
    <row r="1903">
      <c r="A1903" s="16" t="inlineStr">
        <is>
          <t>5.22-5.28</t>
        </is>
      </c>
      <c r="B1903" s="16" t="inlineStr">
        <is>
          <t>PO-128-10526112717432186</t>
        </is>
      </c>
      <c r="C1903" s="16" t="inlineStr">
        <is>
          <t>Shipped</t>
        </is>
      </c>
      <c r="D1903" s="16" t="inlineStr">
        <is>
          <t>128-10526146796152186</t>
        </is>
      </c>
      <c r="E1903" s="16" t="inlineStr">
        <is>
          <t>Shipped</t>
        </is>
      </c>
      <c r="F1903" s="16" t="inlineStr">
        <is>
          <t>TL2663N18C</t>
        </is>
      </c>
      <c r="G1903" s="16" t="inlineStr">
        <is>
          <t>Linkbits，Soporte de pared fijo para televisores de 26"-63", Ultra-Delgado Compatible con VESA 400x400mm, Capacidad de Peso Fuerte de 25KG, Instalación Fácil Sin Electricidad</t>
        </is>
      </c>
      <c r="H1903" s="16" t="inlineStr">
        <is>
          <t>NEGRO</t>
        </is>
      </c>
      <c r="I1903" s="16" t="n">
        <v>1</v>
      </c>
      <c r="J1903" s="17" t="n">
        <v>47</v>
      </c>
      <c r="K1903" s="17" t="n">
        <v>60.82</v>
      </c>
      <c r="L1903" s="17" t="n">
        <v>25.86</v>
      </c>
      <c r="M1903" s="17" t="n">
        <v>0</v>
      </c>
      <c r="N1903" s="17">
        <f>K1903*0.08+L1903*0.08</f>
        <v/>
      </c>
      <c r="O1903" s="17">
        <f>-(K1903*0.025+L1903*0.025)</f>
        <v/>
      </c>
      <c r="P1903" s="17">
        <f>32</f>
        <v/>
      </c>
      <c r="Q1903" s="17">
        <f>J1903+L1903+N1903+O1903-P1903-M1903</f>
        <v/>
      </c>
    </row>
    <row r="1904">
      <c r="A1904" s="16" t="inlineStr">
        <is>
          <t>5.22-5.28</t>
        </is>
      </c>
      <c r="B1904" s="16" t="inlineStr">
        <is>
          <t>PO-128-10675444695671296</t>
        </is>
      </c>
      <c r="C1904" s="16" t="inlineStr">
        <is>
          <t>Shipped</t>
        </is>
      </c>
      <c r="D1904" s="16" t="inlineStr">
        <is>
          <t>128-10675497124471296</t>
        </is>
      </c>
      <c r="E1904" s="16" t="inlineStr">
        <is>
          <t>Shipped</t>
        </is>
      </c>
      <c r="F1904" s="16" t="inlineStr">
        <is>
          <t>BSC07</t>
        </is>
      </c>
      <c r="G1904" s="16" t="inlineStr">
        <is>
          <t>TIANLAI Báscula Digital BSC04/BSC07, Alta Precisión, Fácil Operación, Ligera y Portátil, Función Tara, Unidad Dual oz/g, Ideal para Cocina, Control de Porciones, Sellos y Objetos Pequeños, Uso en Hogar y Viaje</t>
        </is>
      </c>
      <c r="H1904" s="16" t="inlineStr">
        <is>
          <t>1g/White</t>
        </is>
      </c>
      <c r="I1904" s="16" t="n">
        <v>1</v>
      </c>
      <c r="J1904" s="17" t="n">
        <v>37</v>
      </c>
      <c r="K1904" s="17" t="n">
        <v>49.22</v>
      </c>
      <c r="L1904" s="17" t="n">
        <v>25.86</v>
      </c>
      <c r="M1904" s="17" t="n">
        <v>0</v>
      </c>
      <c r="N1904" s="17">
        <f>K1904*0.08+L1904*0.08</f>
        <v/>
      </c>
      <c r="O1904" s="17">
        <f>-(K1904*0.025+L1904*0.025)</f>
        <v/>
      </c>
      <c r="P1904" s="17">
        <f>32</f>
        <v/>
      </c>
      <c r="Q1904" s="17">
        <f>J1904+L1904+N1904+O1904-P1904-M1904</f>
        <v/>
      </c>
    </row>
    <row r="1905">
      <c r="A1905" s="16" t="inlineStr">
        <is>
          <t>5.22-5.28</t>
        </is>
      </c>
      <c r="B1905" s="16" t="inlineStr">
        <is>
          <t>PO-128-10475022664313706</t>
        </is>
      </c>
      <c r="C1905" s="16" t="inlineStr">
        <is>
          <t>Shipped</t>
        </is>
      </c>
      <c r="D1905" s="16" t="inlineStr">
        <is>
          <t>128-10475190190713706</t>
        </is>
      </c>
      <c r="E1905" s="16" t="inlineStr">
        <is>
          <t>Shipped</t>
        </is>
      </c>
      <c r="F1905" s="16" t="inlineStr">
        <is>
          <t>LV54W25</t>
        </is>
      </c>
      <c r="G1905" s="16" t="inlineStr">
        <is>
          <t>TIANLAI Lámpara Ventilador E27 2 en 1, Silenciosa, LED Alta Luminosidad 180°, Instalación Rápida, Ahorro Energético para Dormitorio y Interiores Pequeños</t>
        </is>
      </c>
      <c r="H1905" s="16" t="inlineStr">
        <is>
          <t>1 Pieza</t>
        </is>
      </c>
      <c r="I1905" s="16" t="n">
        <v>3</v>
      </c>
      <c r="J1905" s="17" t="n">
        <v>222</v>
      </c>
      <c r="K1905" s="17" t="n">
        <v>228.78</v>
      </c>
      <c r="L1905" s="17" t="n">
        <v>25.86</v>
      </c>
      <c r="M1905" s="17" t="n">
        <v>0</v>
      </c>
      <c r="N1905" s="17">
        <f>K1905*0.08+L1905*0.08</f>
        <v/>
      </c>
      <c r="O1905" s="17">
        <f>-(K1905*0.025+L1905*0.025)</f>
        <v/>
      </c>
      <c r="P1905" s="17">
        <f>32</f>
        <v/>
      </c>
      <c r="Q1905" s="17">
        <f>J1905+L1905+N1905+O1905-P1905-M1905</f>
        <v/>
      </c>
    </row>
    <row r="1906">
      <c r="A1906" s="16" t="inlineStr">
        <is>
          <t>5.22-5.28</t>
        </is>
      </c>
      <c r="B1906" s="16" t="inlineStr">
        <is>
          <t>PO-128-10693992714871379</t>
        </is>
      </c>
      <c r="C1906" s="16" t="inlineStr">
        <is>
          <t>Shipped</t>
        </is>
      </c>
      <c r="D1906" s="16" t="inlineStr">
        <is>
          <t>128-10693971743351379</t>
        </is>
      </c>
      <c r="E1906" s="16" t="inlineStr">
        <is>
          <t>Shipped</t>
        </is>
      </c>
      <c r="F1906" s="16" t="inlineStr">
        <is>
          <t>KTS-2031</t>
        </is>
      </c>
      <c r="G1906" s="16" t="inlineStr">
        <is>
          <t>Bocina inalámbrica de 3 pulgadas con linterna multifuncional y panel solar integrado.Altavoz Portátil con Linterna LED 4 Modos, Radio FM, Bluetooth, Carga Solar, Ideal para Apagones, Emergencias, Campo y Exteriores</t>
        </is>
      </c>
      <c r="H1906" s="16" t="inlineStr">
        <is>
          <t>NEGRO</t>
        </is>
      </c>
      <c r="I1906" s="16" t="n">
        <v>4</v>
      </c>
      <c r="J1906" s="17" t="n">
        <v>360</v>
      </c>
      <c r="K1906" s="17" t="n">
        <v>340.04</v>
      </c>
      <c r="L1906" s="17" t="n">
        <v>0</v>
      </c>
      <c r="M1906" s="17" t="n">
        <v>0</v>
      </c>
      <c r="N1906" s="17">
        <f>K1906*0.08+L1906*0.08</f>
        <v/>
      </c>
      <c r="O1906" s="17">
        <f>-(K1906*0.025+L1906*0.025)</f>
        <v/>
      </c>
      <c r="P1906" s="17">
        <f>32</f>
        <v/>
      </c>
      <c r="Q1906" s="17">
        <f>J1906+L1906+N1906+O1906-P1906-M1906</f>
        <v/>
      </c>
    </row>
    <row r="1907">
      <c r="A1907" s="16" t="inlineStr">
        <is>
          <t>5.22-5.28</t>
        </is>
      </c>
      <c r="B1907" s="16" t="inlineStr">
        <is>
          <t>PO-128-10476973015673697</t>
        </is>
      </c>
      <c r="C1907" s="16" t="inlineStr">
        <is>
          <t>Shipped</t>
        </is>
      </c>
      <c r="D1907" s="16" t="inlineStr">
        <is>
          <t>128-10476941312633697</t>
        </is>
      </c>
      <c r="E1907" s="16" t="inlineStr">
        <is>
          <t>Shipped</t>
        </is>
      </c>
      <c r="F1907" s="16" t="inlineStr">
        <is>
          <t>TL1412N17C</t>
        </is>
      </c>
      <c r="G1907" s="16" t="inlineStr">
        <is>
          <t>Linkbits, Soporte de Pared Fijo para TV y Monitor de 14"-43", Ultra Delgado 2.3cm, Fuerte Capacidad de Peso de 25KG, Fácil Instalación con Accesorios Completos</t>
        </is>
      </c>
      <c r="H1907" s="16" t="inlineStr">
        <is>
          <t>NEGRO</t>
        </is>
      </c>
      <c r="I1907" s="16" t="n">
        <v>1</v>
      </c>
      <c r="J1907" s="17" t="n">
        <v>36.5</v>
      </c>
      <c r="K1907" s="17" t="n">
        <v>38.57</v>
      </c>
      <c r="L1907" s="17" t="n">
        <v>25.86</v>
      </c>
      <c r="M1907" s="17" t="n">
        <v>0</v>
      </c>
      <c r="N1907" s="17">
        <f>K1907*0.08+L1907*0.08</f>
        <v/>
      </c>
      <c r="O1907" s="17">
        <f>-(K1907*0.025+L1907*0.025)</f>
        <v/>
      </c>
      <c r="P1907" s="17">
        <f>32</f>
        <v/>
      </c>
      <c r="Q1907" s="17">
        <f>J1907+L1907+N1907+O1907-P1907-M1907</f>
        <v/>
      </c>
    </row>
    <row r="1908">
      <c r="A1908" s="16" t="inlineStr">
        <is>
          <t>5.22-5.28</t>
        </is>
      </c>
      <c r="B1908" s="16" t="inlineStr">
        <is>
          <t>PO-128-10986019881590599</t>
        </is>
      </c>
      <c r="C1908" s="16" t="inlineStr">
        <is>
          <t>Shipped</t>
        </is>
      </c>
      <c r="D1908" s="16" t="inlineStr">
        <is>
          <t>128-10986046095990599</t>
        </is>
      </c>
      <c r="E1908" s="16" t="inlineStr">
        <is>
          <t>Shipped</t>
        </is>
      </c>
      <c r="F1908" s="16" t="inlineStr">
        <is>
          <t>BSC07</t>
        </is>
      </c>
      <c r="G1908" s="16" t="inlineStr">
        <is>
          <t>TIANLAI Báscula Digital BSC04/BSC07, Alta Precisión, Fácil Operación, Ligera y Portátil, Función Tara, Unidad Dual oz/g, Ideal para Cocina, Control de Porciones, Sellos y Objetos Pequeños, Uso en Hogar y Viaje</t>
        </is>
      </c>
      <c r="H1908" s="16" t="inlineStr">
        <is>
          <t>1g/White</t>
        </is>
      </c>
      <c r="I1908" s="16" t="n">
        <v>1</v>
      </c>
      <c r="J1908" s="17" t="n">
        <v>37</v>
      </c>
      <c r="K1908" s="17" t="n">
        <v>49.22</v>
      </c>
      <c r="L1908" s="17" t="n">
        <v>25.86</v>
      </c>
      <c r="M1908" s="17" t="n">
        <v>0</v>
      </c>
      <c r="N1908" s="17">
        <f>K1908*0.08+L1908*0.08</f>
        <v/>
      </c>
      <c r="O1908" s="17">
        <f>-(K1908*0.025+L1908*0.025)</f>
        <v/>
      </c>
      <c r="P1908" s="17">
        <f>32</f>
        <v/>
      </c>
      <c r="Q1908" s="17">
        <f>J1908+L1908+N1908+O1908-P1908-M1908</f>
        <v/>
      </c>
    </row>
    <row r="1909">
      <c r="A1909" s="16" t="inlineStr">
        <is>
          <t>5.22-5.28</t>
        </is>
      </c>
      <c r="B1909" s="16" t="inlineStr">
        <is>
          <t>PO-128-16275461519991903</t>
        </is>
      </c>
      <c r="C1909" s="16" t="inlineStr">
        <is>
          <t>Shipped</t>
        </is>
      </c>
      <c r="D1909" s="16" t="inlineStr">
        <is>
          <t>128-16275503463031903</t>
        </is>
      </c>
      <c r="E1909" s="16" t="inlineStr">
        <is>
          <t>Shipped</t>
        </is>
      </c>
      <c r="F1909" s="16" t="inlineStr">
        <is>
          <t>LV54W25</t>
        </is>
      </c>
      <c r="G1909" s="16" t="inlineStr">
        <is>
          <t>TIANLAI Lámpara Ventilador E27 2 en 1, Silenciosa, LED Alta Luminosidad 180°, Instalación Rápida, Ahorro Energético para Dormitorio y Interiores Pequeños</t>
        </is>
      </c>
      <c r="H1909" s="16" t="inlineStr">
        <is>
          <t>1 Pieza</t>
        </is>
      </c>
      <c r="I1909" s="16" t="n">
        <v>3</v>
      </c>
      <c r="J1909" s="17" t="n">
        <v>222</v>
      </c>
      <c r="K1909" s="17" t="n">
        <v>188.26</v>
      </c>
      <c r="L1909" s="17" t="n">
        <v>25.86</v>
      </c>
      <c r="M1909" s="17" t="n">
        <v>0</v>
      </c>
      <c r="N1909" s="17">
        <f>K1909*0.08+L1909*0.08</f>
        <v/>
      </c>
      <c r="O1909" s="17">
        <f>-(K1909*0.025+L1909*0.025)</f>
        <v/>
      </c>
      <c r="P1909" s="17">
        <f>32</f>
        <v/>
      </c>
      <c r="Q1909" s="17">
        <f>J1909+L1909+N1909+O1909-P1909-M1909</f>
        <v/>
      </c>
    </row>
    <row r="1910">
      <c r="A1910" s="16" t="inlineStr">
        <is>
          <t>5.22-5.28</t>
        </is>
      </c>
      <c r="B1910" s="16" t="inlineStr">
        <is>
          <t>PO-128-16039693706872282</t>
        </is>
      </c>
      <c r="C1910" s="16" t="inlineStr">
        <is>
          <t>Shipped</t>
        </is>
      </c>
      <c r="D1910" s="16" t="inlineStr">
        <is>
          <t>128-16039706814072282</t>
        </is>
      </c>
      <c r="E1910" s="16" t="inlineStr">
        <is>
          <t>Shipped</t>
        </is>
      </c>
      <c r="F1910" s="16" t="inlineStr">
        <is>
          <t>TL1455N20B</t>
        </is>
      </c>
      <c r="G1910" s="16" t="inlineStr">
        <is>
          <t>LINK BITS Soporte para TV 14 A 55 Pulgadas, Base para TV Pantalla Articulado Inclinable y Giratorio, MAX VESA 400×400 mm, Soporta hasta 18kg, adaptarse a la mayoría de los televisores de 14 Pulgadas/20 Pulgadas/32 Pulgadas/42 Pulgadas/55 pulgadas</t>
        </is>
      </c>
      <c r="H1910" s="16" t="inlineStr">
        <is>
          <t>TL1455N20B</t>
        </is>
      </c>
      <c r="I1910" s="16" t="n">
        <v>1</v>
      </c>
      <c r="J1910" s="17" t="n">
        <v>75</v>
      </c>
      <c r="K1910" s="17" t="n">
        <v>96.06</v>
      </c>
      <c r="L1910" s="17" t="n">
        <v>25.86</v>
      </c>
      <c r="M1910" s="17" t="n">
        <v>0</v>
      </c>
      <c r="N1910" s="17">
        <f>K1910*0.08+L1910*0.08</f>
        <v/>
      </c>
      <c r="O1910" s="17">
        <f>-(K1910*0.025+L1910*0.025)</f>
        <v/>
      </c>
      <c r="P1910" s="17">
        <f>32</f>
        <v/>
      </c>
      <c r="Q1910" s="17">
        <f>J1910+L1910+N1910+O1910-P1910-M1910</f>
        <v/>
      </c>
    </row>
    <row r="1911">
      <c r="A1911" s="16" t="inlineStr">
        <is>
          <t>5.22-5.28</t>
        </is>
      </c>
      <c r="B1911" s="16" t="inlineStr">
        <is>
          <t>PO-128-16103003167352931</t>
        </is>
      </c>
      <c r="C1911" s="16" t="inlineStr">
        <is>
          <t>Shipped</t>
        </is>
      </c>
      <c r="D1911" s="16" t="inlineStr">
        <is>
          <t>128-16103045110392931</t>
        </is>
      </c>
      <c r="E1911" s="16" t="inlineStr">
        <is>
          <t>Shipped</t>
        </is>
      </c>
      <c r="F1911" s="16" t="inlineStr">
        <is>
          <t>LV54W25</t>
        </is>
      </c>
      <c r="G1911" s="16" t="inlineStr">
        <is>
          <t>TIANLAI Lámpara Ventilador E27 2 en 1, Silenciosa, LED Alta Luminosidad 180°, Instalación Rápida, Ahorro Energético para Dormitorio y Interiores Pequeños</t>
        </is>
      </c>
      <c r="H1911" s="16" t="inlineStr">
        <is>
          <t>1 Pieza</t>
        </is>
      </c>
      <c r="I1911" s="16" t="n">
        <v>2</v>
      </c>
      <c r="J1911" s="17" t="n">
        <v>148</v>
      </c>
      <c r="K1911" s="17" t="n">
        <v>154.24</v>
      </c>
      <c r="L1911" s="17" t="n">
        <v>25.86</v>
      </c>
      <c r="M1911" s="17" t="n">
        <v>0</v>
      </c>
      <c r="N1911" s="17">
        <f>K1911*0.08+L1911*0.08</f>
        <v/>
      </c>
      <c r="O1911" s="17">
        <f>-(K1911*0.025+L1911*0.025)</f>
        <v/>
      </c>
      <c r="P1911" s="17">
        <f>32</f>
        <v/>
      </c>
      <c r="Q1911" s="17">
        <f>J1911+L1911+N1911+O1911-P1911-M1911</f>
        <v/>
      </c>
    </row>
    <row r="1912">
      <c r="A1912" s="16" t="inlineStr">
        <is>
          <t>5.22-5.28</t>
        </is>
      </c>
      <c r="B1912" s="16" t="inlineStr">
        <is>
          <t>PO-128-15894846162553978</t>
        </is>
      </c>
      <c r="C1912" s="16" t="inlineStr">
        <is>
          <t>Shipped</t>
        </is>
      </c>
      <c r="D1912" s="16" t="inlineStr">
        <is>
          <t>128-15894867134073978</t>
        </is>
      </c>
      <c r="E1912" s="16" t="inlineStr">
        <is>
          <t>Shipped</t>
        </is>
      </c>
      <c r="F1912" s="16" t="inlineStr">
        <is>
          <t>LV54W25</t>
        </is>
      </c>
      <c r="G1912" s="16" t="inlineStr">
        <is>
          <t>TIANLAI Lámpara Ventilador E27 2 en 1, Silenciosa, LED Alta Luminosidad 180°, Instalación Rápida, Ahorro Energético para Dormitorio y Interiores Pequeños</t>
        </is>
      </c>
      <c r="H1912" s="16" t="inlineStr">
        <is>
          <t>1 Pieza</t>
        </is>
      </c>
      <c r="I1912" s="16" t="n">
        <v>1</v>
      </c>
      <c r="J1912" s="17" t="n">
        <v>74</v>
      </c>
      <c r="K1912" s="17" t="n">
        <v>76.26000000000001</v>
      </c>
      <c r="L1912" s="17" t="n">
        <v>25.86</v>
      </c>
      <c r="M1912" s="17" t="n">
        <v>0</v>
      </c>
      <c r="N1912" s="17">
        <f>K1912*0.08+L1912*0.08</f>
        <v/>
      </c>
      <c r="O1912" s="17">
        <f>-(K1912*0.025+L1912*0.025)</f>
        <v/>
      </c>
      <c r="P1912" s="17">
        <f>32</f>
        <v/>
      </c>
      <c r="Q1912" s="17">
        <f>J1912+L1912+N1912+O1912-P1912-M1912</f>
        <v/>
      </c>
    </row>
    <row r="1913">
      <c r="A1913" s="16" t="inlineStr">
        <is>
          <t>5.22-5.28</t>
        </is>
      </c>
      <c r="B1913" s="16" t="inlineStr">
        <is>
          <t>PO-128-15980251466872447</t>
        </is>
      </c>
      <c r="C1913" s="16" t="inlineStr">
        <is>
          <t>Shipped</t>
        </is>
      </c>
      <c r="D1913" s="16" t="inlineStr">
        <is>
          <t>128-15980162337912447</t>
        </is>
      </c>
      <c r="E1913" s="16" t="inlineStr">
        <is>
          <t>Shipped</t>
        </is>
      </c>
      <c r="F1913" s="16" t="inlineStr">
        <is>
          <t>LV54W25</t>
        </is>
      </c>
      <c r="G1913" s="16" t="inlineStr">
        <is>
          <t>TIANLAI Lámpara Ventilador E27 2 en 1, Silenciosa, LED Alta Luminosidad 180°, Instalación Rápida, Ahorro Energético para Dormitorio y Interiores Pequeños</t>
        </is>
      </c>
      <c r="H1913" s="16" t="inlineStr">
        <is>
          <t>1 Pieza</t>
        </is>
      </c>
      <c r="I1913" s="16" t="n">
        <v>1</v>
      </c>
      <c r="J1913" s="17" t="n">
        <v>74</v>
      </c>
      <c r="K1913" s="17" t="n">
        <v>64.98</v>
      </c>
      <c r="L1913" s="17" t="n">
        <v>25.86</v>
      </c>
      <c r="M1913" s="17" t="n">
        <v>0</v>
      </c>
      <c r="N1913" s="17">
        <f>K1913*0.08+L1913*0.08</f>
        <v/>
      </c>
      <c r="O1913" s="17">
        <f>-(K1913*0.025+L1913*0.025)</f>
        <v/>
      </c>
      <c r="P1913" s="17">
        <f>32</f>
        <v/>
      </c>
      <c r="Q1913" s="17">
        <f>J1913+L1913+N1913+O1913-P1913-M1913</f>
        <v/>
      </c>
    </row>
    <row r="1914">
      <c r="A1914" s="16" t="inlineStr">
        <is>
          <t>5.22-5.28</t>
        </is>
      </c>
      <c r="B1914" s="16" t="inlineStr">
        <is>
          <t>PO-128-15946661120633799</t>
        </is>
      </c>
      <c r="C1914" s="16" t="inlineStr">
        <is>
          <t>Shipped</t>
        </is>
      </c>
      <c r="D1914" s="16" t="inlineStr">
        <is>
          <t>128-15946698476153799</t>
        </is>
      </c>
      <c r="E1914" s="16" t="inlineStr">
        <is>
          <t>Shipped</t>
        </is>
      </c>
      <c r="F1914" s="16" t="inlineStr">
        <is>
          <t>KTS-2031</t>
        </is>
      </c>
      <c r="G1914" s="16" t="inlineStr">
        <is>
          <t>Bocina inalámbrica de 3 pulgadas con linterna multifuncional y panel solar integrado.Altavoz Portátil con Linterna LED 4 Modos, Radio FM, Bluetooth, Carga Solar, Ideal para Apagones, Emergencias, Campo y Exteriores</t>
        </is>
      </c>
      <c r="H1914" s="16" t="inlineStr">
        <is>
          <t>NEGRO</t>
        </is>
      </c>
      <c r="I1914" s="16" t="n">
        <v>3</v>
      </c>
      <c r="J1914" s="17" t="n">
        <v>270</v>
      </c>
      <c r="K1914" s="17" t="n">
        <v>273.99</v>
      </c>
      <c r="L1914" s="17" t="n">
        <v>0</v>
      </c>
      <c r="M1914" s="17" t="n">
        <v>0</v>
      </c>
      <c r="N1914" s="17">
        <f>K1914*0.08+L1914*0.08</f>
        <v/>
      </c>
      <c r="O1914" s="17">
        <f>-(K1914*0.025+L1914*0.025)</f>
        <v/>
      </c>
      <c r="P1914" s="17">
        <f>32</f>
        <v/>
      </c>
      <c r="Q1914" s="17">
        <f>J1914+L1914+N1914+O1914-P1914-M1914</f>
        <v/>
      </c>
    </row>
    <row r="1915">
      <c r="A1915" s="16" t="inlineStr">
        <is>
          <t>5.22-5.28</t>
        </is>
      </c>
      <c r="B1915" s="16" t="inlineStr">
        <is>
          <t>PO-128-16323630735990398</t>
        </is>
      </c>
      <c r="C1915" s="16" t="inlineStr">
        <is>
          <t>Shipped</t>
        </is>
      </c>
      <c r="D1915" s="16" t="inlineStr">
        <is>
          <t>128-16323609764470398</t>
        </is>
      </c>
      <c r="E1915" s="16" t="inlineStr">
        <is>
          <t>Shipped</t>
        </is>
      </c>
      <c r="F1915" s="16" t="inlineStr">
        <is>
          <t>LV54W25</t>
        </is>
      </c>
      <c r="G1915" s="16" t="inlineStr">
        <is>
          <t>TIANLAI Lámpara Ventilador E27 2 en 1, Silenciosa, LED Alta Luminosidad 180°, Instalación Rápida, Ahorro Energético para Dormitorio y Interiores Pequeños</t>
        </is>
      </c>
      <c r="H1915" s="16" t="inlineStr">
        <is>
          <t>1 Pieza</t>
        </is>
      </c>
      <c r="I1915" s="16" t="n">
        <v>1</v>
      </c>
      <c r="J1915" s="17" t="n">
        <v>74</v>
      </c>
      <c r="K1915" s="17" t="n">
        <v>77.12</v>
      </c>
      <c r="L1915" s="17" t="n">
        <v>25.86</v>
      </c>
      <c r="M1915" s="17" t="n">
        <v>0</v>
      </c>
      <c r="N1915" s="17">
        <f>K1915*0.08+L1915*0.08</f>
        <v/>
      </c>
      <c r="O1915" s="17">
        <f>-(K1915*0.025+L1915*0.025)</f>
        <v/>
      </c>
      <c r="P1915" s="17">
        <f>32</f>
        <v/>
      </c>
      <c r="Q1915" s="17">
        <f>J1915+L1915+N1915+O1915-P1915-M1915</f>
        <v/>
      </c>
    </row>
    <row r="1916">
      <c r="A1916" s="16" t="inlineStr">
        <is>
          <t>5.22-5.28</t>
        </is>
      </c>
      <c r="B1916" s="16" t="inlineStr">
        <is>
          <t>PO-128-15871597880953092</t>
        </is>
      </c>
      <c r="C1916" s="16" t="inlineStr">
        <is>
          <t>Shipped</t>
        </is>
      </c>
      <c r="D1916" s="16" t="inlineStr">
        <is>
          <t>128-15871734195833092</t>
        </is>
      </c>
      <c r="E1916" s="16" t="inlineStr">
        <is>
          <t>Shipped</t>
        </is>
      </c>
      <c r="F1916" s="16" t="inlineStr">
        <is>
          <t>KTS-2031</t>
        </is>
      </c>
      <c r="G1916" s="16" t="inlineStr">
        <is>
          <t>Bocina inalámbrica de 3 pulgadas con linterna multifuncional y panel solar integrado.Altavoz Portátil con Linterna LED 4 Modos, Radio FM, Bluetooth, Carga Solar, Ideal para Apagones, Emergencias, Campo y Exteriores</t>
        </is>
      </c>
      <c r="H1916" s="16" t="inlineStr">
        <is>
          <t>NEGRO</t>
        </is>
      </c>
      <c r="I1916" s="16" t="n">
        <v>1</v>
      </c>
      <c r="J1916" s="17" t="n">
        <v>90</v>
      </c>
      <c r="K1916" s="17" t="n">
        <v>99.22</v>
      </c>
      <c r="L1916" s="17" t="n">
        <v>25.86</v>
      </c>
      <c r="M1916" s="17" t="n">
        <v>0</v>
      </c>
      <c r="N1916" s="17">
        <f>K1916*0.08+L1916*0.08</f>
        <v/>
      </c>
      <c r="O1916" s="17">
        <f>-(K1916*0.025+L1916*0.025)</f>
        <v/>
      </c>
      <c r="P1916" s="17">
        <f>32</f>
        <v/>
      </c>
      <c r="Q1916" s="17">
        <f>J1916+L1916+N1916+O1916-P1916-M1916</f>
        <v/>
      </c>
    </row>
    <row r="1917">
      <c r="A1917" s="16" t="inlineStr">
        <is>
          <t>5.22-5.28</t>
        </is>
      </c>
      <c r="B1917" s="16" t="inlineStr">
        <is>
          <t>PO-128-15853881877113262</t>
        </is>
      </c>
      <c r="C1917" s="16" t="inlineStr">
        <is>
          <t>Shipped</t>
        </is>
      </c>
      <c r="D1917" s="16" t="inlineStr">
        <is>
          <t>128-15853923820153262</t>
        </is>
      </c>
      <c r="E1917" s="16" t="inlineStr">
        <is>
          <t>Shipped</t>
        </is>
      </c>
      <c r="F1917" s="16" t="inlineStr">
        <is>
          <t>LV54W25</t>
        </is>
      </c>
      <c r="G1917" s="16" t="inlineStr">
        <is>
          <t>TIANLAI Lámpara Ventilador E27 2 en 1, Silenciosa, LED Alta Luminosidad 180°, Instalación Rápida, Ahorro Energético para Dormitorio y Interiores Pequeños</t>
        </is>
      </c>
      <c r="H1917" s="16" t="inlineStr">
        <is>
          <t>1 Pieza</t>
        </is>
      </c>
      <c r="I1917" s="16" t="n">
        <v>1</v>
      </c>
      <c r="J1917" s="17" t="n">
        <v>74</v>
      </c>
      <c r="K1917" s="17" t="n">
        <v>2.92</v>
      </c>
      <c r="L1917" s="17" t="n">
        <v>25.86</v>
      </c>
      <c r="M1917" s="17" t="n">
        <v>0</v>
      </c>
      <c r="N1917" s="17">
        <f>K1917*0.08+L1917*0.08</f>
        <v/>
      </c>
      <c r="O1917" s="17">
        <f>-(K1917*0.025+L1917*0.025)</f>
        <v/>
      </c>
      <c r="P1917" s="17">
        <f>32</f>
        <v/>
      </c>
      <c r="Q1917" s="17">
        <f>J1917+L1917+N1917+O1917-P1917-M1917</f>
        <v/>
      </c>
    </row>
    <row r="1918">
      <c r="A1918" s="16" t="inlineStr">
        <is>
          <t>5.22-5.28</t>
        </is>
      </c>
      <c r="B1918" s="16" t="inlineStr">
        <is>
          <t>PO-128-16075525192313031</t>
        </is>
      </c>
      <c r="C1918" s="16" t="inlineStr">
        <is>
          <t>Shipped</t>
        </is>
      </c>
      <c r="D1918" s="16" t="inlineStr">
        <is>
          <t>128-16075457034873031</t>
        </is>
      </c>
      <c r="E1918" s="16" t="inlineStr">
        <is>
          <t>Shipped</t>
        </is>
      </c>
      <c r="F1918" s="16" t="inlineStr">
        <is>
          <t>TLCD02-8P-N</t>
        </is>
      </c>
      <c r="G191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918" s="16" t="inlineStr">
        <is>
          <t>NEGRO/pantalla de 8.5 pulgadas</t>
        </is>
      </c>
      <c r="I1918" s="16" t="n">
        <v>1</v>
      </c>
      <c r="J1918" s="17" t="n">
        <v>25</v>
      </c>
      <c r="K1918" s="17" t="n">
        <v>30.17</v>
      </c>
      <c r="L1918" s="17" t="n">
        <v>25.86</v>
      </c>
      <c r="M1918" s="17" t="n">
        <v>0</v>
      </c>
      <c r="N1918" s="17">
        <f>K1918*0.08+L1918*0.08</f>
        <v/>
      </c>
      <c r="O1918" s="17">
        <f>-(K1918*0.025+L1918*0.025)</f>
        <v/>
      </c>
      <c r="P1918" s="17">
        <f>32</f>
        <v/>
      </c>
      <c r="Q1918" s="17">
        <f>J1918+L1918+N1918+O1918-P1918-M1918</f>
        <v/>
      </c>
    </row>
    <row r="1919">
      <c r="A1919" s="16" t="inlineStr">
        <is>
          <t>5.22-5.28</t>
        </is>
      </c>
      <c r="B1919" s="16" t="inlineStr">
        <is>
          <t>PO-128-16372883722870171</t>
        </is>
      </c>
      <c r="C1919" s="16" t="inlineStr">
        <is>
          <t>Shipped</t>
        </is>
      </c>
      <c r="D1919" s="16" t="inlineStr">
        <is>
          <t>128-16372878479990171</t>
        </is>
      </c>
      <c r="E1919" s="16" t="inlineStr">
        <is>
          <t>Shipped</t>
        </is>
      </c>
      <c r="F1919" s="16" t="inlineStr">
        <is>
          <t>LV54W25</t>
        </is>
      </c>
      <c r="G1919" s="16" t="inlineStr">
        <is>
          <t>TIANLAI Lámpara Ventilador E27 2 en 1, Silenciosa, LED Alta Luminosidad 180°, Instalación Rápida, Ahorro Energético para Dormitorio y Interiores Pequeños</t>
        </is>
      </c>
      <c r="H1919" s="16" t="inlineStr">
        <is>
          <t>1 Pieza</t>
        </is>
      </c>
      <c r="I1919" s="16" t="n">
        <v>1</v>
      </c>
      <c r="J1919" s="17" t="n">
        <v>74</v>
      </c>
      <c r="K1919" s="17" t="n">
        <v>77.12</v>
      </c>
      <c r="L1919" s="17" t="n">
        <v>25.86</v>
      </c>
      <c r="M1919" s="17" t="n">
        <v>0</v>
      </c>
      <c r="N1919" s="17">
        <f>K1919*0.08+L1919*0.08</f>
        <v/>
      </c>
      <c r="O1919" s="17">
        <f>-(K1919*0.025+L1919*0.025)</f>
        <v/>
      </c>
      <c r="P1919" s="17">
        <f>32</f>
        <v/>
      </c>
      <c r="Q1919" s="17">
        <f>J1919+L1919+N1919+O1919-P1919-M1919</f>
        <v/>
      </c>
    </row>
    <row r="1920">
      <c r="A1920" s="16" t="inlineStr">
        <is>
          <t>5.22-5.28</t>
        </is>
      </c>
      <c r="B1920" s="16" t="inlineStr">
        <is>
          <t>PO-128-15884233280633147</t>
        </is>
      </c>
      <c r="C1920" s="16" t="inlineStr">
        <is>
          <t>Shipped</t>
        </is>
      </c>
      <c r="D1920" s="16" t="inlineStr">
        <is>
          <t>128-15884275223673147</t>
        </is>
      </c>
      <c r="E1920" s="16" t="inlineStr">
        <is>
          <t>Shipped</t>
        </is>
      </c>
      <c r="F1920" s="16" t="inlineStr">
        <is>
          <t>VB349T</t>
        </is>
      </c>
      <c r="G1920" s="16" t="inlineStr">
        <is>
          <t>LINKBITS Altavoz Portátil de Doble Altavoz - 3 Pulgadas, Sonido HD, Emparejamiento Rápido de Bluetooth, Conectividad TWS, Reproducción Multimodo (Micro SD/USB/Radio FM) - Perfecto para Oficina, Viajes y Espacios Pequeños</t>
        </is>
      </c>
      <c r="H1920" s="16" t="inlineStr">
        <is>
          <t>NEGRO</t>
        </is>
      </c>
      <c r="I1920" s="16" t="n">
        <v>1</v>
      </c>
      <c r="J1920" s="17" t="n">
        <v>80</v>
      </c>
      <c r="K1920" s="17" t="n">
        <v>7.05</v>
      </c>
      <c r="L1920" s="17" t="n">
        <v>25.86</v>
      </c>
      <c r="M1920" s="17" t="n">
        <v>0</v>
      </c>
      <c r="N1920" s="17">
        <f>K1920*0.08+L1920*0.08</f>
        <v/>
      </c>
      <c r="O1920" s="17">
        <f>-(K1920*0.025+L1920*0.025)</f>
        <v/>
      </c>
      <c r="P1920" s="17">
        <f>32</f>
        <v/>
      </c>
      <c r="Q1920" s="17">
        <f>J1920+L1920+N1920+O1920-P1920-M1920</f>
        <v/>
      </c>
    </row>
    <row r="1921">
      <c r="A1921" s="16" t="inlineStr">
        <is>
          <t>5.22-5.28</t>
        </is>
      </c>
      <c r="B1921" s="16" t="inlineStr">
        <is>
          <t>PO-128-16168981857911512</t>
        </is>
      </c>
      <c r="C1921" s="16" t="inlineStr">
        <is>
          <t>Shipped</t>
        </is>
      </c>
      <c r="D1921" s="16" t="inlineStr">
        <is>
          <t>128-16168953022071512</t>
        </is>
      </c>
      <c r="E1921" s="16" t="inlineStr">
        <is>
          <t>Shipped</t>
        </is>
      </c>
      <c r="F1921" s="16" t="inlineStr">
        <is>
          <t>VB349T</t>
        </is>
      </c>
      <c r="G1921" s="16" t="inlineStr">
        <is>
          <t>LINKBITS Altavoz Portátil de Doble Altavoz - 3 Pulgadas, Sonido HD, Emparejamiento Rápido de Bluetooth, Conectividad TWS, Reproducción Multimodo (Micro SD/USB/Radio FM) - Perfecto para Oficina, Viajes y Espacios Pequeños</t>
        </is>
      </c>
      <c r="H1921" s="16" t="inlineStr">
        <is>
          <t>NEGRO</t>
        </is>
      </c>
      <c r="I1921" s="16" t="n">
        <v>1</v>
      </c>
      <c r="J1921" s="17" t="n">
        <v>80</v>
      </c>
      <c r="K1921" s="17" t="n">
        <v>93.26000000000001</v>
      </c>
      <c r="L1921" s="17" t="n">
        <v>25.86</v>
      </c>
      <c r="M1921" s="17" t="n">
        <v>0</v>
      </c>
      <c r="N1921" s="17">
        <f>K1921*0.08+L1921*0.08</f>
        <v/>
      </c>
      <c r="O1921" s="17">
        <f>-(K1921*0.025+L1921*0.025)</f>
        <v/>
      </c>
      <c r="P1921" s="17">
        <f>32</f>
        <v/>
      </c>
      <c r="Q1921" s="17">
        <f>J1921+L1921+N1921+O1921-P1921-M1921</f>
        <v/>
      </c>
    </row>
    <row r="1922">
      <c r="A1922" s="16" t="inlineStr">
        <is>
          <t>5.22-5.28</t>
        </is>
      </c>
      <c r="B1922" s="16" t="inlineStr">
        <is>
          <t>PO-128-16082885903993051</t>
        </is>
      </c>
      <c r="C1922" s="16" t="inlineStr">
        <is>
          <t>Shipped</t>
        </is>
      </c>
      <c r="D1922" s="16" t="inlineStr">
        <is>
          <t>128-16082843960953051</t>
        </is>
      </c>
      <c r="E1922" s="16" t="inlineStr">
        <is>
          <t>Shipped</t>
        </is>
      </c>
      <c r="F1922" s="16" t="inlineStr">
        <is>
          <t>LV64W25</t>
        </is>
      </c>
      <c r="G19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22" s="16" t="inlineStr">
        <is>
          <t>Blanco</t>
        </is>
      </c>
      <c r="I1922" s="16" t="n">
        <v>1</v>
      </c>
      <c r="J1922" s="17" t="n">
        <v>125</v>
      </c>
      <c r="K1922" s="17" t="n">
        <v>128.94</v>
      </c>
      <c r="L1922" s="17" t="n">
        <v>25.86</v>
      </c>
      <c r="M1922" s="17" t="n">
        <v>0</v>
      </c>
      <c r="N1922" s="17">
        <f>K1922*0.08+L1922*0.08</f>
        <v/>
      </c>
      <c r="O1922" s="17">
        <f>-(K1922*0.025+L1922*0.025)</f>
        <v/>
      </c>
      <c r="P1922" s="17">
        <f>32</f>
        <v/>
      </c>
      <c r="Q1922" s="17">
        <f>J1922+L1922+N1922+O1922-P1922-M1922</f>
        <v/>
      </c>
    </row>
    <row r="1923">
      <c r="A1923" s="16" t="inlineStr">
        <is>
          <t>5.22-5.28</t>
        </is>
      </c>
      <c r="B1923" s="16" t="inlineStr">
        <is>
          <t>PO-128-16267369534071887</t>
        </is>
      </c>
      <c r="C1923" s="16" t="inlineStr">
        <is>
          <t>Shipped</t>
        </is>
      </c>
      <c r="D1923" s="16" t="inlineStr">
        <is>
          <t>128-16267505848951887</t>
        </is>
      </c>
      <c r="E1923" s="16" t="inlineStr">
        <is>
          <t>Shipped</t>
        </is>
      </c>
      <c r="F1923" s="16" t="inlineStr">
        <is>
          <t>KTS-2031</t>
        </is>
      </c>
      <c r="G1923" s="16" t="inlineStr">
        <is>
          <t>Bocina inalámbrica de 3 pulgadas con linterna multifuncional y panel solar integrado.Altavoz Portátil con Linterna LED 4 Modos, Radio FM, Bluetooth, Carga Solar, Ideal para Apagones, Emergencias, Campo y Exteriores</t>
        </is>
      </c>
      <c r="H1923" s="16" t="inlineStr">
        <is>
          <t>NEGRO</t>
        </is>
      </c>
      <c r="I1923" s="16" t="n">
        <v>3</v>
      </c>
      <c r="J1923" s="17" t="n">
        <v>270</v>
      </c>
      <c r="K1923" s="17" t="n">
        <v>297.66</v>
      </c>
      <c r="L1923" s="17" t="n">
        <v>0</v>
      </c>
      <c r="M1923" s="17" t="n">
        <v>0</v>
      </c>
      <c r="N1923" s="17">
        <f>K1923*0.08+L1923*0.08</f>
        <v/>
      </c>
      <c r="O1923" s="17">
        <f>-(K1923*0.025+L1923*0.025)</f>
        <v/>
      </c>
      <c r="P1923" s="17">
        <f>32</f>
        <v/>
      </c>
      <c r="Q1923" s="17">
        <f>J1923+L1923+N1923+O1923-P1923-M1923</f>
        <v/>
      </c>
    </row>
    <row r="1924">
      <c r="A1924" s="16" t="inlineStr">
        <is>
          <t>5.22-5.28</t>
        </is>
      </c>
      <c r="B1924" s="16" t="inlineStr">
        <is>
          <t>PO-128-16310390569591631</t>
        </is>
      </c>
      <c r="C1924" s="16" t="inlineStr">
        <is>
          <t>Shipped</t>
        </is>
      </c>
      <c r="D1924" s="16" t="inlineStr">
        <is>
          <t>128-16310442015351631</t>
        </is>
      </c>
      <c r="E1924" s="16" t="inlineStr">
        <is>
          <t>Shipped</t>
        </is>
      </c>
      <c r="F1924" s="16" t="inlineStr">
        <is>
          <t>SA428T</t>
        </is>
      </c>
      <c r="G1924"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1924" s="16" t="inlineStr">
        <is>
          <t>SA428T</t>
        </is>
      </c>
      <c r="I1924" s="16" t="n">
        <v>1</v>
      </c>
      <c r="J1924" s="17" t="n">
        <v>88</v>
      </c>
      <c r="K1924" s="17" t="n">
        <v>103.46</v>
      </c>
      <c r="L1924" s="17" t="n">
        <v>25.86</v>
      </c>
      <c r="M1924" s="17" t="n">
        <v>0</v>
      </c>
      <c r="N1924" s="17">
        <f>K1924*0.08+L1924*0.08</f>
        <v/>
      </c>
      <c r="O1924" s="17">
        <f>-(K1924*0.025+L1924*0.025)</f>
        <v/>
      </c>
      <c r="P1924" s="17">
        <f>32</f>
        <v/>
      </c>
      <c r="Q1924" s="17">
        <f>J1924+L1924+N1924+O1924-P1924-M1924</f>
        <v/>
      </c>
    </row>
    <row r="1925">
      <c r="A1925" s="16" t="inlineStr">
        <is>
          <t>5.22-5.28</t>
        </is>
      </c>
      <c r="B1925" s="16" t="inlineStr">
        <is>
          <t>PO-128-16382809989750239</t>
        </is>
      </c>
      <c r="C1925" s="16" t="inlineStr">
        <is>
          <t>Shipped</t>
        </is>
      </c>
      <c r="D1925" s="16" t="inlineStr">
        <is>
          <t>128-16382846689910239</t>
        </is>
      </c>
      <c r="E1925" s="16" t="inlineStr">
        <is>
          <t>Shipped</t>
        </is>
      </c>
      <c r="F1925" s="16" t="inlineStr">
        <is>
          <t>TLCD06-12P-N</t>
        </is>
      </c>
      <c r="G192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925" s="16" t="inlineStr">
        <is>
          <t>NEGRO/pantalla de 12 pulgadas</t>
        </is>
      </c>
      <c r="I1925" s="16" t="n">
        <v>1</v>
      </c>
      <c r="J1925" s="17" t="n">
        <v>32</v>
      </c>
      <c r="K1925" s="17" t="n">
        <v>44.01</v>
      </c>
      <c r="L1925" s="17" t="n">
        <v>25.86</v>
      </c>
      <c r="M1925" s="17" t="n">
        <v>0</v>
      </c>
      <c r="N1925" s="17">
        <f>K1925*0.08+L1925*0.08</f>
        <v/>
      </c>
      <c r="O1925" s="17">
        <f>-(K1925*0.025+L1925*0.025)</f>
        <v/>
      </c>
      <c r="P1925" s="17">
        <f>32</f>
        <v/>
      </c>
      <c r="Q1925" s="17">
        <f>J1925+L1925+N1925+O1925-P1925-M1925</f>
        <v/>
      </c>
    </row>
    <row r="1926">
      <c r="A1926" s="16" t="inlineStr">
        <is>
          <t>5.22-5.28</t>
        </is>
      </c>
      <c r="B1926" s="16" t="inlineStr">
        <is>
          <t>PO-128-16350008371830307</t>
        </is>
      </c>
      <c r="C1926" s="16" t="inlineStr">
        <is>
          <t>Shipped</t>
        </is>
      </c>
      <c r="D1926" s="16" t="inlineStr">
        <is>
          <t>128-16349987400310307</t>
        </is>
      </c>
      <c r="E1926" s="16" t="inlineStr">
        <is>
          <t>Shipped</t>
        </is>
      </c>
      <c r="F1926" s="16" t="inlineStr">
        <is>
          <t>LV64W25</t>
        </is>
      </c>
      <c r="G19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26" s="16" t="inlineStr">
        <is>
          <t>Blanco</t>
        </is>
      </c>
      <c r="I1926" s="16" t="n">
        <v>1</v>
      </c>
      <c r="J1926" s="17" t="n">
        <v>125</v>
      </c>
      <c r="K1926" s="17" t="n">
        <v>100.29</v>
      </c>
      <c r="L1926" s="17" t="n">
        <v>25.86</v>
      </c>
      <c r="M1926" s="17" t="n">
        <v>0</v>
      </c>
      <c r="N1926" s="17">
        <f>K1926*0.08+L1926*0.08</f>
        <v/>
      </c>
      <c r="O1926" s="17">
        <f>-(K1926*0.025+L1926*0.025)</f>
        <v/>
      </c>
      <c r="P1926" s="17">
        <f>32</f>
        <v/>
      </c>
      <c r="Q1926" s="17">
        <f>J1926+L1926+N1926+O1926-P1926-M1926</f>
        <v/>
      </c>
    </row>
    <row r="1927">
      <c r="A1927" s="16" t="inlineStr">
        <is>
          <t>5.22-5.28</t>
        </is>
      </c>
      <c r="B1927" s="16" t="inlineStr">
        <is>
          <t>PO-128-16461184225910730</t>
        </is>
      </c>
      <c r="C1927" s="16" t="inlineStr">
        <is>
          <t>Shipped</t>
        </is>
      </c>
      <c r="D1927" s="16" t="inlineStr">
        <is>
          <t>128-16461210440310730</t>
        </is>
      </c>
      <c r="E1927" s="16" t="inlineStr">
        <is>
          <t>Shipped</t>
        </is>
      </c>
      <c r="F1927" s="16" t="inlineStr">
        <is>
          <t>LV64W25</t>
        </is>
      </c>
      <c r="G19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27" s="16" t="inlineStr">
        <is>
          <t>Blanco</t>
        </is>
      </c>
      <c r="I1927" s="16" t="n">
        <v>1</v>
      </c>
      <c r="J1927" s="17" t="n">
        <v>125</v>
      </c>
      <c r="K1927" s="17" t="n">
        <v>128.94</v>
      </c>
      <c r="L1927" s="17" t="n">
        <v>25.86</v>
      </c>
      <c r="M1927" s="17" t="n">
        <v>0</v>
      </c>
      <c r="N1927" s="17">
        <f>K1927*0.08+L1927*0.08</f>
        <v/>
      </c>
      <c r="O1927" s="17">
        <f>-(K1927*0.025+L1927*0.025)</f>
        <v/>
      </c>
      <c r="P1927" s="17">
        <f>32</f>
        <v/>
      </c>
      <c r="Q1927" s="17">
        <f>J1927+L1927+N1927+O1927-P1927-M1927</f>
        <v/>
      </c>
    </row>
    <row r="1928">
      <c r="A1928" s="16" t="inlineStr">
        <is>
          <t>5.22-5.28</t>
        </is>
      </c>
      <c r="B1928" s="16" t="inlineStr">
        <is>
          <t>PO-128-16026327534712234</t>
        </is>
      </c>
      <c r="C1928" s="16" t="inlineStr">
        <is>
          <t>Shipped</t>
        </is>
      </c>
      <c r="D1928" s="16" t="inlineStr">
        <is>
          <t>128-16026369477752234</t>
        </is>
      </c>
      <c r="E1928" s="16" t="inlineStr">
        <is>
          <t>Shipped</t>
        </is>
      </c>
      <c r="F1928" s="16" t="inlineStr">
        <is>
          <t>LV64W25</t>
        </is>
      </c>
      <c r="G19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28" s="16" t="inlineStr">
        <is>
          <t>Blanco</t>
        </is>
      </c>
      <c r="I1928" s="16" t="n">
        <v>3</v>
      </c>
      <c r="J1928" s="17" t="n">
        <v>375</v>
      </c>
      <c r="K1928" s="17" t="n">
        <v>429.78</v>
      </c>
      <c r="L1928" s="17" t="n">
        <v>0</v>
      </c>
      <c r="M1928" s="17" t="n">
        <v>0</v>
      </c>
      <c r="N1928" s="17">
        <f>K1928*0.08+L1928*0.08</f>
        <v/>
      </c>
      <c r="O1928" s="17">
        <f>-(K1928*0.025+L1928*0.025)</f>
        <v/>
      </c>
      <c r="P1928" s="17">
        <f>32</f>
        <v/>
      </c>
      <c r="Q1928" s="17">
        <f>J1928+L1928+N1928+O1928-P1928-M1928</f>
        <v/>
      </c>
    </row>
    <row r="1929">
      <c r="A1929" s="16" t="inlineStr">
        <is>
          <t>5.22-5.28</t>
        </is>
      </c>
      <c r="B1929" s="16" t="inlineStr">
        <is>
          <t>PO-128-16138104894072592</t>
        </is>
      </c>
      <c r="C1929" s="16" t="inlineStr">
        <is>
          <t>Shipped</t>
        </is>
      </c>
      <c r="D1929" s="16" t="inlineStr">
        <is>
          <t>128-16138052465272592</t>
        </is>
      </c>
      <c r="E1929" s="16" t="inlineStr">
        <is>
          <t>Shipped</t>
        </is>
      </c>
      <c r="F1929" s="16" t="inlineStr">
        <is>
          <t>LV54W25</t>
        </is>
      </c>
      <c r="G1929" s="16" t="inlineStr">
        <is>
          <t>TIANLAI Lámpara Ventilador E27 2 en 1, Silenciosa, LED Alta Luminosidad 180°, Instalación Rápida, Ahorro Energético para Dormitorio y Interiores Pequeños</t>
        </is>
      </c>
      <c r="H1929" s="16" t="inlineStr">
        <is>
          <t>1 Pieza</t>
        </is>
      </c>
      <c r="I1929" s="16" t="n">
        <v>1</v>
      </c>
      <c r="J1929" s="17" t="n">
        <v>74</v>
      </c>
      <c r="K1929" s="17" t="n">
        <v>77.12</v>
      </c>
      <c r="L1929" s="17" t="n">
        <v>25.86</v>
      </c>
      <c r="M1929" s="17" t="n">
        <v>0</v>
      </c>
      <c r="N1929" s="17">
        <f>K1929*0.08+L1929*0.08</f>
        <v/>
      </c>
      <c r="O1929" s="17">
        <f>-(K1929*0.025+L1929*0.025)</f>
        <v/>
      </c>
      <c r="P1929" s="17">
        <f>32</f>
        <v/>
      </c>
      <c r="Q1929" s="17">
        <f>J1929+L1929+N1929+O1929-P1929-M1929</f>
        <v/>
      </c>
    </row>
    <row r="1930">
      <c r="A1930" s="16" t="inlineStr">
        <is>
          <t>5.22-5.28</t>
        </is>
      </c>
      <c r="B1930" s="16" t="inlineStr">
        <is>
          <t>PO-128-15942958531193757</t>
        </is>
      </c>
      <c r="C1930" s="16" t="inlineStr">
        <is>
          <t>Shipped</t>
        </is>
      </c>
      <c r="D1930" s="16" t="inlineStr">
        <is>
          <t>128-15943000474233757</t>
        </is>
      </c>
      <c r="E1930" s="16" t="inlineStr">
        <is>
          <t>Shipped</t>
        </is>
      </c>
      <c r="F1930" s="16" t="inlineStr">
        <is>
          <t>TL1455N20B</t>
        </is>
      </c>
      <c r="G1930" s="16" t="inlineStr">
        <is>
          <t>LINK BITS Soporte para TV 14 A 55 Pulgadas, Base para TV Pantalla Articulado Inclinable y Giratorio, MAX VESA 400×400 mm, Soporta hasta 18kg, adaptarse a la mayoría de los televisores de 14 Pulgadas/20 Pulgadas/32 Pulgadas/42 Pulgadas/55 pulgadas</t>
        </is>
      </c>
      <c r="H1930" s="16" t="inlineStr">
        <is>
          <t>TL1455N20B</t>
        </is>
      </c>
      <c r="I1930" s="16" t="n">
        <v>2</v>
      </c>
      <c r="J1930" s="17" t="n">
        <v>150</v>
      </c>
      <c r="K1930" s="17" t="n">
        <v>158.5</v>
      </c>
      <c r="L1930" s="17" t="n">
        <v>25.86</v>
      </c>
      <c r="M1930" s="17" t="n">
        <v>0</v>
      </c>
      <c r="N1930" s="17">
        <f>K1930*0.08+L1930*0.08</f>
        <v/>
      </c>
      <c r="O1930" s="17">
        <f>-(K1930*0.025+L1930*0.025)</f>
        <v/>
      </c>
      <c r="P1930" s="17">
        <f>32</f>
        <v/>
      </c>
      <c r="Q1930" s="17">
        <f>J1930+L1930+N1930+O1930-P1930-M1930</f>
        <v/>
      </c>
    </row>
    <row r="1931">
      <c r="A1931" s="16" t="inlineStr">
        <is>
          <t>5.22-5.28</t>
        </is>
      </c>
      <c r="B1931" s="16" t="inlineStr">
        <is>
          <t>PO-128-16188019305591398</t>
        </is>
      </c>
      <c r="C1931" s="16" t="inlineStr">
        <is>
          <t>Shipped</t>
        </is>
      </c>
      <c r="D1931" s="16" t="inlineStr">
        <is>
          <t>128-16188050762871398</t>
        </is>
      </c>
      <c r="E1931" s="16" t="inlineStr">
        <is>
          <t>Shipped</t>
        </is>
      </c>
      <c r="F1931" s="16" t="inlineStr">
        <is>
          <t>KTS-2031</t>
        </is>
      </c>
      <c r="G1931" s="16" t="inlineStr">
        <is>
          <t>Bocina inalámbrica de 3 pulgadas con linterna multifuncional y panel solar integrado.Altavoz Portátil con Linterna LED 4 Modos, Radio FM, Bluetooth, Carga Solar, Ideal para Apagones, Emergencias, Campo y Exteriores</t>
        </is>
      </c>
      <c r="H1931" s="16" t="inlineStr">
        <is>
          <t>NEGRO</t>
        </is>
      </c>
      <c r="I1931" s="16" t="n">
        <v>1</v>
      </c>
      <c r="J1931" s="17" t="n">
        <v>90</v>
      </c>
      <c r="K1931" s="17" t="n">
        <v>99.22</v>
      </c>
      <c r="L1931" s="17" t="n">
        <v>25.86</v>
      </c>
      <c r="M1931" s="17" t="n">
        <v>0</v>
      </c>
      <c r="N1931" s="17">
        <f>K1931*0.08+L1931*0.08</f>
        <v/>
      </c>
      <c r="O1931" s="17">
        <f>-(K1931*0.025+L1931*0.025)</f>
        <v/>
      </c>
      <c r="P1931" s="17">
        <f>32</f>
        <v/>
      </c>
      <c r="Q1931" s="17">
        <f>J1931+L1931+N1931+O1931-P1931-M1931</f>
        <v/>
      </c>
    </row>
    <row r="1932">
      <c r="A1932" s="16" t="inlineStr">
        <is>
          <t>5.22-5.28</t>
        </is>
      </c>
      <c r="B1932" s="16" t="inlineStr">
        <is>
          <t>PO-128-16166674422391526</t>
        </is>
      </c>
      <c r="C1932" s="16" t="inlineStr">
        <is>
          <t>Shipped</t>
        </is>
      </c>
      <c r="D1932" s="16" t="inlineStr">
        <is>
          <t>128-16166632479351526</t>
        </is>
      </c>
      <c r="E1932" s="16" t="inlineStr">
        <is>
          <t>Shipped</t>
        </is>
      </c>
      <c r="F1932" s="16" t="inlineStr">
        <is>
          <t>TLCD02-8P-N</t>
        </is>
      </c>
      <c r="G193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932" s="16" t="inlineStr">
        <is>
          <t>NEGRO/pantalla de 8.5 pulgadas</t>
        </is>
      </c>
      <c r="I1932" s="16" t="n">
        <v>1</v>
      </c>
      <c r="J1932" s="17" t="n">
        <v>24.8</v>
      </c>
      <c r="K1932" s="17" t="n">
        <v>29.97</v>
      </c>
      <c r="L1932" s="17" t="n">
        <v>25.86</v>
      </c>
      <c r="M1932" s="17" t="n">
        <v>0</v>
      </c>
      <c r="N1932" s="17">
        <f>K1932*0.08+L1932*0.08</f>
        <v/>
      </c>
      <c r="O1932" s="17">
        <f>-(K1932*0.025+L1932*0.025)</f>
        <v/>
      </c>
      <c r="P1932" s="17">
        <f>32</f>
        <v/>
      </c>
      <c r="Q1932" s="17">
        <f>J1932+L1932+N1932+O1932-P1932-M1932</f>
        <v/>
      </c>
    </row>
    <row r="1933">
      <c r="A1933" s="16" t="inlineStr">
        <is>
          <t>5.22-5.28</t>
        </is>
      </c>
      <c r="B1933" s="16" t="inlineStr">
        <is>
          <t>PO-128-16059681551992165</t>
        </is>
      </c>
      <c r="C1933" s="16" t="inlineStr">
        <is>
          <t>Shipped</t>
        </is>
      </c>
      <c r="D1933" s="16" t="inlineStr">
        <is>
          <t>128-16059786409592165</t>
        </is>
      </c>
      <c r="E1933" s="16" t="inlineStr">
        <is>
          <t>Shipped</t>
        </is>
      </c>
      <c r="F1933" s="16" t="inlineStr">
        <is>
          <t>LV64W25</t>
        </is>
      </c>
      <c r="G19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33" s="16" t="inlineStr">
        <is>
          <t>Blanco</t>
        </is>
      </c>
      <c r="I1933" s="16" t="n">
        <v>1</v>
      </c>
      <c r="J1933" s="17" t="n">
        <v>125</v>
      </c>
      <c r="K1933" s="17" t="n">
        <v>128.94</v>
      </c>
      <c r="L1933" s="17" t="n">
        <v>25.86</v>
      </c>
      <c r="M1933" s="17" t="n">
        <v>0</v>
      </c>
      <c r="N1933" s="17">
        <f>K1933*0.08+L1933*0.08</f>
        <v/>
      </c>
      <c r="O1933" s="17">
        <f>-(K1933*0.025+L1933*0.025)</f>
        <v/>
      </c>
      <c r="P1933" s="17">
        <f>32</f>
        <v/>
      </c>
      <c r="Q1933" s="17">
        <f>J1933+L1933+N1933+O1933-P1933-M1933</f>
        <v/>
      </c>
    </row>
    <row r="1934">
      <c r="A1934" s="16" t="inlineStr">
        <is>
          <t>5.22-5.28</t>
        </is>
      </c>
      <c r="B1934" s="16" t="inlineStr">
        <is>
          <t>PO-128-16451063178870665</t>
        </is>
      </c>
      <c r="C1934" s="16" t="inlineStr">
        <is>
          <t>Shipped</t>
        </is>
      </c>
      <c r="D1934" s="16" t="inlineStr">
        <is>
          <t>128-16451021235830665</t>
        </is>
      </c>
      <c r="E1934" s="16" t="inlineStr">
        <is>
          <t>Shipped</t>
        </is>
      </c>
      <c r="F1934" s="16" t="inlineStr">
        <is>
          <t>LV54W25</t>
        </is>
      </c>
      <c r="G1934" s="16" t="inlineStr">
        <is>
          <t>TIANLAI Lámpara Ventilador E27 2 en 1, Silenciosa, LED Alta Luminosidad 180°, Instalación Rápida, Ahorro Energético para Dormitorio y Interiores Pequeños</t>
        </is>
      </c>
      <c r="H1934" s="16" t="inlineStr">
        <is>
          <t>1 Pieza</t>
        </is>
      </c>
      <c r="I1934" s="16" t="n">
        <v>5</v>
      </c>
      <c r="J1934" s="17" t="n">
        <v>370</v>
      </c>
      <c r="K1934" s="17" t="n">
        <v>305.04</v>
      </c>
      <c r="L1934" s="17" t="n">
        <v>0</v>
      </c>
      <c r="M1934" s="17" t="n">
        <v>0</v>
      </c>
      <c r="N1934" s="17">
        <f>K1934*0.08+L1934*0.08</f>
        <v/>
      </c>
      <c r="O1934" s="17">
        <f>-(K1934*0.025+L1934*0.025)</f>
        <v/>
      </c>
      <c r="P1934" s="17">
        <f>32</f>
        <v/>
      </c>
      <c r="Q1934" s="17">
        <f>J1934+L1934+N1934+O1934-P1934-M1934</f>
        <v/>
      </c>
    </row>
    <row r="1935">
      <c r="A1935" s="16" t="inlineStr">
        <is>
          <t>5.22-5.28</t>
        </is>
      </c>
      <c r="B1935" s="16" t="inlineStr">
        <is>
          <t>PO-128-15915013919353858</t>
        </is>
      </c>
      <c r="C1935" s="16" t="inlineStr">
        <is>
          <t>Shipped</t>
        </is>
      </c>
      <c r="D1935" s="16" t="inlineStr">
        <is>
          <t>128-15915034829433858</t>
        </is>
      </c>
      <c r="E1935" s="16" t="inlineStr">
        <is>
          <t>Shipped</t>
        </is>
      </c>
      <c r="F1935" s="16" t="inlineStr">
        <is>
          <t>LV64W25</t>
        </is>
      </c>
      <c r="G19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35" s="16" t="inlineStr">
        <is>
          <t>Blanco</t>
        </is>
      </c>
      <c r="I1935" s="16" t="n">
        <v>2</v>
      </c>
      <c r="J1935" s="17" t="n">
        <v>250</v>
      </c>
      <c r="K1935" s="17" t="n">
        <v>252.87</v>
      </c>
      <c r="L1935" s="17" t="n">
        <v>0</v>
      </c>
      <c r="M1935" s="17" t="n">
        <v>0</v>
      </c>
      <c r="N1935" s="17">
        <f>K1935*0.08+L1935*0.08</f>
        <v/>
      </c>
      <c r="O1935" s="17">
        <f>-(K1935*0.025+L1935*0.025)</f>
        <v/>
      </c>
      <c r="P1935" s="17">
        <f>32</f>
        <v/>
      </c>
      <c r="Q1935" s="17">
        <f>J1935+L1935+N1935+O1935-P1935-M1935</f>
        <v/>
      </c>
    </row>
    <row r="1936">
      <c r="A1936" s="16" t="inlineStr">
        <is>
          <t>5.22-5.28</t>
        </is>
      </c>
      <c r="B1936" s="16" t="inlineStr">
        <is>
          <t>PO-128-15814950851193494</t>
        </is>
      </c>
      <c r="C1936" s="16" t="inlineStr">
        <is>
          <t>Shipped</t>
        </is>
      </c>
      <c r="D1936" s="16" t="inlineStr">
        <is>
          <t>128-15814898422393494</t>
        </is>
      </c>
      <c r="E1936" s="16" t="inlineStr">
        <is>
          <t>Shipped</t>
        </is>
      </c>
      <c r="F1936" s="16" t="inlineStr">
        <is>
          <t>LV54W25</t>
        </is>
      </c>
      <c r="G1936" s="16" t="inlineStr">
        <is>
          <t>TIANLAI Lámpara Ventilador E27 2 en 1, Silenciosa, LED Alta Luminosidad 180°, Instalación Rápida, Ahorro Energético para Dormitorio y Interiores Pequeños</t>
        </is>
      </c>
      <c r="H1936" s="16" t="inlineStr">
        <is>
          <t>1 Pieza</t>
        </is>
      </c>
      <c r="I1936" s="16" t="n">
        <v>2</v>
      </c>
      <c r="J1936" s="17" t="n">
        <v>148</v>
      </c>
      <c r="K1936" s="17" t="n">
        <v>126.15</v>
      </c>
      <c r="L1936" s="17" t="n">
        <v>25.86</v>
      </c>
      <c r="M1936" s="17" t="n">
        <v>0</v>
      </c>
      <c r="N1936" s="17">
        <f>K1936*0.08+L1936*0.08</f>
        <v/>
      </c>
      <c r="O1936" s="17">
        <f>-(K1936*0.025+L1936*0.025)</f>
        <v/>
      </c>
      <c r="P1936" s="17">
        <f>32</f>
        <v/>
      </c>
      <c r="Q1936" s="17">
        <f>J1936+L1936+N1936+O1936-P1936-M1936</f>
        <v/>
      </c>
    </row>
    <row r="1937">
      <c r="A1937" s="16" t="inlineStr">
        <is>
          <t>5.22-5.28</t>
        </is>
      </c>
      <c r="B1937" s="16" t="inlineStr">
        <is>
          <t>PO-128-15810866668153518</t>
        </is>
      </c>
      <c r="C1937" s="16" t="inlineStr">
        <is>
          <t>Shipped</t>
        </is>
      </c>
      <c r="D1937" s="16" t="inlineStr">
        <is>
          <t>128-15811002983033518</t>
        </is>
      </c>
      <c r="E1937" s="16" t="inlineStr">
        <is>
          <t>Shipped</t>
        </is>
      </c>
      <c r="F1937" s="16" t="inlineStr">
        <is>
          <t>LV54W25</t>
        </is>
      </c>
      <c r="G1937" s="16" t="inlineStr">
        <is>
          <t>TIANLAI Lámpara Ventilador E27 2 en 1, Silenciosa, LED Alta Luminosidad 180°, Instalación Rápida, Ahorro Energético para Dormitorio y Interiores Pequeños</t>
        </is>
      </c>
      <c r="H1937" s="16" t="inlineStr">
        <is>
          <t>1 Pieza</t>
        </is>
      </c>
      <c r="I1937" s="16" t="n">
        <v>1</v>
      </c>
      <c r="J1937" s="17" t="n">
        <v>74</v>
      </c>
      <c r="K1937" s="17" t="n">
        <v>76.26000000000001</v>
      </c>
      <c r="L1937" s="17" t="n">
        <v>25.86</v>
      </c>
      <c r="M1937" s="17" t="n">
        <v>0</v>
      </c>
      <c r="N1937" s="17">
        <f>K1937*0.08+L1937*0.08</f>
        <v/>
      </c>
      <c r="O1937" s="17">
        <f>-(K1937*0.025+L1937*0.025)</f>
        <v/>
      </c>
      <c r="P1937" s="17">
        <f>32</f>
        <v/>
      </c>
      <c r="Q1937" s="17">
        <f>J1937+L1937+N1937+O1937-P1937-M1937</f>
        <v/>
      </c>
    </row>
    <row r="1938">
      <c r="A1938" s="16" t="inlineStr">
        <is>
          <t>5.22-5.28</t>
        </is>
      </c>
      <c r="B1938" s="16" t="inlineStr">
        <is>
          <t>PO-128-16389092731510008</t>
        </is>
      </c>
      <c r="C1938" s="16" t="inlineStr">
        <is>
          <t>Shipped</t>
        </is>
      </c>
      <c r="D1938" s="16" t="inlineStr">
        <is>
          <t>128-16389145160310008</t>
        </is>
      </c>
      <c r="E1938" s="16" t="inlineStr">
        <is>
          <t>Shipped</t>
        </is>
      </c>
      <c r="F1938" s="16" t="inlineStr">
        <is>
          <t>KTS-2031</t>
        </is>
      </c>
      <c r="G1938" s="16" t="inlineStr">
        <is>
          <t>Bocina inalámbrica de 3 pulgadas con linterna multifuncional y panel solar integrado.Altavoz Portátil con Linterna LED 4 Modos, Radio FM, Bluetooth, Carga Solar, Ideal para Apagones, Emergencias, Campo y Exteriores</t>
        </is>
      </c>
      <c r="H1938" s="16" t="inlineStr">
        <is>
          <t>NEGRO</t>
        </is>
      </c>
      <c r="I1938" s="16" t="n">
        <v>1</v>
      </c>
      <c r="J1938" s="17" t="n">
        <v>90</v>
      </c>
      <c r="K1938" s="17" t="n">
        <v>13.01</v>
      </c>
      <c r="L1938" s="17" t="n">
        <v>25.86</v>
      </c>
      <c r="M1938" s="17" t="n">
        <v>0</v>
      </c>
      <c r="N1938" s="17">
        <f>K1938*0.08+L1938*0.08</f>
        <v/>
      </c>
      <c r="O1938" s="17">
        <f>-(K1938*0.025+L1938*0.025)</f>
        <v/>
      </c>
      <c r="P1938" s="17">
        <f>32</f>
        <v/>
      </c>
      <c r="Q1938" s="17">
        <f>J1938+L1938+N1938+O1938-P1938-M1938</f>
        <v/>
      </c>
    </row>
    <row r="1939">
      <c r="A1939" s="16" t="inlineStr">
        <is>
          <t>5.22-5.28</t>
        </is>
      </c>
      <c r="B1939" s="16" t="inlineStr">
        <is>
          <t>PO-128-15896052685433973</t>
        </is>
      </c>
      <c r="C1939" s="16" t="inlineStr">
        <is>
          <t>Shipped</t>
        </is>
      </c>
      <c r="D1939" s="16" t="inlineStr">
        <is>
          <t>128-15896010742393973</t>
        </is>
      </c>
      <c r="E1939" s="16" t="inlineStr">
        <is>
          <t>Shipped</t>
        </is>
      </c>
      <c r="F1939" s="16" t="inlineStr">
        <is>
          <t>LV54W25</t>
        </is>
      </c>
      <c r="G1939" s="16" t="inlineStr">
        <is>
          <t>TIANLAI Lámpara Ventilador E27 2 en 1, Silenciosa, LED Alta Luminosidad 180°, Instalación Rápida, Ahorro Energético para Dormitorio y Interiores Pequeños</t>
        </is>
      </c>
      <c r="H1939" s="16" t="inlineStr">
        <is>
          <t>1 Pieza</t>
        </is>
      </c>
      <c r="I1939" s="16" t="n">
        <v>7</v>
      </c>
      <c r="J1939" s="17" t="n">
        <v>518</v>
      </c>
      <c r="K1939" s="17" t="n">
        <v>533.8200000000001</v>
      </c>
      <c r="L1939" s="17" t="n">
        <v>0</v>
      </c>
      <c r="M1939" s="17" t="n">
        <v>0</v>
      </c>
      <c r="N1939" s="17">
        <f>K1939*0.08+L1939*0.08</f>
        <v/>
      </c>
      <c r="O1939" s="17">
        <f>-(K1939*0.025+L1939*0.025)</f>
        <v/>
      </c>
      <c r="P1939" s="17">
        <f>32</f>
        <v/>
      </c>
      <c r="Q1939" s="17">
        <f>J1939+L1939+N1939+O1939-P1939-M1939</f>
        <v/>
      </c>
    </row>
    <row r="1940">
      <c r="A1940" s="16" t="inlineStr">
        <is>
          <t>5.22-5.28</t>
        </is>
      </c>
      <c r="B1940" s="16" t="inlineStr">
        <is>
          <t>PO-128-16054379674232133</t>
        </is>
      </c>
      <c r="C1940" s="16" t="inlineStr">
        <is>
          <t>Shipped</t>
        </is>
      </c>
      <c r="D1940" s="16" t="inlineStr">
        <is>
          <t>128-16054447831672133</t>
        </is>
      </c>
      <c r="E1940" s="16" t="inlineStr">
        <is>
          <t>Shipped</t>
        </is>
      </c>
      <c r="F1940" s="16" t="inlineStr">
        <is>
          <t>LV54W25</t>
        </is>
      </c>
      <c r="G1940" s="16" t="inlineStr">
        <is>
          <t>TIANLAI Lámpara Ventilador E27 2 en 1, Silenciosa, LED Alta Luminosidad 180°, Instalación Rápida, Ahorro Energético para Dormitorio y Interiores Pequeños</t>
        </is>
      </c>
      <c r="H1940" s="16" t="inlineStr">
        <is>
          <t>1 Pieza</t>
        </is>
      </c>
      <c r="I1940" s="16" t="n">
        <v>1</v>
      </c>
      <c r="J1940" s="17" t="n">
        <v>74</v>
      </c>
      <c r="K1940" s="17" t="n">
        <v>68.55</v>
      </c>
      <c r="L1940" s="17" t="n">
        <v>25.86</v>
      </c>
      <c r="M1940" s="17" t="n">
        <v>0</v>
      </c>
      <c r="N1940" s="17">
        <f>K1940*0.08+L1940*0.08</f>
        <v/>
      </c>
      <c r="O1940" s="17">
        <f>-(K1940*0.025+L1940*0.025)</f>
        <v/>
      </c>
      <c r="P1940" s="17">
        <f>32</f>
        <v/>
      </c>
      <c r="Q1940" s="17">
        <f>J1940+L1940+N1940+O1940-P1940-M1940</f>
        <v/>
      </c>
    </row>
    <row r="1941">
      <c r="A1941" s="16" t="inlineStr">
        <is>
          <t>5.22-5.28</t>
        </is>
      </c>
      <c r="B1941" s="16" t="inlineStr">
        <is>
          <t>PO-128-16161022556791497</t>
        </is>
      </c>
      <c r="C1941" s="16" t="inlineStr">
        <is>
          <t>Shipped</t>
        </is>
      </c>
      <c r="D1941" s="16" t="inlineStr">
        <is>
          <t>128-16161043528311497</t>
        </is>
      </c>
      <c r="E1941" s="16" t="inlineStr">
        <is>
          <t>Shipped</t>
        </is>
      </c>
      <c r="F1941" s="16" t="inlineStr">
        <is>
          <t>KTS-2031</t>
        </is>
      </c>
      <c r="G1941" s="16" t="inlineStr">
        <is>
          <t>Bocina inalámbrica de 3 pulgadas con linterna multifuncional y panel solar integrado.Altavoz Portátil con Linterna LED 4 Modos, Radio FM, Bluetooth, Carga Solar, Ideal para Apagones, Emergencias, Campo y Exteriores</t>
        </is>
      </c>
      <c r="H1941" s="16" t="inlineStr">
        <is>
          <t>NEGRO</t>
        </is>
      </c>
      <c r="I1941" s="16" t="n">
        <v>1</v>
      </c>
      <c r="J1941" s="17" t="n">
        <v>90</v>
      </c>
      <c r="K1941" s="17" t="n">
        <v>84.34</v>
      </c>
      <c r="L1941" s="17" t="n">
        <v>25.86</v>
      </c>
      <c r="M1941" s="17" t="n">
        <v>0</v>
      </c>
      <c r="N1941" s="17">
        <f>K1941*0.08+L1941*0.08</f>
        <v/>
      </c>
      <c r="O1941" s="17">
        <f>-(K1941*0.025+L1941*0.025)</f>
        <v/>
      </c>
      <c r="P1941" s="17">
        <f>32</f>
        <v/>
      </c>
      <c r="Q1941" s="17">
        <f>J1941+L1941+N1941+O1941-P1941-M1941</f>
        <v/>
      </c>
    </row>
    <row r="1942">
      <c r="A1942" s="16" t="inlineStr">
        <is>
          <t>5.22-5.28</t>
        </is>
      </c>
      <c r="B1942" s="16" t="inlineStr">
        <is>
          <t>PO-128-16115111578232731</t>
        </is>
      </c>
      <c r="C1942" s="16" t="inlineStr">
        <is>
          <t>Shipped</t>
        </is>
      </c>
      <c r="D1942" s="16" t="inlineStr">
        <is>
          <t>128-16115148278392731</t>
        </is>
      </c>
      <c r="E1942" s="16" t="inlineStr">
        <is>
          <t>Shipped</t>
        </is>
      </c>
      <c r="F1942" s="16" t="inlineStr">
        <is>
          <t>KTS-2031</t>
        </is>
      </c>
      <c r="G1942" s="16" t="inlineStr">
        <is>
          <t>Bocina inalámbrica de 3 pulgadas con linterna multifuncional y panel solar integrado.Altavoz Portátil con Linterna LED 4 Modos, Radio FM, Bluetooth, Carga Solar, Ideal para Apagones, Emergencias, Campo y Exteriores</t>
        </is>
      </c>
      <c r="H1942" s="16" t="inlineStr">
        <is>
          <t>NEGRO</t>
        </is>
      </c>
      <c r="I1942" s="16" t="n">
        <v>2</v>
      </c>
      <c r="J1942" s="17" t="n">
        <v>180</v>
      </c>
      <c r="K1942" s="17" t="n">
        <v>198.44</v>
      </c>
      <c r="L1942" s="17" t="n">
        <v>25.86</v>
      </c>
      <c r="M1942" s="17" t="n">
        <v>0</v>
      </c>
      <c r="N1942" s="17">
        <f>K1942*0.08+L1942*0.08</f>
        <v/>
      </c>
      <c r="O1942" s="17">
        <f>-(K1942*0.025+L1942*0.025)</f>
        <v/>
      </c>
      <c r="P1942" s="17">
        <f>32</f>
        <v/>
      </c>
      <c r="Q1942" s="17">
        <f>J1942+L1942+N1942+O1942-P1942-M1942</f>
        <v/>
      </c>
    </row>
    <row r="1943">
      <c r="A1943" s="16" t="inlineStr">
        <is>
          <t>5.22-5.28</t>
        </is>
      </c>
      <c r="B1943" s="16" t="inlineStr">
        <is>
          <t>PO-128-15994798986872550</t>
        </is>
      </c>
      <c r="C1943" s="16" t="inlineStr">
        <is>
          <t>Shipped</t>
        </is>
      </c>
      <c r="D1943" s="16" t="inlineStr">
        <is>
          <t>128-15994840929912550</t>
        </is>
      </c>
      <c r="E1943" s="16" t="inlineStr">
        <is>
          <t>Shipped</t>
        </is>
      </c>
      <c r="F1943" s="16" t="inlineStr">
        <is>
          <t>LV54W25</t>
        </is>
      </c>
      <c r="G1943" s="16" t="inlineStr">
        <is>
          <t>TIANLAI Lámpara Ventilador E27 2 en 1, Silenciosa, LED Alta Luminosidad 180°, Instalación Rápida, Ahorro Energético para Dormitorio y Interiores Pequeños</t>
        </is>
      </c>
      <c r="H1943" s="16" t="inlineStr">
        <is>
          <t>1 Pieza</t>
        </is>
      </c>
      <c r="I1943" s="16" t="n">
        <v>2</v>
      </c>
      <c r="J1943" s="17" t="n">
        <v>148</v>
      </c>
      <c r="K1943" s="17" t="n">
        <v>154.24</v>
      </c>
      <c r="L1943" s="17" t="n">
        <v>25.86</v>
      </c>
      <c r="M1943" s="17" t="n">
        <v>0</v>
      </c>
      <c r="N1943" s="17">
        <f>K1943*0.08+L1943*0.08</f>
        <v/>
      </c>
      <c r="O1943" s="17">
        <f>-(K1943*0.025+L1943*0.025)</f>
        <v/>
      </c>
      <c r="P1943" s="17">
        <f>32</f>
        <v/>
      </c>
      <c r="Q1943" s="17">
        <f>J1943+L1943+N1943+O1943-P1943-M1943</f>
        <v/>
      </c>
    </row>
    <row r="1944">
      <c r="A1944" s="16" t="inlineStr">
        <is>
          <t>5.22-5.28</t>
        </is>
      </c>
      <c r="B1944" s="16" t="inlineStr">
        <is>
          <t>PO-128-16397732705910084</t>
        </is>
      </c>
      <c r="C1944" s="16" t="inlineStr">
        <is>
          <t>Shipped</t>
        </is>
      </c>
      <c r="D1944" s="16" t="inlineStr">
        <is>
          <t>128-16397869020790084</t>
        </is>
      </c>
      <c r="E1944" s="16" t="inlineStr">
        <is>
          <t>Shipped</t>
        </is>
      </c>
      <c r="F1944" s="16" t="inlineStr">
        <is>
          <t>LV54W25</t>
        </is>
      </c>
      <c r="G1944" s="16" t="inlineStr">
        <is>
          <t>TIANLAI Lámpara Ventilador E27 2 en 1, Silenciosa, LED Alta Luminosidad 180°, Instalación Rápida, Ahorro Energético para Dormitorio y Interiores Pequeños</t>
        </is>
      </c>
      <c r="H1944" s="16" t="inlineStr">
        <is>
          <t>1 Pieza</t>
        </is>
      </c>
      <c r="I1944" s="16" t="n">
        <v>1</v>
      </c>
      <c r="J1944" s="17" t="n">
        <v>74</v>
      </c>
      <c r="K1944" s="17" t="n">
        <v>76.26000000000001</v>
      </c>
      <c r="L1944" s="17" t="n">
        <v>25.86</v>
      </c>
      <c r="M1944" s="17" t="n">
        <v>0</v>
      </c>
      <c r="N1944" s="17">
        <f>K1944*0.08+L1944*0.08</f>
        <v/>
      </c>
      <c r="O1944" s="17">
        <f>-(K1944*0.025+L1944*0.025)</f>
        <v/>
      </c>
      <c r="P1944" s="17">
        <f>32</f>
        <v/>
      </c>
      <c r="Q1944" s="17">
        <f>J1944+L1944+N1944+O1944-P1944-M1944</f>
        <v/>
      </c>
    </row>
    <row r="1945">
      <c r="A1945" s="16" t="inlineStr">
        <is>
          <t>5.22-5.28</t>
        </is>
      </c>
      <c r="B1945" s="16" t="inlineStr">
        <is>
          <t>PO-128-15994062695032554</t>
        </is>
      </c>
      <c r="C1945" s="16" t="inlineStr">
        <is>
          <t>Shipped</t>
        </is>
      </c>
      <c r="D1945" s="16" t="inlineStr">
        <is>
          <t>128-15994214738552554</t>
        </is>
      </c>
      <c r="E1945" s="16" t="inlineStr">
        <is>
          <t>Shipped</t>
        </is>
      </c>
      <c r="F1945" s="16" t="inlineStr">
        <is>
          <t>LV54W25</t>
        </is>
      </c>
      <c r="G1945" s="16" t="inlineStr">
        <is>
          <t>TIANLAI Lámpara Ventilador E27 2 en 1, Silenciosa, LED Alta Luminosidad 180°, Instalación Rápida, Ahorro Energético para Dormitorio y Interiores Pequeños</t>
        </is>
      </c>
      <c r="H1945" s="16" t="inlineStr">
        <is>
          <t>1 Pieza</t>
        </is>
      </c>
      <c r="I1945" s="16" t="n">
        <v>1</v>
      </c>
      <c r="J1945" s="17" t="n">
        <v>74</v>
      </c>
      <c r="K1945" s="17" t="n">
        <v>77.12</v>
      </c>
      <c r="L1945" s="17" t="n">
        <v>25.86</v>
      </c>
      <c r="M1945" s="17" t="n">
        <v>0</v>
      </c>
      <c r="N1945" s="17">
        <f>K1945*0.08+L1945*0.08</f>
        <v/>
      </c>
      <c r="O1945" s="17">
        <f>-(K1945*0.025+L1945*0.025)</f>
        <v/>
      </c>
      <c r="P1945" s="17">
        <f>32</f>
        <v/>
      </c>
      <c r="Q1945" s="17">
        <f>J1945+L1945+N1945+O1945-P1945-M1945</f>
        <v/>
      </c>
    </row>
    <row r="1946">
      <c r="A1946" s="16" t="inlineStr">
        <is>
          <t>5.22-5.28</t>
        </is>
      </c>
      <c r="B1946" s="16" t="inlineStr">
        <is>
          <t>PO-128-16004332995192367</t>
        </is>
      </c>
      <c r="C1946" s="16" t="inlineStr">
        <is>
          <t>Shipped</t>
        </is>
      </c>
      <c r="D1946" s="16" t="inlineStr">
        <is>
          <t>128-16004371006072367</t>
        </is>
      </c>
      <c r="E1946" s="16" t="inlineStr">
        <is>
          <t>Shipped</t>
        </is>
      </c>
      <c r="F1946" s="16" t="inlineStr">
        <is>
          <t>KTS-2031</t>
        </is>
      </c>
      <c r="G1946" s="16" t="inlineStr">
        <is>
          <t>Bocina inalámbrica de 3 pulgadas con linterna multifuncional y panel solar integrado.Altavoz Portátil con Linterna LED 4 Modos, Radio FM, Bluetooth, Carga Solar, Ideal para Apagones, Emergencias, Campo y Exteriores</t>
        </is>
      </c>
      <c r="H1946" s="16" t="inlineStr">
        <is>
          <t>NEGRO</t>
        </is>
      </c>
      <c r="I1946" s="16" t="n">
        <v>1</v>
      </c>
      <c r="J1946" s="17" t="n">
        <v>90</v>
      </c>
      <c r="K1946" s="17" t="n">
        <v>99.22</v>
      </c>
      <c r="L1946" s="17" t="n">
        <v>25.86</v>
      </c>
      <c r="M1946" s="17" t="n">
        <v>0</v>
      </c>
      <c r="N1946" s="17">
        <f>K1946*0.08+L1946*0.08</f>
        <v/>
      </c>
      <c r="O1946" s="17">
        <f>-(K1946*0.025+L1946*0.025)</f>
        <v/>
      </c>
      <c r="P1946" s="17">
        <f>32</f>
        <v/>
      </c>
      <c r="Q1946" s="17">
        <f>J1946+L1946+N1946+O1946-P1946-M1946</f>
        <v/>
      </c>
    </row>
    <row r="1947">
      <c r="A1947" s="16" t="inlineStr">
        <is>
          <t>5.22-5.28</t>
        </is>
      </c>
      <c r="B1947" s="16" t="inlineStr">
        <is>
          <t>PO-128-15993223230072497</t>
        </is>
      </c>
      <c r="C1947" s="16" t="inlineStr">
        <is>
          <t>Shipped</t>
        </is>
      </c>
      <c r="D1947" s="16" t="inlineStr">
        <is>
          <t>128-15993228472952497</t>
        </is>
      </c>
      <c r="E1947" s="16" t="inlineStr">
        <is>
          <t>Shipped</t>
        </is>
      </c>
      <c r="F1947" s="16" t="inlineStr">
        <is>
          <t>LV54W25</t>
        </is>
      </c>
      <c r="G1947" s="16" t="inlineStr">
        <is>
          <t>TIANLAI Lámpara Ventilador E27 2 en 1, Silenciosa, LED Alta Luminosidad 180°, Instalación Rápida, Ahorro Energético para Dormitorio y Interiores Pequeños</t>
        </is>
      </c>
      <c r="H1947" s="16" t="inlineStr">
        <is>
          <t>1 Pieza</t>
        </is>
      </c>
      <c r="I1947" s="16" t="n">
        <v>1</v>
      </c>
      <c r="J1947" s="17" t="n">
        <v>74</v>
      </c>
      <c r="K1947" s="17" t="n">
        <v>76.26000000000001</v>
      </c>
      <c r="L1947" s="17" t="n">
        <v>25.86</v>
      </c>
      <c r="M1947" s="17" t="n">
        <v>0</v>
      </c>
      <c r="N1947" s="17">
        <f>K1947*0.08+L1947*0.08</f>
        <v/>
      </c>
      <c r="O1947" s="17">
        <f>-(K1947*0.025+L1947*0.025)</f>
        <v/>
      </c>
      <c r="P1947" s="17">
        <f>32</f>
        <v/>
      </c>
      <c r="Q1947" s="17">
        <f>J1947+L1947+N1947+O1947-P1947-M1947</f>
        <v/>
      </c>
    </row>
    <row r="1948">
      <c r="A1948" s="16" t="inlineStr">
        <is>
          <t>5.22-5.28</t>
        </is>
      </c>
      <c r="B1948" s="16" t="inlineStr">
        <is>
          <t>PO-128-15920434657913891</t>
        </is>
      </c>
      <c r="C1948" s="16" t="inlineStr">
        <is>
          <t>Shipped</t>
        </is>
      </c>
      <c r="D1948" s="16" t="inlineStr">
        <is>
          <t>128-15920439900793891</t>
        </is>
      </c>
      <c r="E1948" s="16" t="inlineStr">
        <is>
          <t>Shipped</t>
        </is>
      </c>
      <c r="F1948" s="16" t="inlineStr">
        <is>
          <t>LV54W25</t>
        </is>
      </c>
      <c r="G1948" s="16" t="inlineStr">
        <is>
          <t>TIANLAI Lámpara Ventilador E27 2 en 1, Silenciosa, LED Alta Luminosidad 180°, Instalación Rápida, Ahorro Energético para Dormitorio y Interiores Pequeños</t>
        </is>
      </c>
      <c r="H1948" s="16" t="inlineStr">
        <is>
          <t>1 Pieza</t>
        </is>
      </c>
      <c r="I1948" s="16" t="n">
        <v>1</v>
      </c>
      <c r="J1948" s="17" t="n">
        <v>74</v>
      </c>
      <c r="K1948" s="17" t="n">
        <v>85.68000000000001</v>
      </c>
      <c r="L1948" s="17" t="n">
        <v>25.86</v>
      </c>
      <c r="M1948" s="17" t="n">
        <v>0</v>
      </c>
      <c r="N1948" s="17">
        <f>K1948*0.08+L1948*0.08</f>
        <v/>
      </c>
      <c r="O1948" s="17">
        <f>-(K1948*0.025+L1948*0.025)</f>
        <v/>
      </c>
      <c r="P1948" s="17">
        <f>32</f>
        <v/>
      </c>
      <c r="Q1948" s="17">
        <f>J1948+L1948+N1948+O1948-P1948-M1948</f>
        <v/>
      </c>
    </row>
    <row r="1949">
      <c r="A1949" s="16" t="inlineStr">
        <is>
          <t>5.22-5.28</t>
        </is>
      </c>
      <c r="B1949" s="16" t="inlineStr">
        <is>
          <t>PO-128-16286188749431711</t>
        </is>
      </c>
      <c r="C1949" s="16" t="inlineStr">
        <is>
          <t>Shipped</t>
        </is>
      </c>
      <c r="D1949" s="16" t="inlineStr">
        <is>
          <t>128-16286293607031711</t>
        </is>
      </c>
      <c r="E1949" s="16" t="inlineStr">
        <is>
          <t>Shipped</t>
        </is>
      </c>
      <c r="F1949" s="16" t="inlineStr">
        <is>
          <t>LV64W25</t>
        </is>
      </c>
      <c r="G19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49" s="16" t="inlineStr">
        <is>
          <t>Blanco</t>
        </is>
      </c>
      <c r="I1949" s="16" t="n">
        <v>2</v>
      </c>
      <c r="J1949" s="17" t="n">
        <v>250</v>
      </c>
      <c r="K1949" s="17" t="n">
        <v>257.88</v>
      </c>
      <c r="L1949" s="17" t="n">
        <v>0</v>
      </c>
      <c r="M1949" s="17" t="n">
        <v>0</v>
      </c>
      <c r="N1949" s="17">
        <f>K1949*0.08+L1949*0.08</f>
        <v/>
      </c>
      <c r="O1949" s="17">
        <f>-(K1949*0.025+L1949*0.025)</f>
        <v/>
      </c>
      <c r="P1949" s="17">
        <f>32</f>
        <v/>
      </c>
      <c r="Q1949" s="17">
        <f>J1949+L1949+N1949+O1949-P1949-M1949</f>
        <v/>
      </c>
    </row>
    <row r="1950">
      <c r="A1950" s="16" t="inlineStr">
        <is>
          <t>5.22-5.28</t>
        </is>
      </c>
      <c r="B1950" s="16" t="inlineStr">
        <is>
          <t>PO-128-16120057313912765</t>
        </is>
      </c>
      <c r="C1950" s="16" t="inlineStr">
        <is>
          <t>Shipped</t>
        </is>
      </c>
      <c r="D1950" s="16" t="inlineStr">
        <is>
          <t>128-16120217221752765</t>
        </is>
      </c>
      <c r="E1950" s="16" t="inlineStr">
        <is>
          <t>Shipped</t>
        </is>
      </c>
      <c r="F1950" s="16" t="inlineStr">
        <is>
          <t>LV54W25</t>
        </is>
      </c>
      <c r="G1950" s="16" t="inlineStr">
        <is>
          <t>TIANLAI Lámpara Ventilador E27 2 en 1, Silenciosa, LED Alta Luminosidad 180°, Instalación Rápida, Ahorro Energético para Dormitorio y Interiores Pequeños</t>
        </is>
      </c>
      <c r="H1950" s="16" t="inlineStr">
        <is>
          <t>1 Pieza</t>
        </is>
      </c>
      <c r="I1950" s="16" t="n">
        <v>1</v>
      </c>
      <c r="J1950" s="17" t="n">
        <v>74</v>
      </c>
      <c r="K1950" s="17" t="n">
        <v>76.26000000000001</v>
      </c>
      <c r="L1950" s="17" t="n">
        <v>25.86</v>
      </c>
      <c r="M1950" s="17" t="n">
        <v>0</v>
      </c>
      <c r="N1950" s="17">
        <f>K1950*0.08+L1950*0.08</f>
        <v/>
      </c>
      <c r="O1950" s="17">
        <f>-(K1950*0.025+L1950*0.025)</f>
        <v/>
      </c>
      <c r="P1950" s="17">
        <f>32</f>
        <v/>
      </c>
      <c r="Q1950" s="17">
        <f>J1950+L1950+N1950+O1950-P1950-M1950</f>
        <v/>
      </c>
    </row>
    <row r="1951">
      <c r="A1951" s="16" t="inlineStr">
        <is>
          <t>5.22-5.28</t>
        </is>
      </c>
      <c r="B1951" s="16" t="inlineStr">
        <is>
          <t>PO-128-15945755105913802</t>
        </is>
      </c>
      <c r="C1951" s="16" t="inlineStr">
        <is>
          <t>Shipped</t>
        </is>
      </c>
      <c r="D1951" s="16" t="inlineStr">
        <is>
          <t>128-15945891420793802</t>
        </is>
      </c>
      <c r="E1951" s="16" t="inlineStr">
        <is>
          <t>Shipped</t>
        </is>
      </c>
      <c r="F1951" s="16" t="inlineStr">
        <is>
          <t>VB349T</t>
        </is>
      </c>
      <c r="G1951" s="16" t="inlineStr">
        <is>
          <t>LINKBITS Altavoz Portátil de Doble Altavoz - 3 Pulgadas, Sonido HD, Emparejamiento Rápido de Bluetooth, Conectividad TWS, Reproducción Multimodo (Micro SD/USB/Radio FM) - Perfecto para Oficina, Viajes y Espacios Pequeños</t>
        </is>
      </c>
      <c r="H1951" s="16" t="inlineStr">
        <is>
          <t>NEGRO</t>
        </is>
      </c>
      <c r="I1951" s="16" t="n">
        <v>1</v>
      </c>
      <c r="J1951" s="17" t="n">
        <v>80</v>
      </c>
      <c r="K1951" s="17" t="n">
        <v>10.5</v>
      </c>
      <c r="L1951" s="17" t="n">
        <v>25.86</v>
      </c>
      <c r="M1951" s="17" t="n">
        <v>0</v>
      </c>
      <c r="N1951" s="17">
        <f>K1951*0.08+L1951*0.08</f>
        <v/>
      </c>
      <c r="O1951" s="17">
        <f>-(K1951*0.025+L1951*0.025)</f>
        <v/>
      </c>
      <c r="P1951" s="17">
        <f>32</f>
        <v/>
      </c>
      <c r="Q1951" s="17">
        <f>J1951+L1951+N1951+O1951-P1951-M1951</f>
        <v/>
      </c>
    </row>
    <row r="1952">
      <c r="A1952" s="16" t="inlineStr">
        <is>
          <t>5.22-5.28</t>
        </is>
      </c>
      <c r="B1952" s="16" t="inlineStr">
        <is>
          <t>PO-128-15873658143353080</t>
        </is>
      </c>
      <c r="C1952" s="16" t="inlineStr">
        <is>
          <t>Shipped</t>
        </is>
      </c>
      <c r="D1952" s="16" t="inlineStr">
        <is>
          <t>128-15873616200313080</t>
        </is>
      </c>
      <c r="E1952" s="16" t="inlineStr">
        <is>
          <t>Shipped</t>
        </is>
      </c>
      <c r="F1952" s="16" t="inlineStr">
        <is>
          <t>TL1455N20B</t>
        </is>
      </c>
      <c r="G1952" s="16" t="inlineStr">
        <is>
          <t>LINK BITS Soporte para TV 14 A 55 Pulgadas, Base para TV Pantalla Articulado Inclinable y Giratorio, MAX VESA 400×400 mm, Soporta hasta 18kg, adaptarse a la mayoría de los televisores de 14 Pulgadas/20 Pulgadas/32 Pulgadas/42 Pulgadas/55 pulgadas</t>
        </is>
      </c>
      <c r="H1952" s="16" t="inlineStr">
        <is>
          <t>TL1455N20B</t>
        </is>
      </c>
      <c r="I1952" s="16" t="n">
        <v>1</v>
      </c>
      <c r="J1952" s="17" t="n">
        <v>75</v>
      </c>
      <c r="K1952" s="17" t="n">
        <v>96.06</v>
      </c>
      <c r="L1952" s="17" t="n">
        <v>25.86</v>
      </c>
      <c r="M1952" s="17" t="n">
        <v>0</v>
      </c>
      <c r="N1952" s="17">
        <f>K1952*0.08+L1952*0.08</f>
        <v/>
      </c>
      <c r="O1952" s="17">
        <f>-(K1952*0.025+L1952*0.025)</f>
        <v/>
      </c>
      <c r="P1952" s="17">
        <f>32</f>
        <v/>
      </c>
      <c r="Q1952" s="17">
        <f>J1952+L1952+N1952+O1952-P1952-M1952</f>
        <v/>
      </c>
    </row>
    <row r="1953">
      <c r="A1953" s="16" t="inlineStr">
        <is>
          <t>5.22-5.28</t>
        </is>
      </c>
      <c r="B1953" s="16" t="inlineStr">
        <is>
          <t>PO-128-16336822528630449</t>
        </is>
      </c>
      <c r="C1953" s="16" t="inlineStr">
        <is>
          <t>Shipped</t>
        </is>
      </c>
      <c r="D1953" s="16" t="inlineStr">
        <is>
          <t>128-16336974572150449</t>
        </is>
      </c>
      <c r="E1953" s="16" t="inlineStr">
        <is>
          <t>Shipped</t>
        </is>
      </c>
      <c r="F1953" s="16" t="inlineStr">
        <is>
          <t>TL1455N20B</t>
        </is>
      </c>
      <c r="G1953" s="16" t="inlineStr">
        <is>
          <t>LINK BITS Soporte para TV 14 A 55 Pulgadas, Base para TV Pantalla Articulado Inclinable y Giratorio, MAX VESA 400×400 mm, Soporta hasta 18kg, adaptarse a la mayoría de los televisores de 14 Pulgadas/20 Pulgadas/32 Pulgadas/42 Pulgadas/55 pulgadas</t>
        </is>
      </c>
      <c r="H1953" s="16" t="inlineStr">
        <is>
          <t>TL1455N20B</t>
        </is>
      </c>
      <c r="I1953" s="16" t="n">
        <v>1</v>
      </c>
      <c r="J1953" s="17" t="n">
        <v>75</v>
      </c>
      <c r="K1953" s="17" t="n">
        <v>96.06</v>
      </c>
      <c r="L1953" s="17" t="n">
        <v>25.86</v>
      </c>
      <c r="M1953" s="17" t="n">
        <v>0</v>
      </c>
      <c r="N1953" s="17">
        <f>K1953*0.08+L1953*0.08</f>
        <v/>
      </c>
      <c r="O1953" s="17">
        <f>-(K1953*0.025+L1953*0.025)</f>
        <v/>
      </c>
      <c r="P1953" s="17">
        <f>32</f>
        <v/>
      </c>
      <c r="Q1953" s="17">
        <f>J1953+L1953+N1953+O1953-P1953-M1953</f>
        <v/>
      </c>
    </row>
    <row r="1954">
      <c r="A1954" s="16" t="inlineStr">
        <is>
          <t>5.22-5.28</t>
        </is>
      </c>
      <c r="B1954" s="16" t="inlineStr">
        <is>
          <t>PO-128-15986366915192472</t>
        </is>
      </c>
      <c r="C1954" s="16" t="inlineStr">
        <is>
          <t>Shipped</t>
        </is>
      </c>
      <c r="D1954" s="16" t="inlineStr">
        <is>
          <t>128-15986372158072472</t>
        </is>
      </c>
      <c r="E1954" s="16" t="inlineStr">
        <is>
          <t>Shipped</t>
        </is>
      </c>
      <c r="F1954" s="16" t="inlineStr">
        <is>
          <t>LV54W25</t>
        </is>
      </c>
      <c r="G1954" s="16" t="inlineStr">
        <is>
          <t>TIANLAI Lámpara Ventilador E27 2 en 1, Silenciosa, LED Alta Luminosidad 180°, Instalación Rápida, Ahorro Energético para Dormitorio y Interiores Pequeños</t>
        </is>
      </c>
      <c r="H1954" s="16" t="inlineStr">
        <is>
          <t>1 Pieza</t>
        </is>
      </c>
      <c r="I1954" s="16" t="n">
        <v>1</v>
      </c>
      <c r="J1954" s="17" t="n">
        <v>74</v>
      </c>
      <c r="K1954" s="17" t="n">
        <v>72.77</v>
      </c>
      <c r="L1954" s="17" t="n">
        <v>25.86</v>
      </c>
      <c r="M1954" s="17" t="n">
        <v>0</v>
      </c>
      <c r="N1954" s="17">
        <f>K1954*0.08+L1954*0.08</f>
        <v/>
      </c>
      <c r="O1954" s="17">
        <f>-(K1954*0.025+L1954*0.025)</f>
        <v/>
      </c>
      <c r="P1954" s="17">
        <f>32</f>
        <v/>
      </c>
      <c r="Q1954" s="17">
        <f>J1954+L1954+N1954+O1954-P1954-M1954</f>
        <v/>
      </c>
    </row>
    <row r="1955">
      <c r="A1955" s="16" t="inlineStr">
        <is>
          <t>5.22-5.28</t>
        </is>
      </c>
      <c r="B1955" s="16" t="inlineStr">
        <is>
          <t>PO-128-16349342131830311</t>
        </is>
      </c>
      <c r="C1955" s="16" t="inlineStr">
        <is>
          <t>Shipped</t>
        </is>
      </c>
      <c r="D1955" s="16" t="inlineStr">
        <is>
          <t>128-16349363103350311</t>
        </is>
      </c>
      <c r="E1955" s="16" t="inlineStr">
        <is>
          <t>Shipped</t>
        </is>
      </c>
      <c r="F1955" s="16" t="inlineStr">
        <is>
          <t>LV54W25</t>
        </is>
      </c>
      <c r="G1955" s="16" t="inlineStr">
        <is>
          <t>TIANLAI Lámpara Ventilador E27 2 en 1, Silenciosa, LED Alta Luminosidad 180°, Instalación Rápida, Ahorro Energético para Dormitorio y Interiores Pequeños</t>
        </is>
      </c>
      <c r="H1955" s="16" t="inlineStr">
        <is>
          <t>1 Pieza</t>
        </is>
      </c>
      <c r="I1955" s="16" t="n">
        <v>1</v>
      </c>
      <c r="J1955" s="17" t="n">
        <v>74</v>
      </c>
      <c r="K1955" s="17" t="n">
        <v>24.54</v>
      </c>
      <c r="L1955" s="17" t="n">
        <v>25.86</v>
      </c>
      <c r="M1955" s="17" t="n">
        <v>0</v>
      </c>
      <c r="N1955" s="17">
        <f>K1955*0.08+L1955*0.08</f>
        <v/>
      </c>
      <c r="O1955" s="17">
        <f>-(K1955*0.025+L1955*0.025)</f>
        <v/>
      </c>
      <c r="P1955" s="17">
        <f>32</f>
        <v/>
      </c>
      <c r="Q1955" s="17">
        <f>J1955+L1955+N1955+O1955-P1955-M1955</f>
        <v/>
      </c>
    </row>
    <row r="1956">
      <c r="A1956" s="16" t="inlineStr">
        <is>
          <t>5.22-5.28</t>
        </is>
      </c>
      <c r="B1956" s="16" t="inlineStr">
        <is>
          <t>PO-128-16047686175352109</t>
        </is>
      </c>
      <c r="C1956" s="16" t="inlineStr">
        <is>
          <t>Shipped</t>
        </is>
      </c>
      <c r="D1956" s="16" t="inlineStr">
        <is>
          <t>128-16047707146872109</t>
        </is>
      </c>
      <c r="E1956" s="16" t="inlineStr">
        <is>
          <t>Shipped</t>
        </is>
      </c>
      <c r="F1956" s="16" t="inlineStr">
        <is>
          <t>LV54W25</t>
        </is>
      </c>
      <c r="G1956" s="16" t="inlineStr">
        <is>
          <t>TIANLAI Lámpara Ventilador E27 2 en 1, Silenciosa, LED Alta Luminosidad 180°, Instalación Rápida, Ahorro Energético para Dormitorio y Interiores Pequeños</t>
        </is>
      </c>
      <c r="H1956" s="16" t="inlineStr">
        <is>
          <t>1 Pieza</t>
        </is>
      </c>
      <c r="I1956" s="16" t="n">
        <v>2</v>
      </c>
      <c r="J1956" s="17" t="n">
        <v>148</v>
      </c>
      <c r="K1956" s="17" t="n">
        <v>152.52</v>
      </c>
      <c r="L1956" s="17" t="n">
        <v>25.86</v>
      </c>
      <c r="M1956" s="17" t="n">
        <v>0</v>
      </c>
      <c r="N1956" s="17">
        <f>K1956*0.08+L1956*0.08</f>
        <v/>
      </c>
      <c r="O1956" s="17">
        <f>-(K1956*0.025+L1956*0.025)</f>
        <v/>
      </c>
      <c r="P1956" s="17">
        <f>32</f>
        <v/>
      </c>
      <c r="Q1956" s="17">
        <f>J1956+L1956+N1956+O1956-P1956-M1956</f>
        <v/>
      </c>
    </row>
    <row r="1957">
      <c r="A1957" s="16" t="inlineStr">
        <is>
          <t>5.22-5.28</t>
        </is>
      </c>
      <c r="B1957" s="16" t="inlineStr">
        <is>
          <t>PO-128-16044938957432061</t>
        </is>
      </c>
      <c r="C1957" s="16" t="inlineStr">
        <is>
          <t>Shipped</t>
        </is>
      </c>
      <c r="D1957" s="16" t="inlineStr">
        <is>
          <t>128-16044965171832061</t>
        </is>
      </c>
      <c r="E1957" s="16" t="inlineStr">
        <is>
          <t>Shipped</t>
        </is>
      </c>
      <c r="F1957" s="16" t="inlineStr">
        <is>
          <t>TL1455N20B</t>
        </is>
      </c>
      <c r="G1957" s="16" t="inlineStr">
        <is>
          <t>LINK BITS Soporte para TV 14 A 55 Pulgadas, Base para TV Pantalla Articulado Inclinable y Giratorio, MAX VESA 400×400 mm, Soporta hasta 18kg, adaptarse a la mayoría de los televisores de 14 Pulgadas/20 Pulgadas/32 Pulgadas/42 Pulgadas/55 pulgadas</t>
        </is>
      </c>
      <c r="H1957" s="16" t="inlineStr">
        <is>
          <t>TL1455N20B</t>
        </is>
      </c>
      <c r="I1957" s="16" t="n">
        <v>1</v>
      </c>
      <c r="J1957" s="17" t="n">
        <v>75</v>
      </c>
      <c r="K1957" s="17" t="n">
        <v>76.84999999999999</v>
      </c>
      <c r="L1957" s="17" t="n">
        <v>25.86</v>
      </c>
      <c r="M1957" s="17" t="n">
        <v>0</v>
      </c>
      <c r="N1957" s="17">
        <f>K1957*0.08+L1957*0.08</f>
        <v/>
      </c>
      <c r="O1957" s="17">
        <f>-(K1957*0.025+L1957*0.025)</f>
        <v/>
      </c>
      <c r="P1957" s="17">
        <f>32</f>
        <v/>
      </c>
      <c r="Q1957" s="17">
        <f>J1957+L1957+N1957+O1957-P1957-M1957</f>
        <v/>
      </c>
    </row>
    <row r="1958">
      <c r="A1958" s="16" t="inlineStr">
        <is>
          <t>5.22-5.28</t>
        </is>
      </c>
      <c r="B1958" s="16" t="inlineStr">
        <is>
          <t>PO-128-16036876636792301</t>
        </is>
      </c>
      <c r="C1958" s="16" t="inlineStr">
        <is>
          <t>Shipped</t>
        </is>
      </c>
      <c r="D1958" s="16" t="inlineStr">
        <is>
          <t>128-16036866151032301</t>
        </is>
      </c>
      <c r="E1958" s="16" t="inlineStr">
        <is>
          <t>Shipped</t>
        </is>
      </c>
      <c r="F1958" s="16" t="inlineStr">
        <is>
          <t>KTS-2031</t>
        </is>
      </c>
      <c r="G1958" s="16" t="inlineStr">
        <is>
          <t>Bocina inalámbrica de 3 pulgadas con linterna multifuncional y panel solar integrado.Altavoz Portátil con Linterna LED 4 Modos, Radio FM, Bluetooth, Carga Solar, Ideal para Apagones, Emergencias, Campo y Exteriores</t>
        </is>
      </c>
      <c r="H1958" s="16" t="inlineStr">
        <is>
          <t>NEGRO</t>
        </is>
      </c>
      <c r="I1958" s="16" t="n">
        <v>2</v>
      </c>
      <c r="J1958" s="17" t="n">
        <v>180</v>
      </c>
      <c r="K1958" s="17" t="n">
        <v>198.44</v>
      </c>
      <c r="L1958" s="17" t="n">
        <v>25.86</v>
      </c>
      <c r="M1958" s="17" t="n">
        <v>0</v>
      </c>
      <c r="N1958" s="17">
        <f>K1958*0.08+L1958*0.08</f>
        <v/>
      </c>
      <c r="O1958" s="17">
        <f>-(K1958*0.025+L1958*0.025)</f>
        <v/>
      </c>
      <c r="P1958" s="17">
        <f>32</f>
        <v/>
      </c>
      <c r="Q1958" s="17">
        <f>J1958+L1958+N1958+O1958-P1958-M1958</f>
        <v/>
      </c>
    </row>
    <row r="1959">
      <c r="A1959" s="16" t="inlineStr">
        <is>
          <t>5.22-5.28</t>
        </is>
      </c>
      <c r="B1959" s="16" t="inlineStr">
        <is>
          <t>PO-128-16191567616631379</t>
        </is>
      </c>
      <c r="C1959" s="16" t="inlineStr">
        <is>
          <t>Shipped</t>
        </is>
      </c>
      <c r="D1959" s="16" t="inlineStr">
        <is>
          <t>128-16191558441591379</t>
        </is>
      </c>
      <c r="E1959" s="16" t="inlineStr">
        <is>
          <t>Shipped</t>
        </is>
      </c>
      <c r="F1959" s="16" t="inlineStr">
        <is>
          <t>KTS-2031</t>
        </is>
      </c>
      <c r="G1959" s="16" t="inlineStr">
        <is>
          <t>Bocina inalámbrica de 3 pulgadas con linterna multifuncional y panel solar integrado.Altavoz Portátil con Linterna LED 4 Modos, Radio FM, Bluetooth, Carga Solar, Ideal para Apagones, Emergencias, Campo y Exteriores</t>
        </is>
      </c>
      <c r="H1959" s="16" t="inlineStr">
        <is>
          <t>NEGRO</t>
        </is>
      </c>
      <c r="I1959" s="16" t="n">
        <v>1</v>
      </c>
      <c r="J1959" s="17" t="n">
        <v>90</v>
      </c>
      <c r="K1959" s="17" t="n">
        <v>99.22</v>
      </c>
      <c r="L1959" s="17" t="n">
        <v>25.86</v>
      </c>
      <c r="M1959" s="17" t="n">
        <v>0</v>
      </c>
      <c r="N1959" s="17">
        <f>K1959*0.08+L1959*0.08</f>
        <v/>
      </c>
      <c r="O1959" s="17">
        <f>-(K1959*0.025+L1959*0.025)</f>
        <v/>
      </c>
      <c r="P1959" s="17">
        <f>32</f>
        <v/>
      </c>
      <c r="Q1959" s="17">
        <f>J1959+L1959+N1959+O1959-P1959-M1959</f>
        <v/>
      </c>
    </row>
    <row r="1960">
      <c r="A1960" s="16" t="inlineStr">
        <is>
          <t>5.22-5.28</t>
        </is>
      </c>
      <c r="B1960" s="16" t="inlineStr">
        <is>
          <t>PO-128-15997187077752536</t>
        </is>
      </c>
      <c r="C1960" s="16" t="inlineStr">
        <is>
          <t>Shipped</t>
        </is>
      </c>
      <c r="D1960" s="16" t="inlineStr">
        <is>
          <t>128-15997208049272536</t>
        </is>
      </c>
      <c r="E1960" s="16" t="inlineStr">
        <is>
          <t>Shipped</t>
        </is>
      </c>
      <c r="F1960" s="16" t="inlineStr">
        <is>
          <t>BSC07</t>
        </is>
      </c>
      <c r="G1960" s="16" t="inlineStr">
        <is>
          <t>TIANLAI Báscula Digital BSC04/BSC07, Alta Precisión, Fácil Operación, Ligera y Portátil, Función Tara, Unidad Dual oz/g, Ideal para Cocina, Control de Porciones, Sellos y Objetos Pequeños, Uso en Hogar y Viaje</t>
        </is>
      </c>
      <c r="H1960" s="16" t="inlineStr">
        <is>
          <t>1g/White</t>
        </is>
      </c>
      <c r="I1960" s="16" t="n">
        <v>1</v>
      </c>
      <c r="J1960" s="17" t="n">
        <v>37</v>
      </c>
      <c r="K1960" s="17" t="n">
        <v>6.12</v>
      </c>
      <c r="L1960" s="17" t="n">
        <v>25.86</v>
      </c>
      <c r="M1960" s="17" t="n">
        <v>0</v>
      </c>
      <c r="N1960" s="17">
        <f>K1960*0.08+L1960*0.08</f>
        <v/>
      </c>
      <c r="O1960" s="17">
        <f>-(K1960*0.025+L1960*0.025)</f>
        <v/>
      </c>
      <c r="P1960" s="17">
        <f>32</f>
        <v/>
      </c>
      <c r="Q1960" s="17">
        <f>J1960+L1960+N1960+O1960-P1960-M1960</f>
        <v/>
      </c>
    </row>
    <row r="1961">
      <c r="A1961" s="16" t="inlineStr">
        <is>
          <t>5.22-5.28</t>
        </is>
      </c>
      <c r="B1961" s="16" t="inlineStr">
        <is>
          <t>PO-128-16304078787191541</t>
        </is>
      </c>
      <c r="C1961" s="16" t="inlineStr">
        <is>
          <t>Shipped</t>
        </is>
      </c>
      <c r="D1961" s="16" t="inlineStr">
        <is>
          <t>128-16304036844151541</t>
        </is>
      </c>
      <c r="E1961" s="16" t="inlineStr">
        <is>
          <t>Shipped</t>
        </is>
      </c>
      <c r="F1961" s="16" t="inlineStr">
        <is>
          <t>LV54W25</t>
        </is>
      </c>
      <c r="G1961" s="16" t="inlineStr">
        <is>
          <t>TIANLAI Lámpara Ventilador E27 2 en 1, Silenciosa, LED Alta Luminosidad 180°, Instalación Rápida, Ahorro Energético para Dormitorio y Interiores Pequeños</t>
        </is>
      </c>
      <c r="H1961" s="16" t="inlineStr">
        <is>
          <t>1 Pieza</t>
        </is>
      </c>
      <c r="I1961" s="16" t="n">
        <v>1</v>
      </c>
      <c r="J1961" s="17" t="n">
        <v>74</v>
      </c>
      <c r="K1961" s="17" t="n">
        <v>85.68000000000001</v>
      </c>
      <c r="L1961" s="17" t="n">
        <v>25.86</v>
      </c>
      <c r="M1961" s="17" t="n">
        <v>0</v>
      </c>
      <c r="N1961" s="17">
        <f>K1961*0.08+L1961*0.08</f>
        <v/>
      </c>
      <c r="O1961" s="17">
        <f>-(K1961*0.025+L1961*0.025)</f>
        <v/>
      </c>
      <c r="P1961" s="17">
        <f>32</f>
        <v/>
      </c>
      <c r="Q1961" s="17">
        <f>J1961+L1961+N1961+O1961-P1961-M1961</f>
        <v/>
      </c>
    </row>
    <row r="1962">
      <c r="A1962" s="16" t="inlineStr">
        <is>
          <t>5.22-5.28</t>
        </is>
      </c>
      <c r="B1962" s="16" t="inlineStr">
        <is>
          <t>PO-128-16117761188472779</t>
        </is>
      </c>
      <c r="C1962" s="16" t="inlineStr">
        <is>
          <t>Shipped</t>
        </is>
      </c>
      <c r="D1962" s="16" t="inlineStr">
        <is>
          <t>128-16117803131512779</t>
        </is>
      </c>
      <c r="E1962" s="16" t="inlineStr">
        <is>
          <t>Shipped</t>
        </is>
      </c>
      <c r="F1962" s="16" t="inlineStr">
        <is>
          <t>TL2663N18C</t>
        </is>
      </c>
      <c r="G1962" s="16" t="inlineStr">
        <is>
          <t>Linkbits，Soporte de pared fijo para televisores de 26"-63", Ultra-Delgado Compatible con VESA 400x400mm, Capacidad de Peso Fuerte de 25KG, Instalación Fácil Sin Electricidad</t>
        </is>
      </c>
      <c r="H1962" s="16" t="inlineStr">
        <is>
          <t>NEGRO</t>
        </is>
      </c>
      <c r="I1962" s="16" t="n">
        <v>1</v>
      </c>
      <c r="J1962" s="17" t="n">
        <v>47</v>
      </c>
      <c r="K1962" s="17" t="n">
        <v>61.97</v>
      </c>
      <c r="L1962" s="17" t="n">
        <v>25.86</v>
      </c>
      <c r="M1962" s="17" t="n">
        <v>0</v>
      </c>
      <c r="N1962" s="17">
        <f>K1962*0.08+L1962*0.08</f>
        <v/>
      </c>
      <c r="O1962" s="17">
        <f>-(K1962*0.025+L1962*0.025)</f>
        <v/>
      </c>
      <c r="P1962" s="17">
        <f>32</f>
        <v/>
      </c>
      <c r="Q1962" s="17">
        <f>J1962+L1962+N1962+O1962-P1962-M1962</f>
        <v/>
      </c>
    </row>
    <row r="1963">
      <c r="A1963" s="16" t="inlineStr">
        <is>
          <t>5.22-5.28</t>
        </is>
      </c>
      <c r="B1963" s="16" t="inlineStr">
        <is>
          <t>PO-128-15977155323513681</t>
        </is>
      </c>
      <c r="C1963" s="16" t="inlineStr">
        <is>
          <t>Shipped</t>
        </is>
      </c>
      <c r="D1963" s="16" t="inlineStr">
        <is>
          <t>128-15977197266553681</t>
        </is>
      </c>
      <c r="E1963" s="16" t="inlineStr">
        <is>
          <t>Shipped</t>
        </is>
      </c>
      <c r="F1963" s="16" t="inlineStr">
        <is>
          <t>KTS-2031</t>
        </is>
      </c>
      <c r="G1963" s="16" t="inlineStr">
        <is>
          <t>Bocina inalámbrica de 3 pulgadas con linterna multifuncional y panel solar integrado.Altavoz Portátil con Linterna LED 4 Modos, Radio FM, Bluetooth, Carga Solar, Ideal para Apagones, Emergencias, Campo y Exteriores</t>
        </is>
      </c>
      <c r="H1963" s="16" t="inlineStr">
        <is>
          <t>NEGRO</t>
        </is>
      </c>
      <c r="I1963" s="16" t="n">
        <v>1</v>
      </c>
      <c r="J1963" s="17" t="n">
        <v>90</v>
      </c>
      <c r="K1963" s="17" t="n">
        <v>99.22</v>
      </c>
      <c r="L1963" s="17" t="n">
        <v>25.86</v>
      </c>
      <c r="M1963" s="17" t="n">
        <v>0</v>
      </c>
      <c r="N1963" s="17">
        <f>K1963*0.08+L1963*0.08</f>
        <v/>
      </c>
      <c r="O1963" s="17">
        <f>-(K1963*0.025+L1963*0.025)</f>
        <v/>
      </c>
      <c r="P1963" s="17">
        <f>32</f>
        <v/>
      </c>
      <c r="Q1963" s="17">
        <f>J1963+L1963+N1963+O1963-P1963-M1963</f>
        <v/>
      </c>
    </row>
    <row r="1964">
      <c r="A1964" s="16" t="inlineStr">
        <is>
          <t>5.22-5.28</t>
        </is>
      </c>
      <c r="B1964" s="16" t="inlineStr">
        <is>
          <t>PO-128-15974693873273694</t>
        </is>
      </c>
      <c r="C1964" s="16" t="inlineStr">
        <is>
          <t>Shipped</t>
        </is>
      </c>
      <c r="D1964" s="16" t="inlineStr">
        <is>
          <t>128-15974641444473694</t>
        </is>
      </c>
      <c r="E1964" s="16" t="inlineStr">
        <is>
          <t>Shipped</t>
        </is>
      </c>
      <c r="F1964" s="16" t="inlineStr">
        <is>
          <t>KTS-2031</t>
        </is>
      </c>
      <c r="G1964" s="16" t="inlineStr">
        <is>
          <t>Bocina inalámbrica de 3 pulgadas con linterna multifuncional y panel solar integrado.Altavoz Portátil con Linterna LED 4 Modos, Radio FM, Bluetooth, Carga Solar, Ideal para Apagones, Emergencias, Campo y Exteriores</t>
        </is>
      </c>
      <c r="H1964" s="16" t="inlineStr">
        <is>
          <t>NEGRO</t>
        </is>
      </c>
      <c r="I1964" s="16" t="n">
        <v>1</v>
      </c>
      <c r="J1964" s="17" t="n">
        <v>90</v>
      </c>
      <c r="K1964" s="17" t="n">
        <v>93.43000000000001</v>
      </c>
      <c r="L1964" s="17" t="n">
        <v>25.86</v>
      </c>
      <c r="M1964" s="17" t="n">
        <v>0</v>
      </c>
      <c r="N1964" s="17">
        <f>K1964*0.08+L1964*0.08</f>
        <v/>
      </c>
      <c r="O1964" s="17">
        <f>-(K1964*0.025+L1964*0.025)</f>
        <v/>
      </c>
      <c r="P1964" s="17">
        <f>32</f>
        <v/>
      </c>
      <c r="Q1964" s="17">
        <f>J1964+L1964+N1964+O1964-P1964-M1964</f>
        <v/>
      </c>
    </row>
    <row r="1965">
      <c r="A1965" s="16" t="inlineStr">
        <is>
          <t>5.22-5.28</t>
        </is>
      </c>
      <c r="B1965" s="16" t="inlineStr">
        <is>
          <t>PO-128-16348859474550312</t>
        </is>
      </c>
      <c r="C1965" s="16" t="inlineStr">
        <is>
          <t>Shipped</t>
        </is>
      </c>
      <c r="D1965" s="16" t="inlineStr">
        <is>
          <t>128-16348885688950312</t>
        </is>
      </c>
      <c r="E1965" s="16" t="inlineStr">
        <is>
          <t>Shipped</t>
        </is>
      </c>
      <c r="F1965" s="16" t="inlineStr">
        <is>
          <t>LV64W25</t>
        </is>
      </c>
      <c r="G19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65" s="16" t="inlineStr">
        <is>
          <t>Blanco</t>
        </is>
      </c>
      <c r="I1965" s="16" t="n">
        <v>1</v>
      </c>
      <c r="J1965" s="17" t="n">
        <v>125</v>
      </c>
      <c r="K1965" s="17" t="n">
        <v>128.94</v>
      </c>
      <c r="L1965" s="17" t="n">
        <v>25.86</v>
      </c>
      <c r="M1965" s="17" t="n">
        <v>0</v>
      </c>
      <c r="N1965" s="17">
        <f>K1965*0.08+L1965*0.08</f>
        <v/>
      </c>
      <c r="O1965" s="17">
        <f>-(K1965*0.025+L1965*0.025)</f>
        <v/>
      </c>
      <c r="P1965" s="17">
        <f>32</f>
        <v/>
      </c>
      <c r="Q1965" s="17">
        <f>J1965+L1965+N1965+O1965-P1965-M1965</f>
        <v/>
      </c>
    </row>
    <row r="1966">
      <c r="A1966" s="16" t="inlineStr">
        <is>
          <t>5.22-5.28</t>
        </is>
      </c>
      <c r="B1966" s="16" t="inlineStr">
        <is>
          <t>PO-128-16242809866871968</t>
        </is>
      </c>
      <c r="C1966" s="16" t="inlineStr">
        <is>
          <t>Shipped</t>
        </is>
      </c>
      <c r="D1966" s="16" t="inlineStr">
        <is>
          <t>128-16242830838391968</t>
        </is>
      </c>
      <c r="E1966" s="16" t="inlineStr">
        <is>
          <t>Shipped</t>
        </is>
      </c>
      <c r="F1966" s="16" t="inlineStr">
        <is>
          <t>LV54W25</t>
        </is>
      </c>
      <c r="G1966" s="16" t="inlineStr">
        <is>
          <t>TIANLAI Lámpara Ventilador E27 2 en 1, Silenciosa, LED Alta Luminosidad 180°, Instalación Rápida, Ahorro Energético para Dormitorio y Interiores Pequeños</t>
        </is>
      </c>
      <c r="H1966" s="16" t="inlineStr">
        <is>
          <t>1 Pieza</t>
        </is>
      </c>
      <c r="I1966" s="16" t="n">
        <v>3</v>
      </c>
      <c r="J1966" s="17" t="n">
        <v>222</v>
      </c>
      <c r="K1966" s="17" t="n">
        <v>188.26</v>
      </c>
      <c r="L1966" s="17" t="n">
        <v>25.86</v>
      </c>
      <c r="M1966" s="17" t="n">
        <v>0</v>
      </c>
      <c r="N1966" s="17">
        <f>K1966*0.08+L1966*0.08</f>
        <v/>
      </c>
      <c r="O1966" s="17">
        <f>-(K1966*0.025+L1966*0.025)</f>
        <v/>
      </c>
      <c r="P1966" s="17">
        <f>32</f>
        <v/>
      </c>
      <c r="Q1966" s="17">
        <f>J1966+L1966+N1966+O1966-P1966-M1966</f>
        <v/>
      </c>
    </row>
    <row r="1967">
      <c r="A1967" s="16" t="inlineStr">
        <is>
          <t>5.22-5.28</t>
        </is>
      </c>
      <c r="B1967" s="16" t="inlineStr">
        <is>
          <t>PO-128-15899888732794012</t>
        </is>
      </c>
      <c r="C1967" s="16" t="inlineStr">
        <is>
          <t>Shipped</t>
        </is>
      </c>
      <c r="D1967" s="16" t="inlineStr">
        <is>
          <t>128-15899909704314012</t>
        </is>
      </c>
      <c r="E1967" s="16" t="inlineStr">
        <is>
          <t>Shipped</t>
        </is>
      </c>
      <c r="F1967" s="16" t="inlineStr">
        <is>
          <t>KTS-2031</t>
        </is>
      </c>
      <c r="G1967" s="16" t="inlineStr">
        <is>
          <t>Bocina inalámbrica de 3 pulgadas con linterna multifuncional y panel solar integrado.Altavoz Portátil con Linterna LED 4 Modos, Radio FM, Bluetooth, Carga Solar, Ideal para Apagones, Emergencias, Campo y Exteriores</t>
        </is>
      </c>
      <c r="H1967" s="16" t="inlineStr">
        <is>
          <t>NEGRO</t>
        </is>
      </c>
      <c r="I1967" s="16" t="n">
        <v>1</v>
      </c>
      <c r="J1967" s="17" t="n">
        <v>90</v>
      </c>
      <c r="K1967" s="17" t="n">
        <v>99.22</v>
      </c>
      <c r="L1967" s="17" t="n">
        <v>25.86</v>
      </c>
      <c r="M1967" s="17" t="n">
        <v>0</v>
      </c>
      <c r="N1967" s="17">
        <f>K1967*0.08+L1967*0.08</f>
        <v/>
      </c>
      <c r="O1967" s="17">
        <f>-(K1967*0.025+L1967*0.025)</f>
        <v/>
      </c>
      <c r="P1967" s="17">
        <f>32</f>
        <v/>
      </c>
      <c r="Q1967" s="17">
        <f>J1967+L1967+N1967+O1967-P1967-M1967</f>
        <v/>
      </c>
    </row>
    <row r="1968">
      <c r="A1968" s="16" t="inlineStr">
        <is>
          <t>5.22-5.28</t>
        </is>
      </c>
      <c r="B1968" s="16" t="inlineStr">
        <is>
          <t>PO-128-16052394947192081</t>
        </is>
      </c>
      <c r="C1968" s="16" t="inlineStr">
        <is>
          <t>Shipped</t>
        </is>
      </c>
      <c r="D1968" s="16" t="inlineStr">
        <is>
          <t>128-16052415918712081</t>
        </is>
      </c>
      <c r="E1968" s="16" t="inlineStr">
        <is>
          <t>Shipped</t>
        </is>
      </c>
      <c r="F1968" s="16" t="inlineStr">
        <is>
          <t>TLCD06-12P-N</t>
        </is>
      </c>
      <c r="G196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968" s="16" t="inlineStr">
        <is>
          <t>NEGRO/pantalla de 12 pulgadas</t>
        </is>
      </c>
      <c r="I1968" s="16" t="n">
        <v>1</v>
      </c>
      <c r="J1968" s="17" t="n">
        <v>31.8</v>
      </c>
      <c r="K1968" s="17" t="n">
        <v>43.81</v>
      </c>
      <c r="L1968" s="17" t="n">
        <v>25.86</v>
      </c>
      <c r="M1968" s="17" t="n">
        <v>0</v>
      </c>
      <c r="N1968" s="17">
        <f>K1968*0.08+L1968*0.08</f>
        <v/>
      </c>
      <c r="O1968" s="17">
        <f>-(K1968*0.025+L1968*0.025)</f>
        <v/>
      </c>
      <c r="P1968" s="17">
        <f>32</f>
        <v/>
      </c>
      <c r="Q1968" s="17">
        <f>J1968+L1968+N1968+O1968-P1968-M1968</f>
        <v/>
      </c>
    </row>
    <row r="1969">
      <c r="A1969" s="16" t="inlineStr">
        <is>
          <t>5.22-5.28</t>
        </is>
      </c>
      <c r="B1969" s="16" t="inlineStr">
        <is>
          <t>PO-128-15852520371833206</t>
        </is>
      </c>
      <c r="C1969" s="16" t="inlineStr">
        <is>
          <t>Shipped</t>
        </is>
      </c>
      <c r="D1969" s="16" t="inlineStr">
        <is>
          <t>128-15852478428793206</t>
        </is>
      </c>
      <c r="E1969" s="16" t="inlineStr">
        <is>
          <t>Shipped</t>
        </is>
      </c>
      <c r="F1969" s="16" t="inlineStr">
        <is>
          <t>TL1455N20B</t>
        </is>
      </c>
      <c r="G1969" s="16" t="inlineStr">
        <is>
          <t>LINK BITS Soporte para TV 14 A 55 Pulgadas, Base para TV Pantalla Articulado Inclinable y Giratorio, MAX VESA 400×400 mm, Soporta hasta 18kg, adaptarse a la mayoría de los televisores de 14 Pulgadas/20 Pulgadas/32 Pulgadas/42 Pulgadas/55 pulgadas</t>
        </is>
      </c>
      <c r="H1969" s="16" t="inlineStr">
        <is>
          <t>TL1455N20B</t>
        </is>
      </c>
      <c r="I1969" s="16" t="n">
        <v>3</v>
      </c>
      <c r="J1969" s="17" t="n">
        <v>225</v>
      </c>
      <c r="K1969" s="17" t="n">
        <v>244.95</v>
      </c>
      <c r="L1969" s="17" t="n">
        <v>0</v>
      </c>
      <c r="M1969" s="17" t="n">
        <v>0</v>
      </c>
      <c r="N1969" s="17">
        <f>K1969*0.08+L1969*0.08</f>
        <v/>
      </c>
      <c r="O1969" s="17">
        <f>-(K1969*0.025+L1969*0.025)</f>
        <v/>
      </c>
      <c r="P1969" s="17">
        <f>32</f>
        <v/>
      </c>
      <c r="Q1969" s="17">
        <f>J1969+L1969+N1969+O1969-P1969-M1969</f>
        <v/>
      </c>
    </row>
    <row r="1970">
      <c r="A1970" s="16" t="inlineStr">
        <is>
          <t>5.22-5.28</t>
        </is>
      </c>
      <c r="B1970" s="16" t="inlineStr">
        <is>
          <t>PO-128-15851438275193215</t>
        </is>
      </c>
      <c r="C1970" s="16" t="inlineStr">
        <is>
          <t>Shipped</t>
        </is>
      </c>
      <c r="D1970" s="16" t="inlineStr">
        <is>
          <t>128-15851446139513215</t>
        </is>
      </c>
      <c r="E1970" s="16" t="inlineStr">
        <is>
          <t>Shipped</t>
        </is>
      </c>
      <c r="F1970" s="16" t="inlineStr">
        <is>
          <t>LV54W25</t>
        </is>
      </c>
      <c r="G1970" s="16" t="inlineStr">
        <is>
          <t>TIANLAI Lámpara Ventilador E27 2 en 1, Silenciosa, LED Alta Luminosidad 180°, Instalación Rápida, Ahorro Energético para Dormitorio y Interiores Pequeños</t>
        </is>
      </c>
      <c r="H1970" s="16" t="inlineStr">
        <is>
          <t>1 Pieza</t>
        </is>
      </c>
      <c r="I1970" s="16" t="n">
        <v>1</v>
      </c>
      <c r="J1970" s="17" t="n">
        <v>74</v>
      </c>
      <c r="K1970" s="17" t="n">
        <v>61.7</v>
      </c>
      <c r="L1970" s="17" t="n">
        <v>25.86</v>
      </c>
      <c r="M1970" s="17" t="n">
        <v>0</v>
      </c>
      <c r="N1970" s="17">
        <f>K1970*0.08+L1970*0.08</f>
        <v/>
      </c>
      <c r="O1970" s="17">
        <f>-(K1970*0.025+L1970*0.025)</f>
        <v/>
      </c>
      <c r="P1970" s="17">
        <f>32</f>
        <v/>
      </c>
      <c r="Q1970" s="17">
        <f>J1970+L1970+N1970+O1970-P1970-M1970</f>
        <v/>
      </c>
    </row>
    <row r="1971">
      <c r="A1971" s="16" t="inlineStr">
        <is>
          <t>5.22-5.28</t>
        </is>
      </c>
      <c r="B1971" s="16" t="inlineStr">
        <is>
          <t>PO-128-15912309115514066</t>
        </is>
      </c>
      <c r="C1971" s="16" t="inlineStr">
        <is>
          <t>Shipped</t>
        </is>
      </c>
      <c r="D1971" s="16" t="inlineStr">
        <is>
          <t>128-15912267172474066</t>
        </is>
      </c>
      <c r="E1971" s="16" t="inlineStr">
        <is>
          <t>Shipped</t>
        </is>
      </c>
      <c r="F1971" s="16" t="inlineStr">
        <is>
          <t>TL1455N20B</t>
        </is>
      </c>
      <c r="G1971" s="16" t="inlineStr">
        <is>
          <t>LINK BITS Soporte para TV 14 A 55 Pulgadas, Base para TV Pantalla Articulado Inclinable y Giratorio, MAX VESA 400×400 mm, Soporta hasta 18kg, adaptarse a la mayoría de los televisores de 14 Pulgadas/20 Pulgadas/32 Pulgadas/42 Pulgadas/55 pulgadas</t>
        </is>
      </c>
      <c r="H1971" s="16" t="inlineStr">
        <is>
          <t>TL1455N20B</t>
        </is>
      </c>
      <c r="I1971" s="16" t="n">
        <v>1</v>
      </c>
      <c r="J1971" s="17" t="n">
        <v>75</v>
      </c>
      <c r="K1971" s="17" t="n">
        <v>96.06</v>
      </c>
      <c r="L1971" s="17" t="n">
        <v>25.86</v>
      </c>
      <c r="M1971" s="17" t="n">
        <v>0</v>
      </c>
      <c r="N1971" s="17">
        <f>K1971*0.08+L1971*0.08</f>
        <v/>
      </c>
      <c r="O1971" s="17">
        <f>-(K1971*0.025+L1971*0.025)</f>
        <v/>
      </c>
      <c r="P1971" s="17">
        <f>32</f>
        <v/>
      </c>
      <c r="Q1971" s="17">
        <f>J1971+L1971+N1971+O1971-P1971-M1971</f>
        <v/>
      </c>
    </row>
    <row r="1972">
      <c r="A1972" s="16" t="inlineStr">
        <is>
          <t>5.22-5.28</t>
        </is>
      </c>
      <c r="B1972" s="16" t="inlineStr">
        <is>
          <t>PO-128-15982970757752495</t>
        </is>
      </c>
      <c r="C1972" s="16" t="inlineStr">
        <is>
          <t>Shipped</t>
        </is>
      </c>
      <c r="D1972" s="16" t="inlineStr">
        <is>
          <t>128-15982949786232495</t>
        </is>
      </c>
      <c r="E1972" s="16" t="inlineStr">
        <is>
          <t>Shipped</t>
        </is>
      </c>
      <c r="F1972" s="16" t="inlineStr">
        <is>
          <t>LV54W25</t>
        </is>
      </c>
      <c r="G1972" s="16" t="inlineStr">
        <is>
          <t>TIANLAI Lámpara Ventilador E27 2 en 1, Silenciosa, LED Alta Luminosidad 180°, Instalación Rápida, Ahorro Energético para Dormitorio y Interiores Pequeños</t>
        </is>
      </c>
      <c r="H1972" s="16" t="inlineStr">
        <is>
          <t>1 Pieza</t>
        </is>
      </c>
      <c r="I1972" s="16" t="n">
        <v>3</v>
      </c>
      <c r="J1972" s="17" t="n">
        <v>222</v>
      </c>
      <c r="K1972" s="17" t="n">
        <v>257.04</v>
      </c>
      <c r="L1972" s="17" t="n">
        <v>25.86</v>
      </c>
      <c r="M1972" s="17" t="n">
        <v>0</v>
      </c>
      <c r="N1972" s="17">
        <f>K1972*0.08+L1972*0.08</f>
        <v/>
      </c>
      <c r="O1972" s="17">
        <f>-(K1972*0.025+L1972*0.025)</f>
        <v/>
      </c>
      <c r="P1972" s="17">
        <f>32</f>
        <v/>
      </c>
      <c r="Q1972" s="17">
        <f>J1972+L1972+N1972+O1972-P1972-M1972</f>
        <v/>
      </c>
    </row>
    <row r="1973">
      <c r="A1973" s="16" t="inlineStr">
        <is>
          <t>5.22-5.28</t>
        </is>
      </c>
      <c r="B1973" s="16" t="inlineStr">
        <is>
          <t>PO-128-15939681388153713</t>
        </is>
      </c>
      <c r="C1973" s="16" t="inlineStr">
        <is>
          <t>Shipped</t>
        </is>
      </c>
      <c r="D1973" s="16" t="inlineStr">
        <is>
          <t>128-15939639445113713</t>
        </is>
      </c>
      <c r="E1973" s="16" t="inlineStr">
        <is>
          <t>Shipped</t>
        </is>
      </c>
      <c r="F1973" s="16" t="inlineStr">
        <is>
          <t>LV64W25</t>
        </is>
      </c>
      <c r="G19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73" s="16" t="inlineStr">
        <is>
          <t>Blanco</t>
        </is>
      </c>
      <c r="I1973" s="16" t="n">
        <v>1</v>
      </c>
      <c r="J1973" s="17" t="n">
        <v>125</v>
      </c>
      <c r="K1973" s="17" t="n">
        <v>128.94</v>
      </c>
      <c r="L1973" s="17" t="n">
        <v>25.86</v>
      </c>
      <c r="M1973" s="17" t="n">
        <v>0</v>
      </c>
      <c r="N1973" s="17">
        <f>K1973*0.08+L1973*0.08</f>
        <v/>
      </c>
      <c r="O1973" s="17">
        <f>-(K1973*0.025+L1973*0.025)</f>
        <v/>
      </c>
      <c r="P1973" s="17">
        <f>32</f>
        <v/>
      </c>
      <c r="Q1973" s="17">
        <f>J1973+L1973+N1973+O1973-P1973-M1973</f>
        <v/>
      </c>
    </row>
    <row r="1974">
      <c r="A1974" s="16" t="inlineStr">
        <is>
          <t>5.22-5.28</t>
        </is>
      </c>
      <c r="B1974" s="16" t="inlineStr">
        <is>
          <t>PO-128-16466044288630767</t>
        </is>
      </c>
      <c r="C1974" s="16" t="inlineStr">
        <is>
          <t>Shipped</t>
        </is>
      </c>
      <c r="D1974" s="16" t="inlineStr">
        <is>
          <t>128-16466036424310767</t>
        </is>
      </c>
      <c r="E1974" s="16" t="inlineStr">
        <is>
          <t>Shipped</t>
        </is>
      </c>
      <c r="F1974" s="16" t="inlineStr">
        <is>
          <t>KTS-2031</t>
        </is>
      </c>
      <c r="G1974" s="16" t="inlineStr">
        <is>
          <t>Bocina inalámbrica de 3 pulgadas con linterna multifuncional y panel solar integrado.Altavoz Portátil con Linterna LED 4 Modos, Radio FM, Bluetooth, Carga Solar, Ideal para Apagones, Emergencias, Campo y Exteriores</t>
        </is>
      </c>
      <c r="H1974" s="16" t="inlineStr">
        <is>
          <t>NEGRO</t>
        </is>
      </c>
      <c r="I1974" s="16" t="n">
        <v>1</v>
      </c>
      <c r="J1974" s="17" t="n">
        <v>90</v>
      </c>
      <c r="K1974" s="17" t="n">
        <v>99.22</v>
      </c>
      <c r="L1974" s="17" t="n">
        <v>25.86</v>
      </c>
      <c r="M1974" s="17" t="n">
        <v>0</v>
      </c>
      <c r="N1974" s="17">
        <f>K1974*0.08+L1974*0.08</f>
        <v/>
      </c>
      <c r="O1974" s="17">
        <f>-(K1974*0.025+L1974*0.025)</f>
        <v/>
      </c>
      <c r="P1974" s="17">
        <f>32</f>
        <v/>
      </c>
      <c r="Q1974" s="17">
        <f>J1974+L1974+N1974+O1974-P1974-M1974</f>
        <v/>
      </c>
    </row>
    <row r="1975">
      <c r="A1975" s="16" t="inlineStr">
        <is>
          <t>5.22-5.28</t>
        </is>
      </c>
      <c r="B1975" s="16" t="inlineStr">
        <is>
          <t>PO-128-16397426207350086</t>
        </is>
      </c>
      <c r="C1975" s="16" t="inlineStr">
        <is>
          <t>Shipped</t>
        </is>
      </c>
      <c r="D1975" s="16" t="inlineStr">
        <is>
          <t>128-16397397371510086</t>
        </is>
      </c>
      <c r="E1975" s="16" t="inlineStr">
        <is>
          <t>Shipped</t>
        </is>
      </c>
      <c r="F1975" s="16" t="inlineStr">
        <is>
          <t>LV54W25</t>
        </is>
      </c>
      <c r="G1975" s="16" t="inlineStr">
        <is>
          <t>TIANLAI Lámpara Ventilador E27 2 en 1, Silenciosa, LED Alta Luminosidad 180°, Instalación Rápida, Ahorro Energético para Dormitorio y Interiores Pequeños</t>
        </is>
      </c>
      <c r="H1975" s="16" t="inlineStr">
        <is>
          <t>1 Pieza</t>
        </is>
      </c>
      <c r="I1975" s="16" t="n">
        <v>1</v>
      </c>
      <c r="J1975" s="17" t="n">
        <v>74</v>
      </c>
      <c r="K1975" s="17" t="n">
        <v>85.68000000000001</v>
      </c>
      <c r="L1975" s="17" t="n">
        <v>25.86</v>
      </c>
      <c r="M1975" s="17" t="n">
        <v>0</v>
      </c>
      <c r="N1975" s="17">
        <f>K1975*0.08+L1975*0.08</f>
        <v/>
      </c>
      <c r="O1975" s="17">
        <f>-(K1975*0.025+L1975*0.025)</f>
        <v/>
      </c>
      <c r="P1975" s="17">
        <f>32</f>
        <v/>
      </c>
      <c r="Q1975" s="17">
        <f>J1975+L1975+N1975+O1975-P1975-M1975</f>
        <v/>
      </c>
    </row>
    <row r="1976">
      <c r="A1976" s="16" t="inlineStr">
        <is>
          <t>5.22-5.28</t>
        </is>
      </c>
      <c r="B1976" s="16" t="inlineStr">
        <is>
          <t>PO-128-16491632251510615</t>
        </is>
      </c>
      <c r="C1976" s="16" t="inlineStr">
        <is>
          <t>Shipped</t>
        </is>
      </c>
      <c r="D1976" s="16" t="inlineStr">
        <is>
          <t>128-16491658465910615</t>
        </is>
      </c>
      <c r="E1976" s="16" t="inlineStr">
        <is>
          <t>Shipped</t>
        </is>
      </c>
      <c r="F1976" s="16" t="inlineStr">
        <is>
          <t>LV54W25</t>
        </is>
      </c>
      <c r="G1976" s="16" t="inlineStr">
        <is>
          <t>TIANLAI Lámpara Ventilador E27 2 en 1, Silenciosa, LED Alta Luminosidad 180°, Instalación Rápida, Ahorro Energético para Dormitorio y Interiores Pequeños</t>
        </is>
      </c>
      <c r="H1976" s="16" t="inlineStr">
        <is>
          <t>1 Pieza</t>
        </is>
      </c>
      <c r="I1976" s="16" t="n">
        <v>1</v>
      </c>
      <c r="J1976" s="17" t="n">
        <v>74</v>
      </c>
      <c r="K1976" s="17" t="n">
        <v>76.26000000000001</v>
      </c>
      <c r="L1976" s="17" t="n">
        <v>25.86</v>
      </c>
      <c r="M1976" s="17" t="n">
        <v>0</v>
      </c>
      <c r="N1976" s="17">
        <f>K1976*0.08+L1976*0.08</f>
        <v/>
      </c>
      <c r="O1976" s="17">
        <f>-(K1976*0.025+L1976*0.025)</f>
        <v/>
      </c>
      <c r="P1976" s="17">
        <f>32</f>
        <v/>
      </c>
      <c r="Q1976" s="17">
        <f>J1976+L1976+N1976+O1976-P1976-M1976</f>
        <v/>
      </c>
    </row>
    <row r="1977">
      <c r="A1977" s="16" t="inlineStr">
        <is>
          <t>5.22-5.28</t>
        </is>
      </c>
      <c r="B1977" s="16" t="inlineStr">
        <is>
          <t>PO-128-16271748839031861</t>
        </is>
      </c>
      <c r="C1977" s="16" t="inlineStr">
        <is>
          <t>Shipped</t>
        </is>
      </c>
      <c r="D1977" s="16" t="inlineStr">
        <is>
          <t>128-16271769810551861</t>
        </is>
      </c>
      <c r="E1977" s="16" t="inlineStr">
        <is>
          <t>Shipped</t>
        </is>
      </c>
      <c r="F1977" s="16" t="inlineStr">
        <is>
          <t>LV54W25</t>
        </is>
      </c>
      <c r="G1977" s="16" t="inlineStr">
        <is>
          <t>TIANLAI Lámpara Ventilador E27 2 en 1, Silenciosa, LED Alta Luminosidad 180°, Instalación Rápida, Ahorro Energético para Dormitorio y Interiores Pequeños</t>
        </is>
      </c>
      <c r="H1977" s="16" t="inlineStr">
        <is>
          <t>1 Pieza</t>
        </is>
      </c>
      <c r="I1977" s="16" t="n">
        <v>1</v>
      </c>
      <c r="J1977" s="17" t="n">
        <v>74</v>
      </c>
      <c r="K1977" s="17" t="n">
        <v>76.26000000000001</v>
      </c>
      <c r="L1977" s="17" t="n">
        <v>25.86</v>
      </c>
      <c r="M1977" s="17" t="n">
        <v>0</v>
      </c>
      <c r="N1977" s="17">
        <f>K1977*0.08+L1977*0.08</f>
        <v/>
      </c>
      <c r="O1977" s="17">
        <f>-(K1977*0.025+L1977*0.025)</f>
        <v/>
      </c>
      <c r="P1977" s="17">
        <f>32</f>
        <v/>
      </c>
      <c r="Q1977" s="17">
        <f>J1977+L1977+N1977+O1977-P1977-M1977</f>
        <v/>
      </c>
    </row>
    <row r="1978">
      <c r="A1978" s="16" t="inlineStr">
        <is>
          <t>5.22-5.28</t>
        </is>
      </c>
      <c r="B1978" s="16" t="inlineStr">
        <is>
          <t>PO-128-16358354330230321</t>
        </is>
      </c>
      <c r="C1978" s="16" t="inlineStr">
        <is>
          <t>Shipped</t>
        </is>
      </c>
      <c r="D1978" s="16" t="inlineStr">
        <is>
          <t>128-16358333358710321</t>
        </is>
      </c>
      <c r="E1978" s="16" t="inlineStr">
        <is>
          <t>Shipped</t>
        </is>
      </c>
      <c r="F1978" s="16" t="inlineStr">
        <is>
          <t>TL1455N20B</t>
        </is>
      </c>
      <c r="G1978" s="16" t="inlineStr">
        <is>
          <t>LINK BITS Soporte para TV 14 A 55 Pulgadas, Base para TV Pantalla Articulado Inclinable y Giratorio, MAX VESA 400×400 mm, Soporta hasta 18kg, adaptarse a la mayoría de los televisores de 14 Pulgadas/20 Pulgadas/32 Pulgadas/42 Pulgadas/55 pulgadas</t>
        </is>
      </c>
      <c r="H1978" s="16" t="inlineStr">
        <is>
          <t>TL1455N20B</t>
        </is>
      </c>
      <c r="I1978" s="16" t="n">
        <v>1</v>
      </c>
      <c r="J1978" s="17" t="n">
        <v>75</v>
      </c>
      <c r="K1978" s="17" t="n">
        <v>96.06</v>
      </c>
      <c r="L1978" s="17" t="n">
        <v>25.86</v>
      </c>
      <c r="M1978" s="17" t="n">
        <v>0</v>
      </c>
      <c r="N1978" s="17">
        <f>K1978*0.08+L1978*0.08</f>
        <v/>
      </c>
      <c r="O1978" s="17">
        <f>-(K1978*0.025+L1978*0.025)</f>
        <v/>
      </c>
      <c r="P1978" s="17">
        <f>32</f>
        <v/>
      </c>
      <c r="Q1978" s="17">
        <f>J1978+L1978+N1978+O1978-P1978-M1978</f>
        <v/>
      </c>
    </row>
    <row r="1979">
      <c r="A1979" s="16" t="inlineStr">
        <is>
          <t>5.22-5.28</t>
        </is>
      </c>
      <c r="B1979" s="16" t="inlineStr">
        <is>
          <t>PO-128-15966156841593619</t>
        </is>
      </c>
      <c r="C1979" s="16" t="inlineStr">
        <is>
          <t>Shipped</t>
        </is>
      </c>
      <c r="D1979" s="16" t="inlineStr">
        <is>
          <t>128-15966177813113619</t>
        </is>
      </c>
      <c r="E1979" s="16" t="inlineStr">
        <is>
          <t>Shipped</t>
        </is>
      </c>
      <c r="F1979" s="16" t="inlineStr">
        <is>
          <t>LV64W25</t>
        </is>
      </c>
      <c r="G19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79" s="16" t="inlineStr">
        <is>
          <t>Blanco</t>
        </is>
      </c>
      <c r="I1979" s="16" t="n">
        <v>2</v>
      </c>
      <c r="J1979" s="17" t="n">
        <v>250</v>
      </c>
      <c r="K1979" s="17" t="n">
        <v>257.88</v>
      </c>
      <c r="L1979" s="17" t="n">
        <v>0</v>
      </c>
      <c r="M1979" s="17" t="n">
        <v>0</v>
      </c>
      <c r="N1979" s="17">
        <f>K1979*0.08+L1979*0.08</f>
        <v/>
      </c>
      <c r="O1979" s="17">
        <f>-(K1979*0.025+L1979*0.025)</f>
        <v/>
      </c>
      <c r="P1979" s="17">
        <f>32</f>
        <v/>
      </c>
      <c r="Q1979" s="17">
        <f>J1979+L1979+N1979+O1979-P1979-M1979</f>
        <v/>
      </c>
    </row>
    <row r="1980">
      <c r="A1980" s="16" t="inlineStr">
        <is>
          <t>5.22-5.28</t>
        </is>
      </c>
      <c r="B1980" s="16" t="inlineStr">
        <is>
          <t>PO-128-15825817605753559</t>
        </is>
      </c>
      <c r="C1980" s="16" t="inlineStr">
        <is>
          <t>Shipped</t>
        </is>
      </c>
      <c r="D1980" s="16" t="inlineStr">
        <is>
          <t>128-15825807119993559</t>
        </is>
      </c>
      <c r="E1980" s="16" t="inlineStr">
        <is>
          <t>Shipped</t>
        </is>
      </c>
      <c r="F1980" s="16" t="inlineStr">
        <is>
          <t>LV54W25</t>
        </is>
      </c>
      <c r="G1980" s="16" t="inlineStr">
        <is>
          <t>TIANLAI Lámpara Ventilador E27 2 en 1, Silenciosa, LED Alta Luminosidad 180°, Instalación Rápida, Ahorro Energético para Dormitorio y Interiores Pequeños</t>
        </is>
      </c>
      <c r="H1980" s="16" t="inlineStr">
        <is>
          <t>1 Pieza</t>
        </is>
      </c>
      <c r="I1980" s="16" t="n">
        <v>1</v>
      </c>
      <c r="J1980" s="17" t="n">
        <v>74</v>
      </c>
      <c r="K1980" s="17" t="n">
        <v>85.68000000000001</v>
      </c>
      <c r="L1980" s="17" t="n">
        <v>25.86</v>
      </c>
      <c r="M1980" s="17" t="n">
        <v>0</v>
      </c>
      <c r="N1980" s="17">
        <f>K1980*0.08+L1980*0.08</f>
        <v/>
      </c>
      <c r="O1980" s="17">
        <f>-(K1980*0.025+L1980*0.025)</f>
        <v/>
      </c>
      <c r="P1980" s="17">
        <f>32</f>
        <v/>
      </c>
      <c r="Q1980" s="17">
        <f>J1980+L1980+N1980+O1980-P1980-M1980</f>
        <v/>
      </c>
    </row>
    <row r="1981">
      <c r="A1981" s="16" t="inlineStr">
        <is>
          <t>5.22-5.28</t>
        </is>
      </c>
      <c r="B1981" s="16" t="inlineStr">
        <is>
          <t>PO-128-15922046546553880</t>
        </is>
      </c>
      <c r="C1981" s="16" t="inlineStr">
        <is>
          <t>Shipped</t>
        </is>
      </c>
      <c r="D1981" s="16" t="inlineStr">
        <is>
          <t>128-15922004603513880</t>
        </is>
      </c>
      <c r="E1981" s="16" t="inlineStr">
        <is>
          <t>Shipped</t>
        </is>
      </c>
      <c r="F1981" s="16" t="inlineStr">
        <is>
          <t>LV54W25</t>
        </is>
      </c>
      <c r="G1981" s="16" t="inlineStr">
        <is>
          <t>TIANLAI Lámpara Ventilador E27 2 en 1, Silenciosa, LED Alta Luminosidad 180°, Instalación Rápida, Ahorro Energético para Dormitorio y Interiores Pequeños</t>
        </is>
      </c>
      <c r="H1981" s="16" t="inlineStr">
        <is>
          <t>1 Pieza</t>
        </is>
      </c>
      <c r="I1981" s="16" t="n">
        <v>1</v>
      </c>
      <c r="J1981" s="17" t="n">
        <v>74</v>
      </c>
      <c r="K1981" s="17" t="n">
        <v>76.26000000000001</v>
      </c>
      <c r="L1981" s="17" t="n">
        <v>25.86</v>
      </c>
      <c r="M1981" s="17" t="n">
        <v>0</v>
      </c>
      <c r="N1981" s="17">
        <f>K1981*0.08+L1981*0.08</f>
        <v/>
      </c>
      <c r="O1981" s="17">
        <f>-(K1981*0.025+L1981*0.025)</f>
        <v/>
      </c>
      <c r="P1981" s="17">
        <f>32</f>
        <v/>
      </c>
      <c r="Q1981" s="17">
        <f>J1981+L1981+N1981+O1981-P1981-M1981</f>
        <v/>
      </c>
    </row>
    <row r="1982">
      <c r="A1982" s="16" t="inlineStr">
        <is>
          <t>5.22-5.28</t>
        </is>
      </c>
      <c r="B1982" s="16" t="inlineStr">
        <is>
          <t>PO-128-15951290358393835</t>
        </is>
      </c>
      <c r="C1982" s="16" t="inlineStr">
        <is>
          <t>Shipped</t>
        </is>
      </c>
      <c r="D1982" s="16" t="inlineStr">
        <is>
          <t>128-15951321815673835</t>
        </is>
      </c>
      <c r="E1982" s="16" t="inlineStr">
        <is>
          <t>Shipped</t>
        </is>
      </c>
      <c r="F1982" s="16" t="inlineStr">
        <is>
          <t>LV54W25</t>
        </is>
      </c>
      <c r="G1982" s="16" t="inlineStr">
        <is>
          <t>TIANLAI Lámpara Ventilador E27 2 en 1, Silenciosa, LED Alta Luminosidad 180°, Instalación Rápida, Ahorro Energético para Dormitorio y Interiores Pequeños</t>
        </is>
      </c>
      <c r="H1982" s="16" t="inlineStr">
        <is>
          <t>1 Pieza</t>
        </is>
      </c>
      <c r="I1982" s="16" t="n">
        <v>1</v>
      </c>
      <c r="J1982" s="17" t="n">
        <v>74</v>
      </c>
      <c r="K1982" s="17" t="n">
        <v>85.68000000000001</v>
      </c>
      <c r="L1982" s="17" t="n">
        <v>25.86</v>
      </c>
      <c r="M1982" s="17" t="n">
        <v>0</v>
      </c>
      <c r="N1982" s="17">
        <f>K1982*0.08+L1982*0.08</f>
        <v/>
      </c>
      <c r="O1982" s="17">
        <f>-(K1982*0.025+L1982*0.025)</f>
        <v/>
      </c>
      <c r="P1982" s="17">
        <f>32</f>
        <v/>
      </c>
      <c r="Q1982" s="17">
        <f>J1982+L1982+N1982+O1982-P1982-M1982</f>
        <v/>
      </c>
    </row>
    <row r="1983">
      <c r="A1983" s="16" t="inlineStr">
        <is>
          <t>5.22-5.28</t>
        </is>
      </c>
      <c r="B1983" s="16" t="inlineStr">
        <is>
          <t>PO-128-16314156247671609</t>
        </is>
      </c>
      <c r="C1983" s="16" t="inlineStr">
        <is>
          <t>Shipped</t>
        </is>
      </c>
      <c r="D1983" s="16" t="inlineStr">
        <is>
          <t>128-16314162801271609</t>
        </is>
      </c>
      <c r="E1983" s="16" t="inlineStr">
        <is>
          <t>Shipped</t>
        </is>
      </c>
      <c r="F1983" s="16" t="inlineStr">
        <is>
          <t>KTS-2031</t>
        </is>
      </c>
      <c r="G1983" s="16" t="inlineStr">
        <is>
          <t>Bocina inalámbrica de 3 pulgadas con linterna multifuncional y panel solar integrado.Altavoz Portátil con Linterna LED 4 Modos, Radio FM, Bluetooth, Carga Solar, Ideal para Apagones, Emergencias, Campo y Exteriores</t>
        </is>
      </c>
      <c r="H1983" s="16" t="inlineStr">
        <is>
          <t>NEGRO</t>
        </is>
      </c>
      <c r="I1983" s="16" t="n">
        <v>1</v>
      </c>
      <c r="J1983" s="17" t="n">
        <v>90</v>
      </c>
      <c r="K1983" s="17" t="n">
        <v>99.22</v>
      </c>
      <c r="L1983" s="17" t="n">
        <v>25.86</v>
      </c>
      <c r="M1983" s="17" t="n">
        <v>0</v>
      </c>
      <c r="N1983" s="17">
        <f>K1983*0.08+L1983*0.08</f>
        <v/>
      </c>
      <c r="O1983" s="17">
        <f>-(K1983*0.025+L1983*0.025)</f>
        <v/>
      </c>
      <c r="P1983" s="17">
        <f>32</f>
        <v/>
      </c>
      <c r="Q1983" s="17">
        <f>J1983+L1983+N1983+O1983-P1983-M1983</f>
        <v/>
      </c>
    </row>
    <row r="1984">
      <c r="A1984" s="16" t="inlineStr">
        <is>
          <t>5.22-5.28</t>
        </is>
      </c>
      <c r="B1984" s="16" t="inlineStr">
        <is>
          <t>PO-128-15933311631993943</t>
        </is>
      </c>
      <c r="C1984" s="16" t="inlineStr">
        <is>
          <t>Shipped</t>
        </is>
      </c>
      <c r="D1984" s="16" t="inlineStr">
        <is>
          <t>128-15933269688953943</t>
        </is>
      </c>
      <c r="E1984" s="16" t="inlineStr">
        <is>
          <t>Shipped</t>
        </is>
      </c>
      <c r="F1984" s="16" t="inlineStr">
        <is>
          <t>LV54W25</t>
        </is>
      </c>
      <c r="G1984" s="16" t="inlineStr">
        <is>
          <t>TIANLAI Lámpara Ventilador E27 2 en 1, Silenciosa, LED Alta Luminosidad 180°, Instalación Rápida, Ahorro Energético para Dormitorio y Interiores Pequeños</t>
        </is>
      </c>
      <c r="H1984" s="16" t="inlineStr">
        <is>
          <t>1 Pieza</t>
        </is>
      </c>
      <c r="I1984" s="16" t="n">
        <v>3</v>
      </c>
      <c r="J1984" s="17" t="n">
        <v>222</v>
      </c>
      <c r="K1984" s="17" t="n">
        <v>228.78</v>
      </c>
      <c r="L1984" s="17" t="n">
        <v>25.86</v>
      </c>
      <c r="M1984" s="17" t="n">
        <v>0</v>
      </c>
      <c r="N1984" s="17">
        <f>K1984*0.08+L1984*0.08</f>
        <v/>
      </c>
      <c r="O1984" s="17">
        <f>-(K1984*0.025+L1984*0.025)</f>
        <v/>
      </c>
      <c r="P1984" s="17">
        <f>32</f>
        <v/>
      </c>
      <c r="Q1984" s="17">
        <f>J1984+L1984+N1984+O1984-P1984-M1984</f>
        <v/>
      </c>
    </row>
    <row r="1985">
      <c r="A1985" s="16" t="inlineStr">
        <is>
          <t>5.22-5.28</t>
        </is>
      </c>
      <c r="B1985" s="16" t="inlineStr">
        <is>
          <t>PO-128-16164119829111479</t>
        </is>
      </c>
      <c r="C1985" s="16" t="inlineStr">
        <is>
          <t>Shipped</t>
        </is>
      </c>
      <c r="D1985" s="16" t="inlineStr">
        <is>
          <t>128-16164062157431479</t>
        </is>
      </c>
      <c r="E1985" s="16" t="inlineStr">
        <is>
          <t>Shipped</t>
        </is>
      </c>
      <c r="F1985" s="16" t="inlineStr">
        <is>
          <t>LV64W25</t>
        </is>
      </c>
      <c r="G19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85" s="16" t="inlineStr">
        <is>
          <t>Blanco</t>
        </is>
      </c>
      <c r="I1985" s="16" t="n">
        <v>2</v>
      </c>
      <c r="J1985" s="17" t="n">
        <v>250</v>
      </c>
      <c r="K1985" s="17" t="n">
        <v>286.52</v>
      </c>
      <c r="L1985" s="17" t="n">
        <v>0</v>
      </c>
      <c r="M1985" s="17" t="n">
        <v>0</v>
      </c>
      <c r="N1985" s="17">
        <f>K1985*0.08+L1985*0.08</f>
        <v/>
      </c>
      <c r="O1985" s="17">
        <f>-(K1985*0.025+L1985*0.025)</f>
        <v/>
      </c>
      <c r="P1985" s="17">
        <f>32</f>
        <v/>
      </c>
      <c r="Q1985" s="17">
        <f>J1985+L1985+N1985+O1985-P1985-M1985</f>
        <v/>
      </c>
    </row>
    <row r="1986">
      <c r="A1986" s="16" t="inlineStr">
        <is>
          <t>5.22-5.28</t>
        </is>
      </c>
      <c r="B1986" s="16" t="inlineStr">
        <is>
          <t>PO-128-16120896824952758</t>
        </is>
      </c>
      <c r="C1986" s="16" t="inlineStr">
        <is>
          <t>Shipped</t>
        </is>
      </c>
      <c r="D1986" s="16" t="inlineStr">
        <is>
          <t>128-16121048868472758</t>
        </is>
      </c>
      <c r="E1986" s="16" t="inlineStr">
        <is>
          <t>Shipped</t>
        </is>
      </c>
      <c r="F1986" s="16" t="inlineStr">
        <is>
          <t>LV54W25</t>
        </is>
      </c>
      <c r="G1986" s="16" t="inlineStr">
        <is>
          <t>TIANLAI Lámpara Ventilador E27 2 en 1, Silenciosa, LED Alta Luminosidad 180°, Instalación Rápida, Ahorro Energético para Dormitorio y Interiores Pequeños</t>
        </is>
      </c>
      <c r="H1986" s="16" t="inlineStr">
        <is>
          <t>1 Pieza</t>
        </is>
      </c>
      <c r="I1986" s="16" t="n">
        <v>1</v>
      </c>
      <c r="J1986" s="17" t="n">
        <v>74</v>
      </c>
      <c r="K1986" s="17" t="n">
        <v>33.16</v>
      </c>
      <c r="L1986" s="17" t="n">
        <v>25.86</v>
      </c>
      <c r="M1986" s="17" t="n">
        <v>0</v>
      </c>
      <c r="N1986" s="17">
        <f>K1986*0.08+L1986*0.08</f>
        <v/>
      </c>
      <c r="O1986" s="17">
        <f>-(K1986*0.025+L1986*0.025)</f>
        <v/>
      </c>
      <c r="P1986" s="17">
        <f>32</f>
        <v/>
      </c>
      <c r="Q1986" s="17">
        <f>J1986+L1986+N1986+O1986-P1986-M1986</f>
        <v/>
      </c>
    </row>
    <row r="1987">
      <c r="A1987" s="16" t="inlineStr">
        <is>
          <t>5.22-5.28</t>
        </is>
      </c>
      <c r="B1987" s="16" t="inlineStr">
        <is>
          <t>PO-128-16254964439672025</t>
        </is>
      </c>
      <c r="C1987" s="16" t="inlineStr">
        <is>
          <t>Shipped</t>
        </is>
      </c>
      <c r="D1987" s="16" t="inlineStr">
        <is>
          <t>128-16254981479032025</t>
        </is>
      </c>
      <c r="E1987" s="16" t="inlineStr">
        <is>
          <t>Shipped</t>
        </is>
      </c>
      <c r="F1987" s="16" t="inlineStr">
        <is>
          <t>TL1455N20B</t>
        </is>
      </c>
      <c r="G1987" s="16" t="inlineStr">
        <is>
          <t>LINK BITS Soporte para TV 14 A 55 Pulgadas, Base para TV Pantalla Articulado Inclinable y Giratorio, MAX VESA 400×400 mm, Soporta hasta 18kg, adaptarse a la mayoría de los televisores de 14 Pulgadas/20 Pulgadas/32 Pulgadas/42 Pulgadas/55 pulgadas</t>
        </is>
      </c>
      <c r="H1987" s="16" t="inlineStr">
        <is>
          <t>TL1455N20B</t>
        </is>
      </c>
      <c r="I1987" s="16" t="n">
        <v>1</v>
      </c>
      <c r="J1987" s="17" t="n">
        <v>75</v>
      </c>
      <c r="K1987" s="17" t="n">
        <v>77.48999999999999</v>
      </c>
      <c r="L1987" s="17" t="n">
        <v>25.86</v>
      </c>
      <c r="M1987" s="17" t="n">
        <v>0</v>
      </c>
      <c r="N1987" s="17">
        <f>K1987*0.08+L1987*0.08</f>
        <v/>
      </c>
      <c r="O1987" s="17">
        <f>-(K1987*0.025+L1987*0.025)</f>
        <v/>
      </c>
      <c r="P1987" s="17">
        <f>32</f>
        <v/>
      </c>
      <c r="Q1987" s="17">
        <f>J1987+L1987+N1987+O1987-P1987-M1987</f>
        <v/>
      </c>
    </row>
    <row r="1988">
      <c r="A1988" s="16" t="inlineStr">
        <is>
          <t>5.22-5.28</t>
        </is>
      </c>
      <c r="B1988" s="16" t="inlineStr">
        <is>
          <t>PO-128-16116475454072723</t>
        </is>
      </c>
      <c r="C1988" s="16" t="inlineStr">
        <is>
          <t>Shipped</t>
        </is>
      </c>
      <c r="D1988" s="16" t="inlineStr">
        <is>
          <t>128-16116454482552723</t>
        </is>
      </c>
      <c r="E1988" s="16" t="inlineStr">
        <is>
          <t>Shipped</t>
        </is>
      </c>
      <c r="F1988" s="16" t="inlineStr">
        <is>
          <t>KTS-1369</t>
        </is>
      </c>
      <c r="G1988" s="16" t="inlineStr">
        <is>
          <t>Bocina 3 Pulgadas Portátil Bluetooth con Luces LED, Sonido Claro y Batería Larga Duración, TWS TF USB FM, Ideal para Hogar Oficina y Exterior</t>
        </is>
      </c>
      <c r="H1988" s="16" t="inlineStr">
        <is>
          <t>NEGRO</t>
        </is>
      </c>
      <c r="I1988" s="16" t="n">
        <v>1</v>
      </c>
      <c r="J1988" s="17" t="n">
        <v>55</v>
      </c>
      <c r="K1988" s="17" t="n">
        <v>55.05</v>
      </c>
      <c r="L1988" s="17" t="n">
        <v>25.86</v>
      </c>
      <c r="M1988" s="17" t="n">
        <v>0</v>
      </c>
      <c r="N1988" s="17">
        <f>K1988*0.08+L1988*0.08</f>
        <v/>
      </c>
      <c r="O1988" s="17">
        <f>-(K1988*0.025+L1988*0.025)</f>
        <v/>
      </c>
      <c r="P1988" s="17">
        <f>32</f>
        <v/>
      </c>
      <c r="Q1988" s="17">
        <f>J1988+L1988+N1988+O1988-P1988-M1988</f>
        <v/>
      </c>
    </row>
    <row r="1989">
      <c r="A1989" s="16" t="inlineStr">
        <is>
          <t>5.22-5.28</t>
        </is>
      </c>
      <c r="B1989" s="16" t="inlineStr">
        <is>
          <t>PO-128-16350414654070302</t>
        </is>
      </c>
      <c r="C1989" s="16" t="inlineStr">
        <is>
          <t>Shipped</t>
        </is>
      </c>
      <c r="D1989" s="16" t="inlineStr">
        <is>
          <t>128-16350550968950302</t>
        </is>
      </c>
      <c r="E1989" s="16" t="inlineStr">
        <is>
          <t>Shipped</t>
        </is>
      </c>
      <c r="F1989" s="16" t="inlineStr">
        <is>
          <t>KTS-2031</t>
        </is>
      </c>
      <c r="G1989" s="16" t="inlineStr">
        <is>
          <t>Bocina inalámbrica de 3 pulgadas con linterna multifuncional y panel solar integrado.Altavoz Portátil con Linterna LED 4 Modos, Radio FM, Bluetooth, Carga Solar, Ideal para Apagones, Emergencias, Campo y Exteriores</t>
        </is>
      </c>
      <c r="H1989" s="16" t="inlineStr">
        <is>
          <t>NEGRO</t>
        </is>
      </c>
      <c r="I1989" s="16" t="n">
        <v>1</v>
      </c>
      <c r="J1989" s="17" t="n">
        <v>90</v>
      </c>
      <c r="K1989" s="17" t="n">
        <v>16.46</v>
      </c>
      <c r="L1989" s="17" t="n">
        <v>25.86</v>
      </c>
      <c r="M1989" s="17" t="n">
        <v>0</v>
      </c>
      <c r="N1989" s="17">
        <f>K1989*0.08+L1989*0.08</f>
        <v/>
      </c>
      <c r="O1989" s="17">
        <f>-(K1989*0.025+L1989*0.025)</f>
        <v/>
      </c>
      <c r="P1989" s="17">
        <f>32</f>
        <v/>
      </c>
      <c r="Q1989" s="17">
        <f>J1989+L1989+N1989+O1989-P1989-M1989</f>
        <v/>
      </c>
    </row>
    <row r="1990">
      <c r="A1990" s="16" t="inlineStr">
        <is>
          <t>5.22-5.28</t>
        </is>
      </c>
      <c r="B1990" s="16" t="inlineStr">
        <is>
          <t>PO-128-16215738798711043</t>
        </is>
      </c>
      <c r="C1990" s="16" t="inlineStr">
        <is>
          <t>Shipped</t>
        </is>
      </c>
      <c r="D1990" s="16" t="inlineStr">
        <is>
          <t>128-16215696855671043</t>
        </is>
      </c>
      <c r="E1990" s="16" t="inlineStr">
        <is>
          <t>Shipped</t>
        </is>
      </c>
      <c r="F1990" s="16" t="inlineStr">
        <is>
          <t>LV54W25</t>
        </is>
      </c>
      <c r="G1990" s="16" t="inlineStr">
        <is>
          <t>TIANLAI Lámpara Ventilador E27 2 en 1, Silenciosa, LED Alta Luminosidad 180°, Instalación Rápida, Ahorro Energético para Dormitorio y Interiores Pequeños</t>
        </is>
      </c>
      <c r="H1990" s="16" t="inlineStr">
        <is>
          <t>1 Pieza</t>
        </is>
      </c>
      <c r="I1990" s="16" t="n">
        <v>1</v>
      </c>
      <c r="J1990" s="17" t="n">
        <v>74</v>
      </c>
      <c r="K1990" s="17" t="n">
        <v>76.26000000000001</v>
      </c>
      <c r="L1990" s="17" t="n">
        <v>25.86</v>
      </c>
      <c r="M1990" s="17" t="n">
        <v>0</v>
      </c>
      <c r="N1990" s="17">
        <f>K1990*0.08+L1990*0.08</f>
        <v/>
      </c>
      <c r="O1990" s="17">
        <f>-(K1990*0.025+L1990*0.025)</f>
        <v/>
      </c>
      <c r="P1990" s="17">
        <f>32</f>
        <v/>
      </c>
      <c r="Q1990" s="17">
        <f>J1990+L1990+N1990+O1990-P1990-M1990</f>
        <v/>
      </c>
    </row>
    <row r="1991">
      <c r="A1991" s="16" t="inlineStr">
        <is>
          <t>5.22-5.28</t>
        </is>
      </c>
      <c r="B1991" s="16" t="inlineStr">
        <is>
          <t>PO-128-15974508647033697</t>
        </is>
      </c>
      <c r="C1991" s="16" t="inlineStr">
        <is>
          <t>Shipped</t>
        </is>
      </c>
      <c r="D1991" s="16" t="inlineStr">
        <is>
          <t>128-15974487675513697</t>
        </is>
      </c>
      <c r="E1991" s="16" t="inlineStr">
        <is>
          <t>Shipped</t>
        </is>
      </c>
      <c r="F1991" s="16" t="inlineStr">
        <is>
          <t>TL2663N18C</t>
        </is>
      </c>
      <c r="G1991" s="16" t="inlineStr">
        <is>
          <t>Linkbits，Soporte de pared fijo para televisores de 26"-63", Ultra-Delgado Compatible con VESA 400x400mm, Capacidad de Peso Fuerte de 25KG, Instalación Fácil Sin Electricidad</t>
        </is>
      </c>
      <c r="H1991" s="16" t="inlineStr">
        <is>
          <t>NEGRO</t>
        </is>
      </c>
      <c r="I1991" s="16" t="n">
        <v>1</v>
      </c>
      <c r="J1991" s="17" t="n">
        <v>47</v>
      </c>
      <c r="K1991" s="17" t="n">
        <v>61.97</v>
      </c>
      <c r="L1991" s="17" t="n">
        <v>25.86</v>
      </c>
      <c r="M1991" s="17" t="n">
        <v>0</v>
      </c>
      <c r="N1991" s="17">
        <f>K1991*0.08+L1991*0.08</f>
        <v/>
      </c>
      <c r="O1991" s="17">
        <f>-(K1991*0.025+L1991*0.025)</f>
        <v/>
      </c>
      <c r="P1991" s="17">
        <f>32</f>
        <v/>
      </c>
      <c r="Q1991" s="17">
        <f>J1991+L1991+N1991+O1991-P1991-M1991</f>
        <v/>
      </c>
    </row>
    <row r="1992">
      <c r="A1992" s="16" t="inlineStr">
        <is>
          <t>5.22-5.28</t>
        </is>
      </c>
      <c r="B1992" s="16" t="inlineStr">
        <is>
          <t>PO-128-16103464059512926</t>
        </is>
      </c>
      <c r="C1992" s="16" t="inlineStr">
        <is>
          <t>Shipped</t>
        </is>
      </c>
      <c r="D1992" s="16" t="inlineStr">
        <is>
          <t>128-16103453327992926</t>
        </is>
      </c>
      <c r="E1992" s="16" t="inlineStr">
        <is>
          <t>Shipped</t>
        </is>
      </c>
      <c r="F1992" s="16" t="inlineStr">
        <is>
          <t>LV54W25</t>
        </is>
      </c>
      <c r="G1992" s="16" t="inlineStr">
        <is>
          <t>TIANLAI Lámpara Ventilador E27 2 en 1, Silenciosa, LED Alta Luminosidad 180°, Instalación Rápida, Ahorro Energético para Dormitorio y Interiores Pequeños</t>
        </is>
      </c>
      <c r="H1992" s="16" t="inlineStr">
        <is>
          <t>1 Pieza</t>
        </is>
      </c>
      <c r="I1992" s="16" t="n">
        <v>1</v>
      </c>
      <c r="J1992" s="17" t="n">
        <v>74</v>
      </c>
      <c r="K1992" s="17" t="n">
        <v>85.68000000000001</v>
      </c>
      <c r="L1992" s="17" t="n">
        <v>25.86</v>
      </c>
      <c r="M1992" s="17" t="n">
        <v>0</v>
      </c>
      <c r="N1992" s="17">
        <f>K1992*0.08+L1992*0.08</f>
        <v/>
      </c>
      <c r="O1992" s="17">
        <f>-(K1992*0.025+L1992*0.025)</f>
        <v/>
      </c>
      <c r="P1992" s="17">
        <f>32</f>
        <v/>
      </c>
      <c r="Q1992" s="17">
        <f>J1992+L1992+N1992+O1992-P1992-M1992</f>
        <v/>
      </c>
    </row>
    <row r="1993">
      <c r="A1993" s="16" t="inlineStr">
        <is>
          <t>5.22-5.28</t>
        </is>
      </c>
      <c r="B1993" s="16" t="inlineStr">
        <is>
          <t>PO-128-16104711424632921</t>
        </is>
      </c>
      <c r="C1993" s="16" t="inlineStr">
        <is>
          <t>Shipped</t>
        </is>
      </c>
      <c r="D1993" s="16" t="inlineStr">
        <is>
          <t>128-16104779582072921</t>
        </is>
      </c>
      <c r="E1993" s="16" t="inlineStr">
        <is>
          <t>Shipped</t>
        </is>
      </c>
      <c r="F1993" s="16" t="inlineStr">
        <is>
          <t>TLCD06-12P-N</t>
        </is>
      </c>
      <c r="G199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1993" s="16" t="inlineStr">
        <is>
          <t>NEGRO/pantalla de 12 pulgadas</t>
        </is>
      </c>
      <c r="I1993" s="16" t="n">
        <v>1</v>
      </c>
      <c r="J1993" s="17" t="n">
        <v>31.8</v>
      </c>
      <c r="K1993" s="17" t="n">
        <v>43.81</v>
      </c>
      <c r="L1993" s="17" t="n">
        <v>25.86</v>
      </c>
      <c r="M1993" s="17" t="n">
        <v>0</v>
      </c>
      <c r="N1993" s="17">
        <f>K1993*0.08+L1993*0.08</f>
        <v/>
      </c>
      <c r="O1993" s="17">
        <f>-(K1993*0.025+L1993*0.025)</f>
        <v/>
      </c>
      <c r="P1993" s="17">
        <f>32</f>
        <v/>
      </c>
      <c r="Q1993" s="17">
        <f>J1993+L1993+N1993+O1993-P1993-M1993</f>
        <v/>
      </c>
    </row>
    <row r="1994">
      <c r="A1994" s="16" t="inlineStr">
        <is>
          <t>5.22-5.28</t>
        </is>
      </c>
      <c r="B1994" s="16" t="inlineStr">
        <is>
          <t>PO-128-16180579169911317</t>
        </is>
      </c>
      <c r="C1994" s="16" t="inlineStr">
        <is>
          <t>Shipped</t>
        </is>
      </c>
      <c r="D1994" s="16" t="inlineStr">
        <is>
          <t>128-16180537226871317</t>
        </is>
      </c>
      <c r="E1994" s="16" t="inlineStr">
        <is>
          <t>Shipped</t>
        </is>
      </c>
      <c r="F1994" s="16" t="inlineStr">
        <is>
          <t>LV54W25</t>
        </is>
      </c>
      <c r="G1994" s="16" t="inlineStr">
        <is>
          <t>TIANLAI Lámpara Ventilador E27 2 en 1, Silenciosa, LED Alta Luminosidad 180°, Instalación Rápida, Ahorro Energético para Dormitorio y Interiores Pequeños</t>
        </is>
      </c>
      <c r="H1994" s="16" t="inlineStr">
        <is>
          <t>1 Pieza</t>
        </is>
      </c>
      <c r="I1994" s="16" t="n">
        <v>1</v>
      </c>
      <c r="J1994" s="17" t="n">
        <v>74</v>
      </c>
      <c r="K1994" s="17" t="n">
        <v>76.26000000000001</v>
      </c>
      <c r="L1994" s="17" t="n">
        <v>25.86</v>
      </c>
      <c r="M1994" s="17" t="n">
        <v>0</v>
      </c>
      <c r="N1994" s="17">
        <f>K1994*0.08+L1994*0.08</f>
        <v/>
      </c>
      <c r="O1994" s="17">
        <f>-(K1994*0.025+L1994*0.025)</f>
        <v/>
      </c>
      <c r="P1994" s="17">
        <f>32</f>
        <v/>
      </c>
      <c r="Q1994" s="17">
        <f>J1994+L1994+N1994+O1994-P1994-M1994</f>
        <v/>
      </c>
    </row>
    <row r="1995">
      <c r="A1995" s="16" t="inlineStr">
        <is>
          <t>5.22-5.28</t>
        </is>
      </c>
      <c r="B1995" s="16" t="inlineStr">
        <is>
          <t>PO-128-16114873733752730</t>
        </is>
      </c>
      <c r="C1995" s="16" t="inlineStr">
        <is>
          <t>Shipped</t>
        </is>
      </c>
      <c r="D1995" s="16" t="inlineStr">
        <is>
          <t>128-16114894705272730</t>
        </is>
      </c>
      <c r="E1995" s="16" t="inlineStr">
        <is>
          <t>Shipped</t>
        </is>
      </c>
      <c r="F1995" s="16" t="inlineStr">
        <is>
          <t>LV64W25</t>
        </is>
      </c>
      <c r="G19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95" s="16" t="inlineStr">
        <is>
          <t>Blanco</t>
        </is>
      </c>
      <c r="I1995" s="16" t="n">
        <v>1</v>
      </c>
      <c r="J1995" s="17" t="n">
        <v>125</v>
      </c>
      <c r="K1995" s="17" t="n">
        <v>128.94</v>
      </c>
      <c r="L1995" s="17" t="n">
        <v>25.86</v>
      </c>
      <c r="M1995" s="17" t="n">
        <v>0</v>
      </c>
      <c r="N1995" s="17">
        <f>K1995*0.08+L1995*0.08</f>
        <v/>
      </c>
      <c r="O1995" s="17">
        <f>-(K1995*0.025+L1995*0.025)</f>
        <v/>
      </c>
      <c r="P1995" s="17">
        <f>32</f>
        <v/>
      </c>
      <c r="Q1995" s="17">
        <f>J1995+L1995+N1995+O1995-P1995-M1995</f>
        <v/>
      </c>
    </row>
    <row r="1996">
      <c r="A1996" s="16" t="inlineStr">
        <is>
          <t>5.22-5.28</t>
        </is>
      </c>
      <c r="B1996" s="16" t="inlineStr">
        <is>
          <t>PO-128-16337721641590506</t>
        </is>
      </c>
      <c r="C1996" s="16" t="inlineStr">
        <is>
          <t>Shipped</t>
        </is>
      </c>
      <c r="D1996" s="16" t="inlineStr">
        <is>
          <t>128-16337789799030506</t>
        </is>
      </c>
      <c r="E1996" s="16" t="inlineStr">
        <is>
          <t>Shipped</t>
        </is>
      </c>
      <c r="F1996" s="16" t="inlineStr">
        <is>
          <t>LV54W25</t>
        </is>
      </c>
      <c r="G1996" s="16" t="inlineStr">
        <is>
          <t>TIANLAI Lámpara Ventilador E27 2 en 1, Silenciosa, LED Alta Luminosidad 180°, Instalación Rápida, Ahorro Energético para Dormitorio y Interiores Pequeños</t>
        </is>
      </c>
      <c r="H1996" s="16" t="inlineStr">
        <is>
          <t>1 Pieza</t>
        </is>
      </c>
      <c r="I1996" s="16" t="n">
        <v>1</v>
      </c>
      <c r="J1996" s="17" t="n">
        <v>74</v>
      </c>
      <c r="K1996" s="17" t="n">
        <v>76.26000000000001</v>
      </c>
      <c r="L1996" s="17" t="n">
        <v>25.86</v>
      </c>
      <c r="M1996" s="17" t="n">
        <v>0</v>
      </c>
      <c r="N1996" s="17">
        <f>K1996*0.08+L1996*0.08</f>
        <v/>
      </c>
      <c r="O1996" s="17">
        <f>-(K1996*0.025+L1996*0.025)</f>
        <v/>
      </c>
      <c r="P1996" s="17">
        <f>32</f>
        <v/>
      </c>
      <c r="Q1996" s="17">
        <f>J1996+L1996+N1996+O1996-P1996-M1996</f>
        <v/>
      </c>
    </row>
    <row r="1997">
      <c r="A1997" s="16" t="inlineStr">
        <is>
          <t>5.22-5.28</t>
        </is>
      </c>
      <c r="B1997" s="16" t="inlineStr">
        <is>
          <t>PO-128-15850197146233220</t>
        </is>
      </c>
      <c r="C1997" s="16" t="inlineStr">
        <is>
          <t>Shipped</t>
        </is>
      </c>
      <c r="D1997" s="16" t="inlineStr">
        <is>
          <t>128-15850160446073220</t>
        </is>
      </c>
      <c r="E1997" s="16" t="inlineStr">
        <is>
          <t>Shipped</t>
        </is>
      </c>
      <c r="F1997" s="16" t="inlineStr">
        <is>
          <t>TL2663N18C</t>
        </is>
      </c>
      <c r="G1997" s="16" t="inlineStr">
        <is>
          <t>Linkbits，Soporte de pared fijo para televisores de 26"-63", Ultra-Delgado Compatible con VESA 400x400mm, Capacidad de Peso Fuerte de 25KG, Instalación Fácil Sin Electricidad</t>
        </is>
      </c>
      <c r="H1997" s="16" t="inlineStr">
        <is>
          <t>NEGRO</t>
        </is>
      </c>
      <c r="I1997" s="16" t="n">
        <v>1</v>
      </c>
      <c r="J1997" s="17" t="n">
        <v>47</v>
      </c>
      <c r="K1997" s="17" t="n">
        <v>52.68</v>
      </c>
      <c r="L1997" s="17" t="n">
        <v>25.86</v>
      </c>
      <c r="M1997" s="17" t="n">
        <v>0</v>
      </c>
      <c r="N1997" s="17">
        <f>K1997*0.08+L1997*0.08</f>
        <v/>
      </c>
      <c r="O1997" s="17">
        <f>-(K1997*0.025+L1997*0.025)</f>
        <v/>
      </c>
      <c r="P1997" s="17">
        <f>32</f>
        <v/>
      </c>
      <c r="Q1997" s="17">
        <f>J1997+L1997+N1997+O1997-P1997-M1997</f>
        <v/>
      </c>
    </row>
    <row r="1998">
      <c r="A1998" s="16" t="inlineStr">
        <is>
          <t>5.22-5.28</t>
        </is>
      </c>
      <c r="B1998" s="16" t="inlineStr">
        <is>
          <t>PO-128-15901541007994002</t>
        </is>
      </c>
      <c r="C1998" s="16" t="inlineStr">
        <is>
          <t>Shipped</t>
        </is>
      </c>
      <c r="D1998" s="16" t="inlineStr">
        <is>
          <t>128-15901488579194002</t>
        </is>
      </c>
      <c r="E1998" s="16" t="inlineStr">
        <is>
          <t>Shipped</t>
        </is>
      </c>
      <c r="F1998" s="16" t="inlineStr">
        <is>
          <t>LV64W25</t>
        </is>
      </c>
      <c r="G19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1998" s="16" t="inlineStr">
        <is>
          <t>Blanco</t>
        </is>
      </c>
      <c r="I1998" s="16" t="n">
        <v>1</v>
      </c>
      <c r="J1998" s="17" t="n">
        <v>125</v>
      </c>
      <c r="K1998" s="17" t="n">
        <v>128.94</v>
      </c>
      <c r="L1998" s="17" t="n">
        <v>25.86</v>
      </c>
      <c r="M1998" s="17" t="n">
        <v>0</v>
      </c>
      <c r="N1998" s="17">
        <f>K1998*0.08+L1998*0.08</f>
        <v/>
      </c>
      <c r="O1998" s="17">
        <f>-(K1998*0.025+L1998*0.025)</f>
        <v/>
      </c>
      <c r="P1998" s="17">
        <f>32</f>
        <v/>
      </c>
      <c r="Q1998" s="17">
        <f>J1998+L1998+N1998+O1998-P1998-M1998</f>
        <v/>
      </c>
    </row>
    <row r="1999">
      <c r="A1999" s="16" t="inlineStr">
        <is>
          <t>5.22-5.28</t>
        </is>
      </c>
      <c r="B1999" s="16" t="inlineStr">
        <is>
          <t>PO-128-15927394837113912</t>
        </is>
      </c>
      <c r="C1999" s="16" t="inlineStr">
        <is>
          <t>Shipped</t>
        </is>
      </c>
      <c r="D1999" s="16" t="inlineStr">
        <is>
          <t>128-15927373865593912</t>
        </is>
      </c>
      <c r="E1999" s="16" t="inlineStr">
        <is>
          <t>Shipped</t>
        </is>
      </c>
      <c r="F1999" s="16" t="inlineStr">
        <is>
          <t>TL2663N18C</t>
        </is>
      </c>
      <c r="G1999" s="16" t="inlineStr">
        <is>
          <t>Linkbits，Soporte de pared fijo para televisores de 26"-63", Ultra-Delgado Compatible con VESA 400x400mm, Capacidad de Peso Fuerte de 25KG, Instalación Fácil Sin Electricidad</t>
        </is>
      </c>
      <c r="H1999" s="16" t="inlineStr">
        <is>
          <t>NEGRO</t>
        </is>
      </c>
      <c r="I1999" s="16" t="n">
        <v>1</v>
      </c>
      <c r="J1999" s="17" t="n">
        <v>47</v>
      </c>
      <c r="K1999" s="17" t="n">
        <v>61.97</v>
      </c>
      <c r="L1999" s="17" t="n">
        <v>25.86</v>
      </c>
      <c r="M1999" s="17" t="n">
        <v>0</v>
      </c>
      <c r="N1999" s="17">
        <f>K1999*0.08+L1999*0.08</f>
        <v/>
      </c>
      <c r="O1999" s="17">
        <f>-(K1999*0.025+L1999*0.025)</f>
        <v/>
      </c>
      <c r="P1999" s="17">
        <f>32</f>
        <v/>
      </c>
      <c r="Q1999" s="17">
        <f>J1999+L1999+N1999+O1999-P1999-M1999</f>
        <v/>
      </c>
    </row>
    <row r="2000">
      <c r="A2000" s="16" t="inlineStr">
        <is>
          <t>5.22-5.28</t>
        </is>
      </c>
      <c r="B2000" s="16" t="inlineStr">
        <is>
          <t>PO-128-16195502556791162</t>
        </is>
      </c>
      <c r="C2000" s="16" t="inlineStr">
        <is>
          <t>Shipped</t>
        </is>
      </c>
      <c r="D2000" s="16" t="inlineStr">
        <is>
          <t>128-16195534014071162</t>
        </is>
      </c>
      <c r="E2000" s="16" t="inlineStr">
        <is>
          <t>Shipped</t>
        </is>
      </c>
      <c r="F2000" s="16" t="inlineStr">
        <is>
          <t>LV54W25</t>
        </is>
      </c>
      <c r="G2000" s="16" t="inlineStr">
        <is>
          <t>TIANLAI Lámpara Ventilador E27 2 en 1, Silenciosa, LED Alta Luminosidad 180°, Instalación Rápida, Ahorro Energético para Dormitorio y Interiores Pequeños</t>
        </is>
      </c>
      <c r="H2000" s="16" t="inlineStr">
        <is>
          <t>1 Pieza</t>
        </is>
      </c>
      <c r="I2000" s="16" t="n">
        <v>1</v>
      </c>
      <c r="J2000" s="17" t="n">
        <v>74</v>
      </c>
      <c r="K2000" s="17" t="n">
        <v>75.40000000000001</v>
      </c>
      <c r="L2000" s="17" t="n">
        <v>25.86</v>
      </c>
      <c r="M2000" s="17" t="n">
        <v>0</v>
      </c>
      <c r="N2000" s="17">
        <f>K2000*0.08+L2000*0.08</f>
        <v/>
      </c>
      <c r="O2000" s="17">
        <f>-(K2000*0.025+L2000*0.025)</f>
        <v/>
      </c>
      <c r="P2000" s="17">
        <f>32</f>
        <v/>
      </c>
      <c r="Q2000" s="17">
        <f>J2000+L2000+N2000+O2000-P2000-M2000</f>
        <v/>
      </c>
    </row>
    <row r="2001">
      <c r="A2001" s="16" t="inlineStr">
        <is>
          <t>5.22-5.28</t>
        </is>
      </c>
      <c r="B2001" s="16" t="inlineStr">
        <is>
          <t>PO-128-15990708250232510</t>
        </is>
      </c>
      <c r="C2001" s="16" t="inlineStr">
        <is>
          <t>Shipped</t>
        </is>
      </c>
      <c r="D2001" s="16" t="inlineStr">
        <is>
          <t>128-15990705628792510</t>
        </is>
      </c>
      <c r="E2001" s="16" t="inlineStr">
        <is>
          <t>Shipped</t>
        </is>
      </c>
      <c r="F2001" s="16" t="inlineStr">
        <is>
          <t>KTS-2031</t>
        </is>
      </c>
      <c r="G2001" s="16" t="inlineStr">
        <is>
          <t>Bocina inalámbrica de 3 pulgadas con linterna multifuncional y panel solar integrado.Altavoz Portátil con Linterna LED 4 Modos, Radio FM, Bluetooth, Carga Solar, Ideal para Apagones, Emergencias, Campo y Exteriores</t>
        </is>
      </c>
      <c r="H2001" s="16" t="inlineStr">
        <is>
          <t>NEGRO</t>
        </is>
      </c>
      <c r="I2001" s="16" t="n">
        <v>1</v>
      </c>
      <c r="J2001" s="17" t="n">
        <v>90</v>
      </c>
      <c r="K2001" s="17" t="n">
        <v>75.5</v>
      </c>
      <c r="L2001" s="17" t="n">
        <v>25.86</v>
      </c>
      <c r="M2001" s="17" t="n">
        <v>0</v>
      </c>
      <c r="N2001" s="17">
        <f>K2001*0.08+L2001*0.08</f>
        <v/>
      </c>
      <c r="O2001" s="17">
        <f>-(K2001*0.025+L2001*0.025)</f>
        <v/>
      </c>
      <c r="P2001" s="17">
        <f>32</f>
        <v/>
      </c>
      <c r="Q2001" s="17">
        <f>J2001+L2001+N2001+O2001-P2001-M2001</f>
        <v/>
      </c>
    </row>
    <row r="2002">
      <c r="A2002" s="16" t="inlineStr">
        <is>
          <t>5.22-5.28</t>
        </is>
      </c>
      <c r="B2002" s="16" t="inlineStr">
        <is>
          <t>PO-128-16247859215992002</t>
        </is>
      </c>
      <c r="C2002" s="16" t="inlineStr">
        <is>
          <t>Shipped</t>
        </is>
      </c>
      <c r="D2002" s="16" t="inlineStr">
        <is>
          <t>128-16247817272952002</t>
        </is>
      </c>
      <c r="E2002" s="16" t="inlineStr">
        <is>
          <t>Shipped</t>
        </is>
      </c>
      <c r="F2002" s="16" t="inlineStr">
        <is>
          <t>LV64W25</t>
        </is>
      </c>
      <c r="G20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02" s="16" t="inlineStr">
        <is>
          <t>Blanco</t>
        </is>
      </c>
      <c r="I2002" s="16" t="n">
        <v>1</v>
      </c>
      <c r="J2002" s="17" t="n">
        <v>125</v>
      </c>
      <c r="K2002" s="17" t="n">
        <v>128.94</v>
      </c>
      <c r="L2002" s="17" t="n">
        <v>25.86</v>
      </c>
      <c r="M2002" s="17" t="n">
        <v>0</v>
      </c>
      <c r="N2002" s="17">
        <f>K2002*0.08+L2002*0.08</f>
        <v/>
      </c>
      <c r="O2002" s="17">
        <f>-(K2002*0.025+L2002*0.025)</f>
        <v/>
      </c>
      <c r="P2002" s="17">
        <f>32</f>
        <v/>
      </c>
      <c r="Q2002" s="17">
        <f>J2002+L2002+N2002+O2002-P2002-M2002</f>
        <v/>
      </c>
    </row>
    <row r="2003">
      <c r="A2003" s="16" t="inlineStr">
        <is>
          <t>5.22-5.28</t>
        </is>
      </c>
      <c r="B2003" s="16" t="inlineStr">
        <is>
          <t>PO-128-16100195932792882</t>
        </is>
      </c>
      <c r="C2003" s="16" t="inlineStr">
        <is>
          <t>Shipped</t>
        </is>
      </c>
      <c r="D2003" s="16" t="inlineStr">
        <is>
          <t>128-16100216904312882</t>
        </is>
      </c>
      <c r="E2003" s="16" t="inlineStr">
        <is>
          <t>Shipped</t>
        </is>
      </c>
      <c r="F2003" s="16" t="inlineStr">
        <is>
          <t>VB349T</t>
        </is>
      </c>
      <c r="G2003" s="16" t="inlineStr">
        <is>
          <t>LINKBITS Altavoz Portátil de Doble Altavoz - 3 Pulgadas, Sonido HD, Emparejamiento Rápido de Bluetooth, Conectividad TWS, Reproducción Multimodo (Micro SD/USB/Radio FM) - Perfecto para Oficina, Viajes y Espacios Pequeños</t>
        </is>
      </c>
      <c r="H2003" s="16" t="inlineStr">
        <is>
          <t>NEGRO</t>
        </is>
      </c>
      <c r="I2003" s="16" t="n">
        <v>1</v>
      </c>
      <c r="J2003" s="17" t="n">
        <v>80</v>
      </c>
      <c r="K2003" s="17" t="n">
        <v>10.5</v>
      </c>
      <c r="L2003" s="17" t="n">
        <v>25.86</v>
      </c>
      <c r="M2003" s="17" t="n">
        <v>0</v>
      </c>
      <c r="N2003" s="17">
        <f>K2003*0.08+L2003*0.08</f>
        <v/>
      </c>
      <c r="O2003" s="17">
        <f>-(K2003*0.025+L2003*0.025)</f>
        <v/>
      </c>
      <c r="P2003" s="17">
        <f>32</f>
        <v/>
      </c>
      <c r="Q2003" s="17">
        <f>J2003+L2003+N2003+O2003-P2003-M2003</f>
        <v/>
      </c>
    </row>
    <row r="2004">
      <c r="A2004" s="16" t="inlineStr">
        <is>
          <t>5.22-5.28</t>
        </is>
      </c>
      <c r="B2004" s="16" t="inlineStr">
        <is>
          <t>PO-128-16071535811192991</t>
        </is>
      </c>
      <c r="C2004" s="16" t="inlineStr">
        <is>
          <t>Shipped</t>
        </is>
      </c>
      <c r="D2004" s="16" t="inlineStr">
        <is>
          <t>128-16071493868152991</t>
        </is>
      </c>
      <c r="E2004" s="16" t="inlineStr">
        <is>
          <t>Shipped</t>
        </is>
      </c>
      <c r="F2004" s="16" t="inlineStr">
        <is>
          <t>LV54W25</t>
        </is>
      </c>
      <c r="G2004" s="16" t="inlineStr">
        <is>
          <t>TIANLAI Lámpara Ventilador E27 2 en 1, Silenciosa, LED Alta Luminosidad 180°, Instalación Rápida, Ahorro Energético para Dormitorio y Interiores Pequeños</t>
        </is>
      </c>
      <c r="H2004" s="16" t="inlineStr">
        <is>
          <t>1 Pieza</t>
        </is>
      </c>
      <c r="I2004" s="16" t="n">
        <v>1</v>
      </c>
      <c r="J2004" s="17" t="n">
        <v>74</v>
      </c>
      <c r="K2004" s="17" t="n">
        <v>76.26000000000001</v>
      </c>
      <c r="L2004" s="17" t="n">
        <v>25.86</v>
      </c>
      <c r="M2004" s="17" t="n">
        <v>0</v>
      </c>
      <c r="N2004" s="17">
        <f>K2004*0.08+L2004*0.08</f>
        <v/>
      </c>
      <c r="O2004" s="17">
        <f>-(K2004*0.025+L2004*0.025)</f>
        <v/>
      </c>
      <c r="P2004" s="17">
        <f>32</f>
        <v/>
      </c>
      <c r="Q2004" s="17">
        <f>J2004+L2004+N2004+O2004-P2004-M2004</f>
        <v/>
      </c>
    </row>
    <row r="2005">
      <c r="A2005" s="16" t="inlineStr">
        <is>
          <t>5.22-5.28</t>
        </is>
      </c>
      <c r="B2005" s="16" t="inlineStr">
        <is>
          <t>PO-128-15935105587833738</t>
        </is>
      </c>
      <c r="C2005" s="16" t="inlineStr">
        <is>
          <t>Shipped</t>
        </is>
      </c>
      <c r="D2005" s="16" t="inlineStr">
        <is>
          <t>128-15935126559353738</t>
        </is>
      </c>
      <c r="E2005" s="16" t="inlineStr">
        <is>
          <t>Shipped</t>
        </is>
      </c>
      <c r="F2005" s="16" t="inlineStr">
        <is>
          <t>KTS-2031</t>
        </is>
      </c>
      <c r="G2005" s="16" t="inlineStr">
        <is>
          <t>Bocina inalámbrica de 3 pulgadas con linterna multifuncional y panel solar integrado.Altavoz Portátil con Linterna LED 4 Modos, Radio FM, Bluetooth, Carga Solar, Ideal para Apagones, Emergencias, Campo y Exteriores</t>
        </is>
      </c>
      <c r="H2005" s="16" t="inlineStr">
        <is>
          <t>NEGRO</t>
        </is>
      </c>
      <c r="I2005" s="16" t="n">
        <v>4</v>
      </c>
      <c r="J2005" s="17" t="n">
        <v>360</v>
      </c>
      <c r="K2005" s="17" t="n">
        <v>396.88</v>
      </c>
      <c r="L2005" s="17" t="n">
        <v>0</v>
      </c>
      <c r="M2005" s="17" t="n">
        <v>0</v>
      </c>
      <c r="N2005" s="17">
        <f>K2005*0.08+L2005*0.08</f>
        <v/>
      </c>
      <c r="O2005" s="17">
        <f>-(K2005*0.025+L2005*0.025)</f>
        <v/>
      </c>
      <c r="P2005" s="17">
        <f>32</f>
        <v/>
      </c>
      <c r="Q2005" s="17">
        <f>J2005+L2005+N2005+O2005-P2005-M2005</f>
        <v/>
      </c>
    </row>
    <row r="2006">
      <c r="A2006" s="16" t="inlineStr">
        <is>
          <t>5.22-5.28</t>
        </is>
      </c>
      <c r="B2006" s="16" t="inlineStr">
        <is>
          <t>PO-128-15824808796793565</t>
        </is>
      </c>
      <c r="C2006" s="16" t="inlineStr">
        <is>
          <t>Shipped</t>
        </is>
      </c>
      <c r="D2006" s="16" t="inlineStr">
        <is>
          <t>128-15824798311033565</t>
        </is>
      </c>
      <c r="E2006" s="16" t="inlineStr">
        <is>
          <t>Shipped</t>
        </is>
      </c>
      <c r="F2006" s="16" t="inlineStr">
        <is>
          <t>LV54W25</t>
        </is>
      </c>
      <c r="G2006" s="16" t="inlineStr">
        <is>
          <t>TIANLAI Lámpara Ventilador E27 2 en 1, Silenciosa, LED Alta Luminosidad 180°, Instalación Rápida, Ahorro Energético para Dormitorio y Interiores Pequeños</t>
        </is>
      </c>
      <c r="H2006" s="16" t="inlineStr">
        <is>
          <t>1 Pieza</t>
        </is>
      </c>
      <c r="I2006" s="16" t="n">
        <v>2</v>
      </c>
      <c r="J2006" s="17" t="n">
        <v>148</v>
      </c>
      <c r="K2006" s="17" t="n">
        <v>152.52</v>
      </c>
      <c r="L2006" s="17" t="n">
        <v>25.86</v>
      </c>
      <c r="M2006" s="17" t="n">
        <v>0</v>
      </c>
      <c r="N2006" s="17">
        <f>K2006*0.08+L2006*0.08</f>
        <v/>
      </c>
      <c r="O2006" s="17">
        <f>-(K2006*0.025+L2006*0.025)</f>
        <v/>
      </c>
      <c r="P2006" s="17">
        <f>32</f>
        <v/>
      </c>
      <c r="Q2006" s="17">
        <f>J2006+L2006+N2006+O2006-P2006-M2006</f>
        <v/>
      </c>
    </row>
    <row r="2007">
      <c r="A2007" s="16" t="inlineStr">
        <is>
          <t>5.22-5.28</t>
        </is>
      </c>
      <c r="B2007" s="16" t="inlineStr">
        <is>
          <t>PO-128-16438608487030803</t>
        </is>
      </c>
      <c r="C2007" s="16" t="inlineStr">
        <is>
          <t>Shipped</t>
        </is>
      </c>
      <c r="D2007" s="16" t="inlineStr">
        <is>
          <t>128-16438535086710803</t>
        </is>
      </c>
      <c r="E2007" s="16" t="inlineStr">
        <is>
          <t>Shipped</t>
        </is>
      </c>
      <c r="F2007" s="16" t="inlineStr">
        <is>
          <t>KTS-2031</t>
        </is>
      </c>
      <c r="G2007" s="16" t="inlineStr">
        <is>
          <t>Bocina inalámbrica de 3 pulgadas con linterna multifuncional y panel solar integrado.Altavoz Portátil con Linterna LED 4 Modos, Radio FM, Bluetooth, Carga Solar, Ideal para Apagones, Emergencias, Campo y Exteriores</t>
        </is>
      </c>
      <c r="H2007" s="16" t="inlineStr">
        <is>
          <t>NEGRO</t>
        </is>
      </c>
      <c r="I2007" s="16" t="n">
        <v>1</v>
      </c>
      <c r="J2007" s="17" t="n">
        <v>90</v>
      </c>
      <c r="K2007" s="17" t="n">
        <v>84.33</v>
      </c>
      <c r="L2007" s="17" t="n">
        <v>25.86</v>
      </c>
      <c r="M2007" s="17" t="n">
        <v>0</v>
      </c>
      <c r="N2007" s="17">
        <f>K2007*0.08+L2007*0.08</f>
        <v/>
      </c>
      <c r="O2007" s="17">
        <f>-(K2007*0.025+L2007*0.025)</f>
        <v/>
      </c>
      <c r="P2007" s="17">
        <f>32</f>
        <v/>
      </c>
      <c r="Q2007" s="17">
        <f>J2007+L2007+N2007+O2007-P2007-M2007</f>
        <v/>
      </c>
    </row>
    <row r="2008">
      <c r="A2008" s="16" t="inlineStr">
        <is>
          <t>5.22-5.28</t>
        </is>
      </c>
      <c r="B2008" s="16" t="inlineStr">
        <is>
          <t>PO-128-16027448433272229</t>
        </is>
      </c>
      <c r="C2008" s="16" t="inlineStr">
        <is>
          <t>Shipped</t>
        </is>
      </c>
      <c r="D2008" s="16" t="inlineStr">
        <is>
          <t>128-16027464161912229</t>
        </is>
      </c>
      <c r="E2008" s="16" t="inlineStr">
        <is>
          <t>Shipped</t>
        </is>
      </c>
      <c r="F2008" s="16" t="inlineStr">
        <is>
          <t>LV54W25</t>
        </is>
      </c>
      <c r="G2008" s="16" t="inlineStr">
        <is>
          <t>TIANLAI Lámpara Ventilador E27 2 en 1, Silenciosa, LED Alta Luminosidad 180°, Instalación Rápida, Ahorro Energético para Dormitorio y Interiores Pequeños</t>
        </is>
      </c>
      <c r="H2008" s="16" t="inlineStr">
        <is>
          <t>1 Pieza</t>
        </is>
      </c>
      <c r="I2008" s="16" t="n">
        <v>2</v>
      </c>
      <c r="J2008" s="17" t="n">
        <v>148</v>
      </c>
      <c r="K2008" s="17" t="n">
        <v>152.52</v>
      </c>
      <c r="L2008" s="17" t="n">
        <v>25.86</v>
      </c>
      <c r="M2008" s="17" t="n">
        <v>0</v>
      </c>
      <c r="N2008" s="17">
        <f>K2008*0.08+L2008*0.08</f>
        <v/>
      </c>
      <c r="O2008" s="17">
        <f>-(K2008*0.025+L2008*0.025)</f>
        <v/>
      </c>
      <c r="P2008" s="17">
        <f>32</f>
        <v/>
      </c>
      <c r="Q2008" s="17">
        <f>J2008+L2008+N2008+O2008-P2008-M2008</f>
        <v/>
      </c>
    </row>
    <row r="2009">
      <c r="A2009" s="16" t="inlineStr">
        <is>
          <t>5.22-5.28</t>
        </is>
      </c>
      <c r="B2009" s="16" t="inlineStr">
        <is>
          <t>PO-128-16126998805112786</t>
        </is>
      </c>
      <c r="C2009" s="16" t="inlineStr">
        <is>
          <t>Shipped</t>
        </is>
      </c>
      <c r="D2009" s="16" t="inlineStr">
        <is>
          <t>128-16126956862072786</t>
        </is>
      </c>
      <c r="E2009" s="16" t="inlineStr">
        <is>
          <t>Shipped</t>
        </is>
      </c>
      <c r="F2009" s="16" t="inlineStr">
        <is>
          <t>LV64W25</t>
        </is>
      </c>
      <c r="G20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09" s="16" t="inlineStr">
        <is>
          <t>Blanco</t>
        </is>
      </c>
      <c r="I2009" s="16" t="n">
        <v>1</v>
      </c>
      <c r="J2009" s="17" t="n">
        <v>125</v>
      </c>
      <c r="K2009" s="17" t="n">
        <v>143.26</v>
      </c>
      <c r="L2009" s="17" t="n">
        <v>25.86</v>
      </c>
      <c r="M2009" s="17" t="n">
        <v>0</v>
      </c>
      <c r="N2009" s="17">
        <f>K2009*0.08+L2009*0.08</f>
        <v/>
      </c>
      <c r="O2009" s="17">
        <f>-(K2009*0.025+L2009*0.025)</f>
        <v/>
      </c>
      <c r="P2009" s="17">
        <f>32</f>
        <v/>
      </c>
      <c r="Q2009" s="17">
        <f>J2009+L2009+N2009+O2009-P2009-M2009</f>
        <v/>
      </c>
    </row>
    <row r="2010">
      <c r="A2010" s="16" t="inlineStr">
        <is>
          <t>5.22-5.28</t>
        </is>
      </c>
      <c r="B2010" s="16" t="inlineStr">
        <is>
          <t>PO-128-15952430602873829</t>
        </is>
      </c>
      <c r="C2010" s="16" t="inlineStr">
        <is>
          <t>Shipped</t>
        </is>
      </c>
      <c r="D2010" s="16" t="inlineStr">
        <is>
          <t>128-15952443710073829</t>
        </is>
      </c>
      <c r="E2010" s="16" t="inlineStr">
        <is>
          <t>Shipped</t>
        </is>
      </c>
      <c r="F2010" s="16" t="inlineStr">
        <is>
          <t>TL1412N17C</t>
        </is>
      </c>
      <c r="G2010" s="16" t="inlineStr">
        <is>
          <t>Linkbits, Soporte de Pared Fijo para TV y Monitor de 14"-43", Ultra Delgado 2.3cm, Fuerte Capacidad de Peso de 25KG, Fácil Instalación con Accesorios Completos</t>
        </is>
      </c>
      <c r="H2010" s="16" t="inlineStr">
        <is>
          <t>NEGRO</t>
        </is>
      </c>
      <c r="I2010" s="16" t="n">
        <v>1</v>
      </c>
      <c r="J2010" s="17" t="n">
        <v>36.5</v>
      </c>
      <c r="K2010" s="17" t="n">
        <v>45.25</v>
      </c>
      <c r="L2010" s="17" t="n">
        <v>0</v>
      </c>
      <c r="M2010" s="17" t="n">
        <v>0</v>
      </c>
      <c r="N2010" s="17">
        <f>K2010*0.08+L2010*0.08</f>
        <v/>
      </c>
      <c r="O2010" s="17">
        <f>-(K2010*0.025+L2010*0.025)</f>
        <v/>
      </c>
      <c r="P2010" s="17">
        <f>32</f>
        <v/>
      </c>
      <c r="Q2010" s="17">
        <f>J2010+L2010+N2010+O2010-P2010-M2010</f>
        <v/>
      </c>
    </row>
    <row r="2011">
      <c r="A2011" s="16" t="inlineStr">
        <is>
          <t>5.22-5.28</t>
        </is>
      </c>
      <c r="B2011" s="16" t="inlineStr">
        <is>
          <t>PO-128-15952430602873829</t>
        </is>
      </c>
      <c r="C2011" s="16" t="inlineStr">
        <is>
          <t>Shipped</t>
        </is>
      </c>
      <c r="D2011" s="16" t="inlineStr">
        <is>
          <t>128-15952422738553829</t>
        </is>
      </c>
      <c r="E2011" s="16" t="inlineStr">
        <is>
          <t>Shipped</t>
        </is>
      </c>
      <c r="F2011" s="16" t="inlineStr">
        <is>
          <t>TL1455N20B</t>
        </is>
      </c>
      <c r="G2011" s="16" t="inlineStr">
        <is>
          <t>LINK BITS Soporte para TV 14 A 55 Pulgadas, Base para TV Pantalla Articulado Inclinable y Giratorio, MAX VESA 400×400 mm, Soporta hasta 18kg, adaptarse a la mayoría de los televisores de 14 Pulgadas/20 Pulgadas/32 Pulgadas/42 Pulgadas/55 pulgadas</t>
        </is>
      </c>
      <c r="H2011" s="16" t="inlineStr">
        <is>
          <t>TL1455N20B</t>
        </is>
      </c>
      <c r="I2011" s="16" t="n">
        <v>3</v>
      </c>
      <c r="J2011" s="17" t="n">
        <v>225</v>
      </c>
      <c r="K2011" s="17" t="n">
        <v>270.54</v>
      </c>
      <c r="L2011" s="17" t="n">
        <v>0</v>
      </c>
      <c r="M2011" s="17" t="n">
        <v>0</v>
      </c>
      <c r="N2011" s="17">
        <f>K2011*0.08+L2011*0.08</f>
        <v/>
      </c>
      <c r="O2011" s="17">
        <f>-(K2011*0.025+L2011*0.025)</f>
        <v/>
      </c>
      <c r="P2011" s="17">
        <f>32</f>
        <v/>
      </c>
      <c r="Q2011" s="17">
        <f>J2011+L2011+N2011+O2011-P2011-M2011</f>
        <v/>
      </c>
    </row>
    <row r="2012">
      <c r="A2012" s="16" t="inlineStr">
        <is>
          <t>5.22-5.28</t>
        </is>
      </c>
      <c r="B2012" s="16" t="inlineStr">
        <is>
          <t>PO-128-15929806223993963</t>
        </is>
      </c>
      <c r="C2012" s="16" t="inlineStr">
        <is>
          <t>Shipped</t>
        </is>
      </c>
      <c r="D2012" s="16" t="inlineStr">
        <is>
          <t>128-15929874381433963</t>
        </is>
      </c>
      <c r="E2012" s="16" t="inlineStr">
        <is>
          <t>Shipped</t>
        </is>
      </c>
      <c r="F2012" s="16" t="inlineStr">
        <is>
          <t>BG-115-B</t>
        </is>
      </c>
      <c r="G2012" s="16" t="inlineStr">
        <is>
          <t>LINK BITS Audífonos Inalámbricos con Luces Multicolor, Recargables y en Adorable Forma de Orejas de Gato - Conecta a Celulares y PCs, Tiene Radio FM, Tarjeta TF y AUX - 7 Horas de Reproducción, Plegables y Perfectos para Trabajo, Juegos y Estudio</t>
        </is>
      </c>
      <c r="H2012" s="16" t="inlineStr">
        <is>
          <t>blanco</t>
        </is>
      </c>
      <c r="I2012" s="16" t="n">
        <v>1</v>
      </c>
      <c r="J2012" s="17" t="n">
        <v>77.90000000000001</v>
      </c>
      <c r="K2012" s="17" t="n">
        <v>88.62</v>
      </c>
      <c r="L2012" s="17" t="n">
        <v>0</v>
      </c>
      <c r="M2012" s="17" t="n">
        <v>0</v>
      </c>
      <c r="N2012" s="17">
        <f>K2012*0.08+L2012*0.08</f>
        <v/>
      </c>
      <c r="O2012" s="17">
        <f>-(K2012*0.025+L2012*0.025)</f>
        <v/>
      </c>
      <c r="P2012" s="17">
        <f>32</f>
        <v/>
      </c>
      <c r="Q2012" s="17">
        <f>J2012+L2012+N2012+O2012-P2012-M2012</f>
        <v/>
      </c>
    </row>
    <row r="2013">
      <c r="A2013" s="16" t="inlineStr">
        <is>
          <t>5.22-5.28</t>
        </is>
      </c>
      <c r="B2013" s="16" t="inlineStr">
        <is>
          <t>PO-128-15929806223993963</t>
        </is>
      </c>
      <c r="C2013" s="16" t="inlineStr">
        <is>
          <t>Shipped</t>
        </is>
      </c>
      <c r="D2013" s="16" t="inlineStr">
        <is>
          <t>128-15929853409913963</t>
        </is>
      </c>
      <c r="E2013" s="16" t="inlineStr">
        <is>
          <t>Shipped</t>
        </is>
      </c>
      <c r="F2013" s="16" t="inlineStr">
        <is>
          <t>LV54W25</t>
        </is>
      </c>
      <c r="G2013" s="16" t="inlineStr">
        <is>
          <t>TIANLAI Lámpara Ventilador E27 2 en 1, Silenciosa, LED Alta Luminosidad 180°, Instalación Rápida, Ahorro Energético para Dormitorio y Interiores Pequeños</t>
        </is>
      </c>
      <c r="H2013" s="16" t="inlineStr">
        <is>
          <t>1 Pieza</t>
        </is>
      </c>
      <c r="I2013" s="16" t="n">
        <v>2</v>
      </c>
      <c r="J2013" s="17" t="n">
        <v>148</v>
      </c>
      <c r="K2013" s="17" t="n">
        <v>152.52</v>
      </c>
      <c r="L2013" s="17" t="n">
        <v>0</v>
      </c>
      <c r="M2013" s="17" t="n">
        <v>0</v>
      </c>
      <c r="N2013" s="17">
        <f>K2013*0.08+L2013*0.08</f>
        <v/>
      </c>
      <c r="O2013" s="17">
        <f>-(K2013*0.025+L2013*0.025)</f>
        <v/>
      </c>
      <c r="P2013" s="17">
        <f>32</f>
        <v/>
      </c>
      <c r="Q2013" s="17">
        <f>J2013+L2013+N2013+O2013-P2013-M2013</f>
        <v/>
      </c>
    </row>
    <row r="2014">
      <c r="A2014" s="16" t="inlineStr">
        <is>
          <t>5.22-5.28</t>
        </is>
      </c>
      <c r="B2014" s="16" t="inlineStr">
        <is>
          <t>PO-128-16421585449590966</t>
        </is>
      </c>
      <c r="C2014" s="16" t="inlineStr">
        <is>
          <t>Shipped</t>
        </is>
      </c>
      <c r="D2014" s="16" t="inlineStr">
        <is>
          <t>128-16421577585270966</t>
        </is>
      </c>
      <c r="E2014" s="16" t="inlineStr">
        <is>
          <t>Shipped</t>
        </is>
      </c>
      <c r="F2014" s="16" t="inlineStr">
        <is>
          <t>LV64W25</t>
        </is>
      </c>
      <c r="G20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14" s="16" t="inlineStr">
        <is>
          <t>Blanco</t>
        </is>
      </c>
      <c r="I2014" s="16" t="n">
        <v>1</v>
      </c>
      <c r="J2014" s="17" t="n">
        <v>125</v>
      </c>
      <c r="K2014" s="17" t="n">
        <v>109.6</v>
      </c>
      <c r="L2014" s="17" t="n">
        <v>25.86</v>
      </c>
      <c r="M2014" s="17" t="n">
        <v>0</v>
      </c>
      <c r="N2014" s="17">
        <f>K2014*0.08+L2014*0.08</f>
        <v/>
      </c>
      <c r="O2014" s="17">
        <f>-(K2014*0.025+L2014*0.025)</f>
        <v/>
      </c>
      <c r="P2014" s="17">
        <f>32</f>
        <v/>
      </c>
      <c r="Q2014" s="17">
        <f>J2014+L2014+N2014+O2014-P2014-M2014</f>
        <v/>
      </c>
    </row>
    <row r="2015">
      <c r="A2015" s="16" t="inlineStr">
        <is>
          <t>5.22-5.28</t>
        </is>
      </c>
      <c r="B2015" s="16" t="inlineStr">
        <is>
          <t>PO-128-15924942771833926</t>
        </is>
      </c>
      <c r="C2015" s="16" t="inlineStr">
        <is>
          <t>Shipped</t>
        </is>
      </c>
      <c r="D2015" s="16" t="inlineStr">
        <is>
          <t>128-15924989957753926</t>
        </is>
      </c>
      <c r="E2015" s="16" t="inlineStr">
        <is>
          <t>Shipped</t>
        </is>
      </c>
      <c r="F2015" s="16" t="inlineStr">
        <is>
          <t>LV54W25</t>
        </is>
      </c>
      <c r="G2015" s="16" t="inlineStr">
        <is>
          <t>TIANLAI Lámpara Ventilador E27 2 en 1, Silenciosa, LED Alta Luminosidad 180°, Instalación Rápida, Ahorro Energético para Dormitorio y Interiores Pequeños</t>
        </is>
      </c>
      <c r="H2015" s="16" t="inlineStr">
        <is>
          <t>1 Pieza</t>
        </is>
      </c>
      <c r="I2015" s="16" t="n">
        <v>3</v>
      </c>
      <c r="J2015" s="17" t="n">
        <v>222</v>
      </c>
      <c r="K2015" s="17" t="n">
        <v>228.78</v>
      </c>
      <c r="L2015" s="17" t="n">
        <v>25.86</v>
      </c>
      <c r="M2015" s="17" t="n">
        <v>0</v>
      </c>
      <c r="N2015" s="17">
        <f>K2015*0.08+L2015*0.08</f>
        <v/>
      </c>
      <c r="O2015" s="17">
        <f>-(K2015*0.025+L2015*0.025)</f>
        <v/>
      </c>
      <c r="P2015" s="17">
        <f>32</f>
        <v/>
      </c>
      <c r="Q2015" s="17">
        <f>J2015+L2015+N2015+O2015-P2015-M2015</f>
        <v/>
      </c>
    </row>
    <row r="2016">
      <c r="A2016" s="16" t="inlineStr">
        <is>
          <t>5.22-5.28</t>
        </is>
      </c>
      <c r="B2016" s="16" t="inlineStr">
        <is>
          <t>PO-128-16268165755511883</t>
        </is>
      </c>
      <c r="C2016" s="16" t="inlineStr">
        <is>
          <t>Shipped</t>
        </is>
      </c>
      <c r="D2016" s="16" t="inlineStr">
        <is>
          <t>128-16268123812471883</t>
        </is>
      </c>
      <c r="E2016" s="16" t="inlineStr">
        <is>
          <t>Shipped</t>
        </is>
      </c>
      <c r="F2016" s="16" t="inlineStr">
        <is>
          <t>LV54W25</t>
        </is>
      </c>
      <c r="G2016" s="16" t="inlineStr">
        <is>
          <t>TIANLAI Lámpara Ventilador E27 2 en 1, Silenciosa, LED Alta Luminosidad 180°, Instalación Rápida, Ahorro Energético para Dormitorio y Interiores Pequeños</t>
        </is>
      </c>
      <c r="H2016" s="16" t="inlineStr">
        <is>
          <t>1 Pieza</t>
        </is>
      </c>
      <c r="I2016" s="16" t="n">
        <v>3</v>
      </c>
      <c r="J2016" s="17" t="n">
        <v>222</v>
      </c>
      <c r="K2016" s="17" t="n">
        <v>228.78</v>
      </c>
      <c r="L2016" s="17" t="n">
        <v>25.86</v>
      </c>
      <c r="M2016" s="17" t="n">
        <v>0</v>
      </c>
      <c r="N2016" s="17">
        <f>K2016*0.08+L2016*0.08</f>
        <v/>
      </c>
      <c r="O2016" s="17">
        <f>-(K2016*0.025+L2016*0.025)</f>
        <v/>
      </c>
      <c r="P2016" s="17">
        <f>32</f>
        <v/>
      </c>
      <c r="Q2016" s="17">
        <f>J2016+L2016+N2016+O2016-P2016-M2016</f>
        <v/>
      </c>
    </row>
    <row r="2017">
      <c r="A2017" s="16" t="inlineStr">
        <is>
          <t>5.22-5.28</t>
        </is>
      </c>
      <c r="B2017" s="16" t="inlineStr">
        <is>
          <t>PO-128-16453017503350653</t>
        </is>
      </c>
      <c r="C2017" s="16" t="inlineStr">
        <is>
          <t>Shipped</t>
        </is>
      </c>
      <c r="D2017" s="16" t="inlineStr">
        <is>
          <t>128-16452985554550653</t>
        </is>
      </c>
      <c r="E2017" s="16" t="inlineStr">
        <is>
          <t>Shipped</t>
        </is>
      </c>
      <c r="F2017" s="16" t="inlineStr">
        <is>
          <t>LV54W25</t>
        </is>
      </c>
      <c r="G2017" s="16" t="inlineStr">
        <is>
          <t>TIANLAI Lámpara Ventilador E27 2 en 1, Silenciosa, LED Alta Luminosidad 180°, Instalación Rápida, Ahorro Energético para Dormitorio y Interiores Pequeños</t>
        </is>
      </c>
      <c r="H2017" s="16" t="inlineStr">
        <is>
          <t>1 Pieza</t>
        </is>
      </c>
      <c r="I2017" s="16" t="n">
        <v>1</v>
      </c>
      <c r="J2017" s="17" t="n">
        <v>74</v>
      </c>
      <c r="K2017" s="17" t="n">
        <v>76.26000000000001</v>
      </c>
      <c r="L2017" s="17" t="n">
        <v>25.86</v>
      </c>
      <c r="M2017" s="17" t="n">
        <v>0</v>
      </c>
      <c r="N2017" s="17">
        <f>K2017*0.08+L2017*0.08</f>
        <v/>
      </c>
      <c r="O2017" s="17">
        <f>-(K2017*0.025+L2017*0.025)</f>
        <v/>
      </c>
      <c r="P2017" s="17">
        <f>32</f>
        <v/>
      </c>
      <c r="Q2017" s="17">
        <f>J2017+L2017+N2017+O2017-P2017-M2017</f>
        <v/>
      </c>
    </row>
    <row r="2018">
      <c r="A2018" s="16" t="inlineStr">
        <is>
          <t>5.22-5.28</t>
        </is>
      </c>
      <c r="B2018" s="16" t="inlineStr">
        <is>
          <t>PO-128-16010351949432395</t>
        </is>
      </c>
      <c r="C2018" s="16" t="inlineStr">
        <is>
          <t>Shipped</t>
        </is>
      </c>
      <c r="D2018" s="16" t="inlineStr">
        <is>
          <t>128-16010368988792395</t>
        </is>
      </c>
      <c r="E2018" s="16" t="inlineStr">
        <is>
          <t>Shipped</t>
        </is>
      </c>
      <c r="F2018" s="16" t="inlineStr">
        <is>
          <t>LV64W25</t>
        </is>
      </c>
      <c r="G20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18" s="16" t="inlineStr">
        <is>
          <t>Blanco</t>
        </is>
      </c>
      <c r="I2018" s="16" t="n">
        <v>2</v>
      </c>
      <c r="J2018" s="17" t="n">
        <v>250</v>
      </c>
      <c r="K2018" s="17" t="n">
        <v>218.88</v>
      </c>
      <c r="L2018" s="17" t="n">
        <v>0</v>
      </c>
      <c r="M2018" s="17" t="n">
        <v>0</v>
      </c>
      <c r="N2018" s="17">
        <f>K2018*0.08+L2018*0.08</f>
        <v/>
      </c>
      <c r="O2018" s="17">
        <f>-(K2018*0.025+L2018*0.025)</f>
        <v/>
      </c>
      <c r="P2018" s="17">
        <f>32</f>
        <v/>
      </c>
      <c r="Q2018" s="17">
        <f>J2018+L2018+N2018+O2018-P2018-M2018</f>
        <v/>
      </c>
    </row>
    <row r="2019">
      <c r="A2019" s="16" t="inlineStr">
        <is>
          <t>5.22-5.28</t>
        </is>
      </c>
      <c r="B2019" s="16" t="inlineStr">
        <is>
          <t>PO-128-15948127765113788</t>
        </is>
      </c>
      <c r="C2019" s="16" t="inlineStr">
        <is>
          <t>Shipped</t>
        </is>
      </c>
      <c r="D2019" s="16" t="inlineStr">
        <is>
          <t>128-15948106793593788</t>
        </is>
      </c>
      <c r="E2019" s="16" t="inlineStr">
        <is>
          <t>Shipped</t>
        </is>
      </c>
      <c r="F2019" s="16" t="inlineStr">
        <is>
          <t>LV64W25</t>
        </is>
      </c>
      <c r="G20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19" s="16" t="inlineStr">
        <is>
          <t>Blanco</t>
        </is>
      </c>
      <c r="I2019" s="16" t="n">
        <v>3</v>
      </c>
      <c r="J2019" s="17" t="n">
        <v>375</v>
      </c>
      <c r="K2019" s="17" t="n">
        <v>386.82</v>
      </c>
      <c r="L2019" s="17" t="n">
        <v>0</v>
      </c>
      <c r="M2019" s="17" t="n">
        <v>0</v>
      </c>
      <c r="N2019" s="17">
        <f>K2019*0.08+L2019*0.08</f>
        <v/>
      </c>
      <c r="O2019" s="17">
        <f>-(K2019*0.025+L2019*0.025)</f>
        <v/>
      </c>
      <c r="P2019" s="17">
        <f>32</f>
        <v/>
      </c>
      <c r="Q2019" s="17">
        <f>J2019+L2019+N2019+O2019-P2019-M2019</f>
        <v/>
      </c>
    </row>
    <row r="2020">
      <c r="A2020" s="16" t="inlineStr">
        <is>
          <t>5.22-5.28</t>
        </is>
      </c>
      <c r="B2020" s="16" t="inlineStr">
        <is>
          <t>PO-128-16135263125112611</t>
        </is>
      </c>
      <c r="C2020" s="16" t="inlineStr">
        <is>
          <t>Shipped</t>
        </is>
      </c>
      <c r="D2020" s="16" t="inlineStr">
        <is>
          <t>128-16135284096632611</t>
        </is>
      </c>
      <c r="E2020" s="16" t="inlineStr">
        <is>
          <t>Shipped</t>
        </is>
      </c>
      <c r="F2020" s="16" t="inlineStr">
        <is>
          <t>BG-115-B</t>
        </is>
      </c>
      <c r="G2020" s="16" t="inlineStr">
        <is>
          <t>LINK BITS Audífonos Inalámbricos con Luces Multicolor, Recargables y en Adorable Forma de Orejas de Gato - Conecta a Celulares y PCs, Tiene Radio FM, Tarjeta TF y AUX - 7 Horas de Reproducción, Plegables y Perfectos para Trabajo, Juegos y Estudio</t>
        </is>
      </c>
      <c r="H2020" s="16" t="inlineStr">
        <is>
          <t>blanco</t>
        </is>
      </c>
      <c r="I2020" s="16" t="n">
        <v>1</v>
      </c>
      <c r="J2020" s="17" t="n">
        <v>77.90000000000001</v>
      </c>
      <c r="K2020" s="17" t="n">
        <v>88.62</v>
      </c>
      <c r="L2020" s="17" t="n">
        <v>25.86</v>
      </c>
      <c r="M2020" s="17" t="n">
        <v>0</v>
      </c>
      <c r="N2020" s="17">
        <f>K2020*0.08+L2020*0.08</f>
        <v/>
      </c>
      <c r="O2020" s="17">
        <f>-(K2020*0.025+L2020*0.025)</f>
        <v/>
      </c>
      <c r="P2020" s="17">
        <f>32</f>
        <v/>
      </c>
      <c r="Q2020" s="17">
        <f>J2020+L2020+N2020+O2020-P2020-M2020</f>
        <v/>
      </c>
    </row>
    <row r="2021">
      <c r="A2021" s="16" t="inlineStr">
        <is>
          <t>5.22-5.28</t>
        </is>
      </c>
      <c r="B2021" s="16" t="inlineStr">
        <is>
          <t>PO-128-16112806979192745</t>
        </is>
      </c>
      <c r="C2021" s="16" t="inlineStr">
        <is>
          <t>Shipped</t>
        </is>
      </c>
      <c r="D2021" s="16" t="inlineStr">
        <is>
          <t>128-16112765036152745</t>
        </is>
      </c>
      <c r="E2021" s="16" t="inlineStr">
        <is>
          <t>Shipped</t>
        </is>
      </c>
      <c r="F2021" s="16" t="inlineStr">
        <is>
          <t>LV54W25</t>
        </is>
      </c>
      <c r="G2021" s="16" t="inlineStr">
        <is>
          <t>TIANLAI Lámpara Ventilador E27 2 en 1, Silenciosa, LED Alta Luminosidad 180°, Instalación Rápida, Ahorro Energético para Dormitorio y Interiores Pequeños</t>
        </is>
      </c>
      <c r="H2021" s="16" t="inlineStr">
        <is>
          <t>1 Pieza</t>
        </is>
      </c>
      <c r="I2021" s="16" t="n">
        <v>1</v>
      </c>
      <c r="J2021" s="17" t="n">
        <v>74</v>
      </c>
      <c r="K2021" s="17" t="n">
        <v>33.16</v>
      </c>
      <c r="L2021" s="17" t="n">
        <v>25.86</v>
      </c>
      <c r="M2021" s="17" t="n">
        <v>0</v>
      </c>
      <c r="N2021" s="17">
        <f>K2021*0.08+L2021*0.08</f>
        <v/>
      </c>
      <c r="O2021" s="17">
        <f>-(K2021*0.025+L2021*0.025)</f>
        <v/>
      </c>
      <c r="P2021" s="17">
        <f>32</f>
        <v/>
      </c>
      <c r="Q2021" s="17">
        <f>J2021+L2021+N2021+O2021-P2021-M2021</f>
        <v/>
      </c>
    </row>
    <row r="2022">
      <c r="A2022" s="16" t="inlineStr">
        <is>
          <t>5.22-5.28</t>
        </is>
      </c>
      <c r="B2022" s="16" t="inlineStr">
        <is>
          <t>PO-128-15940055414393772</t>
        </is>
      </c>
      <c r="C2022" s="16" t="inlineStr">
        <is>
          <t>Shipped</t>
        </is>
      </c>
      <c r="D2022" s="16" t="inlineStr">
        <is>
          <t>128-15940093425273772</t>
        </is>
      </c>
      <c r="E2022" s="16" t="inlineStr">
        <is>
          <t>Shipped</t>
        </is>
      </c>
      <c r="F2022" s="16" t="inlineStr">
        <is>
          <t>KTS-2031</t>
        </is>
      </c>
      <c r="G2022" s="16" t="inlineStr">
        <is>
          <t>Bocina inalámbrica de 3 pulgadas con linterna multifuncional y panel solar integrado.Altavoz Portátil con Linterna LED 4 Modos, Radio FM, Bluetooth, Carga Solar, Ideal para Apagones, Emergencias, Campo y Exteriores</t>
        </is>
      </c>
      <c r="H2022" s="16" t="inlineStr">
        <is>
          <t>NEGRO</t>
        </is>
      </c>
      <c r="I2022" s="16" t="n">
        <v>1</v>
      </c>
      <c r="J2022" s="17" t="n">
        <v>90</v>
      </c>
      <c r="K2022" s="17" t="n">
        <v>99.22</v>
      </c>
      <c r="L2022" s="17" t="n">
        <v>25.86</v>
      </c>
      <c r="M2022" s="17" t="n">
        <v>0</v>
      </c>
      <c r="N2022" s="17">
        <f>K2022*0.08+L2022*0.08</f>
        <v/>
      </c>
      <c r="O2022" s="17">
        <f>-(K2022*0.025+L2022*0.025)</f>
        <v/>
      </c>
      <c r="P2022" s="17">
        <f>32</f>
        <v/>
      </c>
      <c r="Q2022" s="17">
        <f>J2022+L2022+N2022+O2022-P2022-M2022</f>
        <v/>
      </c>
    </row>
    <row r="2023">
      <c r="A2023" s="16" t="inlineStr">
        <is>
          <t>5.22-5.28</t>
        </is>
      </c>
      <c r="B2023" s="16" t="inlineStr">
        <is>
          <t>PO-128-16417316383350928</t>
        </is>
      </c>
      <c r="C2023" s="16" t="inlineStr">
        <is>
          <t>Shipped</t>
        </is>
      </c>
      <c r="D2023" s="16" t="inlineStr">
        <is>
          <t>128-16417274440310928</t>
        </is>
      </c>
      <c r="E2023" s="16" t="inlineStr">
        <is>
          <t>Shipped</t>
        </is>
      </c>
      <c r="F2023" s="16" t="inlineStr">
        <is>
          <t>KTS-2031</t>
        </is>
      </c>
      <c r="G2023" s="16" t="inlineStr">
        <is>
          <t>Bocina inalámbrica de 3 pulgadas con linterna multifuncional y panel solar integrado.Altavoz Portátil con Linterna LED 4 Modos, Radio FM, Bluetooth, Carga Solar, Ideal para Apagones, Emergencias, Campo y Exteriores</t>
        </is>
      </c>
      <c r="H2023" s="16" t="inlineStr">
        <is>
          <t>NEGRO</t>
        </is>
      </c>
      <c r="I2023" s="16" t="n">
        <v>1</v>
      </c>
      <c r="J2023" s="17" t="n">
        <v>90</v>
      </c>
      <c r="K2023" s="17" t="n">
        <v>99.22</v>
      </c>
      <c r="L2023" s="17" t="n">
        <v>25.86</v>
      </c>
      <c r="M2023" s="17" t="n">
        <v>0</v>
      </c>
      <c r="N2023" s="17">
        <f>K2023*0.08+L2023*0.08</f>
        <v/>
      </c>
      <c r="O2023" s="17">
        <f>-(K2023*0.025+L2023*0.025)</f>
        <v/>
      </c>
      <c r="P2023" s="17">
        <f>32</f>
        <v/>
      </c>
      <c r="Q2023" s="17">
        <f>J2023+L2023+N2023+O2023-P2023-M2023</f>
        <v/>
      </c>
    </row>
    <row r="2024">
      <c r="A2024" s="16" t="inlineStr">
        <is>
          <t>5.22-5.28</t>
        </is>
      </c>
      <c r="B2024" s="16" t="inlineStr">
        <is>
          <t>PO-128-16039023657592286</t>
        </is>
      </c>
      <c r="C2024" s="16" t="inlineStr">
        <is>
          <t>Shipped</t>
        </is>
      </c>
      <c r="D2024" s="16" t="inlineStr">
        <is>
          <t>128-16039047250552286</t>
        </is>
      </c>
      <c r="E2024" s="16" t="inlineStr">
        <is>
          <t>Shipped</t>
        </is>
      </c>
      <c r="F2024" s="16" t="inlineStr">
        <is>
          <t>KTS-2031</t>
        </is>
      </c>
      <c r="G2024" s="16" t="inlineStr">
        <is>
          <t>Bocina inalámbrica de 3 pulgadas con linterna multifuncional y panel solar integrado.Altavoz Portátil con Linterna LED 4 Modos, Radio FM, Bluetooth, Carga Solar, Ideal para Apagones, Emergencias, Campo y Exteriores</t>
        </is>
      </c>
      <c r="H2024" s="16" t="inlineStr">
        <is>
          <t>NEGRO</t>
        </is>
      </c>
      <c r="I2024" s="16" t="n">
        <v>1</v>
      </c>
      <c r="J2024" s="17" t="n">
        <v>90</v>
      </c>
      <c r="K2024" s="17" t="n">
        <v>64.20999999999999</v>
      </c>
      <c r="L2024" s="17" t="n">
        <v>25.86</v>
      </c>
      <c r="M2024" s="17" t="n">
        <v>0</v>
      </c>
      <c r="N2024" s="17">
        <f>K2024*0.08+L2024*0.08</f>
        <v/>
      </c>
      <c r="O2024" s="17">
        <f>-(K2024*0.025+L2024*0.025)</f>
        <v/>
      </c>
      <c r="P2024" s="17">
        <f>32</f>
        <v/>
      </c>
      <c r="Q2024" s="17">
        <f>J2024+L2024+N2024+O2024-P2024-M2024</f>
        <v/>
      </c>
    </row>
    <row r="2025">
      <c r="A2025" s="16" t="inlineStr">
        <is>
          <t>5.22-5.28</t>
        </is>
      </c>
      <c r="B2025" s="16" t="inlineStr">
        <is>
          <t>PO-128-16020353843832206</t>
        </is>
      </c>
      <c r="C2025" s="16" t="inlineStr">
        <is>
          <t>Shipped</t>
        </is>
      </c>
      <c r="D2025" s="16" t="inlineStr">
        <is>
          <t>128-16020311900792206</t>
        </is>
      </c>
      <c r="E2025" s="16" t="inlineStr">
        <is>
          <t>Shipped</t>
        </is>
      </c>
      <c r="F2025" s="16" t="inlineStr">
        <is>
          <t>i12-B</t>
        </is>
      </c>
      <c r="G2025" s="16" t="inlineStr">
        <is>
          <t>Auriculares Inalámbricos TWS - Ideales para Usuarios Android e iPhone, Entusiastas del Deporte &amp; Música, Controles Táctiles, Audífonos Para Correr y Jugar</t>
        </is>
      </c>
      <c r="H2025" s="16" t="inlineStr">
        <is>
          <t>Blanco</t>
        </is>
      </c>
      <c r="I2025" s="16" t="n">
        <v>1</v>
      </c>
      <c r="J2025" s="17" t="n">
        <v>45.8</v>
      </c>
      <c r="K2025" s="17" t="n">
        <v>10.04</v>
      </c>
      <c r="L2025" s="17" t="n">
        <v>25.86</v>
      </c>
      <c r="M2025" s="17" t="n">
        <v>0</v>
      </c>
      <c r="N2025" s="17">
        <f>K2025*0.08+L2025*0.08</f>
        <v/>
      </c>
      <c r="O2025" s="17">
        <f>-(K2025*0.025+L2025*0.025)</f>
        <v/>
      </c>
      <c r="P2025" s="17">
        <f>32</f>
        <v/>
      </c>
      <c r="Q2025" s="17">
        <f>J2025+L2025+N2025+O2025-P2025-M2025</f>
        <v/>
      </c>
    </row>
    <row r="2026">
      <c r="A2026" s="16" t="inlineStr">
        <is>
          <t>5.22-5.28</t>
        </is>
      </c>
      <c r="B2026" s="16" t="inlineStr">
        <is>
          <t>PO-128-16312296940151618</t>
        </is>
      </c>
      <c r="C2026" s="16" t="inlineStr">
        <is>
          <t>Shipped</t>
        </is>
      </c>
      <c r="D2026" s="16" t="inlineStr">
        <is>
          <t>128-16312254997111618</t>
        </is>
      </c>
      <c r="E2026" s="16" t="inlineStr">
        <is>
          <t>Shipped</t>
        </is>
      </c>
      <c r="F2026" s="16" t="inlineStr">
        <is>
          <t>TL1455N20B</t>
        </is>
      </c>
      <c r="G2026" s="16" t="inlineStr">
        <is>
          <t>LINK BITS Soporte para TV 14 A 55 Pulgadas, Base para TV Pantalla Articulado Inclinable y Giratorio, MAX VESA 400×400 mm, Soporta hasta 18kg, adaptarse a la mayoría de los televisores de 14 Pulgadas/20 Pulgadas/32 Pulgadas/42 Pulgadas/55 pulgadas</t>
        </is>
      </c>
      <c r="H2026" s="16" t="inlineStr">
        <is>
          <t>TL1455N20B</t>
        </is>
      </c>
      <c r="I2026" s="16" t="n">
        <v>1</v>
      </c>
      <c r="J2026" s="17" t="n">
        <v>75</v>
      </c>
      <c r="K2026" s="17" t="n">
        <v>96.06</v>
      </c>
      <c r="L2026" s="17" t="n">
        <v>25.86</v>
      </c>
      <c r="M2026" s="17" t="n">
        <v>0</v>
      </c>
      <c r="N2026" s="17">
        <f>K2026*0.08+L2026*0.08</f>
        <v/>
      </c>
      <c r="O2026" s="17">
        <f>-(K2026*0.025+L2026*0.025)</f>
        <v/>
      </c>
      <c r="P2026" s="17">
        <f>32</f>
        <v/>
      </c>
      <c r="Q2026" s="17">
        <f>J2026+L2026+N2026+O2026-P2026-M2026</f>
        <v/>
      </c>
    </row>
    <row r="2027">
      <c r="A2027" s="16" t="inlineStr">
        <is>
          <t>5.22-5.28</t>
        </is>
      </c>
      <c r="B2027" s="16" t="inlineStr">
        <is>
          <t>PO-128-05422065964150928</t>
        </is>
      </c>
      <c r="C2027" s="16" t="inlineStr">
        <is>
          <t>Shipped</t>
        </is>
      </c>
      <c r="D2027" s="16" t="inlineStr">
        <is>
          <t>128-05422081692790928</t>
        </is>
      </c>
      <c r="E2027" s="16" t="inlineStr">
        <is>
          <t>Shipped</t>
        </is>
      </c>
      <c r="F2027" s="16" t="inlineStr">
        <is>
          <t>KTS-1369</t>
        </is>
      </c>
      <c r="G2027" s="16" t="inlineStr">
        <is>
          <t>Bocina 3 Pulgadas Portátil Bluetooth con Luces LED, Sonido Claro y Batería Larga Duración, TWS TF USB FM, Ideal para Hogar Oficina y Exterior</t>
        </is>
      </c>
      <c r="H2027" s="16" t="inlineStr">
        <is>
          <t>NEGRO</t>
        </is>
      </c>
      <c r="I2027" s="16" t="n">
        <v>1</v>
      </c>
      <c r="J2027" s="17" t="n">
        <v>55</v>
      </c>
      <c r="K2027" s="17" t="n">
        <v>66.28</v>
      </c>
      <c r="L2027" s="17" t="n">
        <v>25.86</v>
      </c>
      <c r="M2027" s="17" t="n">
        <v>0</v>
      </c>
      <c r="N2027" s="17">
        <f>K2027*0.08+L2027*0.08</f>
        <v/>
      </c>
      <c r="O2027" s="17">
        <f>-(K2027*0.025+L2027*0.025)</f>
        <v/>
      </c>
      <c r="P2027" s="17">
        <f>32</f>
        <v/>
      </c>
      <c r="Q2027" s="17">
        <f>J2027+L2027+N2027+O2027-P2027-M2027</f>
        <v/>
      </c>
    </row>
    <row r="2028">
      <c r="A2028" s="16" t="inlineStr">
        <is>
          <t>5.22-5.28</t>
        </is>
      </c>
      <c r="B2028" s="16" t="inlineStr">
        <is>
          <t>PO-128-05392286871670018</t>
        </is>
      </c>
      <c r="C2028" s="16" t="inlineStr">
        <is>
          <t>Shipped</t>
        </is>
      </c>
      <c r="D2028" s="16" t="inlineStr">
        <is>
          <t>128-05392355029110018</t>
        </is>
      </c>
      <c r="E2028" s="16" t="inlineStr">
        <is>
          <t>Shipped</t>
        </is>
      </c>
      <c r="F2028" s="16" t="inlineStr">
        <is>
          <t>LV54W25</t>
        </is>
      </c>
      <c r="G2028" s="16" t="inlineStr">
        <is>
          <t>TIANLAI Lámpara Ventilador E27 2 en 1, Silenciosa, LED Alta Luminosidad 180°, Instalación Rápida, Ahorro Energético para Dormitorio y Interiores Pequeños</t>
        </is>
      </c>
      <c r="H2028" s="16" t="inlineStr">
        <is>
          <t>1 Pieza</t>
        </is>
      </c>
      <c r="I2028" s="16" t="n">
        <v>1</v>
      </c>
      <c r="J2028" s="17" t="n">
        <v>74</v>
      </c>
      <c r="K2028" s="17" t="n">
        <v>61</v>
      </c>
      <c r="L2028" s="17" t="n">
        <v>25.86</v>
      </c>
      <c r="M2028" s="17" t="n">
        <v>0</v>
      </c>
      <c r="N2028" s="17">
        <f>K2028*0.08+L2028*0.08</f>
        <v/>
      </c>
      <c r="O2028" s="17">
        <f>-(K2028*0.025+L2028*0.025)</f>
        <v/>
      </c>
      <c r="P2028" s="17">
        <f>32</f>
        <v/>
      </c>
      <c r="Q2028" s="17">
        <f>J2028+L2028+N2028+O2028-P2028-M2028</f>
        <v/>
      </c>
    </row>
    <row r="2029">
      <c r="A2029" s="16" t="inlineStr">
        <is>
          <t>5.22-5.28</t>
        </is>
      </c>
      <c r="B2029" s="16" t="inlineStr">
        <is>
          <t>PO-128-04952482174073793</t>
        </is>
      </c>
      <c r="C2029" s="16" t="inlineStr">
        <is>
          <t>Shipped</t>
        </is>
      </c>
      <c r="D2029" s="16" t="inlineStr">
        <is>
          <t>128-04952618488953793</t>
        </is>
      </c>
      <c r="E2029" s="16" t="inlineStr">
        <is>
          <t>Shipped</t>
        </is>
      </c>
      <c r="F2029" s="16" t="inlineStr">
        <is>
          <t>LV64W25</t>
        </is>
      </c>
      <c r="G20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29" s="16" t="inlineStr">
        <is>
          <t>Blanco</t>
        </is>
      </c>
      <c r="I2029" s="16" t="n">
        <v>1</v>
      </c>
      <c r="J2029" s="17" t="n">
        <v>125</v>
      </c>
      <c r="K2029" s="17" t="n">
        <v>128.94</v>
      </c>
      <c r="L2029" s="17" t="n">
        <v>25.86</v>
      </c>
      <c r="M2029" s="17" t="n">
        <v>0</v>
      </c>
      <c r="N2029" s="17">
        <f>K2029*0.08+L2029*0.08</f>
        <v/>
      </c>
      <c r="O2029" s="17">
        <f>-(K2029*0.025+L2029*0.025)</f>
        <v/>
      </c>
      <c r="P2029" s="17">
        <f>32</f>
        <v/>
      </c>
      <c r="Q2029" s="17">
        <f>J2029+L2029+N2029+O2029-P2029-M2029</f>
        <v/>
      </c>
    </row>
    <row r="2030">
      <c r="A2030" s="16" t="inlineStr">
        <is>
          <t>5.22-5.28</t>
        </is>
      </c>
      <c r="B2030" s="16" t="inlineStr">
        <is>
          <t>PO-128-05238432095351129</t>
        </is>
      </c>
      <c r="C2030" s="16" t="inlineStr">
        <is>
          <t>Shipped</t>
        </is>
      </c>
      <c r="D2030" s="16" t="inlineStr">
        <is>
          <t>128-05238474038391129</t>
        </is>
      </c>
      <c r="E2030" s="16" t="inlineStr">
        <is>
          <t>Shipped</t>
        </is>
      </c>
      <c r="F2030" s="16" t="inlineStr">
        <is>
          <t>TLCD06-12P-A</t>
        </is>
      </c>
      <c r="G203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30" s="16" t="inlineStr">
        <is>
          <t>AZUL/pantalla de 12 pulgadas</t>
        </is>
      </c>
      <c r="I2030" s="16" t="n">
        <v>1</v>
      </c>
      <c r="J2030" s="17" t="n">
        <v>31.8</v>
      </c>
      <c r="K2030" s="17" t="n">
        <v>43.82</v>
      </c>
      <c r="L2030" s="17" t="n">
        <v>25.86</v>
      </c>
      <c r="M2030" s="17" t="n">
        <v>0</v>
      </c>
      <c r="N2030" s="17">
        <f>K2030*0.08+L2030*0.08</f>
        <v/>
      </c>
      <c r="O2030" s="17">
        <f>-(K2030*0.025+L2030*0.025)</f>
        <v/>
      </c>
      <c r="P2030" s="17">
        <f>32</f>
        <v/>
      </c>
      <c r="Q2030" s="17">
        <f>J2030+L2030+N2030+O2030-P2030-M2030</f>
        <v/>
      </c>
    </row>
    <row r="2031">
      <c r="A2031" s="16" t="inlineStr">
        <is>
          <t>5.22-5.28</t>
        </is>
      </c>
      <c r="B2031" s="16" t="inlineStr">
        <is>
          <t>PO-128-05276057823351865</t>
        </is>
      </c>
      <c r="C2031" s="16" t="inlineStr">
        <is>
          <t>Shipped</t>
        </is>
      </c>
      <c r="D2031" s="16" t="inlineStr">
        <is>
          <t>128-05276015880311865</t>
        </is>
      </c>
      <c r="E2031" s="16" t="inlineStr">
        <is>
          <t>Shipped</t>
        </is>
      </c>
      <c r="F2031" s="16" t="inlineStr">
        <is>
          <t>TL1455N20B</t>
        </is>
      </c>
      <c r="G2031" s="16" t="inlineStr">
        <is>
          <t>LINK BITS Soporte para TV 14 A 55 Pulgadas, Base para TV Pantalla Articulado Inclinable y Giratorio, MAX VESA 400×400 mm, Soporta hasta 18kg, adaptarse a la mayoría de los televisores de 14 Pulgadas/20 Pulgadas/32 Pulgadas/42 Pulgadas/55 pulgadas</t>
        </is>
      </c>
      <c r="H2031" s="16" t="inlineStr">
        <is>
          <t>TL1455N20B</t>
        </is>
      </c>
      <c r="I2031" s="16" t="n">
        <v>1</v>
      </c>
      <c r="J2031" s="17" t="n">
        <v>75</v>
      </c>
      <c r="K2031" s="17" t="n">
        <v>76.84999999999999</v>
      </c>
      <c r="L2031" s="17" t="n">
        <v>25.86</v>
      </c>
      <c r="M2031" s="17" t="n">
        <v>0</v>
      </c>
      <c r="N2031" s="17">
        <f>K2031*0.08+L2031*0.08</f>
        <v/>
      </c>
      <c r="O2031" s="17">
        <f>-(K2031*0.025+L2031*0.025)</f>
        <v/>
      </c>
      <c r="P2031" s="17">
        <f>32</f>
        <v/>
      </c>
      <c r="Q2031" s="17">
        <f>J2031+L2031+N2031+O2031-P2031-M2031</f>
        <v/>
      </c>
    </row>
    <row r="2032">
      <c r="A2032" s="16" t="inlineStr">
        <is>
          <t>5.22-5.28</t>
        </is>
      </c>
      <c r="B2032" s="16" t="inlineStr">
        <is>
          <t>PO-128-04946883945593763</t>
        </is>
      </c>
      <c r="C2032" s="16" t="inlineStr">
        <is>
          <t>Shipped</t>
        </is>
      </c>
      <c r="D2032" s="16" t="inlineStr">
        <is>
          <t>128-04946904917113763</t>
        </is>
      </c>
      <c r="E2032" s="16" t="inlineStr">
        <is>
          <t>Shipped</t>
        </is>
      </c>
      <c r="F2032" s="16" t="inlineStr">
        <is>
          <t>TLCD06-12P-N</t>
        </is>
      </c>
      <c r="G203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32" s="16" t="inlineStr">
        <is>
          <t>NEGRO/pantalla de 12 pulgadas</t>
        </is>
      </c>
      <c r="I2032" s="16" t="n">
        <v>1</v>
      </c>
      <c r="J2032" s="17" t="n">
        <v>31.8</v>
      </c>
      <c r="K2032" s="17" t="n">
        <v>35.05</v>
      </c>
      <c r="L2032" s="17" t="n">
        <v>25.86</v>
      </c>
      <c r="M2032" s="17" t="n">
        <v>0</v>
      </c>
      <c r="N2032" s="17">
        <f>K2032*0.08+L2032*0.08</f>
        <v/>
      </c>
      <c r="O2032" s="17">
        <f>-(K2032*0.025+L2032*0.025)</f>
        <v/>
      </c>
      <c r="P2032" s="17">
        <f>32</f>
        <v/>
      </c>
      <c r="Q2032" s="17">
        <f>J2032+L2032+N2032+O2032-P2032-M2032</f>
        <v/>
      </c>
    </row>
    <row r="2033">
      <c r="A2033" s="16" t="inlineStr">
        <is>
          <t>5.22-5.28</t>
        </is>
      </c>
      <c r="B2033" s="16" t="inlineStr">
        <is>
          <t>PO-128-04971505139833678</t>
        </is>
      </c>
      <c r="C2033" s="16" t="inlineStr">
        <is>
          <t>Shipped</t>
        </is>
      </c>
      <c r="D2033" s="16" t="inlineStr">
        <is>
          <t>128-04971484168313678</t>
        </is>
      </c>
      <c r="E2033" s="16" t="inlineStr">
        <is>
          <t>Shipped</t>
        </is>
      </c>
      <c r="F2033" s="16" t="inlineStr">
        <is>
          <t>LV54W25</t>
        </is>
      </c>
      <c r="G2033" s="16" t="inlineStr">
        <is>
          <t>TIANLAI Lámpara Ventilador E27 2 en 1, Silenciosa, LED Alta Luminosidad 180°, Instalación Rápida, Ahorro Energético para Dormitorio y Interiores Pequeños</t>
        </is>
      </c>
      <c r="H2033" s="16" t="inlineStr">
        <is>
          <t>1 Pieza</t>
        </is>
      </c>
      <c r="I2033" s="16" t="n">
        <v>1</v>
      </c>
      <c r="J2033" s="17" t="n">
        <v>74</v>
      </c>
      <c r="K2033" s="17" t="n">
        <v>76.26000000000001</v>
      </c>
      <c r="L2033" s="17" t="n">
        <v>25.86</v>
      </c>
      <c r="M2033" s="17" t="n">
        <v>0</v>
      </c>
      <c r="N2033" s="17">
        <f>K2033*0.08+L2033*0.08</f>
        <v/>
      </c>
      <c r="O2033" s="17">
        <f>-(K2033*0.025+L2033*0.025)</f>
        <v/>
      </c>
      <c r="P2033" s="17">
        <f>32</f>
        <v/>
      </c>
      <c r="Q2033" s="17">
        <f>J2033+L2033+N2033+O2033-P2033-M2033</f>
        <v/>
      </c>
    </row>
    <row r="2034">
      <c r="A2034" s="16" t="inlineStr">
        <is>
          <t>5.22-5.28</t>
        </is>
      </c>
      <c r="B2034" s="16" t="inlineStr">
        <is>
          <t>PO-128-05325985810550415</t>
        </is>
      </c>
      <c r="C2034" s="16" t="inlineStr">
        <is>
          <t>Shipped</t>
        </is>
      </c>
      <c r="D2034" s="16" t="inlineStr">
        <is>
          <t>128-05326027753590415</t>
        </is>
      </c>
      <c r="E2034" s="16" t="inlineStr">
        <is>
          <t>Shipped</t>
        </is>
      </c>
      <c r="F2034" s="16" t="inlineStr">
        <is>
          <t>BSC07</t>
        </is>
      </c>
      <c r="G2034" s="16" t="inlineStr">
        <is>
          <t>TIANLAI Báscula Digital BSC04/BSC07, Alta Precisión, Fácil Operación, Ligera y Portátil, Función Tara, Unidad Dual oz/g, Ideal para Cocina, Control de Porciones, Sellos y Objetos Pequeños, Uso en Hogar y Viaje</t>
        </is>
      </c>
      <c r="H2034" s="16" t="inlineStr">
        <is>
          <t>1g/White</t>
        </is>
      </c>
      <c r="I2034" s="16" t="n">
        <v>1</v>
      </c>
      <c r="J2034" s="17" t="n">
        <v>37</v>
      </c>
      <c r="K2034" s="17" t="n">
        <v>49.22</v>
      </c>
      <c r="L2034" s="17" t="n">
        <v>25.86</v>
      </c>
      <c r="M2034" s="17" t="n">
        <v>0</v>
      </c>
      <c r="N2034" s="17">
        <f>K2034*0.08+L2034*0.08</f>
        <v/>
      </c>
      <c r="O2034" s="17">
        <f>-(K2034*0.025+L2034*0.025)</f>
        <v/>
      </c>
      <c r="P2034" s="17">
        <f>32</f>
        <v/>
      </c>
      <c r="Q2034" s="17">
        <f>J2034+L2034+N2034+O2034-P2034-M2034</f>
        <v/>
      </c>
    </row>
    <row r="2035">
      <c r="A2035" s="16" t="inlineStr">
        <is>
          <t>5.22-5.28</t>
        </is>
      </c>
      <c r="B2035" s="16" t="inlineStr">
        <is>
          <t>PO-128-05088228160633046</t>
        </is>
      </c>
      <c r="C2035" s="16" t="inlineStr">
        <is>
          <t>Shipped</t>
        </is>
      </c>
      <c r="D2035" s="16" t="inlineStr">
        <is>
          <t>128-05088333018233046</t>
        </is>
      </c>
      <c r="E2035" s="16" t="inlineStr">
        <is>
          <t>Shipped</t>
        </is>
      </c>
      <c r="F2035" s="16" t="inlineStr">
        <is>
          <t>LV54W25</t>
        </is>
      </c>
      <c r="G2035" s="16" t="inlineStr">
        <is>
          <t>TIANLAI Lámpara Ventilador E27 2 en 1, Silenciosa, LED Alta Luminosidad 180°, Instalación Rápida, Ahorro Energético para Dormitorio y Interiores Pequeños</t>
        </is>
      </c>
      <c r="H2035" s="16" t="inlineStr">
        <is>
          <t>1 Pieza</t>
        </is>
      </c>
      <c r="I2035" s="16" t="n">
        <v>1</v>
      </c>
      <c r="J2035" s="17" t="n">
        <v>74</v>
      </c>
      <c r="K2035" s="17" t="n">
        <v>85.68000000000001</v>
      </c>
      <c r="L2035" s="17" t="n">
        <v>25.86</v>
      </c>
      <c r="M2035" s="17" t="n">
        <v>0</v>
      </c>
      <c r="N2035" s="17">
        <f>K2035*0.08+L2035*0.08</f>
        <v/>
      </c>
      <c r="O2035" s="17">
        <f>-(K2035*0.025+L2035*0.025)</f>
        <v/>
      </c>
      <c r="P2035" s="17">
        <f>32</f>
        <v/>
      </c>
      <c r="Q2035" s="17">
        <f>J2035+L2035+N2035+O2035-P2035-M2035</f>
        <v/>
      </c>
    </row>
    <row r="2036">
      <c r="A2036" s="16" t="inlineStr">
        <is>
          <t>5.22-5.28</t>
        </is>
      </c>
      <c r="B2036" s="16" t="inlineStr">
        <is>
          <t>PO-128-05483446505590565</t>
        </is>
      </c>
      <c r="C2036" s="16" t="inlineStr">
        <is>
          <t>Shipped</t>
        </is>
      </c>
      <c r="D2036" s="16" t="inlineStr">
        <is>
          <t>128-05483425534070565</t>
        </is>
      </c>
      <c r="E2036" s="16" t="inlineStr">
        <is>
          <t>Shipped</t>
        </is>
      </c>
      <c r="F2036" s="16" t="inlineStr">
        <is>
          <t>TLCD06-12P-N</t>
        </is>
      </c>
      <c r="G203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36" s="16" t="inlineStr">
        <is>
          <t>NEGRO/pantalla de 12 pulgadas</t>
        </is>
      </c>
      <c r="I2036" s="16" t="n">
        <v>1</v>
      </c>
      <c r="J2036" s="17" t="n">
        <v>31.8</v>
      </c>
      <c r="K2036" s="17" t="n">
        <v>43.81</v>
      </c>
      <c r="L2036" s="17" t="n">
        <v>25.86</v>
      </c>
      <c r="M2036" s="17" t="n">
        <v>0</v>
      </c>
      <c r="N2036" s="17">
        <f>K2036*0.08+L2036*0.08</f>
        <v/>
      </c>
      <c r="O2036" s="17">
        <f>-(K2036*0.025+L2036*0.025)</f>
        <v/>
      </c>
      <c r="P2036" s="17">
        <f>32</f>
        <v/>
      </c>
      <c r="Q2036" s="17">
        <f>J2036+L2036+N2036+O2036-P2036-M2036</f>
        <v/>
      </c>
    </row>
    <row r="2037">
      <c r="A2037" s="16" t="inlineStr">
        <is>
          <t>5.22-5.28</t>
        </is>
      </c>
      <c r="B2037" s="16" t="inlineStr">
        <is>
          <t>PO-128-05211077020791226</t>
        </is>
      </c>
      <c r="C2037" s="16" t="inlineStr">
        <is>
          <t>Shipped</t>
        </is>
      </c>
      <c r="D2037" s="16" t="inlineStr">
        <is>
          <t>128-05211107495031226</t>
        </is>
      </c>
      <c r="E2037" s="16" t="inlineStr">
        <is>
          <t>Shipped</t>
        </is>
      </c>
      <c r="F2037" s="16" t="inlineStr">
        <is>
          <t>KTS-1369</t>
        </is>
      </c>
      <c r="G2037" s="16" t="inlineStr">
        <is>
          <t>Bocina 3 Pulgadas Portátil Bluetooth con Luces LED, Sonido Claro y Batería Larga Duración, TWS TF USB FM, Ideal para Hogar Oficina y Exterior</t>
        </is>
      </c>
      <c r="H2037" s="16" t="inlineStr">
        <is>
          <t>NEGRO</t>
        </is>
      </c>
      <c r="I2037" s="16" t="n">
        <v>1</v>
      </c>
      <c r="J2037" s="17" t="n">
        <v>55</v>
      </c>
      <c r="K2037" s="17" t="n">
        <v>66.28</v>
      </c>
      <c r="L2037" s="17" t="n">
        <v>0</v>
      </c>
      <c r="M2037" s="17" t="n">
        <v>0</v>
      </c>
      <c r="N2037" s="17">
        <f>K2037*0.08+L2037*0.08</f>
        <v/>
      </c>
      <c r="O2037" s="17">
        <f>-(K2037*0.025+L2037*0.025)</f>
        <v/>
      </c>
      <c r="P2037" s="17">
        <f>32</f>
        <v/>
      </c>
      <c r="Q2037" s="17">
        <f>J2037+L2037+N2037+O2037-P2037-M2037</f>
        <v/>
      </c>
    </row>
    <row r="2038">
      <c r="A2038" s="16" t="inlineStr">
        <is>
          <t>5.22-5.28</t>
        </is>
      </c>
      <c r="B2038" s="16" t="inlineStr">
        <is>
          <t>PO-128-05211077020791226</t>
        </is>
      </c>
      <c r="C2038" s="16" t="inlineStr">
        <is>
          <t>Shipped</t>
        </is>
      </c>
      <c r="D2038" s="16" t="inlineStr">
        <is>
          <t>128-05211108478071226</t>
        </is>
      </c>
      <c r="E2038" s="16" t="inlineStr">
        <is>
          <t>Shipped</t>
        </is>
      </c>
      <c r="F2038" s="16" t="inlineStr">
        <is>
          <t>TLCD02-8P-A</t>
        </is>
      </c>
      <c r="G203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38" s="16" t="inlineStr">
        <is>
          <t>AZUL/pantalla de 8.5 pulgadas</t>
        </is>
      </c>
      <c r="I2038" s="16" t="n">
        <v>1</v>
      </c>
      <c r="J2038" s="17" t="n">
        <v>24.8</v>
      </c>
      <c r="K2038" s="17" t="n">
        <v>29.28</v>
      </c>
      <c r="L2038" s="17" t="n">
        <v>0</v>
      </c>
      <c r="M2038" s="17" t="n">
        <v>0</v>
      </c>
      <c r="N2038" s="17">
        <f>K2038*0.08+L2038*0.08</f>
        <v/>
      </c>
      <c r="O2038" s="17">
        <f>-(K2038*0.025+L2038*0.025)</f>
        <v/>
      </c>
      <c r="P2038" s="17">
        <f>32</f>
        <v/>
      </c>
      <c r="Q2038" s="17">
        <f>J2038+L2038+N2038+O2038-P2038-M2038</f>
        <v/>
      </c>
    </row>
    <row r="2039">
      <c r="A2039" s="16" t="inlineStr">
        <is>
          <t>5.22-5.28</t>
        </is>
      </c>
      <c r="B2039" s="16" t="inlineStr">
        <is>
          <t>PO-128-05211077020791226</t>
        </is>
      </c>
      <c r="C2039" s="16" t="inlineStr">
        <is>
          <t>Shipped</t>
        </is>
      </c>
      <c r="D2039" s="16" t="inlineStr">
        <is>
          <t>128-05211087506551226</t>
        </is>
      </c>
      <c r="E2039" s="16" t="inlineStr">
        <is>
          <t>Shipped</t>
        </is>
      </c>
      <c r="F2039" s="16" t="inlineStr">
        <is>
          <t>BG-115-B</t>
        </is>
      </c>
      <c r="G2039" s="16" t="inlineStr">
        <is>
          <t>LINK BITS Audífonos Inalámbricos con Luces Multicolor, Recargables y en Adorable Forma de Orejas de Gato - Conecta a Celulares y PCs, Tiene Radio FM, Tarjeta TF y AUX - 7 Horas de Reproducción, Plegables y Perfectos para Trabajo, Juegos y Estudio</t>
        </is>
      </c>
      <c r="H2039" s="16" t="inlineStr">
        <is>
          <t>blanco</t>
        </is>
      </c>
      <c r="I2039" s="16" t="n">
        <v>1</v>
      </c>
      <c r="J2039" s="17" t="n">
        <v>77.90000000000001</v>
      </c>
      <c r="K2039" s="17" t="n">
        <v>88.62</v>
      </c>
      <c r="L2039" s="17" t="n">
        <v>0</v>
      </c>
      <c r="M2039" s="17" t="n">
        <v>0</v>
      </c>
      <c r="N2039" s="17">
        <f>K2039*0.08+L2039*0.08</f>
        <v/>
      </c>
      <c r="O2039" s="17">
        <f>-(K2039*0.025+L2039*0.025)</f>
        <v/>
      </c>
      <c r="P2039" s="17">
        <f>32</f>
        <v/>
      </c>
      <c r="Q2039" s="17">
        <f>J2039+L2039+N2039+O2039-P2039-M2039</f>
        <v/>
      </c>
    </row>
    <row r="2040">
      <c r="A2040" s="16" t="inlineStr">
        <is>
          <t>5.22-5.28</t>
        </is>
      </c>
      <c r="B2040" s="16" t="inlineStr">
        <is>
          <t>PO-128-05211077020791226</t>
        </is>
      </c>
      <c r="C2040" s="16" t="inlineStr">
        <is>
          <t>Shipped</t>
        </is>
      </c>
      <c r="D2040" s="16" t="inlineStr">
        <is>
          <t>128-05211086523511226</t>
        </is>
      </c>
      <c r="E2040" s="16" t="inlineStr">
        <is>
          <t>Shipped</t>
        </is>
      </c>
      <c r="F2040" s="16" t="inlineStr">
        <is>
          <t>LV54W25</t>
        </is>
      </c>
      <c r="G2040" s="16" t="inlineStr">
        <is>
          <t>TIANLAI Lámpara Ventilador E27 2 en 1, Silenciosa, LED Alta Luminosidad 180°, Instalación Rápida, Ahorro Energético para Dormitorio y Interiores Pequeños</t>
        </is>
      </c>
      <c r="H2040" s="16" t="inlineStr">
        <is>
          <t>1 Pieza</t>
        </is>
      </c>
      <c r="I2040" s="16" t="n">
        <v>1</v>
      </c>
      <c r="J2040" s="17" t="n">
        <v>74</v>
      </c>
      <c r="K2040" s="17" t="n">
        <v>76.26000000000001</v>
      </c>
      <c r="L2040" s="17" t="n">
        <v>0</v>
      </c>
      <c r="M2040" s="17" t="n">
        <v>0</v>
      </c>
      <c r="N2040" s="17">
        <f>K2040*0.08+L2040*0.08</f>
        <v/>
      </c>
      <c r="O2040" s="17">
        <f>-(K2040*0.025+L2040*0.025)</f>
        <v/>
      </c>
      <c r="P2040" s="17">
        <f>32</f>
        <v/>
      </c>
      <c r="Q2040" s="17">
        <f>J2040+L2040+N2040+O2040-P2040-M2040</f>
        <v/>
      </c>
    </row>
    <row r="2041">
      <c r="A2041" s="16" t="inlineStr">
        <is>
          <t>5.22-5.28</t>
        </is>
      </c>
      <c r="B2041" s="16" t="inlineStr">
        <is>
          <t>PO-128-04893182620793187</t>
        </is>
      </c>
      <c r="C2041" s="16" t="inlineStr">
        <is>
          <t>Shipped</t>
        </is>
      </c>
      <c r="D2041" s="16" t="inlineStr">
        <is>
          <t>128-04893203592313187</t>
        </is>
      </c>
      <c r="E2041" s="16" t="inlineStr">
        <is>
          <t>Shipped</t>
        </is>
      </c>
      <c r="F2041" s="16" t="inlineStr">
        <is>
          <t>KTS-2031</t>
        </is>
      </c>
      <c r="G2041" s="16" t="inlineStr">
        <is>
          <t>Bocina inalámbrica de 3 pulgadas con linterna multifuncional y panel solar integrado.Altavoz Portátil con Linterna LED 4 Modos, Radio FM, Bluetooth, Carga Solar, Ideal para Apagones, Emergencias, Campo y Exteriores</t>
        </is>
      </c>
      <c r="H2041" s="16" t="inlineStr">
        <is>
          <t>NEGRO</t>
        </is>
      </c>
      <c r="I2041" s="16" t="n">
        <v>1</v>
      </c>
      <c r="J2041" s="17" t="n">
        <v>90</v>
      </c>
      <c r="K2041" s="17" t="n">
        <v>56.12</v>
      </c>
      <c r="L2041" s="17" t="n">
        <v>9.34</v>
      </c>
      <c r="M2041" s="17" t="n">
        <v>0</v>
      </c>
      <c r="N2041" s="17">
        <f>K2041*0.08+L2041*0.08</f>
        <v/>
      </c>
      <c r="O2041" s="17">
        <f>-(K2041*0.025+L2041*0.025)</f>
        <v/>
      </c>
      <c r="P2041" s="17">
        <f>32</f>
        <v/>
      </c>
      <c r="Q2041" s="17">
        <f>J2041+L2041+N2041+O2041-P2041-M2041</f>
        <v/>
      </c>
    </row>
    <row r="2042">
      <c r="A2042" s="16" t="inlineStr">
        <is>
          <t>5.22-5.28</t>
        </is>
      </c>
      <c r="B2042" s="16" t="inlineStr">
        <is>
          <t>PO-128-04893182620793187</t>
        </is>
      </c>
      <c r="C2042" s="16" t="inlineStr">
        <is>
          <t>Shipped</t>
        </is>
      </c>
      <c r="D2042" s="16" t="inlineStr">
        <is>
          <t>128-04893158986873187</t>
        </is>
      </c>
      <c r="E2042" s="16" t="inlineStr">
        <is>
          <t>Shipped</t>
        </is>
      </c>
      <c r="F2042" s="16" t="inlineStr">
        <is>
          <t>KTS-2031</t>
        </is>
      </c>
      <c r="G2042" s="16" t="inlineStr">
        <is>
          <t>Bocina inalámbrica de 3 pulgadas con linterna multifuncional y panel solar integrado.Altavoz Portátil con Linterna LED 4 Modos, Radio FM, Bluetooth, Carga Solar, Ideal para Apagones, Emergencias, Campo y Exteriores</t>
        </is>
      </c>
      <c r="H2042" s="16" t="inlineStr">
        <is>
          <t>NEGRO</t>
        </is>
      </c>
      <c r="I2042" s="16" t="n">
        <v>1</v>
      </c>
      <c r="J2042" s="17" t="n">
        <v>90</v>
      </c>
      <c r="K2042" s="17" t="n">
        <v>99.22</v>
      </c>
      <c r="L2042" s="17" t="n">
        <v>16.53</v>
      </c>
      <c r="M2042" s="17" t="n">
        <v>0</v>
      </c>
      <c r="N2042" s="17">
        <f>K2042*0.08+L2042*0.08</f>
        <v/>
      </c>
      <c r="O2042" s="17">
        <f>-(K2042*0.025+L2042*0.025)</f>
        <v/>
      </c>
      <c r="P2042" s="17">
        <f>32</f>
        <v/>
      </c>
      <c r="Q2042" s="17">
        <f>J2042+L2042+N2042+O2042-P2042-M2042</f>
        <v/>
      </c>
    </row>
    <row r="2043">
      <c r="A2043" s="16" t="inlineStr">
        <is>
          <t>5.22-5.28</t>
        </is>
      </c>
      <c r="B2043" s="16" t="inlineStr">
        <is>
          <t>PO-128-05410424499830102</t>
        </is>
      </c>
      <c r="C2043" s="16" t="inlineStr">
        <is>
          <t>Shipped</t>
        </is>
      </c>
      <c r="D2043" s="16" t="inlineStr">
        <is>
          <t>128-05410445471350102</t>
        </is>
      </c>
      <c r="E2043" s="16" t="inlineStr">
        <is>
          <t>Shipped</t>
        </is>
      </c>
      <c r="F2043" s="16" t="inlineStr">
        <is>
          <t>LV64W25</t>
        </is>
      </c>
      <c r="G20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43" s="16" t="inlineStr">
        <is>
          <t>Blanco</t>
        </is>
      </c>
      <c r="I2043" s="16" t="n">
        <v>1</v>
      </c>
      <c r="J2043" s="17" t="n">
        <v>125</v>
      </c>
      <c r="K2043" s="17" t="n">
        <v>143.26</v>
      </c>
      <c r="L2043" s="17" t="n">
        <v>25.86</v>
      </c>
      <c r="M2043" s="17" t="n">
        <v>0</v>
      </c>
      <c r="N2043" s="17">
        <f>K2043*0.08+L2043*0.08</f>
        <v/>
      </c>
      <c r="O2043" s="17">
        <f>-(K2043*0.025+L2043*0.025)</f>
        <v/>
      </c>
      <c r="P2043" s="17">
        <f>32</f>
        <v/>
      </c>
      <c r="Q2043" s="17">
        <f>J2043+L2043+N2043+O2043-P2043-M2043</f>
        <v/>
      </c>
    </row>
    <row r="2044">
      <c r="A2044" s="16" t="inlineStr">
        <is>
          <t>5.22-5.28</t>
        </is>
      </c>
      <c r="B2044" s="16" t="inlineStr">
        <is>
          <t>PO-128-05283683336311691</t>
        </is>
      </c>
      <c r="C2044" s="16" t="inlineStr">
        <is>
          <t>Shipped</t>
        </is>
      </c>
      <c r="D2044" s="16" t="inlineStr">
        <is>
          <t>128-05283788193911691</t>
        </is>
      </c>
      <c r="E2044" s="16" t="inlineStr">
        <is>
          <t>Shipped</t>
        </is>
      </c>
      <c r="F2044" s="16" t="inlineStr">
        <is>
          <t>LV54W25</t>
        </is>
      </c>
      <c r="G2044" s="16" t="inlineStr">
        <is>
          <t>TIANLAI Lámpara Ventilador E27 2 en 1, Silenciosa, LED Alta Luminosidad 180°, Instalación Rápida, Ahorro Energético para Dormitorio y Interiores Pequeños</t>
        </is>
      </c>
      <c r="H2044" s="16" t="inlineStr">
        <is>
          <t>1 Pieza</t>
        </is>
      </c>
      <c r="I2044" s="16" t="n">
        <v>2</v>
      </c>
      <c r="J2044" s="17" t="n">
        <v>148</v>
      </c>
      <c r="K2044" s="17" t="n">
        <v>109.42</v>
      </c>
      <c r="L2044" s="17" t="n">
        <v>25.86</v>
      </c>
      <c r="M2044" s="17" t="n">
        <v>0</v>
      </c>
      <c r="N2044" s="17">
        <f>K2044*0.08+L2044*0.08</f>
        <v/>
      </c>
      <c r="O2044" s="17">
        <f>-(K2044*0.025+L2044*0.025)</f>
        <v/>
      </c>
      <c r="P2044" s="17">
        <f>32</f>
        <v/>
      </c>
      <c r="Q2044" s="17">
        <f>J2044+L2044+N2044+O2044-P2044-M2044</f>
        <v/>
      </c>
    </row>
    <row r="2045">
      <c r="A2045" s="16" t="inlineStr">
        <is>
          <t>5.22-5.28</t>
        </is>
      </c>
      <c r="B2045" s="16" t="inlineStr">
        <is>
          <t>PO-128-05445007455350856</t>
        </is>
      </c>
      <c r="C2045" s="16" t="inlineStr">
        <is>
          <t>Shipped</t>
        </is>
      </c>
      <c r="D2045" s="16" t="inlineStr">
        <is>
          <t>128-05445041534070856</t>
        </is>
      </c>
      <c r="E2045" s="16" t="inlineStr">
        <is>
          <t>Shipped</t>
        </is>
      </c>
      <c r="F2045" s="16" t="inlineStr">
        <is>
          <t>KTS-2031</t>
        </is>
      </c>
      <c r="G2045" s="16" t="inlineStr">
        <is>
          <t>Bocina inalámbrica de 3 pulgadas con linterna multifuncional y panel solar integrado.Altavoz Portátil con Linterna LED 4 Modos, Radio FM, Bluetooth, Carga Solar, Ideal para Apagones, Emergencias, Campo y Exteriores</t>
        </is>
      </c>
      <c r="H2045" s="16" t="inlineStr">
        <is>
          <t>NEGRO</t>
        </is>
      </c>
      <c r="I2045" s="16" t="n">
        <v>1</v>
      </c>
      <c r="J2045" s="17" t="n">
        <v>90</v>
      </c>
      <c r="K2045" s="17" t="n">
        <v>99.22</v>
      </c>
      <c r="L2045" s="17" t="n">
        <v>25.86</v>
      </c>
      <c r="M2045" s="17" t="n">
        <v>0</v>
      </c>
      <c r="N2045" s="17">
        <f>K2045*0.08+L2045*0.08</f>
        <v/>
      </c>
      <c r="O2045" s="17">
        <f>-(K2045*0.025+L2045*0.025)</f>
        <v/>
      </c>
      <c r="P2045" s="17">
        <f>32</f>
        <v/>
      </c>
      <c r="Q2045" s="17">
        <f>J2045+L2045+N2045+O2045-P2045-M2045</f>
        <v/>
      </c>
    </row>
    <row r="2046">
      <c r="A2046" s="16" t="inlineStr">
        <is>
          <t>5.22-5.28</t>
        </is>
      </c>
      <c r="B2046" s="16" t="inlineStr">
        <is>
          <t>PO-128-05100694945912908</t>
        </is>
      </c>
      <c r="C2046" s="16" t="inlineStr">
        <is>
          <t>Shipped</t>
        </is>
      </c>
      <c r="D2046" s="16" t="inlineStr">
        <is>
          <t>128-05100774899832908</t>
        </is>
      </c>
      <c r="E2046" s="16" t="inlineStr">
        <is>
          <t>Shipped</t>
        </is>
      </c>
      <c r="F2046" s="16" t="inlineStr">
        <is>
          <t>LV54W25</t>
        </is>
      </c>
      <c r="G2046" s="16" t="inlineStr">
        <is>
          <t>TIANLAI Lámpara Ventilador E27 2 en 1, Silenciosa, LED Alta Luminosidad 180°, Instalación Rápida, Ahorro Energético para Dormitorio y Interiores Pequeños</t>
        </is>
      </c>
      <c r="H2046" s="16" t="inlineStr">
        <is>
          <t>1 Pieza</t>
        </is>
      </c>
      <c r="I2046" s="16" t="n">
        <v>2</v>
      </c>
      <c r="J2046" s="17" t="n">
        <v>148</v>
      </c>
      <c r="K2046" s="17" t="n">
        <v>152.52</v>
      </c>
      <c r="L2046" s="17" t="n">
        <v>25.86</v>
      </c>
      <c r="M2046" s="17" t="n">
        <v>0</v>
      </c>
      <c r="N2046" s="17">
        <f>K2046*0.08+L2046*0.08</f>
        <v/>
      </c>
      <c r="O2046" s="17">
        <f>-(K2046*0.025+L2046*0.025)</f>
        <v/>
      </c>
      <c r="P2046" s="17">
        <f>32</f>
        <v/>
      </c>
      <c r="Q2046" s="17">
        <f>J2046+L2046+N2046+O2046-P2046-M2046</f>
        <v/>
      </c>
    </row>
    <row r="2047">
      <c r="A2047" s="16" t="inlineStr">
        <is>
          <t>5.22-5.28</t>
        </is>
      </c>
      <c r="B2047" s="16" t="inlineStr">
        <is>
          <t>PO-128-05018642701432375</t>
        </is>
      </c>
      <c r="C2047" s="16" t="inlineStr">
        <is>
          <t>Shipped</t>
        </is>
      </c>
      <c r="D2047" s="16" t="inlineStr">
        <is>
          <t>128-05018684644472375</t>
        </is>
      </c>
      <c r="E2047" s="16" t="inlineStr">
        <is>
          <t>Shipped</t>
        </is>
      </c>
      <c r="F2047" s="16" t="inlineStr">
        <is>
          <t>LV64W25</t>
        </is>
      </c>
      <c r="G20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47" s="16" t="inlineStr">
        <is>
          <t>Blanco</t>
        </is>
      </c>
      <c r="I2047" s="16" t="n">
        <v>1</v>
      </c>
      <c r="J2047" s="17" t="n">
        <v>125</v>
      </c>
      <c r="K2047" s="17" t="n">
        <v>103.16</v>
      </c>
      <c r="L2047" s="17" t="n">
        <v>25.86</v>
      </c>
      <c r="M2047" s="17" t="n">
        <v>0</v>
      </c>
      <c r="N2047" s="17">
        <f>K2047*0.08+L2047*0.08</f>
        <v/>
      </c>
      <c r="O2047" s="17">
        <f>-(K2047*0.025+L2047*0.025)</f>
        <v/>
      </c>
      <c r="P2047" s="17">
        <f>32</f>
        <v/>
      </c>
      <c r="Q2047" s="17">
        <f>J2047+L2047+N2047+O2047-P2047-M2047</f>
        <v/>
      </c>
    </row>
    <row r="2048">
      <c r="A2048" s="16" t="inlineStr">
        <is>
          <t>5.22-5.28</t>
        </is>
      </c>
      <c r="B2048" s="16" t="inlineStr">
        <is>
          <t>PO-128-04856867336313211</t>
        </is>
      </c>
      <c r="C2048" s="16" t="inlineStr">
        <is>
          <t>Shipped</t>
        </is>
      </c>
      <c r="D2048" s="16" t="inlineStr">
        <is>
          <t>128-04856972193913211</t>
        </is>
      </c>
      <c r="E2048" s="16" t="inlineStr">
        <is>
          <t>Shipped</t>
        </is>
      </c>
      <c r="F2048" s="16" t="inlineStr">
        <is>
          <t>LV64W25</t>
        </is>
      </c>
      <c r="G20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48" s="16" t="inlineStr">
        <is>
          <t>Blanco</t>
        </is>
      </c>
      <c r="I2048" s="16" t="n">
        <v>1</v>
      </c>
      <c r="J2048" s="17" t="n">
        <v>125</v>
      </c>
      <c r="K2048" s="17" t="n">
        <v>103.16</v>
      </c>
      <c r="L2048" s="17" t="n">
        <v>25.86</v>
      </c>
      <c r="M2048" s="17" t="n">
        <v>0</v>
      </c>
      <c r="N2048" s="17">
        <f>K2048*0.08+L2048*0.08</f>
        <v/>
      </c>
      <c r="O2048" s="17">
        <f>-(K2048*0.025+L2048*0.025)</f>
        <v/>
      </c>
      <c r="P2048" s="17">
        <f>32</f>
        <v/>
      </c>
      <c r="Q2048" s="17">
        <f>J2048+L2048+N2048+O2048-P2048-M2048</f>
        <v/>
      </c>
    </row>
    <row r="2049">
      <c r="A2049" s="16" t="inlineStr">
        <is>
          <t>5.22-5.28</t>
        </is>
      </c>
      <c r="B2049" s="16" t="inlineStr">
        <is>
          <t>PO-128-05477328689270537</t>
        </is>
      </c>
      <c r="C2049" s="16" t="inlineStr">
        <is>
          <t>Shipped</t>
        </is>
      </c>
      <c r="D2049" s="16" t="inlineStr">
        <is>
          <t>128-05477307717750537</t>
        </is>
      </c>
      <c r="E2049" s="16" t="inlineStr">
        <is>
          <t>Shipped</t>
        </is>
      </c>
      <c r="F2049" s="16" t="inlineStr">
        <is>
          <t>LV64W25</t>
        </is>
      </c>
      <c r="G20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49" s="16" t="inlineStr">
        <is>
          <t>Blanco</t>
        </is>
      </c>
      <c r="I2049" s="16" t="n">
        <v>1</v>
      </c>
      <c r="J2049" s="17" t="n">
        <v>125</v>
      </c>
      <c r="K2049" s="17" t="n">
        <v>128.94</v>
      </c>
      <c r="L2049" s="17" t="n">
        <v>25.86</v>
      </c>
      <c r="M2049" s="17" t="n">
        <v>0</v>
      </c>
      <c r="N2049" s="17">
        <f>K2049*0.08+L2049*0.08</f>
        <v/>
      </c>
      <c r="O2049" s="17">
        <f>-(K2049*0.025+L2049*0.025)</f>
        <v/>
      </c>
      <c r="P2049" s="17">
        <f>32</f>
        <v/>
      </c>
      <c r="Q2049" s="17">
        <f>J2049+L2049+N2049+O2049-P2049-M2049</f>
        <v/>
      </c>
    </row>
    <row r="2050">
      <c r="A2050" s="16" t="inlineStr">
        <is>
          <t>5.22-5.28</t>
        </is>
      </c>
      <c r="B2050" s="16" t="inlineStr">
        <is>
          <t>PO-128-04848734226553450</t>
        </is>
      </c>
      <c r="C2050" s="16" t="inlineStr">
        <is>
          <t>Shipped</t>
        </is>
      </c>
      <c r="D2050" s="16" t="inlineStr">
        <is>
          <t>128-04848755198073450</t>
        </is>
      </c>
      <c r="E2050" s="16" t="inlineStr">
        <is>
          <t>Shipped</t>
        </is>
      </c>
      <c r="F2050" s="16" t="inlineStr">
        <is>
          <t>LV54W25</t>
        </is>
      </c>
      <c r="G2050" s="16" t="inlineStr">
        <is>
          <t>TIANLAI Lámpara Ventilador E27 2 en 1, Silenciosa, LED Alta Luminosidad 180°, Instalación Rápida, Ahorro Energético para Dormitorio y Interiores Pequeños</t>
        </is>
      </c>
      <c r="H2050" s="16" t="inlineStr">
        <is>
          <t>1 Pieza</t>
        </is>
      </c>
      <c r="I2050" s="16" t="n">
        <v>1</v>
      </c>
      <c r="J2050" s="17" t="n">
        <v>74</v>
      </c>
      <c r="K2050" s="17" t="n">
        <v>76.26000000000001</v>
      </c>
      <c r="L2050" s="17" t="n">
        <v>25.86</v>
      </c>
      <c r="M2050" s="17" t="n">
        <v>0</v>
      </c>
      <c r="N2050" s="17">
        <f>K2050*0.08+L2050*0.08</f>
        <v/>
      </c>
      <c r="O2050" s="17">
        <f>-(K2050*0.025+L2050*0.025)</f>
        <v/>
      </c>
      <c r="P2050" s="17">
        <f>32</f>
        <v/>
      </c>
      <c r="Q2050" s="17">
        <f>J2050+L2050+N2050+O2050-P2050-M2050</f>
        <v/>
      </c>
    </row>
    <row r="2051">
      <c r="A2051" s="16" t="inlineStr">
        <is>
          <t>5.22-5.28</t>
        </is>
      </c>
      <c r="B2051" s="16" t="inlineStr">
        <is>
          <t>PO-128-05470620275830705</t>
        </is>
      </c>
      <c r="C2051" s="16" t="inlineStr">
        <is>
          <t>Shipped</t>
        </is>
      </c>
      <c r="D2051" s="16" t="inlineStr">
        <is>
          <t>128-05470641247350705</t>
        </is>
      </c>
      <c r="E2051" s="16" t="inlineStr">
        <is>
          <t>Shipped</t>
        </is>
      </c>
      <c r="F2051" s="16" t="inlineStr">
        <is>
          <t>LV54W25</t>
        </is>
      </c>
      <c r="G2051" s="16" t="inlineStr">
        <is>
          <t>TIANLAI Lámpara Ventilador E27 2 en 1, Silenciosa, LED Alta Luminosidad 180°, Instalación Rápida, Ahorro Energético para Dormitorio y Interiores Pequeños</t>
        </is>
      </c>
      <c r="H2051" s="16" t="inlineStr">
        <is>
          <t>1 Pieza</t>
        </is>
      </c>
      <c r="I2051" s="16" t="n">
        <v>1</v>
      </c>
      <c r="J2051" s="17" t="n">
        <v>74</v>
      </c>
      <c r="K2051" s="17" t="n">
        <v>76.26000000000001</v>
      </c>
      <c r="L2051" s="17" t="n">
        <v>25.86</v>
      </c>
      <c r="M2051" s="17" t="n">
        <v>0</v>
      </c>
      <c r="N2051" s="17">
        <f>K2051*0.08+L2051*0.08</f>
        <v/>
      </c>
      <c r="O2051" s="17">
        <f>-(K2051*0.025+L2051*0.025)</f>
        <v/>
      </c>
      <c r="P2051" s="17">
        <f>32</f>
        <v/>
      </c>
      <c r="Q2051" s="17">
        <f>J2051+L2051+N2051+O2051-P2051-M2051</f>
        <v/>
      </c>
    </row>
    <row r="2052">
      <c r="A2052" s="16" t="inlineStr">
        <is>
          <t>5.22-5.28</t>
        </is>
      </c>
      <c r="B2052" s="16" t="inlineStr">
        <is>
          <t>PO-128-05172985807991519</t>
        </is>
      </c>
      <c r="C2052" s="16" t="inlineStr">
        <is>
          <t>Shipped</t>
        </is>
      </c>
      <c r="D2052" s="16" t="inlineStr">
        <is>
          <t>128-05173027751031519</t>
        </is>
      </c>
      <c r="E2052" s="16" t="inlineStr">
        <is>
          <t>Shipped</t>
        </is>
      </c>
      <c r="F2052" s="16" t="inlineStr">
        <is>
          <t>TL1455N20B</t>
        </is>
      </c>
      <c r="G2052" s="16" t="inlineStr">
        <is>
          <t>LINK BITS Soporte para TV 14 A 55 Pulgadas, Base para TV Pantalla Articulado Inclinable y Giratorio, MAX VESA 400×400 mm, Soporta hasta 18kg, adaptarse a la mayoría de los televisores de 14 Pulgadas/20 Pulgadas/32 Pulgadas/42 Pulgadas/55 pulgadas</t>
        </is>
      </c>
      <c r="H2052" s="16" t="inlineStr">
        <is>
          <t>TL1455N20B</t>
        </is>
      </c>
      <c r="I2052" s="16" t="n">
        <v>1</v>
      </c>
      <c r="J2052" s="17" t="n">
        <v>75</v>
      </c>
      <c r="K2052" s="17" t="n">
        <v>86.45999999999999</v>
      </c>
      <c r="L2052" s="17" t="n">
        <v>25.86</v>
      </c>
      <c r="M2052" s="17" t="n">
        <v>0</v>
      </c>
      <c r="N2052" s="17">
        <f>K2052*0.08+L2052*0.08</f>
        <v/>
      </c>
      <c r="O2052" s="17">
        <f>-(K2052*0.025+L2052*0.025)</f>
        <v/>
      </c>
      <c r="P2052" s="17">
        <f>32</f>
        <v/>
      </c>
      <c r="Q2052" s="17">
        <f>J2052+L2052+N2052+O2052-P2052-M2052</f>
        <v/>
      </c>
    </row>
    <row r="2053">
      <c r="A2053" s="16" t="inlineStr">
        <is>
          <t>5.22-5.28</t>
        </is>
      </c>
      <c r="B2053" s="16" t="inlineStr">
        <is>
          <t>PO-128-05081136499833027</t>
        </is>
      </c>
      <c r="C2053" s="16" t="inlineStr">
        <is>
          <t>Shipped</t>
        </is>
      </c>
      <c r="D2053" s="16" t="inlineStr">
        <is>
          <t>128-05081094556793027</t>
        </is>
      </c>
      <c r="E2053" s="16" t="inlineStr">
        <is>
          <t>Shipped</t>
        </is>
      </c>
      <c r="F2053" s="16" t="inlineStr">
        <is>
          <t>LV54W25</t>
        </is>
      </c>
      <c r="G2053" s="16" t="inlineStr">
        <is>
          <t>TIANLAI Lámpara Ventilador E27 2 en 1, Silenciosa, LED Alta Luminosidad 180°, Instalación Rápida, Ahorro Energético para Dormitorio y Interiores Pequeños</t>
        </is>
      </c>
      <c r="H2053" s="16" t="inlineStr">
        <is>
          <t>1 Pieza</t>
        </is>
      </c>
      <c r="I2053" s="16" t="n">
        <v>1</v>
      </c>
      <c r="J2053" s="17" t="n">
        <v>74</v>
      </c>
      <c r="K2053" s="17" t="n">
        <v>76.26000000000001</v>
      </c>
      <c r="L2053" s="17" t="n">
        <v>25.86</v>
      </c>
      <c r="M2053" s="17" t="n">
        <v>0</v>
      </c>
      <c r="N2053" s="17">
        <f>K2053*0.08+L2053*0.08</f>
        <v/>
      </c>
      <c r="O2053" s="17">
        <f>-(K2053*0.025+L2053*0.025)</f>
        <v/>
      </c>
      <c r="P2053" s="17">
        <f>32</f>
        <v/>
      </c>
      <c r="Q2053" s="17">
        <f>J2053+L2053+N2053+O2053-P2053-M2053</f>
        <v/>
      </c>
    </row>
    <row r="2054">
      <c r="A2054" s="16" t="inlineStr">
        <is>
          <t>5.22-5.28</t>
        </is>
      </c>
      <c r="B2054" s="16" t="inlineStr">
        <is>
          <t>PO-128-04856770737273210</t>
        </is>
      </c>
      <c r="C2054" s="16" t="inlineStr">
        <is>
          <t>Shipped</t>
        </is>
      </c>
      <c r="D2054" s="16" t="inlineStr">
        <is>
          <t>128-04856823166073210</t>
        </is>
      </c>
      <c r="E2054" s="16" t="inlineStr">
        <is>
          <t>Shipped</t>
        </is>
      </c>
      <c r="F2054" s="16" t="inlineStr">
        <is>
          <t>LV54W25</t>
        </is>
      </c>
      <c r="G2054" s="16" t="inlineStr">
        <is>
          <t>TIANLAI Lámpara Ventilador E27 2 en 1, Silenciosa, LED Alta Luminosidad 180°, Instalación Rápida, Ahorro Energético para Dormitorio y Interiores Pequeños</t>
        </is>
      </c>
      <c r="H2054" s="16" t="inlineStr">
        <is>
          <t>1 Pieza</t>
        </is>
      </c>
      <c r="I2054" s="16" t="n">
        <v>2</v>
      </c>
      <c r="J2054" s="17" t="n">
        <v>148</v>
      </c>
      <c r="K2054" s="17" t="n">
        <v>152.52</v>
      </c>
      <c r="L2054" s="17" t="n">
        <v>25.86</v>
      </c>
      <c r="M2054" s="17" t="n">
        <v>0</v>
      </c>
      <c r="N2054" s="17">
        <f>K2054*0.08+L2054*0.08</f>
        <v/>
      </c>
      <c r="O2054" s="17">
        <f>-(K2054*0.025+L2054*0.025)</f>
        <v/>
      </c>
      <c r="P2054" s="17">
        <f>32</f>
        <v/>
      </c>
      <c r="Q2054" s="17">
        <f>J2054+L2054+N2054+O2054-P2054-M2054</f>
        <v/>
      </c>
    </row>
    <row r="2055">
      <c r="A2055" s="16" t="inlineStr">
        <is>
          <t>5.22-5.28</t>
        </is>
      </c>
      <c r="B2055" s="16" t="inlineStr">
        <is>
          <t>PO-128-05361000999030332</t>
        </is>
      </c>
      <c r="C2055" s="16" t="inlineStr">
        <is>
          <t>Shipped</t>
        </is>
      </c>
      <c r="D2055" s="16" t="inlineStr">
        <is>
          <t>128-05361153042550332</t>
        </is>
      </c>
      <c r="E2055" s="16" t="inlineStr">
        <is>
          <t>Shipped</t>
        </is>
      </c>
      <c r="F2055" s="16" t="inlineStr">
        <is>
          <t>LV64W25</t>
        </is>
      </c>
      <c r="G20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55" s="16" t="inlineStr">
        <is>
          <t>Blanco</t>
        </is>
      </c>
      <c r="I2055" s="16" t="n">
        <v>1</v>
      </c>
      <c r="J2055" s="17" t="n">
        <v>125</v>
      </c>
      <c r="K2055" s="17" t="n">
        <v>46.18</v>
      </c>
      <c r="L2055" s="17" t="n">
        <v>25.86</v>
      </c>
      <c r="M2055" s="17" t="n">
        <v>0</v>
      </c>
      <c r="N2055" s="17">
        <f>K2055*0.08+L2055*0.08</f>
        <v/>
      </c>
      <c r="O2055" s="17">
        <f>-(K2055*0.025+L2055*0.025)</f>
        <v/>
      </c>
      <c r="P2055" s="17">
        <f>32</f>
        <v/>
      </c>
      <c r="Q2055" s="17">
        <f>J2055+L2055+N2055+O2055-P2055-M2055</f>
        <v/>
      </c>
    </row>
    <row r="2056">
      <c r="A2056" s="16" t="inlineStr">
        <is>
          <t>5.22-5.28</t>
        </is>
      </c>
      <c r="B2056" s="16" t="inlineStr">
        <is>
          <t>PO-128-05388702712950233</t>
        </is>
      </c>
      <c r="C2056" s="16" t="inlineStr">
        <is>
          <t>Shipped</t>
        </is>
      </c>
      <c r="D2056" s="16" t="inlineStr">
        <is>
          <t>128-05388807570550233</t>
        </is>
      </c>
      <c r="E2056" s="16" t="inlineStr">
        <is>
          <t>Shipped</t>
        </is>
      </c>
      <c r="F2056" s="16" t="inlineStr">
        <is>
          <t>LV64W25</t>
        </is>
      </c>
      <c r="G20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56" s="16" t="inlineStr">
        <is>
          <t>Blanco</t>
        </is>
      </c>
      <c r="I2056" s="16" t="n">
        <v>2</v>
      </c>
      <c r="J2056" s="17" t="n">
        <v>250</v>
      </c>
      <c r="K2056" s="17" t="n">
        <v>219.2</v>
      </c>
      <c r="L2056" s="17" t="n">
        <v>0</v>
      </c>
      <c r="M2056" s="17" t="n">
        <v>0</v>
      </c>
      <c r="N2056" s="17">
        <f>K2056*0.08+L2056*0.08</f>
        <v/>
      </c>
      <c r="O2056" s="17">
        <f>-(K2056*0.025+L2056*0.025)</f>
        <v/>
      </c>
      <c r="P2056" s="17">
        <f>32</f>
        <v/>
      </c>
      <c r="Q2056" s="17">
        <f>J2056+L2056+N2056+O2056-P2056-M2056</f>
        <v/>
      </c>
    </row>
    <row r="2057">
      <c r="A2057" s="16" t="inlineStr">
        <is>
          <t>5.22-5.28</t>
        </is>
      </c>
      <c r="B2057" s="16" t="inlineStr">
        <is>
          <t>PO-128-05196884734071377</t>
        </is>
      </c>
      <c r="C2057" s="16" t="inlineStr">
        <is>
          <t>Shipped</t>
        </is>
      </c>
      <c r="D2057" s="16" t="inlineStr">
        <is>
          <t>128-05196889976951377</t>
        </is>
      </c>
      <c r="E2057" s="16" t="inlineStr">
        <is>
          <t>Shipped</t>
        </is>
      </c>
      <c r="F2057" s="16" t="inlineStr">
        <is>
          <t>TL1455N20B</t>
        </is>
      </c>
      <c r="G2057" s="16" t="inlineStr">
        <is>
          <t>LINK BITS Soporte para TV 14 A 55 Pulgadas, Base para TV Pantalla Articulado Inclinable y Giratorio, MAX VESA 400×400 mm, Soporta hasta 18kg, adaptarse a la mayoría de los televisores de 14 Pulgadas/20 Pulgadas/32 Pulgadas/42 Pulgadas/55 pulgadas</t>
        </is>
      </c>
      <c r="H2057" s="16" t="inlineStr">
        <is>
          <t>TL1455N20B</t>
        </is>
      </c>
      <c r="I2057" s="16" t="n">
        <v>1</v>
      </c>
      <c r="J2057" s="17" t="n">
        <v>75</v>
      </c>
      <c r="K2057" s="17" t="n">
        <v>96.06</v>
      </c>
      <c r="L2057" s="17" t="n">
        <v>25.86</v>
      </c>
      <c r="M2057" s="17" t="n">
        <v>0</v>
      </c>
      <c r="N2057" s="17">
        <f>K2057*0.08+L2057*0.08</f>
        <v/>
      </c>
      <c r="O2057" s="17">
        <f>-(K2057*0.025+L2057*0.025)</f>
        <v/>
      </c>
      <c r="P2057" s="17">
        <f>32</f>
        <v/>
      </c>
      <c r="Q2057" s="17">
        <f>J2057+L2057+N2057+O2057-P2057-M2057</f>
        <v/>
      </c>
    </row>
    <row r="2058">
      <c r="A2058" s="16" t="inlineStr">
        <is>
          <t>5.22-5.28</t>
        </is>
      </c>
      <c r="B2058" s="16" t="inlineStr">
        <is>
          <t>PO-128-05199641157751166</t>
        </is>
      </c>
      <c r="C2058" s="16" t="inlineStr">
        <is>
          <t>Shipped</t>
        </is>
      </c>
      <c r="D2058" s="16" t="inlineStr">
        <is>
          <t>128-05199683100791166</t>
        </is>
      </c>
      <c r="E2058" s="16" t="inlineStr">
        <is>
          <t>Shipped</t>
        </is>
      </c>
      <c r="F2058" s="16" t="inlineStr">
        <is>
          <t>KTS-2031</t>
        </is>
      </c>
      <c r="G2058" s="16" t="inlineStr">
        <is>
          <t>Bocina inalámbrica de 3 pulgadas con linterna multifuncional y panel solar integrado.Altavoz Portátil con Linterna LED 4 Modos, Radio FM, Bluetooth, Carga Solar, Ideal para Apagones, Emergencias, Campo y Exteriores</t>
        </is>
      </c>
      <c r="H2058" s="16" t="inlineStr">
        <is>
          <t>NEGRO</t>
        </is>
      </c>
      <c r="I2058" s="16" t="n">
        <v>3</v>
      </c>
      <c r="J2058" s="17" t="n">
        <v>270</v>
      </c>
      <c r="K2058" s="17" t="n">
        <v>297.66</v>
      </c>
      <c r="L2058" s="17" t="n">
        <v>0</v>
      </c>
      <c r="M2058" s="17" t="n">
        <v>0</v>
      </c>
      <c r="N2058" s="17">
        <f>K2058*0.08+L2058*0.08</f>
        <v/>
      </c>
      <c r="O2058" s="17">
        <f>-(K2058*0.025+L2058*0.025)</f>
        <v/>
      </c>
      <c r="P2058" s="17">
        <f>32</f>
        <v/>
      </c>
      <c r="Q2058" s="17">
        <f>J2058+L2058+N2058+O2058-P2058-M2058</f>
        <v/>
      </c>
    </row>
    <row r="2059">
      <c r="A2059" s="16" t="inlineStr">
        <is>
          <t>5.22-5.28</t>
        </is>
      </c>
      <c r="B2059" s="16" t="inlineStr">
        <is>
          <t>PO-128-04822845422713540</t>
        </is>
      </c>
      <c r="C2059" s="16" t="inlineStr">
        <is>
          <t>Shipped</t>
        </is>
      </c>
      <c r="D2059" s="16" t="inlineStr">
        <is>
          <t>128-04822824451193540</t>
        </is>
      </c>
      <c r="E2059" s="16" t="inlineStr">
        <is>
          <t>Shipped</t>
        </is>
      </c>
      <c r="F2059" s="16" t="inlineStr">
        <is>
          <t>TLCD02-8P-N</t>
        </is>
      </c>
      <c r="G205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59" s="16" t="inlineStr">
        <is>
          <t>NEGRO/pantalla de 8.5 pulgadas</t>
        </is>
      </c>
      <c r="I2059" s="16" t="n">
        <v>1</v>
      </c>
      <c r="J2059" s="17" t="n">
        <v>24.8</v>
      </c>
      <c r="K2059" s="17" t="n">
        <v>24.1</v>
      </c>
      <c r="L2059" s="17" t="n">
        <v>25.86</v>
      </c>
      <c r="M2059" s="17" t="n">
        <v>0</v>
      </c>
      <c r="N2059" s="17">
        <f>K2059*0.08+L2059*0.08</f>
        <v/>
      </c>
      <c r="O2059" s="17">
        <f>-(K2059*0.025+L2059*0.025)</f>
        <v/>
      </c>
      <c r="P2059" s="17">
        <f>32</f>
        <v/>
      </c>
      <c r="Q2059" s="17">
        <f>J2059+L2059+N2059+O2059-P2059-M2059</f>
        <v/>
      </c>
    </row>
    <row r="2060">
      <c r="A2060" s="16" t="inlineStr">
        <is>
          <t>5.22-5.28</t>
        </is>
      </c>
      <c r="B2060" s="16" t="inlineStr">
        <is>
          <t>PO-128-04832279913593356</t>
        </is>
      </c>
      <c r="C2060" s="16" t="inlineStr">
        <is>
          <t>Shipped</t>
        </is>
      </c>
      <c r="D2060" s="16" t="inlineStr">
        <is>
          <t>128-04832300885113356</t>
        </is>
      </c>
      <c r="E2060" s="16" t="inlineStr">
        <is>
          <t>Shipped</t>
        </is>
      </c>
      <c r="F2060" s="16" t="inlineStr">
        <is>
          <t>KTS-2031</t>
        </is>
      </c>
      <c r="G2060" s="16" t="inlineStr">
        <is>
          <t>Bocina inalámbrica de 3 pulgadas con linterna multifuncional y panel solar integrado.Altavoz Portátil con Linterna LED 4 Modos, Radio FM, Bluetooth, Carga Solar, Ideal para Apagones, Emergencias, Campo y Exteriores</t>
        </is>
      </c>
      <c r="H2060" s="16" t="inlineStr">
        <is>
          <t>NEGRO</t>
        </is>
      </c>
      <c r="I2060" s="16" t="n">
        <v>1</v>
      </c>
      <c r="J2060" s="17" t="n">
        <v>90</v>
      </c>
      <c r="K2060" s="17" t="n">
        <v>99.22</v>
      </c>
      <c r="L2060" s="17" t="n">
        <v>25.86</v>
      </c>
      <c r="M2060" s="17" t="n">
        <v>0</v>
      </c>
      <c r="N2060" s="17">
        <f>K2060*0.08+L2060*0.08</f>
        <v/>
      </c>
      <c r="O2060" s="17">
        <f>-(K2060*0.025+L2060*0.025)</f>
        <v/>
      </c>
      <c r="P2060" s="17">
        <f>32</f>
        <v/>
      </c>
      <c r="Q2060" s="17">
        <f>J2060+L2060+N2060+O2060-P2060-M2060</f>
        <v/>
      </c>
    </row>
    <row r="2061">
      <c r="A2061" s="16" t="inlineStr">
        <is>
          <t>5.22-5.28</t>
        </is>
      </c>
      <c r="B2061" s="16" t="inlineStr">
        <is>
          <t>PO-128-05231938947191102</t>
        </is>
      </c>
      <c r="C2061" s="16" t="inlineStr">
        <is>
          <t>Shipped</t>
        </is>
      </c>
      <c r="D2061" s="16" t="inlineStr">
        <is>
          <t>128-05231897004151102</t>
        </is>
      </c>
      <c r="E2061" s="16" t="inlineStr">
        <is>
          <t>Shipped</t>
        </is>
      </c>
      <c r="F2061" s="16" t="inlineStr">
        <is>
          <t>LV64W25</t>
        </is>
      </c>
      <c r="G20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1" s="16" t="inlineStr">
        <is>
          <t>Blanco</t>
        </is>
      </c>
      <c r="I2061" s="16" t="n">
        <v>2</v>
      </c>
      <c r="J2061" s="17" t="n">
        <v>250</v>
      </c>
      <c r="K2061" s="17" t="n">
        <v>286.52</v>
      </c>
      <c r="L2061" s="17" t="n">
        <v>0</v>
      </c>
      <c r="M2061" s="17" t="n">
        <v>0</v>
      </c>
      <c r="N2061" s="17">
        <f>K2061*0.08+L2061*0.08</f>
        <v/>
      </c>
      <c r="O2061" s="17">
        <f>-(K2061*0.025+L2061*0.025)</f>
        <v/>
      </c>
      <c r="P2061" s="17">
        <f>32</f>
        <v/>
      </c>
      <c r="Q2061" s="17">
        <f>J2061+L2061+N2061+O2061-P2061-M2061</f>
        <v/>
      </c>
    </row>
    <row r="2062">
      <c r="A2062" s="16" t="inlineStr">
        <is>
          <t>5.22-5.28</t>
        </is>
      </c>
      <c r="B2062" s="16" t="inlineStr">
        <is>
          <t>PO-128-04963912435833597</t>
        </is>
      </c>
      <c r="C2062" s="16" t="inlineStr">
        <is>
          <t>Shipped</t>
        </is>
      </c>
      <c r="D2062" s="16" t="inlineStr">
        <is>
          <t>128-04963933407353597</t>
        </is>
      </c>
      <c r="E2062" s="16" t="inlineStr">
        <is>
          <t>Shipped</t>
        </is>
      </c>
      <c r="F2062" s="16" t="inlineStr">
        <is>
          <t>TLCD06-12P-R</t>
        </is>
      </c>
      <c r="G206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62" s="16" t="inlineStr">
        <is>
          <t>ROJO/pantalla de 12 pulgadas</t>
        </is>
      </c>
      <c r="I2062" s="16" t="n">
        <v>1</v>
      </c>
      <c r="J2062" s="17" t="n">
        <v>31.8</v>
      </c>
      <c r="K2062" s="17" t="n">
        <v>35.05</v>
      </c>
      <c r="L2062" s="17" t="n">
        <v>25.86</v>
      </c>
      <c r="M2062" s="17" t="n">
        <v>0</v>
      </c>
      <c r="N2062" s="17">
        <f>K2062*0.08+L2062*0.08</f>
        <v/>
      </c>
      <c r="O2062" s="17">
        <f>-(K2062*0.025+L2062*0.025)</f>
        <v/>
      </c>
      <c r="P2062" s="17">
        <f>32</f>
        <v/>
      </c>
      <c r="Q2062" s="17">
        <f>J2062+L2062+N2062+O2062-P2062-M2062</f>
        <v/>
      </c>
    </row>
    <row r="2063">
      <c r="A2063" s="16" t="inlineStr">
        <is>
          <t>5.22-5.28</t>
        </is>
      </c>
      <c r="B2063" s="16" t="inlineStr">
        <is>
          <t>PO-128-04984220813432450</t>
        </is>
      </c>
      <c r="C2063" s="16" t="inlineStr">
        <is>
          <t>Shipped</t>
        </is>
      </c>
      <c r="D2063" s="16" t="inlineStr">
        <is>
          <t>128-04984191977592450</t>
        </is>
      </c>
      <c r="E2063" s="16" t="inlineStr">
        <is>
          <t>Shipped</t>
        </is>
      </c>
      <c r="F2063" s="16" t="inlineStr">
        <is>
          <t>LV64W25</t>
        </is>
      </c>
      <c r="G20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3" s="16" t="inlineStr">
        <is>
          <t>Blanco</t>
        </is>
      </c>
      <c r="I2063" s="16" t="n">
        <v>1</v>
      </c>
      <c r="J2063" s="17" t="n">
        <v>125</v>
      </c>
      <c r="K2063" s="17" t="n">
        <v>127.28</v>
      </c>
      <c r="L2063" s="17" t="n">
        <v>25.86</v>
      </c>
      <c r="M2063" s="17" t="n">
        <v>0</v>
      </c>
      <c r="N2063" s="17">
        <f>K2063*0.08+L2063*0.08</f>
        <v/>
      </c>
      <c r="O2063" s="17">
        <f>-(K2063*0.025+L2063*0.025)</f>
        <v/>
      </c>
      <c r="P2063" s="17">
        <f>32</f>
        <v/>
      </c>
      <c r="Q2063" s="17">
        <f>J2063+L2063+N2063+O2063-P2063-M2063</f>
        <v/>
      </c>
    </row>
    <row r="2064">
      <c r="A2064" s="16" t="inlineStr">
        <is>
          <t>5.22-5.28</t>
        </is>
      </c>
      <c r="B2064" s="16" t="inlineStr">
        <is>
          <t>PO-128-05113512696952704</t>
        </is>
      </c>
      <c r="C2064" s="16" t="inlineStr">
        <is>
          <t>Shipped</t>
        </is>
      </c>
      <c r="D2064" s="16" t="inlineStr">
        <is>
          <t>128-05113517939832704</t>
        </is>
      </c>
      <c r="E2064" s="16" t="inlineStr">
        <is>
          <t>Shipped</t>
        </is>
      </c>
      <c r="F2064" s="16" t="inlineStr">
        <is>
          <t>LV64W25</t>
        </is>
      </c>
      <c r="G20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4" s="16" t="inlineStr">
        <is>
          <t>Blanco</t>
        </is>
      </c>
      <c r="I2064" s="16" t="n">
        <v>4</v>
      </c>
      <c r="J2064" s="17" t="n">
        <v>500</v>
      </c>
      <c r="K2064" s="17" t="n">
        <v>458.43</v>
      </c>
      <c r="L2064" s="17" t="n">
        <v>0</v>
      </c>
      <c r="M2064" s="17" t="n">
        <v>0</v>
      </c>
      <c r="N2064" s="17">
        <f>K2064*0.08+L2064*0.08</f>
        <v/>
      </c>
      <c r="O2064" s="17">
        <f>-(K2064*0.025+L2064*0.025)</f>
        <v/>
      </c>
      <c r="P2064" s="17">
        <f>32</f>
        <v/>
      </c>
      <c r="Q2064" s="17">
        <f>J2064+L2064+N2064+O2064-P2064-M2064</f>
        <v/>
      </c>
    </row>
    <row r="2065">
      <c r="A2065" s="16" t="inlineStr">
        <is>
          <t>5.22-5.28</t>
        </is>
      </c>
      <c r="B2065" s="16" t="inlineStr">
        <is>
          <t>PO-128-05381469627510210</t>
        </is>
      </c>
      <c r="C2065" s="16" t="inlineStr">
        <is>
          <t>Shipped</t>
        </is>
      </c>
      <c r="D2065" s="16" t="inlineStr">
        <is>
          <t>128-05381579727990210</t>
        </is>
      </c>
      <c r="E2065" s="16" t="inlineStr">
        <is>
          <t>Shipped</t>
        </is>
      </c>
      <c r="F2065" s="16" t="inlineStr">
        <is>
          <t>MB-174-G</t>
        </is>
      </c>
      <c r="G2065" s="16" t="inlineStr">
        <is>
          <t>LINK BITS MB-174 Mini Bocina Bluetooth Soporte para Celular Integrado TWS Luz Ambiental 5W 80dB Sonido Claro Carga TYPE-C Material ABS Portátil Ideal como Regalo para Hogar Oficina Exterior Picnic</t>
        </is>
      </c>
      <c r="H2065" s="16" t="inlineStr">
        <is>
          <t>GRIS</t>
        </is>
      </c>
      <c r="I2065" s="16" t="n">
        <v>1</v>
      </c>
      <c r="J2065" s="17" t="n">
        <v>93</v>
      </c>
      <c r="K2065" s="17" t="n">
        <v>111.06</v>
      </c>
      <c r="L2065" s="17" t="n">
        <v>14.6</v>
      </c>
      <c r="M2065" s="17" t="n">
        <v>0</v>
      </c>
      <c r="N2065" s="17">
        <f>K2065*0.08+L2065*0.08</f>
        <v/>
      </c>
      <c r="O2065" s="17">
        <f>-(K2065*0.025+L2065*0.025)</f>
        <v/>
      </c>
      <c r="P2065" s="17">
        <f>32</f>
        <v/>
      </c>
      <c r="Q2065" s="17">
        <f>J2065+L2065+N2065+O2065-P2065-M2065</f>
        <v/>
      </c>
    </row>
    <row r="2066">
      <c r="A2066" s="16" t="inlineStr">
        <is>
          <t>5.22-5.28</t>
        </is>
      </c>
      <c r="B2066" s="16" t="inlineStr">
        <is>
          <t>PO-128-05381469627510210</t>
        </is>
      </c>
      <c r="C2066" s="16" t="inlineStr">
        <is>
          <t>Shipped</t>
        </is>
      </c>
      <c r="D2066" s="16" t="inlineStr">
        <is>
          <t>128-05381621671030210</t>
        </is>
      </c>
      <c r="E2066" s="16" t="inlineStr">
        <is>
          <t>Shipped</t>
        </is>
      </c>
      <c r="F2066" s="16" t="inlineStr">
        <is>
          <t>LV54W25</t>
        </is>
      </c>
      <c r="G2066" s="16" t="inlineStr">
        <is>
          <t>TIANLAI Lámpara Ventilador E27 2 en 1, Silenciosa, LED Alta Luminosidad 180°, Instalación Rápida, Ahorro Energético para Dormitorio y Interiores Pequeños</t>
        </is>
      </c>
      <c r="H2066" s="16" t="inlineStr">
        <is>
          <t>1 Pieza</t>
        </is>
      </c>
      <c r="I2066" s="16" t="n">
        <v>1</v>
      </c>
      <c r="J2066" s="17" t="n">
        <v>74</v>
      </c>
      <c r="K2066" s="17" t="n">
        <v>85.68000000000001</v>
      </c>
      <c r="L2066" s="17" t="n">
        <v>11.26</v>
      </c>
      <c r="M2066" s="17" t="n">
        <v>0</v>
      </c>
      <c r="N2066" s="17">
        <f>K2066*0.08+L2066*0.08</f>
        <v/>
      </c>
      <c r="O2066" s="17">
        <f>-(K2066*0.025+L2066*0.025)</f>
        <v/>
      </c>
      <c r="P2066" s="17">
        <f>32</f>
        <v/>
      </c>
      <c r="Q2066" s="17">
        <f>J2066+L2066+N2066+O2066-P2066-M2066</f>
        <v/>
      </c>
    </row>
    <row r="2067">
      <c r="A2067" s="16" t="inlineStr">
        <is>
          <t>5.22-5.28</t>
        </is>
      </c>
      <c r="B2067" s="16" t="inlineStr">
        <is>
          <t>PO-128-05003448087672528</t>
        </is>
      </c>
      <c r="C2067" s="16" t="inlineStr">
        <is>
          <t>Shipped</t>
        </is>
      </c>
      <c r="D2067" s="16" t="inlineStr">
        <is>
          <t>128-05003406144632528</t>
        </is>
      </c>
      <c r="E2067" s="16" t="inlineStr">
        <is>
          <t>Shipped</t>
        </is>
      </c>
      <c r="F2067" s="16" t="inlineStr">
        <is>
          <t>LV64W25</t>
        </is>
      </c>
      <c r="G20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7" s="16" t="inlineStr">
        <is>
          <t>Blanco</t>
        </is>
      </c>
      <c r="I2067" s="16" t="n">
        <v>2</v>
      </c>
      <c r="J2067" s="17" t="n">
        <v>250</v>
      </c>
      <c r="K2067" s="17" t="n">
        <v>214.78</v>
      </c>
      <c r="L2067" s="17" t="n">
        <v>0</v>
      </c>
      <c r="M2067" s="17" t="n">
        <v>0</v>
      </c>
      <c r="N2067" s="17">
        <f>K2067*0.08+L2067*0.08</f>
        <v/>
      </c>
      <c r="O2067" s="17">
        <f>-(K2067*0.025+L2067*0.025)</f>
        <v/>
      </c>
      <c r="P2067" s="17">
        <f>32</f>
        <v/>
      </c>
      <c r="Q2067" s="17">
        <f>J2067+L2067+N2067+O2067-P2067-M2067</f>
        <v/>
      </c>
    </row>
    <row r="2068">
      <c r="A2068" s="16" t="inlineStr">
        <is>
          <t>5.22-5.28</t>
        </is>
      </c>
      <c r="B2068" s="16" t="inlineStr">
        <is>
          <t>PO-128-05337200330870474</t>
        </is>
      </c>
      <c r="C2068" s="16" t="inlineStr">
        <is>
          <t>Shipped</t>
        </is>
      </c>
      <c r="D2068" s="16" t="inlineStr">
        <is>
          <t>128-05337179359350474</t>
        </is>
      </c>
      <c r="E2068" s="16" t="inlineStr">
        <is>
          <t>Shipped</t>
        </is>
      </c>
      <c r="F2068" s="16" t="inlineStr">
        <is>
          <t>KTS-2031</t>
        </is>
      </c>
      <c r="G2068" s="16" t="inlineStr">
        <is>
          <t>Bocina inalámbrica de 3 pulgadas con linterna multifuncional y panel solar integrado.Altavoz Portátil con Linterna LED 4 Modos, Radio FM, Bluetooth, Carga Solar, Ideal para Apagones, Emergencias, Campo y Exteriores</t>
        </is>
      </c>
      <c r="H2068" s="16" t="inlineStr">
        <is>
          <t>NEGRO</t>
        </is>
      </c>
      <c r="I2068" s="16" t="n">
        <v>3</v>
      </c>
      <c r="J2068" s="17" t="n">
        <v>270</v>
      </c>
      <c r="K2068" s="17" t="n">
        <v>297.66</v>
      </c>
      <c r="L2068" s="17" t="n">
        <v>0</v>
      </c>
      <c r="M2068" s="17" t="n">
        <v>0</v>
      </c>
      <c r="N2068" s="17">
        <f>K2068*0.08+L2068*0.08</f>
        <v/>
      </c>
      <c r="O2068" s="17">
        <f>-(K2068*0.025+L2068*0.025)</f>
        <v/>
      </c>
      <c r="P2068" s="17">
        <f>32</f>
        <v/>
      </c>
      <c r="Q2068" s="17">
        <f>J2068+L2068+N2068+O2068-P2068-M2068</f>
        <v/>
      </c>
    </row>
    <row r="2069">
      <c r="A2069" s="16" t="inlineStr">
        <is>
          <t>5.22-5.28</t>
        </is>
      </c>
      <c r="B2069" s="16" t="inlineStr">
        <is>
          <t>PO-128-05003095795832530</t>
        </is>
      </c>
      <c r="C2069" s="16" t="inlineStr">
        <is>
          <t>Shipped</t>
        </is>
      </c>
      <c r="D2069" s="16" t="inlineStr">
        <is>
          <t>128-05003053852792530</t>
        </is>
      </c>
      <c r="E2069" s="16" t="inlineStr">
        <is>
          <t>Shipped</t>
        </is>
      </c>
      <c r="F2069" s="16" t="inlineStr">
        <is>
          <t>LV64W25</t>
        </is>
      </c>
      <c r="G20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69" s="16" t="inlineStr">
        <is>
          <t>Blanco</t>
        </is>
      </c>
      <c r="I2069" s="16" t="n">
        <v>2</v>
      </c>
      <c r="J2069" s="17" t="n">
        <v>250</v>
      </c>
      <c r="K2069" s="17" t="n">
        <v>257.88</v>
      </c>
      <c r="L2069" s="17" t="n">
        <v>0</v>
      </c>
      <c r="M2069" s="17" t="n">
        <v>0</v>
      </c>
      <c r="N2069" s="17">
        <f>K2069*0.08+L2069*0.08</f>
        <v/>
      </c>
      <c r="O2069" s="17">
        <f>-(K2069*0.025+L2069*0.025)</f>
        <v/>
      </c>
      <c r="P2069" s="17">
        <f>32</f>
        <v/>
      </c>
      <c r="Q2069" s="17">
        <f>J2069+L2069+N2069+O2069-P2069-M2069</f>
        <v/>
      </c>
    </row>
    <row r="2070">
      <c r="A2070" s="16" t="inlineStr">
        <is>
          <t>5.22-5.28</t>
        </is>
      </c>
      <c r="B2070" s="16" t="inlineStr">
        <is>
          <t>PO-128-05101662456952902</t>
        </is>
      </c>
      <c r="C2070" s="16" t="inlineStr">
        <is>
          <t>Shipped</t>
        </is>
      </c>
      <c r="D2070" s="16" t="inlineStr">
        <is>
          <t>128-05101633621112902</t>
        </is>
      </c>
      <c r="E2070" s="16" t="inlineStr">
        <is>
          <t>Shipped</t>
        </is>
      </c>
      <c r="F2070" s="16" t="inlineStr">
        <is>
          <t>LV54W25</t>
        </is>
      </c>
      <c r="G2070" s="16" t="inlineStr">
        <is>
          <t>TIANLAI Lámpara Ventilador E27 2 en 1, Silenciosa, LED Alta Luminosidad 180°, Instalación Rápida, Ahorro Energético para Dormitorio y Interiores Pequeños</t>
        </is>
      </c>
      <c r="H2070" s="16" t="inlineStr">
        <is>
          <t>1 Pieza</t>
        </is>
      </c>
      <c r="I2070" s="16" t="n">
        <v>1</v>
      </c>
      <c r="J2070" s="17" t="n">
        <v>74</v>
      </c>
      <c r="K2070" s="17" t="n">
        <v>76.26000000000001</v>
      </c>
      <c r="L2070" s="17" t="n">
        <v>25.86</v>
      </c>
      <c r="M2070" s="17" t="n">
        <v>0</v>
      </c>
      <c r="N2070" s="17">
        <f>K2070*0.08+L2070*0.08</f>
        <v/>
      </c>
      <c r="O2070" s="17">
        <f>-(K2070*0.025+L2070*0.025)</f>
        <v/>
      </c>
      <c r="P2070" s="17">
        <f>32</f>
        <v/>
      </c>
      <c r="Q2070" s="17">
        <f>J2070+L2070+N2070+O2070-P2070-M2070</f>
        <v/>
      </c>
    </row>
    <row r="2071">
      <c r="A2071" s="16" t="inlineStr">
        <is>
          <t>5.22-5.28</t>
        </is>
      </c>
      <c r="B2071" s="16" t="inlineStr">
        <is>
          <t>PO-128-05414154924150912</t>
        </is>
      </c>
      <c r="C2071" s="16" t="inlineStr">
        <is>
          <t>Shipped</t>
        </is>
      </c>
      <c r="D2071" s="16" t="inlineStr">
        <is>
          <t>128-05414112981110912</t>
        </is>
      </c>
      <c r="E2071" s="16" t="inlineStr">
        <is>
          <t>Shipped</t>
        </is>
      </c>
      <c r="F2071" s="16" t="inlineStr">
        <is>
          <t>TLCD06-12P-N</t>
        </is>
      </c>
      <c r="G207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071" s="16" t="inlineStr">
        <is>
          <t>NEGRO/pantalla de 12 pulgadas</t>
        </is>
      </c>
      <c r="I2071" s="16" t="n">
        <v>1</v>
      </c>
      <c r="J2071" s="17" t="n">
        <v>31.8</v>
      </c>
      <c r="K2071" s="17" t="n">
        <v>43.81</v>
      </c>
      <c r="L2071" s="17" t="n">
        <v>25.86</v>
      </c>
      <c r="M2071" s="17" t="n">
        <v>0</v>
      </c>
      <c r="N2071" s="17">
        <f>K2071*0.08+L2071*0.08</f>
        <v/>
      </c>
      <c r="O2071" s="17">
        <f>-(K2071*0.025+L2071*0.025)</f>
        <v/>
      </c>
      <c r="P2071" s="17">
        <f>32</f>
        <v/>
      </c>
      <c r="Q2071" s="17">
        <f>J2071+L2071+N2071+O2071-P2071-M2071</f>
        <v/>
      </c>
    </row>
    <row r="2072">
      <c r="A2072" s="16" t="inlineStr">
        <is>
          <t>5.22-5.28</t>
        </is>
      </c>
      <c r="B2072" s="16" t="inlineStr">
        <is>
          <t>PO-128-05329446567030395</t>
        </is>
      </c>
      <c r="C2072" s="16" t="inlineStr">
        <is>
          <t>Shipped</t>
        </is>
      </c>
      <c r="D2072" s="16" t="inlineStr">
        <is>
          <t>128-05329404623990395</t>
        </is>
      </c>
      <c r="E2072" s="16" t="inlineStr">
        <is>
          <t>Shipped</t>
        </is>
      </c>
      <c r="F2072" s="16" t="inlineStr">
        <is>
          <t>VB349T</t>
        </is>
      </c>
      <c r="G2072" s="16" t="inlineStr">
        <is>
          <t>LINKBITS Altavoz Portátil de Doble Altavoz - 3 Pulgadas, Sonido HD, Emparejamiento Rápido de Bluetooth, Conectividad TWS, Reproducción Multimodo (Micro SD/USB/Radio FM) - Perfecto para Oficina, Viajes y Espacios Pequeños</t>
        </is>
      </c>
      <c r="H2072" s="16" t="inlineStr">
        <is>
          <t>NEGRO</t>
        </is>
      </c>
      <c r="I2072" s="16" t="n">
        <v>1</v>
      </c>
      <c r="J2072" s="17" t="n">
        <v>80</v>
      </c>
      <c r="K2072" s="17" t="n">
        <v>50.16</v>
      </c>
      <c r="L2072" s="17" t="n">
        <v>25.86</v>
      </c>
      <c r="M2072" s="17" t="n">
        <v>0</v>
      </c>
      <c r="N2072" s="17">
        <f>K2072*0.08+L2072*0.08</f>
        <v/>
      </c>
      <c r="O2072" s="17">
        <f>-(K2072*0.025+L2072*0.025)</f>
        <v/>
      </c>
      <c r="P2072" s="17">
        <f>32</f>
        <v/>
      </c>
      <c r="Q2072" s="17">
        <f>J2072+L2072+N2072+O2072-P2072-M2072</f>
        <v/>
      </c>
    </row>
    <row r="2073">
      <c r="A2073" s="16" t="inlineStr">
        <is>
          <t>5.22-5.28</t>
        </is>
      </c>
      <c r="B2073" s="16" t="inlineStr">
        <is>
          <t>PO-128-05253656855671996</t>
        </is>
      </c>
      <c r="C2073" s="16" t="inlineStr">
        <is>
          <t>Shipped</t>
        </is>
      </c>
      <c r="D2073" s="16" t="inlineStr">
        <is>
          <t>128-05253761713271996</t>
        </is>
      </c>
      <c r="E2073" s="16" t="inlineStr">
        <is>
          <t>Shipped</t>
        </is>
      </c>
      <c r="F2073" s="16" t="inlineStr">
        <is>
          <t>VB349T</t>
        </is>
      </c>
      <c r="G2073" s="16" t="inlineStr">
        <is>
          <t>LINKBITS Altavoz Portátil de Doble Altavoz - 3 Pulgadas, Sonido HD, Emparejamiento Rápido de Bluetooth, Conectividad TWS, Reproducción Multimodo (Micro SD/USB/Radio FM) - Perfecto para Oficina, Viajes y Espacios Pequeños</t>
        </is>
      </c>
      <c r="H2073" s="16" t="inlineStr">
        <is>
          <t>NEGRO</t>
        </is>
      </c>
      <c r="I2073" s="16" t="n">
        <v>1</v>
      </c>
      <c r="J2073" s="17" t="n">
        <v>80</v>
      </c>
      <c r="K2073" s="17" t="n">
        <v>93.26000000000001</v>
      </c>
      <c r="L2073" s="17" t="n">
        <v>25.86</v>
      </c>
      <c r="M2073" s="17" t="n">
        <v>0</v>
      </c>
      <c r="N2073" s="17">
        <f>K2073*0.08+L2073*0.08</f>
        <v/>
      </c>
      <c r="O2073" s="17">
        <f>-(K2073*0.025+L2073*0.025)</f>
        <v/>
      </c>
      <c r="P2073" s="17">
        <f>32</f>
        <v/>
      </c>
      <c r="Q2073" s="17">
        <f>J2073+L2073+N2073+O2073-P2073-M2073</f>
        <v/>
      </c>
    </row>
    <row r="2074">
      <c r="A2074" s="16" t="inlineStr">
        <is>
          <t>5.22-5.28</t>
        </is>
      </c>
      <c r="B2074" s="16" t="inlineStr">
        <is>
          <t>PO-128-05148538176632625</t>
        </is>
      </c>
      <c r="C2074" s="16" t="inlineStr">
        <is>
          <t>Shipped</t>
        </is>
      </c>
      <c r="D2074" s="16" t="inlineStr">
        <is>
          <t>128-05148559148152625</t>
        </is>
      </c>
      <c r="E2074" s="16" t="inlineStr">
        <is>
          <t>Shipped</t>
        </is>
      </c>
      <c r="F2074" s="16" t="inlineStr">
        <is>
          <t>SA428T</t>
        </is>
      </c>
      <c r="G2074"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2074" s="16" t="inlineStr">
        <is>
          <t>SA428T</t>
        </is>
      </c>
      <c r="I2074" s="16" t="n">
        <v>1</v>
      </c>
      <c r="J2074" s="17" t="n">
        <v>88</v>
      </c>
      <c r="K2074" s="17" t="n">
        <v>17.25</v>
      </c>
      <c r="L2074" s="17" t="n">
        <v>25.86</v>
      </c>
      <c r="M2074" s="17" t="n">
        <v>0</v>
      </c>
      <c r="N2074" s="17">
        <f>K2074*0.08+L2074*0.08</f>
        <v/>
      </c>
      <c r="O2074" s="17">
        <f>-(K2074*0.025+L2074*0.025)</f>
        <v/>
      </c>
      <c r="P2074" s="17">
        <f>32</f>
        <v/>
      </c>
      <c r="Q2074" s="17">
        <f>J2074+L2074+N2074+O2074-P2074-M2074</f>
        <v/>
      </c>
    </row>
    <row r="2075">
      <c r="A2075" s="16" t="inlineStr">
        <is>
          <t>5.22-5.28</t>
        </is>
      </c>
      <c r="B2075" s="16" t="inlineStr">
        <is>
          <t>PO-128-04839299448953378</t>
        </is>
      </c>
      <c r="C2075" s="16" t="inlineStr">
        <is>
          <t>Shipped</t>
        </is>
      </c>
      <c r="D2075" s="16" t="inlineStr">
        <is>
          <t>128-04839257505913378</t>
        </is>
      </c>
      <c r="E2075" s="16" t="inlineStr">
        <is>
          <t>Shipped</t>
        </is>
      </c>
      <c r="F2075" s="16" t="inlineStr">
        <is>
          <t>LV64W25</t>
        </is>
      </c>
      <c r="G20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75" s="16" t="inlineStr">
        <is>
          <t>Blanco</t>
        </is>
      </c>
      <c r="I2075" s="16" t="n">
        <v>1</v>
      </c>
      <c r="J2075" s="17" t="n">
        <v>125</v>
      </c>
      <c r="K2075" s="17" t="n">
        <v>128.94</v>
      </c>
      <c r="L2075" s="17" t="n">
        <v>25.86</v>
      </c>
      <c r="M2075" s="17" t="n">
        <v>0</v>
      </c>
      <c r="N2075" s="17">
        <f>K2075*0.08+L2075*0.08</f>
        <v/>
      </c>
      <c r="O2075" s="17">
        <f>-(K2075*0.025+L2075*0.025)</f>
        <v/>
      </c>
      <c r="P2075" s="17">
        <f>32</f>
        <v/>
      </c>
      <c r="Q2075" s="17">
        <f>J2075+L2075+N2075+O2075-P2075-M2075</f>
        <v/>
      </c>
    </row>
    <row r="2076">
      <c r="A2076" s="16" t="inlineStr">
        <is>
          <t>5.22-5.28</t>
        </is>
      </c>
      <c r="B2076" s="16" t="inlineStr">
        <is>
          <t>PO-128-04960641303673809</t>
        </is>
      </c>
      <c r="C2076" s="16" t="inlineStr">
        <is>
          <t>Shipped</t>
        </is>
      </c>
      <c r="D2076" s="16" t="inlineStr">
        <is>
          <t>128-04960662275193809</t>
        </is>
      </c>
      <c r="E2076" s="16" t="inlineStr">
        <is>
          <t>Shipped</t>
        </is>
      </c>
      <c r="F2076" s="16" t="inlineStr">
        <is>
          <t>LV64W25</t>
        </is>
      </c>
      <c r="G20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76" s="16" t="inlineStr">
        <is>
          <t>Blanco</t>
        </is>
      </c>
      <c r="I2076" s="16" t="n">
        <v>1</v>
      </c>
      <c r="J2076" s="17" t="n">
        <v>125</v>
      </c>
      <c r="K2076" s="17" t="n">
        <v>103.16</v>
      </c>
      <c r="L2076" s="17" t="n">
        <v>25.86</v>
      </c>
      <c r="M2076" s="17" t="n">
        <v>0</v>
      </c>
      <c r="N2076" s="17">
        <f>K2076*0.08+L2076*0.08</f>
        <v/>
      </c>
      <c r="O2076" s="17">
        <f>-(K2076*0.025+L2076*0.025)</f>
        <v/>
      </c>
      <c r="P2076" s="17">
        <f>32</f>
        <v/>
      </c>
      <c r="Q2076" s="17">
        <f>J2076+L2076+N2076+O2076-P2076-M2076</f>
        <v/>
      </c>
    </row>
    <row r="2077">
      <c r="A2077" s="16" t="inlineStr">
        <is>
          <t>5.22-5.28</t>
        </is>
      </c>
      <c r="B2077" s="16" t="inlineStr">
        <is>
          <t>PO-128-05323212086391646</t>
        </is>
      </c>
      <c r="C2077" s="16" t="inlineStr">
        <is>
          <t>Shipped</t>
        </is>
      </c>
      <c r="D2077" s="16" t="inlineStr">
        <is>
          <t>128-05323170143351646</t>
        </is>
      </c>
      <c r="E2077" s="16" t="inlineStr">
        <is>
          <t>Shipped</t>
        </is>
      </c>
      <c r="F2077" s="16" t="inlineStr">
        <is>
          <t>VB349T</t>
        </is>
      </c>
      <c r="G2077" s="16" t="inlineStr">
        <is>
          <t>LINKBITS Altavoz Portátil de Doble Altavoz - 3 Pulgadas, Sonido HD, Emparejamiento Rápido de Bluetooth, Conectividad TWS, Reproducción Multimodo (Micro SD/USB/Radio FM) - Perfecto para Oficina, Viajes y Espacios Pequeños</t>
        </is>
      </c>
      <c r="H2077" s="16" t="inlineStr">
        <is>
          <t>NEGRO</t>
        </is>
      </c>
      <c r="I2077" s="16" t="n">
        <v>1</v>
      </c>
      <c r="J2077" s="17" t="n">
        <v>80</v>
      </c>
      <c r="K2077" s="17" t="n">
        <v>50.16</v>
      </c>
      <c r="L2077" s="17" t="n">
        <v>25.86</v>
      </c>
      <c r="M2077" s="17" t="n">
        <v>0</v>
      </c>
      <c r="N2077" s="17">
        <f>K2077*0.08+L2077*0.08</f>
        <v/>
      </c>
      <c r="O2077" s="17">
        <f>-(K2077*0.025+L2077*0.025)</f>
        <v/>
      </c>
      <c r="P2077" s="17">
        <f>32</f>
        <v/>
      </c>
      <c r="Q2077" s="17">
        <f>J2077+L2077+N2077+O2077-P2077-M2077</f>
        <v/>
      </c>
    </row>
    <row r="2078">
      <c r="A2078" s="16" t="inlineStr">
        <is>
          <t>5.22-5.28</t>
        </is>
      </c>
      <c r="B2078" s="16" t="inlineStr">
        <is>
          <t>PO-128-04912345833594033</t>
        </is>
      </c>
      <c r="C2078" s="16" t="inlineStr">
        <is>
          <t>Shipped</t>
        </is>
      </c>
      <c r="D2078" s="16" t="inlineStr">
        <is>
          <t>128-04912303890554033</t>
        </is>
      </c>
      <c r="E2078" s="16" t="inlineStr">
        <is>
          <t>Shipped</t>
        </is>
      </c>
      <c r="F2078" s="16" t="inlineStr">
        <is>
          <t>VB349T</t>
        </is>
      </c>
      <c r="G2078" s="16" t="inlineStr">
        <is>
          <t>LINKBITS Altavoz Portátil de Doble Altavoz - 3 Pulgadas, Sonido HD, Emparejamiento Rápido de Bluetooth, Conectividad TWS, Reproducción Multimodo (Micro SD/USB/Radio FM) - Perfecto para Oficina, Viajes y Espacios Pequeños</t>
        </is>
      </c>
      <c r="H2078" s="16" t="inlineStr">
        <is>
          <t>NEGRO</t>
        </is>
      </c>
      <c r="I2078" s="16" t="n">
        <v>1</v>
      </c>
      <c r="J2078" s="17" t="n">
        <v>80</v>
      </c>
      <c r="K2078" s="17" t="n">
        <v>93.26000000000001</v>
      </c>
      <c r="L2078" s="17" t="n">
        <v>25.86</v>
      </c>
      <c r="M2078" s="17" t="n">
        <v>0</v>
      </c>
      <c r="N2078" s="17">
        <f>K2078*0.08+L2078*0.08</f>
        <v/>
      </c>
      <c r="O2078" s="17">
        <f>-(K2078*0.025+L2078*0.025)</f>
        <v/>
      </c>
      <c r="P2078" s="17">
        <f>32</f>
        <v/>
      </c>
      <c r="Q2078" s="17">
        <f>J2078+L2078+N2078+O2078-P2078-M2078</f>
        <v/>
      </c>
    </row>
    <row r="2079">
      <c r="A2079" s="16" t="inlineStr">
        <is>
          <t>5.22-5.28</t>
        </is>
      </c>
      <c r="B2079" s="16" t="inlineStr">
        <is>
          <t>PO-128-04829900234873562</t>
        </is>
      </c>
      <c r="C2079" s="16" t="inlineStr">
        <is>
          <t>Shipped</t>
        </is>
      </c>
      <c r="D2079" s="16" t="inlineStr">
        <is>
          <t>128-04829906788473562</t>
        </is>
      </c>
      <c r="E2079" s="16" t="inlineStr">
        <is>
          <t>Shipped</t>
        </is>
      </c>
      <c r="F2079" s="16" t="inlineStr">
        <is>
          <t>LV54W25</t>
        </is>
      </c>
      <c r="G2079" s="16" t="inlineStr">
        <is>
          <t>TIANLAI Lámpara Ventilador E27 2 en 1, Silenciosa, LED Alta Luminosidad 180°, Instalación Rápida, Ahorro Energético para Dormitorio y Interiores Pequeños</t>
        </is>
      </c>
      <c r="H2079" s="16" t="inlineStr">
        <is>
          <t>1 Pieza</t>
        </is>
      </c>
      <c r="I2079" s="16" t="n">
        <v>1</v>
      </c>
      <c r="J2079" s="17" t="n">
        <v>74</v>
      </c>
      <c r="K2079" s="17" t="n">
        <v>76.26000000000001</v>
      </c>
      <c r="L2079" s="17" t="n">
        <v>25.86</v>
      </c>
      <c r="M2079" s="17" t="n">
        <v>0</v>
      </c>
      <c r="N2079" s="17">
        <f>K2079*0.08+L2079*0.08</f>
        <v/>
      </c>
      <c r="O2079" s="17">
        <f>-(K2079*0.025+L2079*0.025)</f>
        <v/>
      </c>
      <c r="P2079" s="17">
        <f>32</f>
        <v/>
      </c>
      <c r="Q2079" s="17">
        <f>J2079+L2079+N2079+O2079-P2079-M2079</f>
        <v/>
      </c>
    </row>
    <row r="2080">
      <c r="A2080" s="16" t="inlineStr">
        <is>
          <t>5.22-5.28</t>
        </is>
      </c>
      <c r="B2080" s="16" t="inlineStr">
        <is>
          <t>PO-128-05059836593272128</t>
        </is>
      </c>
      <c r="C2080" s="16" t="inlineStr">
        <is>
          <t>Shipped</t>
        </is>
      </c>
      <c r="D2080" s="16" t="inlineStr">
        <is>
          <t>128-05059794650232128</t>
        </is>
      </c>
      <c r="E2080" s="16" t="inlineStr">
        <is>
          <t>Shipped</t>
        </is>
      </c>
      <c r="F2080" s="16" t="inlineStr">
        <is>
          <t>TL1412N17C</t>
        </is>
      </c>
      <c r="G2080" s="16" t="inlineStr">
        <is>
          <t>Linkbits, Soporte de Pared Fijo para TV y Monitor de 14"-43", Ultra Delgado 2.3cm, Fuerte Capacidad de Peso de 25KG, Fácil Instalación con Accesorios Completos</t>
        </is>
      </c>
      <c r="H2080" s="16" t="inlineStr">
        <is>
          <t>NEGRO</t>
        </is>
      </c>
      <c r="I2080" s="16" t="n">
        <v>1</v>
      </c>
      <c r="J2080" s="17" t="n">
        <v>36.5</v>
      </c>
      <c r="K2080" s="17" t="n">
        <v>48.21</v>
      </c>
      <c r="L2080" s="17" t="n">
        <v>25.86</v>
      </c>
      <c r="M2080" s="17" t="n">
        <v>0</v>
      </c>
      <c r="N2080" s="17">
        <f>K2080*0.08+L2080*0.08</f>
        <v/>
      </c>
      <c r="O2080" s="17">
        <f>-(K2080*0.025+L2080*0.025)</f>
        <v/>
      </c>
      <c r="P2080" s="17">
        <f>32</f>
        <v/>
      </c>
      <c r="Q2080" s="17">
        <f>J2080+L2080+N2080+O2080-P2080-M2080</f>
        <v/>
      </c>
    </row>
    <row r="2081">
      <c r="A2081" s="16" t="inlineStr">
        <is>
          <t>5.22-5.28</t>
        </is>
      </c>
      <c r="B2081" s="16" t="inlineStr">
        <is>
          <t>PO-128-05405581048950069</t>
        </is>
      </c>
      <c r="C2081" s="16" t="inlineStr">
        <is>
          <t>Shipped</t>
        </is>
      </c>
      <c r="D2081" s="16" t="inlineStr">
        <is>
          <t>128-05405615127670069</t>
        </is>
      </c>
      <c r="E2081" s="16" t="inlineStr">
        <is>
          <t>Shipped</t>
        </is>
      </c>
      <c r="F2081" s="16" t="inlineStr">
        <is>
          <t>KTS-1369</t>
        </is>
      </c>
      <c r="G2081" s="16" t="inlineStr">
        <is>
          <t>Bocina 3 Pulgadas Portátil Bluetooth con Luces LED, Sonido Claro y Batería Larga Duración, TWS TF USB FM, Ideal para Hogar Oficina y Exterior</t>
        </is>
      </c>
      <c r="H2081" s="16" t="inlineStr">
        <is>
          <t>NEGRO</t>
        </is>
      </c>
      <c r="I2081" s="16" t="n">
        <v>1</v>
      </c>
      <c r="J2081" s="17" t="n">
        <v>55</v>
      </c>
      <c r="K2081" s="17" t="n">
        <v>66.28</v>
      </c>
      <c r="L2081" s="17" t="n">
        <v>25.86</v>
      </c>
      <c r="M2081" s="17" t="n">
        <v>0</v>
      </c>
      <c r="N2081" s="17">
        <f>K2081*0.08+L2081*0.08</f>
        <v/>
      </c>
      <c r="O2081" s="17">
        <f>-(K2081*0.025+L2081*0.025)</f>
        <v/>
      </c>
      <c r="P2081" s="17">
        <f>32</f>
        <v/>
      </c>
      <c r="Q2081" s="17">
        <f>J2081+L2081+N2081+O2081-P2081-M2081</f>
        <v/>
      </c>
    </row>
    <row r="2082">
      <c r="A2082" s="16" t="inlineStr">
        <is>
          <t>5.22-5.28</t>
        </is>
      </c>
      <c r="B2082" s="16" t="inlineStr">
        <is>
          <t>PO-128-04886142308473165</t>
        </is>
      </c>
      <c r="C2082" s="16" t="inlineStr">
        <is>
          <t>Shipped</t>
        </is>
      </c>
      <c r="D2082" s="16" t="inlineStr">
        <is>
          <t>128-04886163279993165</t>
        </is>
      </c>
      <c r="E2082" s="16" t="inlineStr">
        <is>
          <t>Shipped</t>
        </is>
      </c>
      <c r="F2082" s="16" t="inlineStr">
        <is>
          <t>TL1455N20B</t>
        </is>
      </c>
      <c r="G2082" s="16" t="inlineStr">
        <is>
          <t>LINK BITS Soporte para TV 14 A 55 Pulgadas, Base para TV Pantalla Articulado Inclinable y Giratorio, MAX VESA 400×400 mm, Soporta hasta 18kg, adaptarse a la mayoría de los televisores de 14 Pulgadas/20 Pulgadas/32 Pulgadas/42 Pulgadas/55 pulgadas</t>
        </is>
      </c>
      <c r="H2082" s="16" t="inlineStr">
        <is>
          <t>TL1455N20B</t>
        </is>
      </c>
      <c r="I2082" s="16" t="n">
        <v>3</v>
      </c>
      <c r="J2082" s="17" t="n">
        <v>222</v>
      </c>
      <c r="K2082" s="17" t="n">
        <v>285.18</v>
      </c>
      <c r="L2082" s="17" t="n">
        <v>0</v>
      </c>
      <c r="M2082" s="17" t="n">
        <v>0</v>
      </c>
      <c r="N2082" s="17">
        <f>K2082*0.08+L2082*0.08</f>
        <v/>
      </c>
      <c r="O2082" s="17">
        <f>-(K2082*0.025+L2082*0.025)</f>
        <v/>
      </c>
      <c r="P2082" s="17">
        <f>32</f>
        <v/>
      </c>
      <c r="Q2082" s="17">
        <f>J2082+L2082+N2082+O2082-P2082-M2082</f>
        <v/>
      </c>
    </row>
    <row r="2083">
      <c r="A2083" s="16" t="inlineStr">
        <is>
          <t>5.22-5.28</t>
        </is>
      </c>
      <c r="B2083" s="16" t="inlineStr">
        <is>
          <t>PO-128-05372529098870136</t>
        </is>
      </c>
      <c r="C2083" s="16" t="inlineStr">
        <is>
          <t>Shipped</t>
        </is>
      </c>
      <c r="D2083" s="16" t="inlineStr">
        <is>
          <t>128-05372487155830136</t>
        </is>
      </c>
      <c r="E2083" s="16" t="inlineStr">
        <is>
          <t>Shipped</t>
        </is>
      </c>
      <c r="F2083" s="16" t="inlineStr">
        <is>
          <t>KTS-2031</t>
        </is>
      </c>
      <c r="G2083" s="16" t="inlineStr">
        <is>
          <t>Bocina inalámbrica de 3 pulgadas con linterna multifuncional y panel solar integrado.Altavoz Portátil con Linterna LED 4 Modos, Radio FM, Bluetooth, Carga Solar, Ideal para Apagones, Emergencias, Campo y Exteriores</t>
        </is>
      </c>
      <c r="H2083" s="16" t="inlineStr">
        <is>
          <t>NEGRO</t>
        </is>
      </c>
      <c r="I2083" s="16" t="n">
        <v>1</v>
      </c>
      <c r="J2083" s="17" t="n">
        <v>90</v>
      </c>
      <c r="K2083" s="17" t="n">
        <v>99.22</v>
      </c>
      <c r="L2083" s="17" t="n">
        <v>25.86</v>
      </c>
      <c r="M2083" s="17" t="n">
        <v>0</v>
      </c>
      <c r="N2083" s="17">
        <f>K2083*0.08+L2083*0.08</f>
        <v/>
      </c>
      <c r="O2083" s="17">
        <f>-(K2083*0.025+L2083*0.025)</f>
        <v/>
      </c>
      <c r="P2083" s="17">
        <f>32</f>
        <v/>
      </c>
      <c r="Q2083" s="17">
        <f>J2083+L2083+N2083+O2083-P2083-M2083</f>
        <v/>
      </c>
    </row>
    <row r="2084">
      <c r="A2084" s="16" t="inlineStr">
        <is>
          <t>5.22-5.28</t>
        </is>
      </c>
      <c r="B2084" s="16" t="inlineStr">
        <is>
          <t>PO-128-04849067615353448</t>
        </is>
      </c>
      <c r="C2084" s="16" t="inlineStr">
        <is>
          <t>Shipped</t>
        </is>
      </c>
      <c r="D2084" s="16" t="inlineStr">
        <is>
          <t>128-04849004700793448</t>
        </is>
      </c>
      <c r="E2084" s="16" t="inlineStr">
        <is>
          <t>Shipped</t>
        </is>
      </c>
      <c r="F2084" s="16" t="inlineStr">
        <is>
          <t>LV54W25</t>
        </is>
      </c>
      <c r="G2084" s="16" t="inlineStr">
        <is>
          <t>TIANLAI Lámpara Ventilador E27 2 en 1, Silenciosa, LED Alta Luminosidad 180°, Instalación Rápida, Ahorro Energético para Dormitorio y Interiores Pequeños</t>
        </is>
      </c>
      <c r="H2084" s="16" t="inlineStr">
        <is>
          <t>1 Pieza</t>
        </is>
      </c>
      <c r="I2084" s="16" t="n">
        <v>1</v>
      </c>
      <c r="J2084" s="17" t="n">
        <v>74</v>
      </c>
      <c r="K2084" s="17" t="n">
        <v>76.26000000000001</v>
      </c>
      <c r="L2084" s="17" t="n">
        <v>25.86</v>
      </c>
      <c r="M2084" s="17" t="n">
        <v>0</v>
      </c>
      <c r="N2084" s="17">
        <f>K2084*0.08+L2084*0.08</f>
        <v/>
      </c>
      <c r="O2084" s="17">
        <f>-(K2084*0.025+L2084*0.025)</f>
        <v/>
      </c>
      <c r="P2084" s="17">
        <f>32</f>
        <v/>
      </c>
      <c r="Q2084" s="17">
        <f>J2084+L2084+N2084+O2084-P2084-M2084</f>
        <v/>
      </c>
    </row>
    <row r="2085">
      <c r="A2085" s="16" t="inlineStr">
        <is>
          <t>5.22-5.28</t>
        </is>
      </c>
      <c r="B2085" s="16" t="inlineStr">
        <is>
          <t>PO-128-05098156027512861</t>
        </is>
      </c>
      <c r="C2085" s="16" t="inlineStr">
        <is>
          <t>Shipped</t>
        </is>
      </c>
      <c r="D2085" s="16" t="inlineStr">
        <is>
          <t>128-05098135055992861</t>
        </is>
      </c>
      <c r="E2085" s="16" t="inlineStr">
        <is>
          <t>Shipped</t>
        </is>
      </c>
      <c r="F2085" s="16" t="inlineStr">
        <is>
          <t>LV64W25</t>
        </is>
      </c>
      <c r="G20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85" s="16" t="inlineStr">
        <is>
          <t>Blanco</t>
        </is>
      </c>
      <c r="I2085" s="16" t="n">
        <v>2</v>
      </c>
      <c r="J2085" s="17" t="n">
        <v>250</v>
      </c>
      <c r="K2085" s="17" t="n">
        <v>286.52</v>
      </c>
      <c r="L2085" s="17" t="n">
        <v>0</v>
      </c>
      <c r="M2085" s="17" t="n">
        <v>0</v>
      </c>
      <c r="N2085" s="17">
        <f>K2085*0.08+L2085*0.08</f>
        <v/>
      </c>
      <c r="O2085" s="17">
        <f>-(K2085*0.025+L2085*0.025)</f>
        <v/>
      </c>
      <c r="P2085" s="17">
        <f>32</f>
        <v/>
      </c>
      <c r="Q2085" s="17">
        <f>J2085+L2085+N2085+O2085-P2085-M2085</f>
        <v/>
      </c>
    </row>
    <row r="2086">
      <c r="A2086" s="16" t="inlineStr">
        <is>
          <t>5.22-5.28</t>
        </is>
      </c>
      <c r="B2086" s="16" t="inlineStr">
        <is>
          <t>PO-128-04920258998393857</t>
        </is>
      </c>
      <c r="C2086" s="16" t="inlineStr">
        <is>
          <t>Shipped</t>
        </is>
      </c>
      <c r="D2086" s="16" t="inlineStr">
        <is>
          <t>128-04920335020153857</t>
        </is>
      </c>
      <c r="E2086" s="16" t="inlineStr">
        <is>
          <t>Shipped</t>
        </is>
      </c>
      <c r="F2086" s="16" t="inlineStr">
        <is>
          <t>LMC01N</t>
        </is>
      </c>
      <c r="G2086" s="16" t="inlineStr">
        <is>
          <t>Tira de poder de 16 en 1, montable en pared, con interruptor mecánico - 10 tomas CA EE.UU. espaciosas + 4 USB + 2 Tipo-C - Extensión blanca para oficina, hogar y estudio - Enchufe EE.UU., 125V/15A/1850W con protección contra sobrecarga</t>
        </is>
      </c>
      <c r="H2086" s="16" t="inlineStr">
        <is>
          <t>NEGARO/LMC01</t>
        </is>
      </c>
      <c r="I2086" s="16" t="n">
        <v>1</v>
      </c>
      <c r="J2086" s="17" t="n">
        <v>101</v>
      </c>
      <c r="K2086" s="17" t="n">
        <v>133.53</v>
      </c>
      <c r="L2086" s="17" t="n">
        <v>0</v>
      </c>
      <c r="M2086" s="17" t="n">
        <v>0</v>
      </c>
      <c r="N2086" s="17">
        <f>K2086*0.08+L2086*0.08</f>
        <v/>
      </c>
      <c r="O2086" s="17">
        <f>-(K2086*0.025+L2086*0.025)</f>
        <v/>
      </c>
      <c r="P2086" s="17">
        <f>32</f>
        <v/>
      </c>
      <c r="Q2086" s="17">
        <f>J2086+L2086+N2086+O2086-P2086-M2086</f>
        <v/>
      </c>
    </row>
    <row r="2087">
      <c r="A2087" s="16" t="inlineStr">
        <is>
          <t>5.22-5.28</t>
        </is>
      </c>
      <c r="B2087" s="16" t="inlineStr">
        <is>
          <t>PO-128-04920258998393857</t>
        </is>
      </c>
      <c r="C2087" s="16" t="inlineStr">
        <is>
          <t>Shipped</t>
        </is>
      </c>
      <c r="D2087" s="16" t="inlineStr">
        <is>
          <t>128-04920314048633857</t>
        </is>
      </c>
      <c r="E2087" s="16" t="inlineStr">
        <is>
          <t>Shipped</t>
        </is>
      </c>
      <c r="F2087" s="16" t="inlineStr">
        <is>
          <t>LV54W25</t>
        </is>
      </c>
      <c r="G2087" s="16" t="inlineStr">
        <is>
          <t>TIANLAI Lámpara Ventilador E27 2 en 1, Silenciosa, LED Alta Luminosidad 180°, Instalación Rápida, Ahorro Energético para Dormitorio y Interiores Pequeños</t>
        </is>
      </c>
      <c r="H2087" s="16" t="inlineStr">
        <is>
          <t>1 Pieza</t>
        </is>
      </c>
      <c r="I2087" s="16" t="n">
        <v>2</v>
      </c>
      <c r="J2087" s="17" t="n">
        <v>148</v>
      </c>
      <c r="K2087" s="17" t="n">
        <v>152.52</v>
      </c>
      <c r="L2087" s="17" t="n">
        <v>0</v>
      </c>
      <c r="M2087" s="17" t="n">
        <v>0</v>
      </c>
      <c r="N2087" s="17">
        <f>K2087*0.08+L2087*0.08</f>
        <v/>
      </c>
      <c r="O2087" s="17">
        <f>-(K2087*0.025+L2087*0.025)</f>
        <v/>
      </c>
      <c r="P2087" s="17">
        <f>32</f>
        <v/>
      </c>
      <c r="Q2087" s="17">
        <f>J2087+L2087+N2087+O2087-P2087-M2087</f>
        <v/>
      </c>
    </row>
    <row r="2088">
      <c r="A2088" s="16" t="inlineStr">
        <is>
          <t>5.22-5.28</t>
        </is>
      </c>
      <c r="B2088" s="16" t="inlineStr">
        <is>
          <t>PO-128-05494775626870625</t>
        </is>
      </c>
      <c r="C2088" s="16" t="inlineStr">
        <is>
          <t>Shipped</t>
        </is>
      </c>
      <c r="D2088" s="16" t="inlineStr">
        <is>
          <t>128-05494759898230625</t>
        </is>
      </c>
      <c r="E2088" s="16" t="inlineStr">
        <is>
          <t>Shipped</t>
        </is>
      </c>
      <c r="F2088" s="16" t="inlineStr">
        <is>
          <t>TL2663N18C</t>
        </is>
      </c>
      <c r="G2088" s="16" t="inlineStr">
        <is>
          <t>Linkbits，Soporte de pared fijo para televisores de 26"-63", Ultra-Delgado Compatible con VESA 400x400mm, Capacidad de Peso Fuerte de 25KG, Instalación Fácil Sin Electricidad</t>
        </is>
      </c>
      <c r="H2088" s="16" t="inlineStr">
        <is>
          <t>NEGRO</t>
        </is>
      </c>
      <c r="I2088" s="16" t="n">
        <v>1</v>
      </c>
      <c r="J2088" s="17" t="n">
        <v>47</v>
      </c>
      <c r="K2088" s="17" t="n">
        <v>61.97</v>
      </c>
      <c r="L2088" s="17" t="n">
        <v>25.86</v>
      </c>
      <c r="M2088" s="17" t="n">
        <v>0</v>
      </c>
      <c r="N2088" s="17">
        <f>K2088*0.08+L2088*0.08</f>
        <v/>
      </c>
      <c r="O2088" s="17">
        <f>-(K2088*0.025+L2088*0.025)</f>
        <v/>
      </c>
      <c r="P2088" s="17">
        <f>32</f>
        <v/>
      </c>
      <c r="Q2088" s="17">
        <f>J2088+L2088+N2088+O2088-P2088-M2088</f>
        <v/>
      </c>
    </row>
    <row r="2089">
      <c r="A2089" s="16" t="inlineStr">
        <is>
          <t>5.22-5.28</t>
        </is>
      </c>
      <c r="B2089" s="16" t="inlineStr">
        <is>
          <t>PO-128-05131204815992790</t>
        </is>
      </c>
      <c r="C2089" s="16" t="inlineStr">
        <is>
          <t>Shipped</t>
        </is>
      </c>
      <c r="D2089" s="16" t="inlineStr">
        <is>
          <t>128-05131215301752790</t>
        </is>
      </c>
      <c r="E2089" s="16" t="inlineStr">
        <is>
          <t>Shipped</t>
        </is>
      </c>
      <c r="F2089" s="16" t="inlineStr">
        <is>
          <t>TL2663N18C</t>
        </is>
      </c>
      <c r="G2089" s="16" t="inlineStr">
        <is>
          <t>Linkbits，Soporte de pared fijo para televisores de 26"-63", Ultra-Delgado Compatible con VESA 400x400mm, Capacidad de Peso Fuerte de 25KG, Instalación Fácil Sin Electricidad</t>
        </is>
      </c>
      <c r="H2089" s="16" t="inlineStr">
        <is>
          <t>NEGRO</t>
        </is>
      </c>
      <c r="I2089" s="16" t="n">
        <v>1</v>
      </c>
      <c r="J2089" s="17" t="n">
        <v>47</v>
      </c>
      <c r="K2089" s="17" t="n">
        <v>52.63</v>
      </c>
      <c r="L2089" s="17" t="n">
        <v>25.86</v>
      </c>
      <c r="M2089" s="17" t="n">
        <v>0</v>
      </c>
      <c r="N2089" s="17">
        <f>K2089*0.08+L2089*0.08</f>
        <v/>
      </c>
      <c r="O2089" s="17">
        <f>-(K2089*0.025+L2089*0.025)</f>
        <v/>
      </c>
      <c r="P2089" s="17">
        <f>32</f>
        <v/>
      </c>
      <c r="Q2089" s="17">
        <f>J2089+L2089+N2089+O2089-P2089-M2089</f>
        <v/>
      </c>
    </row>
    <row r="2090">
      <c r="A2090" s="16" t="inlineStr">
        <is>
          <t>5.22-5.28</t>
        </is>
      </c>
      <c r="B2090" s="16" t="inlineStr">
        <is>
          <t>PO-128-05126735742072755</t>
        </is>
      </c>
      <c r="C2090" s="16" t="inlineStr">
        <is>
          <t>Shipped</t>
        </is>
      </c>
      <c r="D2090" s="16" t="inlineStr">
        <is>
          <t>128-05126756713592755</t>
        </is>
      </c>
      <c r="E2090" s="16" t="inlineStr">
        <is>
          <t>Shipped</t>
        </is>
      </c>
      <c r="F2090" s="16" t="inlineStr">
        <is>
          <t>LV54W25</t>
        </is>
      </c>
      <c r="G2090" s="16" t="inlineStr">
        <is>
          <t>TIANLAI Lámpara Ventilador E27 2 en 1, Silenciosa, LED Alta Luminosidad 180°, Instalación Rápida, Ahorro Energético para Dormitorio y Interiores Pequeños</t>
        </is>
      </c>
      <c r="H2090" s="16" t="inlineStr">
        <is>
          <t>1 Pieza</t>
        </is>
      </c>
      <c r="I2090" s="16" t="n">
        <v>1</v>
      </c>
      <c r="J2090" s="17" t="n">
        <v>74</v>
      </c>
      <c r="K2090" s="17" t="n">
        <v>76.26000000000001</v>
      </c>
      <c r="L2090" s="17" t="n">
        <v>25.86</v>
      </c>
      <c r="M2090" s="17" t="n">
        <v>0</v>
      </c>
      <c r="N2090" s="17">
        <f>K2090*0.08+L2090*0.08</f>
        <v/>
      </c>
      <c r="O2090" s="17">
        <f>-(K2090*0.025+L2090*0.025)</f>
        <v/>
      </c>
      <c r="P2090" s="17">
        <f>32</f>
        <v/>
      </c>
      <c r="Q2090" s="17">
        <f>J2090+L2090+N2090+O2090-P2090-M2090</f>
        <v/>
      </c>
    </row>
    <row r="2091">
      <c r="A2091" s="16" t="inlineStr">
        <is>
          <t>5.22-5.28</t>
        </is>
      </c>
      <c r="B2091" s="16" t="inlineStr">
        <is>
          <t>PO-128-05127595574392812</t>
        </is>
      </c>
      <c r="C2091" s="16" t="inlineStr">
        <is>
          <t>Shipped</t>
        </is>
      </c>
      <c r="D2091" s="16" t="inlineStr">
        <is>
          <t>128-05127553631352812</t>
        </is>
      </c>
      <c r="E2091" s="16" t="inlineStr">
        <is>
          <t>Shipped</t>
        </is>
      </c>
      <c r="F2091" s="16" t="inlineStr">
        <is>
          <t>LV64W25</t>
        </is>
      </c>
      <c r="G20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91" s="16" t="inlineStr">
        <is>
          <t>Blanco</t>
        </is>
      </c>
      <c r="I2091" s="16" t="n">
        <v>2</v>
      </c>
      <c r="J2091" s="17" t="n">
        <v>250</v>
      </c>
      <c r="K2091" s="17" t="n">
        <v>257.88</v>
      </c>
      <c r="L2091" s="17" t="n">
        <v>0</v>
      </c>
      <c r="M2091" s="17" t="n">
        <v>0</v>
      </c>
      <c r="N2091" s="17">
        <f>K2091*0.08+L2091*0.08</f>
        <v/>
      </c>
      <c r="O2091" s="17">
        <f>-(K2091*0.025+L2091*0.025)</f>
        <v/>
      </c>
      <c r="P2091" s="17">
        <f>32</f>
        <v/>
      </c>
      <c r="Q2091" s="17">
        <f>J2091+L2091+N2091+O2091-P2091-M2091</f>
        <v/>
      </c>
    </row>
    <row r="2092">
      <c r="A2092" s="16" t="inlineStr">
        <is>
          <t>5.22-5.28</t>
        </is>
      </c>
      <c r="B2092" s="16" t="inlineStr">
        <is>
          <t>PO-128-05309958085751599</t>
        </is>
      </c>
      <c r="C2092" s="16" t="inlineStr">
        <is>
          <t>Shipped</t>
        </is>
      </c>
      <c r="D2092" s="16" t="inlineStr">
        <is>
          <t>128-05309916142711599</t>
        </is>
      </c>
      <c r="E2092" s="16" t="inlineStr">
        <is>
          <t>Shipped</t>
        </is>
      </c>
      <c r="F2092" s="16" t="inlineStr">
        <is>
          <t>LV54W25</t>
        </is>
      </c>
      <c r="G2092" s="16" t="inlineStr">
        <is>
          <t>TIANLAI Lámpara Ventilador E27 2 en 1, Silenciosa, LED Alta Luminosidad 180°, Instalación Rápida, Ahorro Energético para Dormitorio y Interiores Pequeños</t>
        </is>
      </c>
      <c r="H2092" s="16" t="inlineStr">
        <is>
          <t>1 Pieza</t>
        </is>
      </c>
      <c r="I2092" s="16" t="n">
        <v>4</v>
      </c>
      <c r="J2092" s="17" t="n">
        <v>296</v>
      </c>
      <c r="K2092" s="17" t="n">
        <v>261.92</v>
      </c>
      <c r="L2092" s="17" t="n">
        <v>0</v>
      </c>
      <c r="M2092" s="17" t="n">
        <v>0</v>
      </c>
      <c r="N2092" s="17">
        <f>K2092*0.08+L2092*0.08</f>
        <v/>
      </c>
      <c r="O2092" s="17">
        <f>-(K2092*0.025+L2092*0.025)</f>
        <v/>
      </c>
      <c r="P2092" s="17">
        <f>32</f>
        <v/>
      </c>
      <c r="Q2092" s="17">
        <f>J2092+L2092+N2092+O2092-P2092-M2092</f>
        <v/>
      </c>
    </row>
    <row r="2093">
      <c r="A2093" s="16" t="inlineStr">
        <is>
          <t>5.22-5.28</t>
        </is>
      </c>
      <c r="B2093" s="16" t="inlineStr">
        <is>
          <t>PO-128-05452596449910874</t>
        </is>
      </c>
      <c r="C2093" s="16" t="inlineStr">
        <is>
          <t>Shipped</t>
        </is>
      </c>
      <c r="D2093" s="16" t="inlineStr">
        <is>
          <t>128-05452762255990874</t>
        </is>
      </c>
      <c r="E2093" s="16" t="inlineStr">
        <is>
          <t>Shipped</t>
        </is>
      </c>
      <c r="F2093" s="16" t="inlineStr">
        <is>
          <t>VB349T</t>
        </is>
      </c>
      <c r="G2093" s="16" t="inlineStr">
        <is>
          <t>LINKBITS Altavoz Portátil de Doble Altavoz - 3 Pulgadas, Sonido HD, Emparejamiento Rápido de Bluetooth, Conectividad TWS, Reproducción Multimodo (Micro SD/USB/Radio FM) - Perfecto para Oficina, Viajes y Espacios Pequeños</t>
        </is>
      </c>
      <c r="H2093" s="16" t="inlineStr">
        <is>
          <t>NEGRO</t>
        </is>
      </c>
      <c r="I2093" s="16" t="n">
        <v>1</v>
      </c>
      <c r="J2093" s="17" t="n">
        <v>80</v>
      </c>
      <c r="K2093" s="17" t="n">
        <v>41.54</v>
      </c>
      <c r="L2093" s="17" t="n">
        <v>25.86</v>
      </c>
      <c r="M2093" s="17" t="n">
        <v>0</v>
      </c>
      <c r="N2093" s="17">
        <f>K2093*0.08+L2093*0.08</f>
        <v/>
      </c>
      <c r="O2093" s="17">
        <f>-(K2093*0.025+L2093*0.025)</f>
        <v/>
      </c>
      <c r="P2093" s="17">
        <f>32</f>
        <v/>
      </c>
      <c r="Q2093" s="17">
        <f>J2093+L2093+N2093+O2093-P2093-M2093</f>
        <v/>
      </c>
    </row>
    <row r="2094">
      <c r="A2094" s="16" t="inlineStr">
        <is>
          <t>5.22-5.28</t>
        </is>
      </c>
      <c r="B2094" s="16" t="inlineStr">
        <is>
          <t>PO-128-04998066632312496</t>
        </is>
      </c>
      <c r="C2094" s="16" t="inlineStr">
        <is>
          <t>Shipped</t>
        </is>
      </c>
      <c r="D2094" s="16" t="inlineStr">
        <is>
          <t>128-04998024689272496</t>
        </is>
      </c>
      <c r="E2094" s="16" t="inlineStr">
        <is>
          <t>Shipped</t>
        </is>
      </c>
      <c r="F2094" s="16" t="inlineStr">
        <is>
          <t>i12-B</t>
        </is>
      </c>
      <c r="G2094" s="16" t="inlineStr">
        <is>
          <t>Auriculares Inalámbricos TWS - Ideales para Usuarios Android e iPhone, Entusiastas del Deporte &amp; Música, Controles Táctiles, Audífonos Para Correr y Jugar</t>
        </is>
      </c>
      <c r="H2094" s="16" t="inlineStr">
        <is>
          <t>Blanco</t>
        </is>
      </c>
      <c r="I2094" s="16" t="n">
        <v>1</v>
      </c>
      <c r="J2094" s="17" t="n">
        <v>45.8</v>
      </c>
      <c r="K2094" s="17" t="n">
        <v>53.14</v>
      </c>
      <c r="L2094" s="17" t="n">
        <v>25.86</v>
      </c>
      <c r="M2094" s="17" t="n">
        <v>0</v>
      </c>
      <c r="N2094" s="17">
        <f>K2094*0.08+L2094*0.08</f>
        <v/>
      </c>
      <c r="O2094" s="17">
        <f>-(K2094*0.025+L2094*0.025)</f>
        <v/>
      </c>
      <c r="P2094" s="17">
        <f>32</f>
        <v/>
      </c>
      <c r="Q2094" s="17">
        <f>J2094+L2094+N2094+O2094-P2094-M2094</f>
        <v/>
      </c>
    </row>
    <row r="2095">
      <c r="A2095" s="16" t="inlineStr">
        <is>
          <t>5.22-5.28</t>
        </is>
      </c>
      <c r="B2095" s="16" t="inlineStr">
        <is>
          <t>PO-128-05294929582711750</t>
        </is>
      </c>
      <c r="C2095" s="16" t="inlineStr">
        <is>
          <t>Shipped</t>
        </is>
      </c>
      <c r="D2095" s="16" t="inlineStr">
        <is>
          <t>128-05295034440311750</t>
        </is>
      </c>
      <c r="E2095" s="16" t="inlineStr">
        <is>
          <t>Shipped</t>
        </is>
      </c>
      <c r="F2095" s="16" t="inlineStr">
        <is>
          <t>TL1455N20B</t>
        </is>
      </c>
      <c r="G2095" s="16" t="inlineStr">
        <is>
          <t>LINK BITS Soporte para TV 14 A 55 Pulgadas, Base para TV Pantalla Articulado Inclinable y Giratorio, MAX VESA 400×400 mm, Soporta hasta 18kg, adaptarse a la mayoría de los televisores de 14 Pulgadas/20 Pulgadas/32 Pulgadas/42 Pulgadas/55 pulgadas</t>
        </is>
      </c>
      <c r="H2095" s="16" t="inlineStr">
        <is>
          <t>TL1455N20B</t>
        </is>
      </c>
      <c r="I2095" s="16" t="n">
        <v>1</v>
      </c>
      <c r="J2095" s="17" t="n">
        <v>74</v>
      </c>
      <c r="K2095" s="17" t="n">
        <v>51.96</v>
      </c>
      <c r="L2095" s="17" t="n">
        <v>25.86</v>
      </c>
      <c r="M2095" s="17" t="n">
        <v>0</v>
      </c>
      <c r="N2095" s="17">
        <f>K2095*0.08+L2095*0.08</f>
        <v/>
      </c>
      <c r="O2095" s="17">
        <f>-(K2095*0.025+L2095*0.025)</f>
        <v/>
      </c>
      <c r="P2095" s="17">
        <f>32</f>
        <v/>
      </c>
      <c r="Q2095" s="17">
        <f>J2095+L2095+N2095+O2095-P2095-M2095</f>
        <v/>
      </c>
    </row>
    <row r="2096">
      <c r="A2096" s="16" t="inlineStr">
        <is>
          <t>5.22-5.28</t>
        </is>
      </c>
      <c r="B2096" s="16" t="inlineStr">
        <is>
          <t>PO-128-04981645932153682</t>
        </is>
      </c>
      <c r="C2096" s="16" t="inlineStr">
        <is>
          <t>Shipped</t>
        </is>
      </c>
      <c r="D2096" s="16" t="inlineStr">
        <is>
          <t>128-04981651175033682</t>
        </is>
      </c>
      <c r="E2096" s="16" t="inlineStr">
        <is>
          <t>Shipped</t>
        </is>
      </c>
      <c r="F2096" s="16" t="inlineStr">
        <is>
          <t>LV64W25</t>
        </is>
      </c>
      <c r="G20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096" s="16" t="inlineStr">
        <is>
          <t>Blanco</t>
        </is>
      </c>
      <c r="I2096" s="16" t="n">
        <v>10</v>
      </c>
      <c r="J2096" s="17" t="n">
        <v>1250</v>
      </c>
      <c r="K2096" s="17" t="n">
        <v>1137.16</v>
      </c>
      <c r="L2096" s="17" t="n">
        <v>0</v>
      </c>
      <c r="M2096" s="17" t="n">
        <v>0</v>
      </c>
      <c r="N2096" s="17">
        <f>K2096*0.08+L2096*0.08</f>
        <v/>
      </c>
      <c r="O2096" s="17">
        <f>-(K2096*0.025+L2096*0.025)</f>
        <v/>
      </c>
      <c r="P2096" s="17">
        <f>32</f>
        <v/>
      </c>
      <c r="Q2096" s="17">
        <f>J2096+L2096+N2096+O2096-P2096-M2096</f>
        <v/>
      </c>
    </row>
    <row r="2097">
      <c r="A2097" s="16" t="inlineStr">
        <is>
          <t>5.22-5.28</t>
        </is>
      </c>
      <c r="B2097" s="16" t="inlineStr">
        <is>
          <t>PO-128-05108187751032929</t>
        </is>
      </c>
      <c r="C2097" s="16" t="inlineStr">
        <is>
          <t>Shipped</t>
        </is>
      </c>
      <c r="D2097" s="16" t="inlineStr">
        <is>
          <t>128-05108166779512929</t>
        </is>
      </c>
      <c r="E2097" s="16" t="inlineStr">
        <is>
          <t>Shipped</t>
        </is>
      </c>
      <c r="F2097" s="16" t="inlineStr">
        <is>
          <t>KTS-2031</t>
        </is>
      </c>
      <c r="G2097" s="16" t="inlineStr">
        <is>
          <t>Bocina inalámbrica de 3 pulgadas con linterna multifuncional y panel solar integrado.Altavoz Portátil con Linterna LED 4 Modos, Radio FM, Bluetooth, Carga Solar, Ideal para Apagones, Emergencias, Campo y Exteriores</t>
        </is>
      </c>
      <c r="H2097" s="16" t="inlineStr">
        <is>
          <t>NEGRO</t>
        </is>
      </c>
      <c r="I2097" s="16" t="n">
        <v>1</v>
      </c>
      <c r="J2097" s="17" t="n">
        <v>90</v>
      </c>
      <c r="K2097" s="17" t="n">
        <v>95.58</v>
      </c>
      <c r="L2097" s="17" t="n">
        <v>25.86</v>
      </c>
      <c r="M2097" s="17" t="n">
        <v>0</v>
      </c>
      <c r="N2097" s="17">
        <f>K2097*0.08+L2097*0.08</f>
        <v/>
      </c>
      <c r="O2097" s="17">
        <f>-(K2097*0.025+L2097*0.025)</f>
        <v/>
      </c>
      <c r="P2097" s="17">
        <f>32</f>
        <v/>
      </c>
      <c r="Q2097" s="17">
        <f>J2097+L2097+N2097+O2097-P2097-M2097</f>
        <v/>
      </c>
    </row>
    <row r="2098">
      <c r="A2098" s="16" t="inlineStr">
        <is>
          <t>5.22-5.28</t>
        </is>
      </c>
      <c r="B2098" s="16" t="inlineStr">
        <is>
          <t>PO-128-05471190072950764</t>
        </is>
      </c>
      <c r="C2098" s="16" t="inlineStr">
        <is>
          <t>Shipped</t>
        </is>
      </c>
      <c r="D2098" s="16" t="inlineStr">
        <is>
          <t>128-05471148129910764</t>
        </is>
      </c>
      <c r="E2098" s="16" t="inlineStr">
        <is>
          <t>Shipped</t>
        </is>
      </c>
      <c r="F2098" s="16" t="inlineStr">
        <is>
          <t>LV54W25</t>
        </is>
      </c>
      <c r="G2098" s="16" t="inlineStr">
        <is>
          <t>TIANLAI Lámpara Ventilador E27 2 en 1, Silenciosa, LED Alta Luminosidad 180°, Instalación Rápida, Ahorro Energético para Dormitorio y Interiores Pequeños</t>
        </is>
      </c>
      <c r="H2098" s="16" t="inlineStr">
        <is>
          <t>1 Pieza</t>
        </is>
      </c>
      <c r="I2098" s="16" t="n">
        <v>1</v>
      </c>
      <c r="J2098" s="17" t="n">
        <v>74</v>
      </c>
      <c r="K2098" s="17" t="n">
        <v>33.16</v>
      </c>
      <c r="L2098" s="17" t="n">
        <v>25.86</v>
      </c>
      <c r="M2098" s="17" t="n">
        <v>0</v>
      </c>
      <c r="N2098" s="17">
        <f>K2098*0.08+L2098*0.08</f>
        <v/>
      </c>
      <c r="O2098" s="17">
        <f>-(K2098*0.025+L2098*0.025)</f>
        <v/>
      </c>
      <c r="P2098" s="17">
        <f>32</f>
        <v/>
      </c>
      <c r="Q2098" s="17">
        <f>J2098+L2098+N2098+O2098-P2098-M2098</f>
        <v/>
      </c>
    </row>
    <row r="2099">
      <c r="A2099" s="16" t="inlineStr">
        <is>
          <t>5.22-5.28</t>
        </is>
      </c>
      <c r="B2099" s="16" t="inlineStr">
        <is>
          <t>PO-128-05072048497272953</t>
        </is>
      </c>
      <c r="C2099" s="16" t="inlineStr">
        <is>
          <t>Shipped</t>
        </is>
      </c>
      <c r="D2099" s="16" t="inlineStr">
        <is>
          <t>128-05072006554232953</t>
        </is>
      </c>
      <c r="E2099" s="16" t="inlineStr">
        <is>
          <t>Shipped</t>
        </is>
      </c>
      <c r="F2099" s="16" t="inlineStr">
        <is>
          <t>LV54W25</t>
        </is>
      </c>
      <c r="G2099" s="16" t="inlineStr">
        <is>
          <t>TIANLAI Lámpara Ventilador E27 2 en 1, Silenciosa, LED Alta Luminosidad 180°, Instalación Rápida, Ahorro Energético para Dormitorio y Interiores Pequeños</t>
        </is>
      </c>
      <c r="H2099" s="16" t="inlineStr">
        <is>
          <t>1 Pieza</t>
        </is>
      </c>
      <c r="I2099" s="16" t="n">
        <v>2</v>
      </c>
      <c r="J2099" s="17" t="n">
        <v>148</v>
      </c>
      <c r="K2099" s="17" t="n">
        <v>152.52</v>
      </c>
      <c r="L2099" s="17" t="n">
        <v>25.86</v>
      </c>
      <c r="M2099" s="17" t="n">
        <v>0</v>
      </c>
      <c r="N2099" s="17">
        <f>K2099*0.08+L2099*0.08</f>
        <v/>
      </c>
      <c r="O2099" s="17">
        <f>-(K2099*0.025+L2099*0.025)</f>
        <v/>
      </c>
      <c r="P2099" s="17">
        <f>32</f>
        <v/>
      </c>
      <c r="Q2099" s="17">
        <f>J2099+L2099+N2099+O2099-P2099-M2099</f>
        <v/>
      </c>
    </row>
    <row r="2100">
      <c r="A2100" s="16" t="inlineStr">
        <is>
          <t>5.22-5.28</t>
        </is>
      </c>
      <c r="B2100" s="16" t="inlineStr">
        <is>
          <t>PO-128-05495077796470623</t>
        </is>
      </c>
      <c r="C2100" s="16" t="inlineStr">
        <is>
          <t>Shipped</t>
        </is>
      </c>
      <c r="D2100" s="16" t="inlineStr">
        <is>
          <t>128-05495182654070623</t>
        </is>
      </c>
      <c r="E2100" s="16" t="inlineStr">
        <is>
          <t>Shipped</t>
        </is>
      </c>
      <c r="F2100" s="16" t="inlineStr">
        <is>
          <t>i12-B</t>
        </is>
      </c>
      <c r="G2100" s="16" t="inlineStr">
        <is>
          <t>Auriculares Inalámbricos TWS - Ideales para Usuarios Android e iPhone, Entusiastas del Deporte &amp; Música, Controles Táctiles, Audífonos Para Correr y Jugar</t>
        </is>
      </c>
      <c r="H2100" s="16" t="inlineStr">
        <is>
          <t>Blanco</t>
        </is>
      </c>
      <c r="I2100" s="16" t="n">
        <v>1</v>
      </c>
      <c r="J2100" s="17" t="n">
        <v>45.8</v>
      </c>
      <c r="K2100" s="17" t="n">
        <v>53.14</v>
      </c>
      <c r="L2100" s="17" t="n">
        <v>25.86</v>
      </c>
      <c r="M2100" s="17" t="n">
        <v>0</v>
      </c>
      <c r="N2100" s="17">
        <f>K2100*0.08+L2100*0.08</f>
        <v/>
      </c>
      <c r="O2100" s="17">
        <f>-(K2100*0.025+L2100*0.025)</f>
        <v/>
      </c>
      <c r="P2100" s="17">
        <f>32</f>
        <v/>
      </c>
      <c r="Q2100" s="17">
        <f>J2100+L2100+N2100+O2100-P2100-M2100</f>
        <v/>
      </c>
    </row>
    <row r="2101">
      <c r="A2101" s="16" t="inlineStr">
        <is>
          <t>5.22-5.28</t>
        </is>
      </c>
      <c r="B2101" s="16" t="inlineStr">
        <is>
          <t>PO-128-04954642770553781</t>
        </is>
      </c>
      <c r="C2101" s="16" t="inlineStr">
        <is>
          <t>Shipped</t>
        </is>
      </c>
      <c r="D2101" s="16" t="inlineStr">
        <is>
          <t>128-04954600827513781</t>
        </is>
      </c>
      <c r="E2101" s="16" t="inlineStr">
        <is>
          <t>Shipped</t>
        </is>
      </c>
      <c r="F2101" s="16" t="inlineStr">
        <is>
          <t>KTS-2031</t>
        </is>
      </c>
      <c r="G2101" s="16" t="inlineStr">
        <is>
          <t>Bocina inalámbrica de 3 pulgadas con linterna multifuncional y panel solar integrado.Altavoz Portátil con Linterna LED 4 Modos, Radio FM, Bluetooth, Carga Solar, Ideal para Apagones, Emergencias, Campo y Exteriores</t>
        </is>
      </c>
      <c r="H2101" s="16" t="inlineStr">
        <is>
          <t>NEGRO</t>
        </is>
      </c>
      <c r="I2101" s="16" t="n">
        <v>1</v>
      </c>
      <c r="J2101" s="17" t="n">
        <v>90</v>
      </c>
      <c r="K2101" s="17" t="n">
        <v>99.22</v>
      </c>
      <c r="L2101" s="17" t="n">
        <v>25.86</v>
      </c>
      <c r="M2101" s="17" t="n">
        <v>0</v>
      </c>
      <c r="N2101" s="17">
        <f>K2101*0.08+L2101*0.08</f>
        <v/>
      </c>
      <c r="O2101" s="17">
        <f>-(K2101*0.025+L2101*0.025)</f>
        <v/>
      </c>
      <c r="P2101" s="17">
        <f>32</f>
        <v/>
      </c>
      <c r="Q2101" s="17">
        <f>J2101+L2101+N2101+O2101-P2101-M2101</f>
        <v/>
      </c>
    </row>
    <row r="2102">
      <c r="A2102" s="16" t="inlineStr">
        <is>
          <t>5.22-5.28</t>
        </is>
      </c>
      <c r="B2102" s="16" t="inlineStr">
        <is>
          <t>PO-128-05343314852470502</t>
        </is>
      </c>
      <c r="C2102" s="16" t="inlineStr">
        <is>
          <t>Shipped</t>
        </is>
      </c>
      <c r="D2102" s="16" t="inlineStr">
        <is>
          <t>128-05343335823990502</t>
        </is>
      </c>
      <c r="E2102" s="16" t="inlineStr">
        <is>
          <t>Shipped</t>
        </is>
      </c>
      <c r="F2102" s="16" t="inlineStr">
        <is>
          <t>LV54W25</t>
        </is>
      </c>
      <c r="G2102" s="16" t="inlineStr">
        <is>
          <t>TIANLAI Lámpara Ventilador E27 2 en 1, Silenciosa, LED Alta Luminosidad 180°, Instalación Rápida, Ahorro Energético para Dormitorio y Interiores Pequeños</t>
        </is>
      </c>
      <c r="H2102" s="16" t="inlineStr">
        <is>
          <t>1 Pieza</t>
        </is>
      </c>
      <c r="I2102" s="16" t="n">
        <v>1</v>
      </c>
      <c r="J2102" s="17" t="n">
        <v>74</v>
      </c>
      <c r="K2102" s="17" t="n">
        <v>85.68000000000001</v>
      </c>
      <c r="L2102" s="17" t="n">
        <v>25.86</v>
      </c>
      <c r="M2102" s="17" t="n">
        <v>0</v>
      </c>
      <c r="N2102" s="17">
        <f>K2102*0.08+L2102*0.08</f>
        <v/>
      </c>
      <c r="O2102" s="17">
        <f>-(K2102*0.025+L2102*0.025)</f>
        <v/>
      </c>
      <c r="P2102" s="17">
        <f>32</f>
        <v/>
      </c>
      <c r="Q2102" s="17">
        <f>J2102+L2102+N2102+O2102-P2102-M2102</f>
        <v/>
      </c>
    </row>
    <row r="2103">
      <c r="A2103" s="16" t="inlineStr">
        <is>
          <t>5.22-5.28</t>
        </is>
      </c>
      <c r="B2103" s="16" t="inlineStr">
        <is>
          <t>PO-128-05392541133430016</t>
        </is>
      </c>
      <c r="C2103" s="16" t="inlineStr">
        <is>
          <t>Shipped</t>
        </is>
      </c>
      <c r="D2103" s="16" t="inlineStr">
        <is>
          <t>128-05392609290870016</t>
        </is>
      </c>
      <c r="E2103" s="16" t="inlineStr">
        <is>
          <t>Shipped</t>
        </is>
      </c>
      <c r="F2103" s="16" t="inlineStr">
        <is>
          <t>KTS-2031</t>
        </is>
      </c>
      <c r="G2103" s="16" t="inlineStr">
        <is>
          <t>Bocina inalámbrica de 3 pulgadas con linterna multifuncional y panel solar integrado.Altavoz Portátil con Linterna LED 4 Modos, Radio FM, Bluetooth, Carga Solar, Ideal para Apagones, Emergencias, Campo y Exteriores</t>
        </is>
      </c>
      <c r="H2103" s="16" t="inlineStr">
        <is>
          <t>NEGRO</t>
        </is>
      </c>
      <c r="I2103" s="16" t="n">
        <v>2</v>
      </c>
      <c r="J2103" s="17" t="n">
        <v>180</v>
      </c>
      <c r="K2103" s="17" t="n">
        <v>198.44</v>
      </c>
      <c r="L2103" s="17" t="n">
        <v>25.86</v>
      </c>
      <c r="M2103" s="17" t="n">
        <v>0</v>
      </c>
      <c r="N2103" s="17">
        <f>K2103*0.08+L2103*0.08</f>
        <v/>
      </c>
      <c r="O2103" s="17">
        <f>-(K2103*0.025+L2103*0.025)</f>
        <v/>
      </c>
      <c r="P2103" s="17">
        <f>32</f>
        <v/>
      </c>
      <c r="Q2103" s="17">
        <f>J2103+L2103+N2103+O2103-P2103-M2103</f>
        <v/>
      </c>
    </row>
    <row r="2104">
      <c r="A2104" s="16" t="inlineStr">
        <is>
          <t>5.22-5.28</t>
        </is>
      </c>
      <c r="B2104" s="16" t="inlineStr">
        <is>
          <t>PO-128-05030158198392176</t>
        </is>
      </c>
      <c r="C2104" s="16" t="inlineStr">
        <is>
          <t>Shipped</t>
        </is>
      </c>
      <c r="D2104" s="16" t="inlineStr">
        <is>
          <t>128-05030168684152176</t>
        </is>
      </c>
      <c r="E2104" s="16" t="inlineStr">
        <is>
          <t>Shipped</t>
        </is>
      </c>
      <c r="F2104" s="16" t="inlineStr">
        <is>
          <t>LV54W25</t>
        </is>
      </c>
      <c r="G2104" s="16" t="inlineStr">
        <is>
          <t>TIANLAI Lámpara Ventilador E27 2 en 1, Silenciosa, LED Alta Luminosidad 180°, Instalación Rápida, Ahorro Energético para Dormitorio y Interiores Pequeños</t>
        </is>
      </c>
      <c r="H2104" s="16" t="inlineStr">
        <is>
          <t>1 Pieza</t>
        </is>
      </c>
      <c r="I2104" s="16" t="n">
        <v>1</v>
      </c>
      <c r="J2104" s="17" t="n">
        <v>74</v>
      </c>
      <c r="K2104" s="17" t="n">
        <v>72.23999999999999</v>
      </c>
      <c r="L2104" s="17" t="n">
        <v>25.86</v>
      </c>
      <c r="M2104" s="17" t="n">
        <v>0</v>
      </c>
      <c r="N2104" s="17">
        <f>K2104*0.08+L2104*0.08</f>
        <v/>
      </c>
      <c r="O2104" s="17">
        <f>-(K2104*0.025+L2104*0.025)</f>
        <v/>
      </c>
      <c r="P2104" s="17">
        <f>32</f>
        <v/>
      </c>
      <c r="Q2104" s="17">
        <f>J2104+L2104+N2104+O2104-P2104-M2104</f>
        <v/>
      </c>
    </row>
    <row r="2105">
      <c r="A2105" s="16" t="inlineStr">
        <is>
          <t>5.22-5.28</t>
        </is>
      </c>
      <c r="B2105" s="16" t="inlineStr">
        <is>
          <t>PO-128-05435195331190786</t>
        </is>
      </c>
      <c r="C2105" s="16" t="inlineStr">
        <is>
          <t>Shipped</t>
        </is>
      </c>
      <c r="D2105" s="16" t="inlineStr">
        <is>
          <t>128-05435153388150786</t>
        </is>
      </c>
      <c r="E2105" s="16" t="inlineStr">
        <is>
          <t>Shipped</t>
        </is>
      </c>
      <c r="F2105" s="16" t="inlineStr">
        <is>
          <t>LV64W25</t>
        </is>
      </c>
      <c r="G21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05" s="16" t="inlineStr">
        <is>
          <t>Blanco</t>
        </is>
      </c>
      <c r="I2105" s="16" t="n">
        <v>1</v>
      </c>
      <c r="J2105" s="17" t="n">
        <v>125</v>
      </c>
      <c r="K2105" s="17" t="n">
        <v>90.26000000000001</v>
      </c>
      <c r="L2105" s="17" t="n">
        <v>25.86</v>
      </c>
      <c r="M2105" s="17" t="n">
        <v>0</v>
      </c>
      <c r="N2105" s="17">
        <f>K2105*0.08+L2105*0.08</f>
        <v/>
      </c>
      <c r="O2105" s="17">
        <f>-(K2105*0.025+L2105*0.025)</f>
        <v/>
      </c>
      <c r="P2105" s="17">
        <f>32</f>
        <v/>
      </c>
      <c r="Q2105" s="17">
        <f>J2105+L2105+N2105+O2105-P2105-M2105</f>
        <v/>
      </c>
    </row>
    <row r="2106">
      <c r="A2106" s="16" t="inlineStr">
        <is>
          <t>5.22-5.28</t>
        </is>
      </c>
      <c r="B2106" s="16" t="inlineStr">
        <is>
          <t>PO-128-04984680167032449</t>
        </is>
      </c>
      <c r="C2106" s="16" t="inlineStr">
        <is>
          <t>Shipped</t>
        </is>
      </c>
      <c r="D2106" s="16" t="inlineStr">
        <is>
          <t>128-04984739149432449</t>
        </is>
      </c>
      <c r="E2106" s="16" t="inlineStr">
        <is>
          <t>Shipped</t>
        </is>
      </c>
      <c r="F2106" s="16" t="inlineStr">
        <is>
          <t>LV54W25</t>
        </is>
      </c>
      <c r="G2106" s="16" t="inlineStr">
        <is>
          <t>TIANLAI Lámpara Ventilador E27 2 en 1, Silenciosa, LED Alta Luminosidad 180°, Instalación Rápida, Ahorro Energético para Dormitorio y Interiores Pequeños</t>
        </is>
      </c>
      <c r="H2106" s="16" t="inlineStr">
        <is>
          <t>1 Pieza</t>
        </is>
      </c>
      <c r="I2106" s="16" t="n">
        <v>1</v>
      </c>
      <c r="J2106" s="17" t="n">
        <v>74</v>
      </c>
      <c r="K2106" s="17" t="n">
        <v>77.12</v>
      </c>
      <c r="L2106" s="17" t="n">
        <v>25.86</v>
      </c>
      <c r="M2106" s="17" t="n">
        <v>0</v>
      </c>
      <c r="N2106" s="17">
        <f>K2106*0.08+L2106*0.08</f>
        <v/>
      </c>
      <c r="O2106" s="17">
        <f>-(K2106*0.025+L2106*0.025)</f>
        <v/>
      </c>
      <c r="P2106" s="17">
        <f>32</f>
        <v/>
      </c>
      <c r="Q2106" s="17">
        <f>J2106+L2106+N2106+O2106-P2106-M2106</f>
        <v/>
      </c>
    </row>
    <row r="2107">
      <c r="A2107" s="16" t="inlineStr">
        <is>
          <t>5.22-5.28</t>
        </is>
      </c>
      <c r="B2107" s="16" t="inlineStr">
        <is>
          <t>PO-128-05436899185270776</t>
        </is>
      </c>
      <c r="C2107" s="16" t="inlineStr">
        <is>
          <t>Shipped</t>
        </is>
      </c>
      <c r="D2107" s="16" t="inlineStr">
        <is>
          <t>128-05436878213750776</t>
        </is>
      </c>
      <c r="E2107" s="16" t="inlineStr">
        <is>
          <t>Shipped</t>
        </is>
      </c>
      <c r="F2107" s="16" t="inlineStr">
        <is>
          <t>LV54W25</t>
        </is>
      </c>
      <c r="G2107" s="16" t="inlineStr">
        <is>
          <t>TIANLAI Lámpara Ventilador E27 2 en 1, Silenciosa, LED Alta Luminosidad 180°, Instalación Rápida, Ahorro Energético para Dormitorio y Interiores Pequeños</t>
        </is>
      </c>
      <c r="H2107" s="16" t="inlineStr">
        <is>
          <t>1 Pieza</t>
        </is>
      </c>
      <c r="I2107" s="16" t="n">
        <v>1</v>
      </c>
      <c r="J2107" s="17" t="n">
        <v>74</v>
      </c>
      <c r="K2107" s="17" t="n">
        <v>57.17</v>
      </c>
      <c r="L2107" s="17" t="n">
        <v>25.86</v>
      </c>
      <c r="M2107" s="17" t="n">
        <v>0</v>
      </c>
      <c r="N2107" s="17">
        <f>K2107*0.08+L2107*0.08</f>
        <v/>
      </c>
      <c r="O2107" s="17">
        <f>-(K2107*0.025+L2107*0.025)</f>
        <v/>
      </c>
      <c r="P2107" s="17">
        <f>32</f>
        <v/>
      </c>
      <c r="Q2107" s="17">
        <f>J2107+L2107+N2107+O2107-P2107-M2107</f>
        <v/>
      </c>
    </row>
    <row r="2108">
      <c r="A2108" s="16" t="inlineStr">
        <is>
          <t>5.22-5.28</t>
        </is>
      </c>
      <c r="B2108" s="16" t="inlineStr">
        <is>
          <t>PO-128-05140211123832608</t>
        </is>
      </c>
      <c r="C2108" s="16" t="inlineStr">
        <is>
          <t>Shipped</t>
        </is>
      </c>
      <c r="D2108" s="16" t="inlineStr">
        <is>
          <t>128-05140237338232608</t>
        </is>
      </c>
      <c r="E2108" s="16" t="inlineStr">
        <is>
          <t>Shipped</t>
        </is>
      </c>
      <c r="F2108" s="16" t="inlineStr">
        <is>
          <t>LV54W25</t>
        </is>
      </c>
      <c r="G2108" s="16" t="inlineStr">
        <is>
          <t>TIANLAI Lámpara Ventilador E27 2 en 1, Silenciosa, LED Alta Luminosidad 180°, Instalación Rápida, Ahorro Energético para Dormitorio y Interiores Pequeños</t>
        </is>
      </c>
      <c r="H2108" s="16" t="inlineStr">
        <is>
          <t>1 Pieza</t>
        </is>
      </c>
      <c r="I2108" s="16" t="n">
        <v>1</v>
      </c>
      <c r="J2108" s="17" t="n">
        <v>74</v>
      </c>
      <c r="K2108" s="17" t="n">
        <v>85.68000000000001</v>
      </c>
      <c r="L2108" s="17" t="n">
        <v>25.86</v>
      </c>
      <c r="M2108" s="17" t="n">
        <v>0</v>
      </c>
      <c r="N2108" s="17">
        <f>K2108*0.08+L2108*0.08</f>
        <v/>
      </c>
      <c r="O2108" s="17">
        <f>-(K2108*0.025+L2108*0.025)</f>
        <v/>
      </c>
      <c r="P2108" s="17">
        <f>32</f>
        <v/>
      </c>
      <c r="Q2108" s="17">
        <f>J2108+L2108+N2108+O2108-P2108-M2108</f>
        <v/>
      </c>
    </row>
    <row r="2109">
      <c r="A2109" s="16" t="inlineStr">
        <is>
          <t>5.22-5.28</t>
        </is>
      </c>
      <c r="B2109" s="16" t="inlineStr">
        <is>
          <t>PO-128-04872037909113313</t>
        </is>
      </c>
      <c r="C2109" s="16" t="inlineStr">
        <is>
          <t>Shipped</t>
        </is>
      </c>
      <c r="D2109" s="16" t="inlineStr">
        <is>
          <t>128-04872090337913313</t>
        </is>
      </c>
      <c r="E2109" s="16" t="inlineStr">
        <is>
          <t>Shipped</t>
        </is>
      </c>
      <c r="F2109" s="16" t="inlineStr">
        <is>
          <t>LV54W25</t>
        </is>
      </c>
      <c r="G2109" s="16" t="inlineStr">
        <is>
          <t>TIANLAI Lámpara Ventilador E27 2 en 1, Silenciosa, LED Alta Luminosidad 180°, Instalación Rápida, Ahorro Energético para Dormitorio y Interiores Pequeños</t>
        </is>
      </c>
      <c r="H2109" s="16" t="inlineStr">
        <is>
          <t>1 Pieza</t>
        </is>
      </c>
      <c r="I2109" s="16" t="n">
        <v>4</v>
      </c>
      <c r="J2109" s="17" t="n">
        <v>296</v>
      </c>
      <c r="K2109" s="17" t="n">
        <v>305.04</v>
      </c>
      <c r="L2109" s="17" t="n">
        <v>0</v>
      </c>
      <c r="M2109" s="17" t="n">
        <v>0</v>
      </c>
      <c r="N2109" s="17">
        <f>K2109*0.08+L2109*0.08</f>
        <v/>
      </c>
      <c r="O2109" s="17">
        <f>-(K2109*0.025+L2109*0.025)</f>
        <v/>
      </c>
      <c r="P2109" s="17">
        <f>32</f>
        <v/>
      </c>
      <c r="Q2109" s="17">
        <f>J2109+L2109+N2109+O2109-P2109-M2109</f>
        <v/>
      </c>
    </row>
    <row r="2110">
      <c r="A2110" s="16" t="inlineStr">
        <is>
          <t>5.22-5.28</t>
        </is>
      </c>
      <c r="B2110" s="16" t="inlineStr">
        <is>
          <t>PO-128-05207104830071186</t>
        </is>
      </c>
      <c r="C2110" s="16" t="inlineStr">
        <is>
          <t>Shipped</t>
        </is>
      </c>
      <c r="D2110" s="16" t="inlineStr">
        <is>
          <t>128-05207062887031186</t>
        </is>
      </c>
      <c r="E2110" s="16" t="inlineStr">
        <is>
          <t>Shipped</t>
        </is>
      </c>
      <c r="F2110" s="16" t="inlineStr">
        <is>
          <t>LV54W25</t>
        </is>
      </c>
      <c r="G2110" s="16" t="inlineStr">
        <is>
          <t>TIANLAI Lámpara Ventilador E27 2 en 1, Silenciosa, LED Alta Luminosidad 180°, Instalación Rápida, Ahorro Energético para Dormitorio y Interiores Pequeños</t>
        </is>
      </c>
      <c r="H2110" s="16" t="inlineStr">
        <is>
          <t>1 Pieza</t>
        </is>
      </c>
      <c r="I2110" s="16" t="n">
        <v>5</v>
      </c>
      <c r="J2110" s="17" t="n">
        <v>370</v>
      </c>
      <c r="K2110" s="17" t="n">
        <v>305.04</v>
      </c>
      <c r="L2110" s="17" t="n">
        <v>0</v>
      </c>
      <c r="M2110" s="17" t="n">
        <v>0</v>
      </c>
      <c r="N2110" s="17">
        <f>K2110*0.08+L2110*0.08</f>
        <v/>
      </c>
      <c r="O2110" s="17">
        <f>-(K2110*0.025+L2110*0.025)</f>
        <v/>
      </c>
      <c r="P2110" s="17">
        <f>32</f>
        <v/>
      </c>
      <c r="Q2110" s="17">
        <f>J2110+L2110+N2110+O2110-P2110-M2110</f>
        <v/>
      </c>
    </row>
    <row r="2111">
      <c r="A2111" s="16" t="inlineStr">
        <is>
          <t>5.22-5.28</t>
        </is>
      </c>
      <c r="B2111" s="16" t="inlineStr">
        <is>
          <t>PO-128-05467862247030720</t>
        </is>
      </c>
      <c r="C2111" s="16" t="inlineStr">
        <is>
          <t>Shipped</t>
        </is>
      </c>
      <c r="D2111" s="16" t="inlineStr">
        <is>
          <t>128-05467851761270720</t>
        </is>
      </c>
      <c r="E2111" s="16" t="inlineStr">
        <is>
          <t>Shipped</t>
        </is>
      </c>
      <c r="F2111" s="16" t="inlineStr">
        <is>
          <t>TL2663N18C</t>
        </is>
      </c>
      <c r="G2111" s="16" t="inlineStr">
        <is>
          <t>Linkbits，Soporte de pared fijo para televisores de 26"-63", Ultra-Delgado Compatible con VESA 400x400mm, Capacidad de Peso Fuerte de 25KG, Instalación Fácil Sin Electricidad</t>
        </is>
      </c>
      <c r="H2111" s="16" t="inlineStr">
        <is>
          <t>NEGRO</t>
        </is>
      </c>
      <c r="I2111" s="16" t="n">
        <v>1</v>
      </c>
      <c r="J2111" s="17" t="n">
        <v>47</v>
      </c>
      <c r="K2111" s="17" t="n">
        <v>55.77</v>
      </c>
      <c r="L2111" s="17" t="n">
        <v>0</v>
      </c>
      <c r="M2111" s="17" t="n">
        <v>0</v>
      </c>
      <c r="N2111" s="17">
        <f>K2111*0.08+L2111*0.08</f>
        <v/>
      </c>
      <c r="O2111" s="17">
        <f>-(K2111*0.025+L2111*0.025)</f>
        <v/>
      </c>
      <c r="P2111" s="17">
        <f>32</f>
        <v/>
      </c>
      <c r="Q2111" s="17">
        <f>J2111+L2111+N2111+O2111-P2111-M2111</f>
        <v/>
      </c>
    </row>
    <row r="2112">
      <c r="A2112" s="16" t="inlineStr">
        <is>
          <t>5.22-5.28</t>
        </is>
      </c>
      <c r="B2112" s="16" t="inlineStr">
        <is>
          <t>PO-128-05467862247030720</t>
        </is>
      </c>
      <c r="C2112" s="16" t="inlineStr">
        <is>
          <t>Shipped</t>
        </is>
      </c>
      <c r="D2112" s="16" t="inlineStr">
        <is>
          <t>128-05467767875190720</t>
        </is>
      </c>
      <c r="E2112" s="16" t="inlineStr">
        <is>
          <t>Shipped</t>
        </is>
      </c>
      <c r="F2112" s="16" t="inlineStr">
        <is>
          <t>LV54W25</t>
        </is>
      </c>
      <c r="G2112" s="16" t="inlineStr">
        <is>
          <t>TIANLAI Lámpara Ventilador E27 2 en 1, Silenciosa, LED Alta Luminosidad 180°, Instalación Rápida, Ahorro Energético para Dormitorio y Interiores Pequeños</t>
        </is>
      </c>
      <c r="H2112" s="16" t="inlineStr">
        <is>
          <t>1 Pieza</t>
        </is>
      </c>
      <c r="I2112" s="16" t="n">
        <v>1</v>
      </c>
      <c r="J2112" s="17" t="n">
        <v>74</v>
      </c>
      <c r="K2112" s="17" t="n">
        <v>77.11</v>
      </c>
      <c r="L2112" s="17" t="n">
        <v>0</v>
      </c>
      <c r="M2112" s="17" t="n">
        <v>0</v>
      </c>
      <c r="N2112" s="17">
        <f>K2112*0.08+L2112*0.08</f>
        <v/>
      </c>
      <c r="O2112" s="17">
        <f>-(K2112*0.025+L2112*0.025)</f>
        <v/>
      </c>
      <c r="P2112" s="17">
        <f>32</f>
        <v/>
      </c>
      <c r="Q2112" s="17">
        <f>J2112+L2112+N2112+O2112-P2112-M2112</f>
        <v/>
      </c>
    </row>
    <row r="2113">
      <c r="A2113" s="16" t="inlineStr">
        <is>
          <t>5.22-5.28</t>
        </is>
      </c>
      <c r="B2113" s="16" t="inlineStr">
        <is>
          <t>PO-128-05467862247030720</t>
        </is>
      </c>
      <c r="C2113" s="16" t="inlineStr">
        <is>
          <t>Shipped</t>
        </is>
      </c>
      <c r="D2113" s="16" t="inlineStr">
        <is>
          <t>128-05467820303990720</t>
        </is>
      </c>
      <c r="E2113" s="16" t="inlineStr">
        <is>
          <t>Shipped</t>
        </is>
      </c>
      <c r="F2113" s="16" t="inlineStr">
        <is>
          <t>VB349T</t>
        </is>
      </c>
      <c r="G2113" s="16" t="inlineStr">
        <is>
          <t>LINKBITS Altavoz Portátil de Doble Altavoz - 3 Pulgadas, Sonido HD, Emparejamiento Rápido de Bluetooth, Conectividad TWS, Reproducción Multimodo (Micro SD/USB/Radio FM) - Perfecto para Oficina, Viajes y Espacios Pequeños</t>
        </is>
      </c>
      <c r="H2113" s="16" t="inlineStr">
        <is>
          <t>NEGRO</t>
        </is>
      </c>
      <c r="I2113" s="16" t="n">
        <v>1</v>
      </c>
      <c r="J2113" s="17" t="n">
        <v>80</v>
      </c>
      <c r="K2113" s="17" t="n">
        <v>83.93000000000001</v>
      </c>
      <c r="L2113" s="17" t="n">
        <v>0</v>
      </c>
      <c r="M2113" s="17" t="n">
        <v>0</v>
      </c>
      <c r="N2113" s="17">
        <f>K2113*0.08+L2113*0.08</f>
        <v/>
      </c>
      <c r="O2113" s="17">
        <f>-(K2113*0.025+L2113*0.025)</f>
        <v/>
      </c>
      <c r="P2113" s="17">
        <f>32</f>
        <v/>
      </c>
      <c r="Q2113" s="17">
        <f>J2113+L2113+N2113+O2113-P2113-M2113</f>
        <v/>
      </c>
    </row>
    <row r="2114">
      <c r="A2114" s="16" t="inlineStr">
        <is>
          <t>5.22-5.28</t>
        </is>
      </c>
      <c r="B2114" s="16" t="inlineStr">
        <is>
          <t>PO-128-05467862247030720</t>
        </is>
      </c>
      <c r="C2114" s="16" t="inlineStr">
        <is>
          <t>Shipped</t>
        </is>
      </c>
      <c r="D2114" s="16" t="inlineStr">
        <is>
          <t>128-05467799332470720</t>
        </is>
      </c>
      <c r="E2114" s="16" t="inlineStr">
        <is>
          <t>Shipped</t>
        </is>
      </c>
      <c r="F2114" s="16" t="inlineStr">
        <is>
          <t>VA371T</t>
        </is>
      </c>
      <c r="G2114" s="16" t="inlineStr">
        <is>
          <t>Linkbits Bocina Bluetooth Portátil 3" de Alta Gama，Hi-Res Audio y Graves Potentes，Luces LED + Soporte USB/TF/FM/TWS，Ideal para Hogar y Aire Libre</t>
        </is>
      </c>
      <c r="H2114" s="16" t="inlineStr">
        <is>
          <t>VA371T</t>
        </is>
      </c>
      <c r="I2114" s="16" t="n">
        <v>1</v>
      </c>
      <c r="J2114" s="17" t="n">
        <v>45.5</v>
      </c>
      <c r="K2114" s="17" t="n">
        <v>48.46</v>
      </c>
      <c r="L2114" s="17" t="n">
        <v>0</v>
      </c>
      <c r="M2114" s="17" t="n">
        <v>0</v>
      </c>
      <c r="N2114" s="17">
        <f>K2114*0.08+L2114*0.08</f>
        <v/>
      </c>
      <c r="O2114" s="17">
        <f>-(K2114*0.025+L2114*0.025)</f>
        <v/>
      </c>
      <c r="P2114" s="17">
        <f>32</f>
        <v/>
      </c>
      <c r="Q2114" s="17">
        <f>J2114+L2114+N2114+O2114-P2114-M2114</f>
        <v/>
      </c>
    </row>
    <row r="2115">
      <c r="A2115" s="16" t="inlineStr">
        <is>
          <t>5.22-5.28</t>
        </is>
      </c>
      <c r="B2115" s="16" t="inlineStr">
        <is>
          <t>PO-128-05467862247030720</t>
        </is>
      </c>
      <c r="C2115" s="16" t="inlineStr">
        <is>
          <t>Shipped</t>
        </is>
      </c>
      <c r="D2115" s="16" t="inlineStr">
        <is>
          <t>128-05467778360950720</t>
        </is>
      </c>
      <c r="E2115" s="16" t="inlineStr">
        <is>
          <t>Shipped</t>
        </is>
      </c>
      <c r="F2115" s="16" t="inlineStr">
        <is>
          <t>LV64W25</t>
        </is>
      </c>
      <c r="G21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15" s="16" t="inlineStr">
        <is>
          <t>Blanco</t>
        </is>
      </c>
      <c r="I2115" s="16" t="n">
        <v>3</v>
      </c>
      <c r="J2115" s="17" t="n">
        <v>375</v>
      </c>
      <c r="K2115" s="17" t="n">
        <v>386.8</v>
      </c>
      <c r="L2115" s="17" t="n">
        <v>0</v>
      </c>
      <c r="M2115" s="17" t="n">
        <v>0</v>
      </c>
      <c r="N2115" s="17">
        <f>K2115*0.08+L2115*0.08</f>
        <v/>
      </c>
      <c r="O2115" s="17">
        <f>-(K2115*0.025+L2115*0.025)</f>
        <v/>
      </c>
      <c r="P2115" s="17">
        <f>32</f>
        <v/>
      </c>
      <c r="Q2115" s="17">
        <f>J2115+L2115+N2115+O2115-P2115-M2115</f>
        <v/>
      </c>
    </row>
    <row r="2116">
      <c r="A2116" s="16" t="inlineStr">
        <is>
          <t>5.22-5.28</t>
        </is>
      </c>
      <c r="B2116" s="16" t="inlineStr">
        <is>
          <t>PO-128-05467862247030720</t>
        </is>
      </c>
      <c r="C2116" s="16" t="inlineStr">
        <is>
          <t>Shipped</t>
        </is>
      </c>
      <c r="D2116" s="16" t="inlineStr">
        <is>
          <t>128-05467841275510720</t>
        </is>
      </c>
      <c r="E2116" s="16" t="inlineStr">
        <is>
          <t>Shipped</t>
        </is>
      </c>
      <c r="F2116" s="16" t="inlineStr">
        <is>
          <t>TL1455N20B</t>
        </is>
      </c>
      <c r="G2116" s="16" t="inlineStr">
        <is>
          <t>LINK BITS Soporte para TV 14 A 55 Pulgadas, Base para TV Pantalla Articulado Inclinable y Giratorio, MAX VESA 400×400 mm, Soporta hasta 18kg, adaptarse a la mayoría de los televisores de 14 Pulgadas/20 Pulgadas/32 Pulgadas/42 Pulgadas/55 pulgadas</t>
        </is>
      </c>
      <c r="H2116" s="16" t="inlineStr">
        <is>
          <t>TL1455N20B</t>
        </is>
      </c>
      <c r="I2116" s="16" t="n">
        <v>1</v>
      </c>
      <c r="J2116" s="17" t="n">
        <v>74</v>
      </c>
      <c r="K2116" s="17" t="n">
        <v>85.56</v>
      </c>
      <c r="L2116" s="17" t="n">
        <v>0</v>
      </c>
      <c r="M2116" s="17" t="n">
        <v>0</v>
      </c>
      <c r="N2116" s="17">
        <f>K2116*0.08+L2116*0.08</f>
        <v/>
      </c>
      <c r="O2116" s="17">
        <f>-(K2116*0.025+L2116*0.025)</f>
        <v/>
      </c>
      <c r="P2116" s="17">
        <f>32</f>
        <v/>
      </c>
      <c r="Q2116" s="17">
        <f>J2116+L2116+N2116+O2116-P2116-M2116</f>
        <v/>
      </c>
    </row>
    <row r="2117">
      <c r="A2117" s="16" t="inlineStr">
        <is>
          <t>5.22-5.28</t>
        </is>
      </c>
      <c r="B2117" s="16" t="inlineStr">
        <is>
          <t>PO-128-04974947103353658</t>
        </is>
      </c>
      <c r="C2117" s="16" t="inlineStr">
        <is>
          <t>Shipped</t>
        </is>
      </c>
      <c r="D2117" s="16" t="inlineStr">
        <is>
          <t>128-04974905160313658</t>
        </is>
      </c>
      <c r="E2117" s="16" t="inlineStr">
        <is>
          <t>Shipped</t>
        </is>
      </c>
      <c r="F2117" s="16" t="inlineStr">
        <is>
          <t>KTS-2031</t>
        </is>
      </c>
      <c r="G2117" s="16" t="inlineStr">
        <is>
          <t>Bocina inalámbrica de 3 pulgadas con linterna multifuncional y panel solar integrado.Altavoz Portátil con Linterna LED 4 Modos, Radio FM, Bluetooth, Carga Solar, Ideal para Apagones, Emergencias, Campo y Exteriores</t>
        </is>
      </c>
      <c r="H2117" s="16" t="inlineStr">
        <is>
          <t>NEGRO</t>
        </is>
      </c>
      <c r="I2117" s="16" t="n">
        <v>2</v>
      </c>
      <c r="J2117" s="17" t="n">
        <v>180</v>
      </c>
      <c r="K2117" s="17" t="n">
        <v>198.44</v>
      </c>
      <c r="L2117" s="17" t="n">
        <v>25.86</v>
      </c>
      <c r="M2117" s="17" t="n">
        <v>0</v>
      </c>
      <c r="N2117" s="17">
        <f>K2117*0.08+L2117*0.08</f>
        <v/>
      </c>
      <c r="O2117" s="17">
        <f>-(K2117*0.025+L2117*0.025)</f>
        <v/>
      </c>
      <c r="P2117" s="17">
        <f>32</f>
        <v/>
      </c>
      <c r="Q2117" s="17">
        <f>J2117+L2117+N2117+O2117-P2117-M2117</f>
        <v/>
      </c>
    </row>
    <row r="2118">
      <c r="A2118" s="16" t="inlineStr">
        <is>
          <t>5.22-5.28</t>
        </is>
      </c>
      <c r="B2118" s="16" t="inlineStr">
        <is>
          <t>PO-128-04904323185274014</t>
        </is>
      </c>
      <c r="C2118" s="16" t="inlineStr">
        <is>
          <t>Shipped</t>
        </is>
      </c>
      <c r="D2118" s="16" t="inlineStr">
        <is>
          <t>128-04904475228794014</t>
        </is>
      </c>
      <c r="E2118" s="16" t="inlineStr">
        <is>
          <t>Shipped</t>
        </is>
      </c>
      <c r="F2118" s="16" t="inlineStr">
        <is>
          <t>LV54W25</t>
        </is>
      </c>
      <c r="G2118" s="16" t="inlineStr">
        <is>
          <t>TIANLAI Lámpara Ventilador E27 2 en 1, Silenciosa, LED Alta Luminosidad 180°, Instalación Rápida, Ahorro Energético para Dormitorio y Interiores Pequeños</t>
        </is>
      </c>
      <c r="H2118" s="16" t="inlineStr">
        <is>
          <t>1 Pieza</t>
        </is>
      </c>
      <c r="I2118" s="16" t="n">
        <v>1</v>
      </c>
      <c r="J2118" s="17" t="n">
        <v>74</v>
      </c>
      <c r="K2118" s="17" t="n">
        <v>34.02</v>
      </c>
      <c r="L2118" s="17" t="n">
        <v>25.86</v>
      </c>
      <c r="M2118" s="17" t="n">
        <v>0</v>
      </c>
      <c r="N2118" s="17">
        <f>K2118*0.08+L2118*0.08</f>
        <v/>
      </c>
      <c r="O2118" s="17">
        <f>-(K2118*0.025+L2118*0.025)</f>
        <v/>
      </c>
      <c r="P2118" s="17">
        <f>32</f>
        <v/>
      </c>
      <c r="Q2118" s="17">
        <f>J2118+L2118+N2118+O2118-P2118-M2118</f>
        <v/>
      </c>
    </row>
    <row r="2119">
      <c r="A2119" s="16" t="inlineStr">
        <is>
          <t>5.22-5.28</t>
        </is>
      </c>
      <c r="B2119" s="16" t="inlineStr">
        <is>
          <t>PO-128-04990220191352478</t>
        </is>
      </c>
      <c r="C2119" s="16" t="inlineStr">
        <is>
          <t>Shipped</t>
        </is>
      </c>
      <c r="D2119" s="16" t="inlineStr">
        <is>
          <t>128-04990254270072478</t>
        </is>
      </c>
      <c r="E2119" s="16" t="inlineStr">
        <is>
          <t>Shipped</t>
        </is>
      </c>
      <c r="F2119" s="16" t="inlineStr">
        <is>
          <t>LV54W25</t>
        </is>
      </c>
      <c r="G2119" s="16" t="inlineStr">
        <is>
          <t>TIANLAI Lámpara Ventilador E27 2 en 1, Silenciosa, LED Alta Luminosidad 180°, Instalación Rápida, Ahorro Energético para Dormitorio y Interiores Pequeños</t>
        </is>
      </c>
      <c r="H2119" s="16" t="inlineStr">
        <is>
          <t>1 Pieza</t>
        </is>
      </c>
      <c r="I2119" s="16" t="n">
        <v>1</v>
      </c>
      <c r="J2119" s="17" t="n">
        <v>74</v>
      </c>
      <c r="K2119" s="17" t="n">
        <v>76.26000000000001</v>
      </c>
      <c r="L2119" s="17" t="n">
        <v>25.86</v>
      </c>
      <c r="M2119" s="17" t="n">
        <v>0</v>
      </c>
      <c r="N2119" s="17">
        <f>K2119*0.08+L2119*0.08</f>
        <v/>
      </c>
      <c r="O2119" s="17">
        <f>-(K2119*0.025+L2119*0.025)</f>
        <v/>
      </c>
      <c r="P2119" s="17">
        <f>32</f>
        <v/>
      </c>
      <c r="Q2119" s="17">
        <f>J2119+L2119+N2119+O2119-P2119-M2119</f>
        <v/>
      </c>
    </row>
    <row r="2120">
      <c r="A2120" s="16" t="inlineStr">
        <is>
          <t>5.22-5.28</t>
        </is>
      </c>
      <c r="B2120" s="16" t="inlineStr">
        <is>
          <t>PO-128-04834260337273344</t>
        </is>
      </c>
      <c r="C2120" s="16" t="inlineStr">
        <is>
          <t>Shipped</t>
        </is>
      </c>
      <c r="D2120" s="16" t="inlineStr">
        <is>
          <t>128-04834239365753344</t>
        </is>
      </c>
      <c r="E2120" s="16" t="inlineStr">
        <is>
          <t>Shipped</t>
        </is>
      </c>
      <c r="F2120" s="16" t="inlineStr">
        <is>
          <t>LV54W25</t>
        </is>
      </c>
      <c r="G2120" s="16" t="inlineStr">
        <is>
          <t>TIANLAI Lámpara Ventilador E27 2 en 1, Silenciosa, LED Alta Luminosidad 180°, Instalación Rápida, Ahorro Energético para Dormitorio y Interiores Pequeños</t>
        </is>
      </c>
      <c r="H2120" s="16" t="inlineStr">
        <is>
          <t>1 Pieza</t>
        </is>
      </c>
      <c r="I2120" s="16" t="n">
        <v>1</v>
      </c>
      <c r="J2120" s="17" t="n">
        <v>74</v>
      </c>
      <c r="K2120" s="17" t="n">
        <v>77.12</v>
      </c>
      <c r="L2120" s="17" t="n">
        <v>25.86</v>
      </c>
      <c r="M2120" s="17" t="n">
        <v>0</v>
      </c>
      <c r="N2120" s="17">
        <f>K2120*0.08+L2120*0.08</f>
        <v/>
      </c>
      <c r="O2120" s="17">
        <f>-(K2120*0.025+L2120*0.025)</f>
        <v/>
      </c>
      <c r="P2120" s="17">
        <f>32</f>
        <v/>
      </c>
      <c r="Q2120" s="17">
        <f>J2120+L2120+N2120+O2120-P2120-M2120</f>
        <v/>
      </c>
    </row>
    <row r="2121">
      <c r="A2121" s="16" t="inlineStr">
        <is>
          <t>5.22-5.28</t>
        </is>
      </c>
      <c r="B2121" s="16" t="inlineStr">
        <is>
          <t>PO-128-05249786819191957</t>
        </is>
      </c>
      <c r="C2121" s="16" t="inlineStr">
        <is>
          <t>Shipped</t>
        </is>
      </c>
      <c r="D2121" s="16" t="inlineStr">
        <is>
          <t>128-05249807790711957</t>
        </is>
      </c>
      <c r="E2121" s="16" t="inlineStr">
        <is>
          <t>Shipped</t>
        </is>
      </c>
      <c r="F2121" s="16" t="inlineStr">
        <is>
          <t>LV54W25</t>
        </is>
      </c>
      <c r="G2121" s="16" t="inlineStr">
        <is>
          <t>TIANLAI Lámpara Ventilador E27 2 en 1, Silenciosa, LED Alta Luminosidad 180°, Instalación Rápida, Ahorro Energético para Dormitorio y Interiores Pequeños</t>
        </is>
      </c>
      <c r="H2121" s="16" t="inlineStr">
        <is>
          <t>1 Pieza</t>
        </is>
      </c>
      <c r="I2121" s="16" t="n">
        <v>1</v>
      </c>
      <c r="J2121" s="17" t="n">
        <v>74</v>
      </c>
      <c r="K2121" s="17" t="n">
        <v>76.26000000000001</v>
      </c>
      <c r="L2121" s="17" t="n">
        <v>25.86</v>
      </c>
      <c r="M2121" s="17" t="n">
        <v>0</v>
      </c>
      <c r="N2121" s="17">
        <f>K2121*0.08+L2121*0.08</f>
        <v/>
      </c>
      <c r="O2121" s="17">
        <f>-(K2121*0.025+L2121*0.025)</f>
        <v/>
      </c>
      <c r="P2121" s="17">
        <f>32</f>
        <v/>
      </c>
      <c r="Q2121" s="17">
        <f>J2121+L2121+N2121+O2121-P2121-M2121</f>
        <v/>
      </c>
    </row>
    <row r="2122">
      <c r="A2122" s="16" t="inlineStr">
        <is>
          <t>5.22-5.28</t>
        </is>
      </c>
      <c r="B2122" s="16" t="inlineStr">
        <is>
          <t>PO-128-04894573752953179</t>
        </is>
      </c>
      <c r="C2122" s="16" t="inlineStr">
        <is>
          <t>Shipped</t>
        </is>
      </c>
      <c r="D2122" s="16" t="inlineStr">
        <is>
          <t>128-04894531809913179</t>
        </is>
      </c>
      <c r="E2122" s="16" t="inlineStr">
        <is>
          <t>Shipped</t>
        </is>
      </c>
      <c r="F2122" s="16" t="inlineStr">
        <is>
          <t>KTS-2031</t>
        </is>
      </c>
      <c r="G2122" s="16" t="inlineStr">
        <is>
          <t>Bocina inalámbrica de 3 pulgadas con linterna multifuncional y panel solar integrado.Altavoz Portátil con Linterna LED 4 Modos, Radio FM, Bluetooth, Carga Solar, Ideal para Apagones, Emergencias, Campo y Exteriores</t>
        </is>
      </c>
      <c r="H2122" s="16" t="inlineStr">
        <is>
          <t>NEGRO</t>
        </is>
      </c>
      <c r="I2122" s="16" t="n">
        <v>2</v>
      </c>
      <c r="J2122" s="17" t="n">
        <v>180</v>
      </c>
      <c r="K2122" s="17" t="n">
        <v>198.44</v>
      </c>
      <c r="L2122" s="17" t="n">
        <v>25.86</v>
      </c>
      <c r="M2122" s="17" t="n">
        <v>0</v>
      </c>
      <c r="N2122" s="17">
        <f>K2122*0.08+L2122*0.08</f>
        <v/>
      </c>
      <c r="O2122" s="17">
        <f>-(K2122*0.025+L2122*0.025)</f>
        <v/>
      </c>
      <c r="P2122" s="17">
        <f>32</f>
        <v/>
      </c>
      <c r="Q2122" s="17">
        <f>J2122+L2122+N2122+O2122-P2122-M2122</f>
        <v/>
      </c>
    </row>
    <row r="2123">
      <c r="A2123" s="16" t="inlineStr">
        <is>
          <t>5.22-5.28</t>
        </is>
      </c>
      <c r="B2123" s="16" t="inlineStr">
        <is>
          <t>PO-128-04967029115513643</t>
        </is>
      </c>
      <c r="C2123" s="16" t="inlineStr">
        <is>
          <t>Shipped</t>
        </is>
      </c>
      <c r="D2123" s="16" t="inlineStr">
        <is>
          <t>128-04967055329913643</t>
        </is>
      </c>
      <c r="E2123" s="16" t="inlineStr">
        <is>
          <t>Shipped</t>
        </is>
      </c>
      <c r="F2123" s="16" t="inlineStr">
        <is>
          <t>LV54W25</t>
        </is>
      </c>
      <c r="G2123" s="16" t="inlineStr">
        <is>
          <t>TIANLAI Lámpara Ventilador E27 2 en 1, Silenciosa, LED Alta Luminosidad 180°, Instalación Rápida, Ahorro Energético para Dormitorio y Interiores Pequeños</t>
        </is>
      </c>
      <c r="H2123" s="16" t="inlineStr">
        <is>
          <t>1 Pieza</t>
        </is>
      </c>
      <c r="I2123" s="16" t="n">
        <v>1</v>
      </c>
      <c r="J2123" s="17" t="n">
        <v>74</v>
      </c>
      <c r="K2123" s="17" t="n">
        <v>77.12</v>
      </c>
      <c r="L2123" s="17" t="n">
        <v>25.86</v>
      </c>
      <c r="M2123" s="17" t="n">
        <v>0</v>
      </c>
      <c r="N2123" s="17">
        <f>K2123*0.08+L2123*0.08</f>
        <v/>
      </c>
      <c r="O2123" s="17">
        <f>-(K2123*0.025+L2123*0.025)</f>
        <v/>
      </c>
      <c r="P2123" s="17">
        <f>32</f>
        <v/>
      </c>
      <c r="Q2123" s="17">
        <f>J2123+L2123+N2123+O2123-P2123-M2123</f>
        <v/>
      </c>
    </row>
    <row r="2124">
      <c r="A2124" s="16" t="inlineStr">
        <is>
          <t>5.22-5.28</t>
        </is>
      </c>
      <c r="B2124" s="16" t="inlineStr">
        <is>
          <t>PO-128-04852937078393427</t>
        </is>
      </c>
      <c r="C2124" s="16" t="inlineStr">
        <is>
          <t>Shipped</t>
        </is>
      </c>
      <c r="D2124" s="16" t="inlineStr">
        <is>
          <t>128-04852895135353427</t>
        </is>
      </c>
      <c r="E2124" s="16" t="inlineStr">
        <is>
          <t>Shipped</t>
        </is>
      </c>
      <c r="F2124" s="16" t="inlineStr">
        <is>
          <t>LV54W25</t>
        </is>
      </c>
      <c r="G2124" s="16" t="inlineStr">
        <is>
          <t>TIANLAI Lámpara Ventilador E27 2 en 1, Silenciosa, LED Alta Luminosidad 180°, Instalación Rápida, Ahorro Energético para Dormitorio y Interiores Pequeños</t>
        </is>
      </c>
      <c r="H2124" s="16" t="inlineStr">
        <is>
          <t>1 Pieza</t>
        </is>
      </c>
      <c r="I2124" s="16" t="n">
        <v>2</v>
      </c>
      <c r="J2124" s="17" t="n">
        <v>148</v>
      </c>
      <c r="K2124" s="17" t="n">
        <v>154.24</v>
      </c>
      <c r="L2124" s="17" t="n">
        <v>25.86</v>
      </c>
      <c r="M2124" s="17" t="n">
        <v>0</v>
      </c>
      <c r="N2124" s="17">
        <f>K2124*0.08+L2124*0.08</f>
        <v/>
      </c>
      <c r="O2124" s="17">
        <f>-(K2124*0.025+L2124*0.025)</f>
        <v/>
      </c>
      <c r="P2124" s="17">
        <f>32</f>
        <v/>
      </c>
      <c r="Q2124" s="17">
        <f>J2124+L2124+N2124+O2124-P2124-M2124</f>
        <v/>
      </c>
    </row>
    <row r="2125">
      <c r="A2125" s="16" t="inlineStr">
        <is>
          <t>5.22-5.28</t>
        </is>
      </c>
      <c r="B2125" s="16" t="inlineStr">
        <is>
          <t>PO-128-04879820785273075</t>
        </is>
      </c>
      <c r="C2125" s="16" t="inlineStr">
        <is>
          <t>Shipped</t>
        </is>
      </c>
      <c r="D2125" s="16" t="inlineStr">
        <is>
          <t>128-04879799813753075</t>
        </is>
      </c>
      <c r="E2125" s="16" t="inlineStr">
        <is>
          <t>Shipped</t>
        </is>
      </c>
      <c r="F2125" s="16" t="inlineStr">
        <is>
          <t>LV54W25</t>
        </is>
      </c>
      <c r="G2125" s="16" t="inlineStr">
        <is>
          <t>TIANLAI Lámpara Ventilador E27 2 en 1, Silenciosa, LED Alta Luminosidad 180°, Instalación Rápida, Ahorro Energético para Dormitorio y Interiores Pequeños</t>
        </is>
      </c>
      <c r="H2125" s="16" t="inlineStr">
        <is>
          <t>1 Pieza</t>
        </is>
      </c>
      <c r="I2125" s="16" t="n">
        <v>1</v>
      </c>
      <c r="J2125" s="17" t="n">
        <v>74</v>
      </c>
      <c r="K2125" s="17" t="n">
        <v>68.55</v>
      </c>
      <c r="L2125" s="17" t="n">
        <v>25.86</v>
      </c>
      <c r="M2125" s="17" t="n">
        <v>0</v>
      </c>
      <c r="N2125" s="17">
        <f>K2125*0.08+L2125*0.08</f>
        <v/>
      </c>
      <c r="O2125" s="17">
        <f>-(K2125*0.025+L2125*0.025)</f>
        <v/>
      </c>
      <c r="P2125" s="17">
        <f>32</f>
        <v/>
      </c>
      <c r="Q2125" s="17">
        <f>J2125+L2125+N2125+O2125-P2125-M2125</f>
        <v/>
      </c>
    </row>
    <row r="2126">
      <c r="A2126" s="16" t="inlineStr">
        <is>
          <t>5.22-5.28</t>
        </is>
      </c>
      <c r="B2126" s="16" t="inlineStr">
        <is>
          <t>PO-128-05442455112310809</t>
        </is>
      </c>
      <c r="C2126" s="16" t="inlineStr">
        <is>
          <t>Shipped</t>
        </is>
      </c>
      <c r="D2126" s="16" t="inlineStr">
        <is>
          <t>128-05442523269750809</t>
        </is>
      </c>
      <c r="E2126" s="16" t="inlineStr">
        <is>
          <t>Shipped</t>
        </is>
      </c>
      <c r="F2126" s="16" t="inlineStr">
        <is>
          <t>KTS-2031</t>
        </is>
      </c>
      <c r="G2126" s="16" t="inlineStr">
        <is>
          <t>Bocina inalámbrica de 3 pulgadas con linterna multifuncional y panel solar integrado.Altavoz Portátil con Linterna LED 4 Modos, Radio FM, Bluetooth, Carga Solar, Ideal para Apagones, Emergencias, Campo y Exteriores</t>
        </is>
      </c>
      <c r="H2126" s="16" t="inlineStr">
        <is>
          <t>NEGRO</t>
        </is>
      </c>
      <c r="I2126" s="16" t="n">
        <v>3</v>
      </c>
      <c r="J2126" s="17" t="n">
        <v>270</v>
      </c>
      <c r="K2126" s="17" t="n">
        <v>297.66</v>
      </c>
      <c r="L2126" s="17" t="n">
        <v>0</v>
      </c>
      <c r="M2126" s="17" t="n">
        <v>0</v>
      </c>
      <c r="N2126" s="17">
        <f>K2126*0.08+L2126*0.08</f>
        <v/>
      </c>
      <c r="O2126" s="17">
        <f>-(K2126*0.025+L2126*0.025)</f>
        <v/>
      </c>
      <c r="P2126" s="17">
        <f>32</f>
        <v/>
      </c>
      <c r="Q2126" s="17">
        <f>J2126+L2126+N2126+O2126-P2126-M2126</f>
        <v/>
      </c>
    </row>
    <row r="2127">
      <c r="A2127" s="16" t="inlineStr">
        <is>
          <t>5.22-5.28</t>
        </is>
      </c>
      <c r="B2127" s="16" t="inlineStr">
        <is>
          <t>PO-128-05217396803191252</t>
        </is>
      </c>
      <c r="C2127" s="16" t="inlineStr">
        <is>
          <t>Shipped</t>
        </is>
      </c>
      <c r="D2127" s="16" t="inlineStr">
        <is>
          <t>128-05217407288951252</t>
        </is>
      </c>
      <c r="E2127" s="16" t="inlineStr">
        <is>
          <t>Shipped</t>
        </is>
      </c>
      <c r="F2127" s="16" t="inlineStr">
        <is>
          <t>LV54W25</t>
        </is>
      </c>
      <c r="G2127" s="16" t="inlineStr">
        <is>
          <t>TIANLAI Lámpara Ventilador E27 2 en 1, Silenciosa, LED Alta Luminosidad 180°, Instalación Rápida, Ahorro Energético para Dormitorio y Interiores Pequeños</t>
        </is>
      </c>
      <c r="H2127" s="16" t="inlineStr">
        <is>
          <t>1 Pieza</t>
        </is>
      </c>
      <c r="I2127" s="16" t="n">
        <v>1</v>
      </c>
      <c r="J2127" s="17" t="n">
        <v>74</v>
      </c>
      <c r="K2127" s="17" t="n">
        <v>55.93</v>
      </c>
      <c r="L2127" s="17" t="n">
        <v>25.86</v>
      </c>
      <c r="M2127" s="17" t="n">
        <v>0</v>
      </c>
      <c r="N2127" s="17">
        <f>K2127*0.08+L2127*0.08</f>
        <v/>
      </c>
      <c r="O2127" s="17">
        <f>-(K2127*0.025+L2127*0.025)</f>
        <v/>
      </c>
      <c r="P2127" s="17">
        <f>32</f>
        <v/>
      </c>
      <c r="Q2127" s="17">
        <f>J2127+L2127+N2127+O2127-P2127-M2127</f>
        <v/>
      </c>
    </row>
    <row r="2128">
      <c r="A2128" s="16" t="inlineStr">
        <is>
          <t>5.22-5.28</t>
        </is>
      </c>
      <c r="B2128" s="16" t="inlineStr">
        <is>
          <t>PO-128-05463338404470682</t>
        </is>
      </c>
      <c r="C2128" s="16" t="inlineStr">
        <is>
          <t>Shipped</t>
        </is>
      </c>
      <c r="D2128" s="16" t="inlineStr">
        <is>
          <t>128-05463364618870682</t>
        </is>
      </c>
      <c r="E2128" s="16" t="inlineStr">
        <is>
          <t>Shipped</t>
        </is>
      </c>
      <c r="F2128" s="16" t="inlineStr">
        <is>
          <t>KTS-2031</t>
        </is>
      </c>
      <c r="G2128" s="16" t="inlineStr">
        <is>
          <t>Bocina inalámbrica de 3 pulgadas con linterna multifuncional y panel solar integrado.Altavoz Portátil con Linterna LED 4 Modos, Radio FM, Bluetooth, Carga Solar, Ideal para Apagones, Emergencias, Campo y Exteriores</t>
        </is>
      </c>
      <c r="H2128" s="16" t="inlineStr">
        <is>
          <t>NEGRO</t>
        </is>
      </c>
      <c r="I2128" s="16" t="n">
        <v>1</v>
      </c>
      <c r="J2128" s="17" t="n">
        <v>90</v>
      </c>
      <c r="K2128" s="17" t="n">
        <v>99.22</v>
      </c>
      <c r="L2128" s="17" t="n">
        <v>25.86</v>
      </c>
      <c r="M2128" s="17" t="n">
        <v>0</v>
      </c>
      <c r="N2128" s="17">
        <f>K2128*0.08+L2128*0.08</f>
        <v/>
      </c>
      <c r="O2128" s="17">
        <f>-(K2128*0.025+L2128*0.025)</f>
        <v/>
      </c>
      <c r="P2128" s="17">
        <f>32</f>
        <v/>
      </c>
      <c r="Q2128" s="17">
        <f>J2128+L2128+N2128+O2128-P2128-M2128</f>
        <v/>
      </c>
    </row>
    <row r="2129">
      <c r="A2129" s="16" t="inlineStr">
        <is>
          <t>5.22-5.28</t>
        </is>
      </c>
      <c r="B2129" s="16" t="inlineStr">
        <is>
          <t>PO-128-05208954404471241</t>
        </is>
      </c>
      <c r="C2129" s="16" t="inlineStr">
        <is>
          <t>Shipped</t>
        </is>
      </c>
      <c r="D2129" s="16" t="inlineStr">
        <is>
          <t>128-05208912461431241</t>
        </is>
      </c>
      <c r="E2129" s="16" t="inlineStr">
        <is>
          <t>Shipped</t>
        </is>
      </c>
      <c r="F2129" s="16" t="inlineStr">
        <is>
          <t>LV54W25</t>
        </is>
      </c>
      <c r="G2129" s="16" t="inlineStr">
        <is>
          <t>TIANLAI Lámpara Ventilador E27 2 en 1, Silenciosa, LED Alta Luminosidad 180°, Instalación Rápida, Ahorro Energético para Dormitorio y Interiores Pequeños</t>
        </is>
      </c>
      <c r="H2129" s="16" t="inlineStr">
        <is>
          <t>1 Pieza</t>
        </is>
      </c>
      <c r="I2129" s="16" t="n">
        <v>1</v>
      </c>
      <c r="J2129" s="17" t="n">
        <v>74</v>
      </c>
      <c r="K2129" s="17" t="n">
        <v>77.12</v>
      </c>
      <c r="L2129" s="17" t="n">
        <v>25.86</v>
      </c>
      <c r="M2129" s="17" t="n">
        <v>0</v>
      </c>
      <c r="N2129" s="17">
        <f>K2129*0.08+L2129*0.08</f>
        <v/>
      </c>
      <c r="O2129" s="17">
        <f>-(K2129*0.025+L2129*0.025)</f>
        <v/>
      </c>
      <c r="P2129" s="17">
        <f>32</f>
        <v/>
      </c>
      <c r="Q2129" s="17">
        <f>J2129+L2129+N2129+O2129-P2129-M2129</f>
        <v/>
      </c>
    </row>
    <row r="2130">
      <c r="A2130" s="16" t="inlineStr">
        <is>
          <t>5.22-5.28</t>
        </is>
      </c>
      <c r="B2130" s="16" t="inlineStr">
        <is>
          <t>PO-128-04846184540793403</t>
        </is>
      </c>
      <c r="C2130" s="16" t="inlineStr">
        <is>
          <t>Shipped</t>
        </is>
      </c>
      <c r="D2130" s="16" t="inlineStr">
        <is>
          <t>128-04846264494713403</t>
        </is>
      </c>
      <c r="E2130" s="16" t="inlineStr">
        <is>
          <t>Shipped</t>
        </is>
      </c>
      <c r="F2130" s="16" t="inlineStr">
        <is>
          <t>LV54W25</t>
        </is>
      </c>
      <c r="G2130" s="16" t="inlineStr">
        <is>
          <t>TIANLAI Lámpara Ventilador E27 2 en 1, Silenciosa, LED Alta Luminosidad 180°, Instalación Rápida, Ahorro Energético para Dormitorio y Interiores Pequeños</t>
        </is>
      </c>
      <c r="H2130" s="16" t="inlineStr">
        <is>
          <t>1 Pieza</t>
        </is>
      </c>
      <c r="I2130" s="16" t="n">
        <v>1</v>
      </c>
      <c r="J2130" s="17" t="n">
        <v>74</v>
      </c>
      <c r="K2130" s="17" t="n">
        <v>76.26000000000001</v>
      </c>
      <c r="L2130" s="17" t="n">
        <v>25.86</v>
      </c>
      <c r="M2130" s="17" t="n">
        <v>0</v>
      </c>
      <c r="N2130" s="17">
        <f>K2130*0.08+L2130*0.08</f>
        <v/>
      </c>
      <c r="O2130" s="17">
        <f>-(K2130*0.025+L2130*0.025)</f>
        <v/>
      </c>
      <c r="P2130" s="17">
        <f>32</f>
        <v/>
      </c>
      <c r="Q2130" s="17">
        <f>J2130+L2130+N2130+O2130-P2130-M2130</f>
        <v/>
      </c>
    </row>
    <row r="2131">
      <c r="A2131" s="16" t="inlineStr">
        <is>
          <t>5.22-5.28</t>
        </is>
      </c>
      <c r="B2131" s="16" t="inlineStr">
        <is>
          <t>PO-128-05091831870072835</t>
        </is>
      </c>
      <c r="C2131" s="16" t="inlineStr">
        <is>
          <t>Shipped</t>
        </is>
      </c>
      <c r="D2131" s="16" t="inlineStr">
        <is>
          <t>128-05091852841592835</t>
        </is>
      </c>
      <c r="E2131" s="16" t="inlineStr">
        <is>
          <t>Shipped</t>
        </is>
      </c>
      <c r="F2131" s="16" t="inlineStr">
        <is>
          <t>LV54W25</t>
        </is>
      </c>
      <c r="G2131" s="16" t="inlineStr">
        <is>
          <t>TIANLAI Lámpara Ventilador E27 2 en 1, Silenciosa, LED Alta Luminosidad 180°, Instalación Rápida, Ahorro Energético para Dormitorio y Interiores Pequeños</t>
        </is>
      </c>
      <c r="H2131" s="16" t="inlineStr">
        <is>
          <t>1 Pieza</t>
        </is>
      </c>
      <c r="I2131" s="16" t="n">
        <v>1</v>
      </c>
      <c r="J2131" s="17" t="n">
        <v>74</v>
      </c>
      <c r="K2131" s="17" t="n">
        <v>77.12</v>
      </c>
      <c r="L2131" s="17" t="n">
        <v>9.039999999999999</v>
      </c>
      <c r="M2131" s="17" t="n">
        <v>0</v>
      </c>
      <c r="N2131" s="17">
        <f>K2131*0.08+L2131*0.08</f>
        <v/>
      </c>
      <c r="O2131" s="17">
        <f>-(K2131*0.025+L2131*0.025)</f>
        <v/>
      </c>
      <c r="P2131" s="17">
        <f>32</f>
        <v/>
      </c>
      <c r="Q2131" s="17">
        <f>J2131+L2131+N2131+O2131-P2131-M2131</f>
        <v/>
      </c>
    </row>
    <row r="2132">
      <c r="A2132" s="16" t="inlineStr">
        <is>
          <t>5.22-5.28</t>
        </is>
      </c>
      <c r="B2132" s="16" t="inlineStr">
        <is>
          <t>PO-128-05091831870072835</t>
        </is>
      </c>
      <c r="C2132" s="16" t="inlineStr">
        <is>
          <t>Shipped</t>
        </is>
      </c>
      <c r="D2132" s="16" t="inlineStr">
        <is>
          <t>128-05091768955512835</t>
        </is>
      </c>
      <c r="E2132" s="16" t="inlineStr">
        <is>
          <t>Shipped</t>
        </is>
      </c>
      <c r="F2132" s="16" t="inlineStr">
        <is>
          <t>LV64W25</t>
        </is>
      </c>
      <c r="G21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32" s="16" t="inlineStr">
        <is>
          <t>Blanco</t>
        </is>
      </c>
      <c r="I2132" s="16" t="n">
        <v>1</v>
      </c>
      <c r="J2132" s="17" t="n">
        <v>125</v>
      </c>
      <c r="K2132" s="17" t="n">
        <v>143.26</v>
      </c>
      <c r="L2132" s="17" t="n">
        <v>16.82</v>
      </c>
      <c r="M2132" s="17" t="n">
        <v>0</v>
      </c>
      <c r="N2132" s="17">
        <f>K2132*0.08+L2132*0.08</f>
        <v/>
      </c>
      <c r="O2132" s="17">
        <f>-(K2132*0.025+L2132*0.025)</f>
        <v/>
      </c>
      <c r="P2132" s="17">
        <f>32</f>
        <v/>
      </c>
      <c r="Q2132" s="17">
        <f>J2132+L2132+N2132+O2132-P2132-M2132</f>
        <v/>
      </c>
    </row>
    <row r="2133">
      <c r="A2133" s="16" t="inlineStr">
        <is>
          <t>5.22-5.28</t>
        </is>
      </c>
      <c r="B2133" s="16" t="inlineStr">
        <is>
          <t>PO-128-05118218005112740</t>
        </is>
      </c>
      <c r="C2133" s="16" t="inlineStr">
        <is>
          <t>Shipped</t>
        </is>
      </c>
      <c r="D2133" s="16" t="inlineStr">
        <is>
          <t>128-05118207519352740</t>
        </is>
      </c>
      <c r="E2133" s="16" t="inlineStr">
        <is>
          <t>Shipped</t>
        </is>
      </c>
      <c r="F2133" s="16" t="inlineStr">
        <is>
          <t>LV64W25</t>
        </is>
      </c>
      <c r="G21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33" s="16" t="inlineStr">
        <is>
          <t>Blanco</t>
        </is>
      </c>
      <c r="I2133" s="16" t="n">
        <v>2</v>
      </c>
      <c r="J2133" s="17" t="n">
        <v>250</v>
      </c>
      <c r="K2133" s="17" t="n">
        <v>249.01</v>
      </c>
      <c r="L2133" s="17" t="n">
        <v>0</v>
      </c>
      <c r="M2133" s="17" t="n">
        <v>0</v>
      </c>
      <c r="N2133" s="17">
        <f>K2133*0.08+L2133*0.08</f>
        <v/>
      </c>
      <c r="O2133" s="17">
        <f>-(K2133*0.025+L2133*0.025)</f>
        <v/>
      </c>
      <c r="P2133" s="17">
        <f>32</f>
        <v/>
      </c>
      <c r="Q2133" s="17">
        <f>J2133+L2133+N2133+O2133-P2133-M2133</f>
        <v/>
      </c>
    </row>
    <row r="2134">
      <c r="A2134" s="16" t="inlineStr">
        <is>
          <t>5.22-5.28</t>
        </is>
      </c>
      <c r="B2134" s="16" t="inlineStr">
        <is>
          <t>PO-128-05337231411830474</t>
        </is>
      </c>
      <c r="C2134" s="16" t="inlineStr">
        <is>
          <t>Shipped</t>
        </is>
      </c>
      <c r="D2134" s="16" t="inlineStr">
        <is>
          <t>128-05337251400310474</t>
        </is>
      </c>
      <c r="E2134" s="16" t="inlineStr">
        <is>
          <t>Shipped</t>
        </is>
      </c>
      <c r="F2134" s="16" t="inlineStr">
        <is>
          <t>TLCD02-8P-A</t>
        </is>
      </c>
      <c r="G213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134" s="16" t="inlineStr">
        <is>
          <t>AZUL/pantalla de 8.5 pulgadas</t>
        </is>
      </c>
      <c r="I2134" s="16" t="n">
        <v>2</v>
      </c>
      <c r="J2134" s="17" t="n">
        <v>49.6</v>
      </c>
      <c r="K2134" s="17" t="n">
        <v>49.77</v>
      </c>
      <c r="L2134" s="17" t="n">
        <v>12.93</v>
      </c>
      <c r="M2134" s="17" t="n">
        <v>0</v>
      </c>
      <c r="N2134" s="17">
        <f>K2134*0.08+L2134*0.08</f>
        <v/>
      </c>
      <c r="O2134" s="17">
        <f>-(K2134*0.025+L2134*0.025)</f>
        <v/>
      </c>
      <c r="P2134" s="17">
        <f>32</f>
        <v/>
      </c>
      <c r="Q2134" s="17">
        <f>J2134+L2134+N2134+O2134-P2134-M2134</f>
        <v/>
      </c>
    </row>
    <row r="2135">
      <c r="A2135" s="16" t="inlineStr">
        <is>
          <t>5.22-5.28</t>
        </is>
      </c>
      <c r="B2135" s="16" t="inlineStr">
        <is>
          <t>PO-128-05337231411830474</t>
        </is>
      </c>
      <c r="C2135" s="16" t="inlineStr">
        <is>
          <t>Shipped</t>
        </is>
      </c>
      <c r="D2135" s="16" t="inlineStr">
        <is>
          <t>128-05337252383350474</t>
        </is>
      </c>
      <c r="E2135" s="16" t="inlineStr">
        <is>
          <t>Shipped</t>
        </is>
      </c>
      <c r="F2135" s="16" t="inlineStr">
        <is>
          <t>TLCD02-8P-V</t>
        </is>
      </c>
      <c r="G213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135" s="16" t="inlineStr">
        <is>
          <t>VERDE/pantalla de 8.5 pulgadas</t>
        </is>
      </c>
      <c r="I2135" s="16" t="n">
        <v>2</v>
      </c>
      <c r="J2135" s="17" t="n">
        <v>49.6</v>
      </c>
      <c r="K2135" s="17" t="n">
        <v>49.78</v>
      </c>
      <c r="L2135" s="17" t="n">
        <v>12.94</v>
      </c>
      <c r="M2135" s="17" t="n">
        <v>0</v>
      </c>
      <c r="N2135" s="17">
        <f>K2135*0.08+L2135*0.08</f>
        <v/>
      </c>
      <c r="O2135" s="17">
        <f>-(K2135*0.025+L2135*0.025)</f>
        <v/>
      </c>
      <c r="P2135" s="17">
        <f>32</f>
        <v/>
      </c>
      <c r="Q2135" s="17">
        <f>J2135+L2135+N2135+O2135-P2135-M2135</f>
        <v/>
      </c>
    </row>
    <row r="2136">
      <c r="A2136" s="16" t="inlineStr">
        <is>
          <t>5.22-5.28</t>
        </is>
      </c>
      <c r="B2136" s="16" t="inlineStr">
        <is>
          <t>PO-128-05408357724790114</t>
        </is>
      </c>
      <c r="C2136" s="16" t="inlineStr">
        <is>
          <t>Shipped</t>
        </is>
      </c>
      <c r="D2136" s="16" t="inlineStr">
        <is>
          <t>128-05408368210550114</t>
        </is>
      </c>
      <c r="E2136" s="16" t="inlineStr">
        <is>
          <t>Shipped</t>
        </is>
      </c>
      <c r="F2136" s="16" t="inlineStr">
        <is>
          <t>LV64W25</t>
        </is>
      </c>
      <c r="G21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36" s="16" t="inlineStr">
        <is>
          <t>Blanco</t>
        </is>
      </c>
      <c r="I2136" s="16" t="n">
        <v>1</v>
      </c>
      <c r="J2136" s="17" t="n">
        <v>125</v>
      </c>
      <c r="K2136" s="17" t="n">
        <v>143.26</v>
      </c>
      <c r="L2136" s="17" t="n">
        <v>0</v>
      </c>
      <c r="M2136" s="17" t="n">
        <v>0</v>
      </c>
      <c r="N2136" s="17">
        <f>K2136*0.08+L2136*0.08</f>
        <v/>
      </c>
      <c r="O2136" s="17">
        <f>-(K2136*0.025+L2136*0.025)</f>
        <v/>
      </c>
      <c r="P2136" s="17">
        <f>32</f>
        <v/>
      </c>
      <c r="Q2136" s="17">
        <f>J2136+L2136+N2136+O2136-P2136-M2136</f>
        <v/>
      </c>
    </row>
    <row r="2137">
      <c r="A2137" s="16" t="inlineStr">
        <is>
          <t>5.22-5.28</t>
        </is>
      </c>
      <c r="B2137" s="16" t="inlineStr">
        <is>
          <t>PO-128-05408357724790114</t>
        </is>
      </c>
      <c r="C2137" s="16" t="inlineStr">
        <is>
          <t>Shipped</t>
        </is>
      </c>
      <c r="D2137" s="16" t="inlineStr">
        <is>
          <t>128-05408452096630114</t>
        </is>
      </c>
      <c r="E2137" s="16" t="inlineStr">
        <is>
          <t>Shipped</t>
        </is>
      </c>
      <c r="F2137" s="16" t="inlineStr">
        <is>
          <t>B03W10-10PZS</t>
        </is>
      </c>
      <c r="G213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137" s="16" t="inlineStr">
        <is>
          <t>B03W10</t>
        </is>
      </c>
      <c r="I2137" s="16" t="n">
        <v>2</v>
      </c>
      <c r="J2137" s="17" t="n">
        <v>152</v>
      </c>
      <c r="K2137" s="17" t="n">
        <v>160.1</v>
      </c>
      <c r="L2137" s="17" t="n">
        <v>0</v>
      </c>
      <c r="M2137" s="17" t="n">
        <v>0</v>
      </c>
      <c r="N2137" s="17">
        <f>K2137*0.08+L2137*0.08</f>
        <v/>
      </c>
      <c r="O2137" s="17">
        <f>-(K2137*0.025+L2137*0.025)</f>
        <v/>
      </c>
      <c r="P2137" s="17">
        <f>32</f>
        <v/>
      </c>
      <c r="Q2137" s="17">
        <f>J2137+L2137+N2137+O2137-P2137-M2137</f>
        <v/>
      </c>
    </row>
    <row r="2138">
      <c r="A2138" s="16" t="inlineStr">
        <is>
          <t>5.22-5.28</t>
        </is>
      </c>
      <c r="B2138" s="16" t="inlineStr">
        <is>
          <t>PO-128-05408357724790114</t>
        </is>
      </c>
      <c r="C2138" s="16" t="inlineStr">
        <is>
          <t>Shipped</t>
        </is>
      </c>
      <c r="D2138" s="16" t="inlineStr">
        <is>
          <t>128-05408399667830114</t>
        </is>
      </c>
      <c r="E2138" s="16" t="inlineStr">
        <is>
          <t>Shipped</t>
        </is>
      </c>
      <c r="F2138" s="16" t="inlineStr">
        <is>
          <t>TL1455N20B</t>
        </is>
      </c>
      <c r="G2138" s="16" t="inlineStr">
        <is>
          <t>LINK BITS Soporte para TV 14 A 55 Pulgadas, Base para TV Pantalla Articulado Inclinable y Giratorio, MAX VESA 400×400 mm, Soporta hasta 18kg, adaptarse a la mayoría de los televisores de 14 Pulgadas/20 Pulgadas/32 Pulgadas/42 Pulgadas/55 pulgadas</t>
        </is>
      </c>
      <c r="H2138" s="16" t="inlineStr">
        <is>
          <t>TL1455N20B</t>
        </is>
      </c>
      <c r="I2138" s="16" t="n">
        <v>1</v>
      </c>
      <c r="J2138" s="17" t="n">
        <v>74</v>
      </c>
      <c r="K2138" s="17" t="n">
        <v>95.06</v>
      </c>
      <c r="L2138" s="17" t="n">
        <v>0</v>
      </c>
      <c r="M2138" s="17" t="n">
        <v>0</v>
      </c>
      <c r="N2138" s="17">
        <f>K2138*0.08+L2138*0.08</f>
        <v/>
      </c>
      <c r="O2138" s="17">
        <f>-(K2138*0.025+L2138*0.025)</f>
        <v/>
      </c>
      <c r="P2138" s="17">
        <f>32</f>
        <v/>
      </c>
      <c r="Q2138" s="17">
        <f>J2138+L2138+N2138+O2138-P2138-M2138</f>
        <v/>
      </c>
    </row>
    <row r="2139">
      <c r="A2139" s="16" t="inlineStr">
        <is>
          <t>5.22-5.28</t>
        </is>
      </c>
      <c r="B2139" s="16" t="inlineStr">
        <is>
          <t>PO-128-05035762386552209</t>
        </is>
      </c>
      <c r="C2139" s="16" t="inlineStr">
        <is>
          <t>Shipped</t>
        </is>
      </c>
      <c r="D2139" s="16" t="inlineStr">
        <is>
          <t>128-05035741415032209</t>
        </is>
      </c>
      <c r="E2139" s="16" t="inlineStr">
        <is>
          <t>Shipped</t>
        </is>
      </c>
      <c r="F2139" s="16" t="inlineStr">
        <is>
          <t>B03W10-10PZS</t>
        </is>
      </c>
      <c r="G213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139" s="16" t="inlineStr">
        <is>
          <t>B03W10</t>
        </is>
      </c>
      <c r="I2139" s="16" t="n">
        <v>1</v>
      </c>
      <c r="J2139" s="17" t="n">
        <v>76</v>
      </c>
      <c r="K2139" s="17" t="n">
        <v>88.94</v>
      </c>
      <c r="L2139" s="17" t="n">
        <v>25.86</v>
      </c>
      <c r="M2139" s="17" t="n">
        <v>0</v>
      </c>
      <c r="N2139" s="17">
        <f>K2139*0.08+L2139*0.08</f>
        <v/>
      </c>
      <c r="O2139" s="17">
        <f>-(K2139*0.025+L2139*0.025)</f>
        <v/>
      </c>
      <c r="P2139" s="17">
        <f>32</f>
        <v/>
      </c>
      <c r="Q2139" s="17">
        <f>J2139+L2139+N2139+O2139-P2139-M2139</f>
        <v/>
      </c>
    </row>
    <row r="2140">
      <c r="A2140" s="16" t="inlineStr">
        <is>
          <t>5.22-5.28</t>
        </is>
      </c>
      <c r="B2140" s="16" t="inlineStr">
        <is>
          <t>PO-128-05341484447350451</t>
        </is>
      </c>
      <c r="C2140" s="16" t="inlineStr">
        <is>
          <t>Shipped</t>
        </is>
      </c>
      <c r="D2140" s="16" t="inlineStr">
        <is>
          <t>128-05341384832630451</t>
        </is>
      </c>
      <c r="E2140" s="16" t="inlineStr">
        <is>
          <t>Shipped</t>
        </is>
      </c>
      <c r="F2140" s="16" t="inlineStr">
        <is>
          <t>LV64W25</t>
        </is>
      </c>
      <c r="G21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40" s="16" t="inlineStr">
        <is>
          <t>Blanco</t>
        </is>
      </c>
      <c r="I2140" s="16" t="n">
        <v>1</v>
      </c>
      <c r="J2140" s="17" t="n">
        <v>125</v>
      </c>
      <c r="K2140" s="17" t="n">
        <v>128.94</v>
      </c>
      <c r="L2140" s="17" t="n">
        <v>25.86</v>
      </c>
      <c r="M2140" s="17" t="n">
        <v>0</v>
      </c>
      <c r="N2140" s="17">
        <f>K2140*0.08+L2140*0.08</f>
        <v/>
      </c>
      <c r="O2140" s="17">
        <f>-(K2140*0.025+L2140*0.025)</f>
        <v/>
      </c>
      <c r="P2140" s="17">
        <f>32</f>
        <v/>
      </c>
      <c r="Q2140" s="17">
        <f>J2140+L2140+N2140+O2140-P2140-M2140</f>
        <v/>
      </c>
    </row>
    <row r="2141">
      <c r="A2141" s="16" t="inlineStr">
        <is>
          <t>5.22-5.28</t>
        </is>
      </c>
      <c r="B2141" s="16" t="inlineStr">
        <is>
          <t>PO-128-05326231086710412</t>
        </is>
      </c>
      <c r="C2141" s="16" t="inlineStr">
        <is>
          <t>Shipped</t>
        </is>
      </c>
      <c r="D2141" s="16" t="inlineStr">
        <is>
          <t>128-05326189143670412</t>
        </is>
      </c>
      <c r="E2141" s="16" t="inlineStr">
        <is>
          <t>Shipped</t>
        </is>
      </c>
      <c r="F2141" s="16" t="inlineStr">
        <is>
          <t>LV54W25</t>
        </is>
      </c>
      <c r="G2141" s="16" t="inlineStr">
        <is>
          <t>TIANLAI Lámpara Ventilador E27 2 en 1, Silenciosa, LED Alta Luminosidad 180°, Instalación Rápida, Ahorro Energético para Dormitorio y Interiores Pequeños</t>
        </is>
      </c>
      <c r="H2141" s="16" t="inlineStr">
        <is>
          <t>1 Pieza</t>
        </is>
      </c>
      <c r="I2141" s="16" t="n">
        <v>5</v>
      </c>
      <c r="J2141" s="17" t="n">
        <v>370</v>
      </c>
      <c r="K2141" s="17" t="n">
        <v>381.3</v>
      </c>
      <c r="L2141" s="17" t="n">
        <v>0</v>
      </c>
      <c r="M2141" s="17" t="n">
        <v>0</v>
      </c>
      <c r="N2141" s="17">
        <f>K2141*0.08+L2141*0.08</f>
        <v/>
      </c>
      <c r="O2141" s="17">
        <f>-(K2141*0.025+L2141*0.025)</f>
        <v/>
      </c>
      <c r="P2141" s="17">
        <f>32</f>
        <v/>
      </c>
      <c r="Q2141" s="17">
        <f>J2141+L2141+N2141+O2141-P2141-M2141</f>
        <v/>
      </c>
    </row>
    <row r="2142">
      <c r="A2142" s="16" t="inlineStr">
        <is>
          <t>5.22-5.28</t>
        </is>
      </c>
      <c r="B2142" s="16" t="inlineStr">
        <is>
          <t>PO-128-04872148982393310</t>
        </is>
      </c>
      <c r="C2142" s="16" t="inlineStr">
        <is>
          <t>Shipped</t>
        </is>
      </c>
      <c r="D2142" s="16" t="inlineStr">
        <is>
          <t>128-04872190925433310</t>
        </is>
      </c>
      <c r="E2142" s="16" t="inlineStr">
        <is>
          <t>Shipped</t>
        </is>
      </c>
      <c r="F2142" s="16" t="inlineStr">
        <is>
          <t>LV54W25</t>
        </is>
      </c>
      <c r="G2142" s="16" t="inlineStr">
        <is>
          <t>TIANLAI Lámpara Ventilador E27 2 en 1, Silenciosa, LED Alta Luminosidad 180°, Instalación Rápida, Ahorro Energético para Dormitorio y Interiores Pequeños</t>
        </is>
      </c>
      <c r="H2142" s="16" t="inlineStr">
        <is>
          <t>1 Pieza</t>
        </is>
      </c>
      <c r="I2142" s="16" t="n">
        <v>2</v>
      </c>
      <c r="J2142" s="17" t="n">
        <v>148</v>
      </c>
      <c r="K2142" s="17" t="n">
        <v>122.02</v>
      </c>
      <c r="L2142" s="17" t="n">
        <v>25.86</v>
      </c>
      <c r="M2142" s="17" t="n">
        <v>0</v>
      </c>
      <c r="N2142" s="17">
        <f>K2142*0.08+L2142*0.08</f>
        <v/>
      </c>
      <c r="O2142" s="17">
        <f>-(K2142*0.025+L2142*0.025)</f>
        <v/>
      </c>
      <c r="P2142" s="17">
        <f>32</f>
        <v/>
      </c>
      <c r="Q2142" s="17">
        <f>J2142+L2142+N2142+O2142-P2142-M2142</f>
        <v/>
      </c>
    </row>
    <row r="2143">
      <c r="A2143" s="16" t="inlineStr">
        <is>
          <t>5.22-5.28</t>
        </is>
      </c>
      <c r="B2143" s="16" t="inlineStr">
        <is>
          <t>PO-128-05321581952631657</t>
        </is>
      </c>
      <c r="C2143" s="16" t="inlineStr">
        <is>
          <t>Shipped</t>
        </is>
      </c>
      <c r="D2143" s="16" t="inlineStr">
        <is>
          <t>128-05321613409911657</t>
        </is>
      </c>
      <c r="E2143" s="16" t="inlineStr">
        <is>
          <t>Shipped</t>
        </is>
      </c>
      <c r="F2143" s="16" t="inlineStr">
        <is>
          <t>LV64W25</t>
        </is>
      </c>
      <c r="G21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43" s="16" t="inlineStr">
        <is>
          <t>Blanco</t>
        </is>
      </c>
      <c r="I2143" s="16" t="n">
        <v>2</v>
      </c>
      <c r="J2143" s="17" t="n">
        <v>250</v>
      </c>
      <c r="K2143" s="17" t="n">
        <v>264.29</v>
      </c>
      <c r="L2143" s="17" t="n">
        <v>0</v>
      </c>
      <c r="M2143" s="17" t="n">
        <v>0</v>
      </c>
      <c r="N2143" s="17">
        <f>K2143*0.08+L2143*0.08</f>
        <v/>
      </c>
      <c r="O2143" s="17">
        <f>-(K2143*0.025+L2143*0.025)</f>
        <v/>
      </c>
      <c r="P2143" s="17">
        <f>32</f>
        <v/>
      </c>
      <c r="Q2143" s="17">
        <f>J2143+L2143+N2143+O2143-P2143-M2143</f>
        <v/>
      </c>
    </row>
    <row r="2144">
      <c r="A2144" s="16" t="inlineStr">
        <is>
          <t>5.22-5.28</t>
        </is>
      </c>
      <c r="B2144" s="16" t="inlineStr">
        <is>
          <t>PO-128-05485746120310551</t>
        </is>
      </c>
      <c r="C2144" s="16" t="inlineStr">
        <is>
          <t>Shipped</t>
        </is>
      </c>
      <c r="D2144" s="16" t="inlineStr">
        <is>
          <t>128-05485798549110551</t>
        </is>
      </c>
      <c r="E2144" s="16" t="inlineStr">
        <is>
          <t>Shipped</t>
        </is>
      </c>
      <c r="F2144" s="16" t="inlineStr">
        <is>
          <t>LV64W25</t>
        </is>
      </c>
      <c r="G21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44" s="16" t="inlineStr">
        <is>
          <t>Blanco</t>
        </is>
      </c>
      <c r="I2144" s="16" t="n">
        <v>6</v>
      </c>
      <c r="J2144" s="17" t="n">
        <v>750</v>
      </c>
      <c r="K2144" s="17" t="n">
        <v>773.64</v>
      </c>
      <c r="L2144" s="17" t="n">
        <v>0</v>
      </c>
      <c r="M2144" s="17" t="n">
        <v>0</v>
      </c>
      <c r="N2144" s="17">
        <f>K2144*0.08+L2144*0.08</f>
        <v/>
      </c>
      <c r="O2144" s="17">
        <f>-(K2144*0.025+L2144*0.025)</f>
        <v/>
      </c>
      <c r="P2144" s="17">
        <f>32</f>
        <v/>
      </c>
      <c r="Q2144" s="17">
        <f>J2144+L2144+N2144+O2144-P2144-M2144</f>
        <v/>
      </c>
    </row>
    <row r="2145">
      <c r="A2145" s="16" t="inlineStr">
        <is>
          <t>5.22-5.28</t>
        </is>
      </c>
      <c r="B2145" s="16" t="inlineStr">
        <is>
          <t>PO-128-04893361285753184</t>
        </is>
      </c>
      <c r="C2145" s="16" t="inlineStr">
        <is>
          <t>Shipped</t>
        </is>
      </c>
      <c r="D2145" s="16" t="inlineStr">
        <is>
          <t>128-04893382257273184</t>
        </is>
      </c>
      <c r="E2145" s="16" t="inlineStr">
        <is>
          <t>Shipped</t>
        </is>
      </c>
      <c r="F2145" s="16" t="inlineStr">
        <is>
          <t>LV64W25</t>
        </is>
      </c>
      <c r="G21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45" s="16" t="inlineStr">
        <is>
          <t>Blanco</t>
        </is>
      </c>
      <c r="I2145" s="16" t="n">
        <v>2</v>
      </c>
      <c r="J2145" s="17" t="n">
        <v>250</v>
      </c>
      <c r="K2145" s="17" t="n">
        <v>257.88</v>
      </c>
      <c r="L2145" s="17" t="n">
        <v>0</v>
      </c>
      <c r="M2145" s="17" t="n">
        <v>0</v>
      </c>
      <c r="N2145" s="17">
        <f>K2145*0.08+L2145*0.08</f>
        <v/>
      </c>
      <c r="O2145" s="17">
        <f>-(K2145*0.025+L2145*0.025)</f>
        <v/>
      </c>
      <c r="P2145" s="17">
        <f>32</f>
        <v/>
      </c>
      <c r="Q2145" s="17">
        <f>J2145+L2145+N2145+O2145-P2145-M2145</f>
        <v/>
      </c>
    </row>
    <row r="2146">
      <c r="A2146" s="16" t="inlineStr">
        <is>
          <t>5.22-5.28</t>
        </is>
      </c>
      <c r="B2146" s="16" t="inlineStr">
        <is>
          <t>PO-128-05446509107830849</t>
        </is>
      </c>
      <c r="C2146" s="16" t="inlineStr">
        <is>
          <t>Shipped</t>
        </is>
      </c>
      <c r="D2146" s="16" t="inlineStr">
        <is>
          <t>128-05446530079350849</t>
        </is>
      </c>
      <c r="E2146" s="16" t="inlineStr">
        <is>
          <t>Shipped</t>
        </is>
      </c>
      <c r="F2146" s="16" t="inlineStr">
        <is>
          <t>KTS-2031</t>
        </is>
      </c>
      <c r="G2146" s="16" t="inlineStr">
        <is>
          <t>Bocina inalámbrica de 3 pulgadas con linterna multifuncional y panel solar integrado.Altavoz Portátil con Linterna LED 4 Modos, Radio FM, Bluetooth, Carga Solar, Ideal para Apagones, Emergencias, Campo y Exteriores</t>
        </is>
      </c>
      <c r="H2146" s="16" t="inlineStr">
        <is>
          <t>NEGRO</t>
        </is>
      </c>
      <c r="I2146" s="16" t="n">
        <v>5</v>
      </c>
      <c r="J2146" s="17" t="n">
        <v>450</v>
      </c>
      <c r="K2146" s="17" t="n">
        <v>496.1</v>
      </c>
      <c r="L2146" s="17" t="n">
        <v>0</v>
      </c>
      <c r="M2146" s="17" t="n">
        <v>0</v>
      </c>
      <c r="N2146" s="17">
        <f>K2146*0.08+L2146*0.08</f>
        <v/>
      </c>
      <c r="O2146" s="17">
        <f>-(K2146*0.025+L2146*0.025)</f>
        <v/>
      </c>
      <c r="P2146" s="17">
        <f>32</f>
        <v/>
      </c>
      <c r="Q2146" s="17">
        <f>J2146+L2146+N2146+O2146-P2146-M2146</f>
        <v/>
      </c>
    </row>
    <row r="2147">
      <c r="A2147" s="16" t="inlineStr">
        <is>
          <t>5.22-5.28</t>
        </is>
      </c>
      <c r="B2147" s="16" t="inlineStr">
        <is>
          <t>PO-128-05151846421112669</t>
        </is>
      </c>
      <c r="C2147" s="16" t="inlineStr">
        <is>
          <t>Shipped</t>
        </is>
      </c>
      <c r="D2147" s="16" t="inlineStr">
        <is>
          <t>128-05151786127992669</t>
        </is>
      </c>
      <c r="E2147" s="16" t="inlineStr">
        <is>
          <t>Shipped</t>
        </is>
      </c>
      <c r="F2147" s="16" t="inlineStr">
        <is>
          <t>KTS-2031</t>
        </is>
      </c>
      <c r="G2147" s="16" t="inlineStr">
        <is>
          <t>Bocina inalámbrica de 3 pulgadas con linterna multifuncional y panel solar integrado.Altavoz Portátil con Linterna LED 4 Modos, Radio FM, Bluetooth, Carga Solar, Ideal para Apagones, Emergencias, Campo y Exteriores</t>
        </is>
      </c>
      <c r="H2147" s="16" t="inlineStr">
        <is>
          <t>NEGRO</t>
        </is>
      </c>
      <c r="I2147" s="16" t="n">
        <v>3</v>
      </c>
      <c r="J2147" s="17" t="n">
        <v>270</v>
      </c>
      <c r="K2147" s="17" t="n">
        <v>255.18</v>
      </c>
      <c r="L2147" s="17" t="n">
        <v>0</v>
      </c>
      <c r="M2147" s="17" t="n">
        <v>0</v>
      </c>
      <c r="N2147" s="17">
        <f>K2147*0.08+L2147*0.08</f>
        <v/>
      </c>
      <c r="O2147" s="17">
        <f>-(K2147*0.025+L2147*0.025)</f>
        <v/>
      </c>
      <c r="P2147" s="17">
        <f>32</f>
        <v/>
      </c>
      <c r="Q2147" s="17">
        <f>J2147+L2147+N2147+O2147-P2147-M2147</f>
        <v/>
      </c>
    </row>
    <row r="2148">
      <c r="A2148" s="16" t="inlineStr">
        <is>
          <t>5.22-5.28</t>
        </is>
      </c>
      <c r="B2148" s="16" t="inlineStr">
        <is>
          <t>PO-128-04929972106873926</t>
        </is>
      </c>
      <c r="C2148" s="16" t="inlineStr">
        <is>
          <t>Shipped</t>
        </is>
      </c>
      <c r="D2148" s="16" t="inlineStr">
        <is>
          <t>128-04929930163833926</t>
        </is>
      </c>
      <c r="E2148" s="16" t="inlineStr">
        <is>
          <t>Shipped</t>
        </is>
      </c>
      <c r="F2148" s="16" t="inlineStr">
        <is>
          <t>BSC04</t>
        </is>
      </c>
      <c r="G2148" s="16" t="inlineStr">
        <is>
          <t>TIANLAI Báscula Digital BSC04/BSC07, Alta Precisión, Fácil Operación, Ligera y Portátil, Función Tara, Unidad Dual oz/g, Ideal para Cocina, Control de Porciones, Sellos y Objetos Pequeños, Uso en Hogar y Viaje</t>
        </is>
      </c>
      <c r="H2148" s="16" t="inlineStr">
        <is>
          <t>5g/White</t>
        </is>
      </c>
      <c r="I2148" s="16" t="n">
        <v>1</v>
      </c>
      <c r="J2148" s="17" t="n">
        <v>57.8</v>
      </c>
      <c r="K2148" s="17" t="n">
        <v>74.09</v>
      </c>
      <c r="L2148" s="17" t="n">
        <v>25.86</v>
      </c>
      <c r="M2148" s="17" t="n">
        <v>0</v>
      </c>
      <c r="N2148" s="17">
        <f>K2148*0.08+L2148*0.08</f>
        <v/>
      </c>
      <c r="O2148" s="17">
        <f>-(K2148*0.025+L2148*0.025)</f>
        <v/>
      </c>
      <c r="P2148" s="17">
        <f>32</f>
        <v/>
      </c>
      <c r="Q2148" s="17">
        <f>J2148+L2148+N2148+O2148-P2148-M2148</f>
        <v/>
      </c>
    </row>
    <row r="2149">
      <c r="A2149" s="16" t="inlineStr">
        <is>
          <t>5.22-5.28</t>
        </is>
      </c>
      <c r="B2149" s="16" t="inlineStr">
        <is>
          <t>PO-128-05174946652791507</t>
        </is>
      </c>
      <c r="C2149" s="16" t="inlineStr">
        <is>
          <t>Shipped</t>
        </is>
      </c>
      <c r="D2149" s="16" t="inlineStr">
        <is>
          <t>128-05174978110071507</t>
        </is>
      </c>
      <c r="E2149" s="16" t="inlineStr">
        <is>
          <t>Shipped</t>
        </is>
      </c>
      <c r="F2149" s="16" t="inlineStr">
        <is>
          <t>VA371T</t>
        </is>
      </c>
      <c r="G2149" s="16" t="inlineStr">
        <is>
          <t>Linkbits Bocina Bluetooth Portátil 3" de Alta Gama，Hi-Res Audio y Graves Potentes，Luces LED + Soporte USB/TF/FM/TWS，Ideal para Hogar y Aire Libre</t>
        </is>
      </c>
      <c r="H2149" s="16" t="inlineStr">
        <is>
          <t>VA371T</t>
        </is>
      </c>
      <c r="I2149" s="16" t="n">
        <v>1</v>
      </c>
      <c r="J2149" s="17" t="n">
        <v>45.5</v>
      </c>
      <c r="K2149" s="17" t="n">
        <v>53.86</v>
      </c>
      <c r="L2149" s="17" t="n">
        <v>25.86</v>
      </c>
      <c r="M2149" s="17" t="n">
        <v>0</v>
      </c>
      <c r="N2149" s="17">
        <f>K2149*0.08+L2149*0.08</f>
        <v/>
      </c>
      <c r="O2149" s="17">
        <f>-(K2149*0.025+L2149*0.025)</f>
        <v/>
      </c>
      <c r="P2149" s="17">
        <f>32</f>
        <v/>
      </c>
      <c r="Q2149" s="17">
        <f>J2149+L2149+N2149+O2149-P2149-M2149</f>
        <v/>
      </c>
    </row>
    <row r="2150">
      <c r="A2150" s="16" t="inlineStr">
        <is>
          <t>5.22-5.28</t>
        </is>
      </c>
      <c r="B2150" s="16" t="inlineStr">
        <is>
          <t>PO-128-04865738506873284</t>
        </is>
      </c>
      <c r="C2150" s="16" t="inlineStr">
        <is>
          <t>Shipped</t>
        </is>
      </c>
      <c r="D2150" s="16" t="inlineStr">
        <is>
          <t>128-04865806664313284</t>
        </is>
      </c>
      <c r="E2150" s="16" t="inlineStr">
        <is>
          <t>Shipped</t>
        </is>
      </c>
      <c r="F2150" s="16" t="inlineStr">
        <is>
          <t>LV64W25</t>
        </is>
      </c>
      <c r="G21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50" s="16" t="inlineStr">
        <is>
          <t>Blanco</t>
        </is>
      </c>
      <c r="I2150" s="16" t="n">
        <v>1</v>
      </c>
      <c r="J2150" s="17" t="n">
        <v>125</v>
      </c>
      <c r="K2150" s="17" t="n">
        <v>114.6</v>
      </c>
      <c r="L2150" s="17" t="n">
        <v>25.86</v>
      </c>
      <c r="M2150" s="17" t="n">
        <v>0</v>
      </c>
      <c r="N2150" s="17">
        <f>K2150*0.08+L2150*0.08</f>
        <v/>
      </c>
      <c r="O2150" s="17">
        <f>-(K2150*0.025+L2150*0.025)</f>
        <v/>
      </c>
      <c r="P2150" s="17">
        <f>32</f>
        <v/>
      </c>
      <c r="Q2150" s="17">
        <f>J2150+L2150+N2150+O2150-P2150-M2150</f>
        <v/>
      </c>
    </row>
    <row r="2151">
      <c r="A2151" s="16" t="inlineStr">
        <is>
          <t>5.22-5.28</t>
        </is>
      </c>
      <c r="B2151" s="16" t="inlineStr">
        <is>
          <t>PO-128-04859921516153257</t>
        </is>
      </c>
      <c r="C2151" s="16" t="inlineStr">
        <is>
          <t>Shipped</t>
        </is>
      </c>
      <c r="D2151" s="16" t="inlineStr">
        <is>
          <t>128-04859900544633257</t>
        </is>
      </c>
      <c r="E2151" s="16" t="inlineStr">
        <is>
          <t>Shipped</t>
        </is>
      </c>
      <c r="F2151" s="16" t="inlineStr">
        <is>
          <t>LV54W25</t>
        </is>
      </c>
      <c r="G2151" s="16" t="inlineStr">
        <is>
          <t>TIANLAI Lámpara Ventilador E27 2 en 1, Silenciosa, LED Alta Luminosidad 180°, Instalación Rápida, Ahorro Energético para Dormitorio y Interiores Pequeños</t>
        </is>
      </c>
      <c r="H2151" s="16" t="inlineStr">
        <is>
          <t>1 Pieza</t>
        </is>
      </c>
      <c r="I2151" s="16" t="n">
        <v>1</v>
      </c>
      <c r="J2151" s="17" t="n">
        <v>78.5</v>
      </c>
      <c r="K2151" s="17" t="n">
        <v>80.27</v>
      </c>
      <c r="L2151" s="17" t="n">
        <v>25.86</v>
      </c>
      <c r="M2151" s="17" t="n">
        <v>0</v>
      </c>
      <c r="N2151" s="17">
        <f>K2151*0.08+L2151*0.08</f>
        <v/>
      </c>
      <c r="O2151" s="17">
        <f>-(K2151*0.025+L2151*0.025)</f>
        <v/>
      </c>
      <c r="P2151" s="17">
        <f>32</f>
        <v/>
      </c>
      <c r="Q2151" s="17">
        <f>J2151+L2151+N2151+O2151-P2151-M2151</f>
        <v/>
      </c>
    </row>
    <row r="2152">
      <c r="A2152" s="16" t="inlineStr">
        <is>
          <t>5.22-5.28</t>
        </is>
      </c>
      <c r="B2152" s="16" t="inlineStr">
        <is>
          <t>PO-128-04836864010873331</t>
        </is>
      </c>
      <c r="C2152" s="16" t="inlineStr">
        <is>
          <t>Shipped</t>
        </is>
      </c>
      <c r="D2152" s="16" t="inlineStr">
        <is>
          <t>128-04836822067833331</t>
        </is>
      </c>
      <c r="E2152" s="16" t="inlineStr">
        <is>
          <t>Shipped</t>
        </is>
      </c>
      <c r="F2152" s="16" t="inlineStr">
        <is>
          <t>BG-115-B</t>
        </is>
      </c>
      <c r="G2152" s="16" t="inlineStr">
        <is>
          <t>LINK BITS Audífonos Inalámbricos con Luces Multicolor, Recargables y en Adorable Forma de Orejas de Gato - Conecta a Celulares y PCs, Tiene Radio FM, Tarjeta TF y AUX - 7 Horas de Reproducción, Plegables y Perfectos para Trabajo, Juegos y Estudio</t>
        </is>
      </c>
      <c r="H2152" s="16" t="inlineStr">
        <is>
          <t>blanco</t>
        </is>
      </c>
      <c r="I2152" s="16" t="n">
        <v>1</v>
      </c>
      <c r="J2152" s="17" t="n">
        <v>77.90000000000001</v>
      </c>
      <c r="K2152" s="17" t="n">
        <v>0</v>
      </c>
      <c r="L2152" s="17" t="n">
        <v>0</v>
      </c>
      <c r="M2152" s="17" t="n">
        <v>0</v>
      </c>
      <c r="N2152" s="17">
        <f>K2152*0.08+L2152*0.08</f>
        <v/>
      </c>
      <c r="O2152" s="17">
        <f>-(K2152*0.025+L2152*0.025)</f>
        <v/>
      </c>
      <c r="P2152" s="17">
        <f>32</f>
        <v/>
      </c>
      <c r="Q2152" s="17">
        <f>J2152+L2152+N2152+O2152-P2152-M2152</f>
        <v/>
      </c>
    </row>
    <row r="2153">
      <c r="A2153" s="16" t="inlineStr">
        <is>
          <t>5.22-5.28</t>
        </is>
      </c>
      <c r="B2153" s="16" t="inlineStr">
        <is>
          <t>PO-128-05248908595831963</t>
        </is>
      </c>
      <c r="C2153" s="16" t="inlineStr">
        <is>
          <t>Shipped</t>
        </is>
      </c>
      <c r="D2153" s="16" t="inlineStr">
        <is>
          <t>128-05248866652791963</t>
        </is>
      </c>
      <c r="E2153" s="16" t="inlineStr">
        <is>
          <t>Shipped</t>
        </is>
      </c>
      <c r="F2153" s="16" t="inlineStr">
        <is>
          <t>BSC07</t>
        </is>
      </c>
      <c r="G2153" s="16" t="inlineStr">
        <is>
          <t>TIANLAI Báscula Digital BSC04/BSC07, Alta Precisión, Fácil Operación, Ligera y Portátil, Función Tara, Unidad Dual oz/g, Ideal para Cocina, Control de Porciones, Sellos y Objetos Pequeños, Uso en Hogar y Viaje</t>
        </is>
      </c>
      <c r="H2153" s="16" t="inlineStr">
        <is>
          <t>1g/White</t>
        </is>
      </c>
      <c r="I2153" s="16" t="n">
        <v>1</v>
      </c>
      <c r="J2153" s="17" t="n">
        <v>37</v>
      </c>
      <c r="K2153" s="17" t="n">
        <v>49.22</v>
      </c>
      <c r="L2153" s="17" t="n">
        <v>25.86</v>
      </c>
      <c r="M2153" s="17" t="n">
        <v>0</v>
      </c>
      <c r="N2153" s="17">
        <f>K2153*0.08+L2153*0.08</f>
        <v/>
      </c>
      <c r="O2153" s="17">
        <f>-(K2153*0.025+L2153*0.025)</f>
        <v/>
      </c>
      <c r="P2153" s="17">
        <f>32</f>
        <v/>
      </c>
      <c r="Q2153" s="17">
        <f>J2153+L2153+N2153+O2153-P2153-M2153</f>
        <v/>
      </c>
    </row>
    <row r="2154">
      <c r="A2154" s="16" t="inlineStr">
        <is>
          <t>5.22-5.28</t>
        </is>
      </c>
      <c r="B2154" s="16" t="inlineStr">
        <is>
          <t>PO-128-05127699006072813</t>
        </is>
      </c>
      <c r="C2154" s="16" t="inlineStr">
        <is>
          <t>Shipped</t>
        </is>
      </c>
      <c r="D2154" s="16" t="inlineStr">
        <is>
          <t>128-05127678034552813</t>
        </is>
      </c>
      <c r="E2154" s="16" t="inlineStr">
        <is>
          <t>Shipped</t>
        </is>
      </c>
      <c r="F2154" s="16" t="inlineStr">
        <is>
          <t>LV54W25</t>
        </is>
      </c>
      <c r="G2154" s="16" t="inlineStr">
        <is>
          <t>TIANLAI Lámpara Ventilador E27 2 en 1, Silenciosa, LED Alta Luminosidad 180°, Instalación Rápida, Ahorro Energético para Dormitorio y Interiores Pequeños</t>
        </is>
      </c>
      <c r="H2154" s="16" t="inlineStr">
        <is>
          <t>1 Pieza</t>
        </is>
      </c>
      <c r="I2154" s="16" t="n">
        <v>4</v>
      </c>
      <c r="J2154" s="17" t="n">
        <v>314</v>
      </c>
      <c r="K2154" s="17" t="n">
        <v>324.64</v>
      </c>
      <c r="L2154" s="17" t="n">
        <v>0</v>
      </c>
      <c r="M2154" s="17" t="n">
        <v>0</v>
      </c>
      <c r="N2154" s="17">
        <f>K2154*0.08+L2154*0.08</f>
        <v/>
      </c>
      <c r="O2154" s="17">
        <f>-(K2154*0.025+L2154*0.025)</f>
        <v/>
      </c>
      <c r="P2154" s="17">
        <f>32</f>
        <v/>
      </c>
      <c r="Q2154" s="17">
        <f>J2154+L2154+N2154+O2154-P2154-M2154</f>
        <v/>
      </c>
    </row>
    <row r="2155">
      <c r="A2155" s="16" t="inlineStr">
        <is>
          <t>5.22-5.28</t>
        </is>
      </c>
      <c r="B2155" s="16" t="inlineStr">
        <is>
          <t>PO-128-05225900851831074</t>
        </is>
      </c>
      <c r="C2155" s="16" t="inlineStr">
        <is>
          <t>Shipped</t>
        </is>
      </c>
      <c r="D2155" s="16" t="inlineStr">
        <is>
          <t>128-05225858908791074</t>
        </is>
      </c>
      <c r="E2155" s="16" t="inlineStr">
        <is>
          <t>Shipped</t>
        </is>
      </c>
      <c r="F2155" s="16" t="inlineStr">
        <is>
          <t>LV54W25</t>
        </is>
      </c>
      <c r="G2155" s="16" t="inlineStr">
        <is>
          <t>TIANLAI Lámpara Ventilador E27 2 en 1, Silenciosa, LED Alta Luminosidad 180°, Instalación Rápida, Ahorro Energético para Dormitorio y Interiores Pequeños</t>
        </is>
      </c>
      <c r="H2155" s="16" t="inlineStr">
        <is>
          <t>1 Pieza</t>
        </is>
      </c>
      <c r="I2155" s="16" t="n">
        <v>1</v>
      </c>
      <c r="J2155" s="17" t="n">
        <v>78.5</v>
      </c>
      <c r="K2155" s="17" t="n">
        <v>81.16</v>
      </c>
      <c r="L2155" s="17" t="n">
        <v>25.86</v>
      </c>
      <c r="M2155" s="17" t="n">
        <v>0</v>
      </c>
      <c r="N2155" s="17">
        <f>K2155*0.08+L2155*0.08</f>
        <v/>
      </c>
      <c r="O2155" s="17">
        <f>-(K2155*0.025+L2155*0.025)</f>
        <v/>
      </c>
      <c r="P2155" s="17">
        <f>32</f>
        <v/>
      </c>
      <c r="Q2155" s="17">
        <f>J2155+L2155+N2155+O2155-P2155-M2155</f>
        <v/>
      </c>
    </row>
    <row r="2156">
      <c r="A2156" s="16" t="inlineStr">
        <is>
          <t>5.22-5.28</t>
        </is>
      </c>
      <c r="B2156" s="16" t="inlineStr">
        <is>
          <t>PO-128-05237222851191134</t>
        </is>
      </c>
      <c r="C2156" s="16" t="inlineStr">
        <is>
          <t>Shipped</t>
        </is>
      </c>
      <c r="D2156" s="16" t="inlineStr">
        <is>
          <t>128-05237194015351134</t>
        </is>
      </c>
      <c r="E2156" s="16" t="inlineStr">
        <is>
          <t>Shipped</t>
        </is>
      </c>
      <c r="F2156" s="16" t="inlineStr">
        <is>
          <t>KTS-2031</t>
        </is>
      </c>
      <c r="G2156" s="16" t="inlineStr">
        <is>
          <t>Bocina inalámbrica de 3 pulgadas con linterna multifuncional y panel solar integrado.Altavoz Portátil con Linterna LED 4 Modos, Radio FM, Bluetooth, Carga Solar, Ideal para Apagones, Emergencias, Campo y Exteriores</t>
        </is>
      </c>
      <c r="H2156" s="16" t="inlineStr">
        <is>
          <t>NEGRO</t>
        </is>
      </c>
      <c r="I2156" s="16" t="n">
        <v>1</v>
      </c>
      <c r="J2156" s="17" t="n">
        <v>90</v>
      </c>
      <c r="K2156" s="17" t="n">
        <v>99.22</v>
      </c>
      <c r="L2156" s="17" t="n">
        <v>25.86</v>
      </c>
      <c r="M2156" s="17" t="n">
        <v>0</v>
      </c>
      <c r="N2156" s="17">
        <f>K2156*0.08+L2156*0.08</f>
        <v/>
      </c>
      <c r="O2156" s="17">
        <f>-(K2156*0.025+L2156*0.025)</f>
        <v/>
      </c>
      <c r="P2156" s="17">
        <f>32</f>
        <v/>
      </c>
      <c r="Q2156" s="17">
        <f>J2156+L2156+N2156+O2156-P2156-M2156</f>
        <v/>
      </c>
    </row>
    <row r="2157">
      <c r="A2157" s="16" t="inlineStr">
        <is>
          <t>5.22-5.28</t>
        </is>
      </c>
      <c r="B2157" s="16" t="inlineStr">
        <is>
          <t>PO-128-17713223739510501</t>
        </is>
      </c>
      <c r="C2157" s="16" t="inlineStr">
        <is>
          <t>Shipped</t>
        </is>
      </c>
      <c r="D2157" s="16" t="inlineStr">
        <is>
          <t>128-17713291896950501</t>
        </is>
      </c>
      <c r="E2157" s="16" t="inlineStr">
        <is>
          <t>Shipped</t>
        </is>
      </c>
      <c r="F2157" s="16" t="inlineStr">
        <is>
          <t>LV54W25</t>
        </is>
      </c>
      <c r="G2157" s="16" t="inlineStr">
        <is>
          <t>TIANLAI Lámpara Ventilador E27 2 en 1, Silenciosa, LED Alta Luminosidad 180°, Instalación Rápida, Ahorro Energético para Dormitorio y Interiores Pequeños</t>
        </is>
      </c>
      <c r="H2157" s="16" t="inlineStr">
        <is>
          <t>1 Pieza</t>
        </is>
      </c>
      <c r="I2157" s="16" t="n">
        <v>1</v>
      </c>
      <c r="J2157" s="17" t="n">
        <v>78.5</v>
      </c>
      <c r="K2157" s="17" t="n">
        <v>72.15000000000001</v>
      </c>
      <c r="L2157" s="17" t="n">
        <v>25.86</v>
      </c>
      <c r="M2157" s="17" t="n">
        <v>0</v>
      </c>
      <c r="N2157" s="17">
        <f>K2157*0.08+L2157*0.08</f>
        <v/>
      </c>
      <c r="O2157" s="17">
        <f>-(K2157*0.025+L2157*0.025)</f>
        <v/>
      </c>
      <c r="P2157" s="17">
        <f>32</f>
        <v/>
      </c>
      <c r="Q2157" s="17">
        <f>J2157+L2157+N2157+O2157-P2157-M2157</f>
        <v/>
      </c>
    </row>
    <row r="2158">
      <c r="A2158" s="16" t="inlineStr">
        <is>
          <t>5.22-5.28</t>
        </is>
      </c>
      <c r="B2158" s="16" t="inlineStr">
        <is>
          <t>PO-128-17405434985592270</t>
        </is>
      </c>
      <c r="C2158" s="16" t="inlineStr">
        <is>
          <t>Shipped</t>
        </is>
      </c>
      <c r="D2158" s="16" t="inlineStr">
        <is>
          <t>128-17405414014072270</t>
        </is>
      </c>
      <c r="E2158" s="16" t="inlineStr">
        <is>
          <t>Shipped</t>
        </is>
      </c>
      <c r="F2158" s="16" t="inlineStr">
        <is>
          <t>LV54W25</t>
        </is>
      </c>
      <c r="G2158" s="16" t="inlineStr">
        <is>
          <t>TIANLAI Lámpara Ventilador E27 2 en 1, Silenciosa, LED Alta Luminosidad 180°, Instalación Rápida, Ahorro Energético para Dormitorio y Interiores Pequeños</t>
        </is>
      </c>
      <c r="H2158" s="16" t="inlineStr">
        <is>
          <t>1 Pieza</t>
        </is>
      </c>
      <c r="I2158" s="16" t="n">
        <v>1</v>
      </c>
      <c r="J2158" s="17" t="n">
        <v>78.5</v>
      </c>
      <c r="K2158" s="17" t="n">
        <v>64.93000000000001</v>
      </c>
      <c r="L2158" s="17" t="n">
        <v>25.86</v>
      </c>
      <c r="M2158" s="17" t="n">
        <v>0</v>
      </c>
      <c r="N2158" s="17">
        <f>K2158*0.08+L2158*0.08</f>
        <v/>
      </c>
      <c r="O2158" s="17">
        <f>-(K2158*0.025+L2158*0.025)</f>
        <v/>
      </c>
      <c r="P2158" s="17">
        <f>32</f>
        <v/>
      </c>
      <c r="Q2158" s="17">
        <f>J2158+L2158+N2158+O2158-P2158-M2158</f>
        <v/>
      </c>
    </row>
    <row r="2159">
      <c r="A2159" s="16" t="inlineStr">
        <is>
          <t>5.22-5.28</t>
        </is>
      </c>
      <c r="B2159" s="16" t="inlineStr">
        <is>
          <t>PO-128-17828368549750647</t>
        </is>
      </c>
      <c r="C2159" s="16" t="inlineStr">
        <is>
          <t>Shipped</t>
        </is>
      </c>
      <c r="D2159" s="16" t="inlineStr">
        <is>
          <t>128-17828410492790647</t>
        </is>
      </c>
      <c r="E2159" s="16" t="inlineStr">
        <is>
          <t>Shipped</t>
        </is>
      </c>
      <c r="F2159" s="16" t="inlineStr">
        <is>
          <t>TL2663N18C</t>
        </is>
      </c>
      <c r="G2159" s="16" t="inlineStr">
        <is>
          <t>Linkbits，Soporte de pared fijo para televisores de 26"-63", Ultra-Delgado Compatible con VESA 400x400mm, Capacidad de Peso Fuerte de 25KG, Instalación Fácil Sin Electricidad</t>
        </is>
      </c>
      <c r="H2159" s="16" t="inlineStr">
        <is>
          <t>NEGRO</t>
        </is>
      </c>
      <c r="I2159" s="16" t="n">
        <v>1</v>
      </c>
      <c r="J2159" s="17" t="n">
        <v>53.6</v>
      </c>
      <c r="K2159" s="17" t="n">
        <v>68.56999999999999</v>
      </c>
      <c r="L2159" s="17" t="n">
        <v>25.86</v>
      </c>
      <c r="M2159" s="17" t="n">
        <v>0</v>
      </c>
      <c r="N2159" s="17">
        <f>K2159*0.08+L2159*0.08</f>
        <v/>
      </c>
      <c r="O2159" s="17">
        <f>-(K2159*0.025+L2159*0.025)</f>
        <v/>
      </c>
      <c r="P2159" s="17">
        <f>32</f>
        <v/>
      </c>
      <c r="Q2159" s="17">
        <f>J2159+L2159+N2159+O2159-P2159-M2159</f>
        <v/>
      </c>
    </row>
    <row r="2160">
      <c r="A2160" s="16" t="inlineStr">
        <is>
          <t>5.22-5.28</t>
        </is>
      </c>
      <c r="B2160" s="16" t="inlineStr">
        <is>
          <t>PO-128-17449517048953033</t>
        </is>
      </c>
      <c r="C2160" s="16" t="inlineStr">
        <is>
          <t>Shipped</t>
        </is>
      </c>
      <c r="D2160" s="16" t="inlineStr">
        <is>
          <t>128-17449496077433033</t>
        </is>
      </c>
      <c r="E2160" s="16" t="inlineStr">
        <is>
          <t>Shipped</t>
        </is>
      </c>
      <c r="F2160" s="16" t="inlineStr">
        <is>
          <t>BSC04</t>
        </is>
      </c>
      <c r="G2160" s="16" t="inlineStr">
        <is>
          <t>TIANLAI Báscula Digital BSC04/BSC07, Alta Precisión, Fácil Operación, Ligera y Portátil, Función Tara, Unidad Dual oz/g, Ideal para Cocina, Control de Porciones, Sellos y Objetos Pequeños, Uso en Hogar y Viaje</t>
        </is>
      </c>
      <c r="H2160" s="16" t="inlineStr">
        <is>
          <t>5g/White</t>
        </is>
      </c>
      <c r="I2160" s="16" t="n">
        <v>1</v>
      </c>
      <c r="J2160" s="17" t="n">
        <v>57.8</v>
      </c>
      <c r="K2160" s="17" t="n">
        <v>53.25</v>
      </c>
      <c r="L2160" s="17" t="n">
        <v>25.86</v>
      </c>
      <c r="M2160" s="17" t="n">
        <v>0</v>
      </c>
      <c r="N2160" s="17">
        <f>K2160*0.08+L2160*0.08</f>
        <v/>
      </c>
      <c r="O2160" s="17">
        <f>-(K2160*0.025+L2160*0.025)</f>
        <v/>
      </c>
      <c r="P2160" s="17">
        <f>32</f>
        <v/>
      </c>
      <c r="Q2160" s="17">
        <f>J2160+L2160+N2160+O2160-P2160-M2160</f>
        <v/>
      </c>
    </row>
    <row r="2161">
      <c r="A2161" s="16" t="inlineStr">
        <is>
          <t>5.22-5.28</t>
        </is>
      </c>
      <c r="B2161" s="16" t="inlineStr">
        <is>
          <t>PO-128-17411848030072296</t>
        </is>
      </c>
      <c r="C2161" s="16" t="inlineStr">
        <is>
          <t>Shipped</t>
        </is>
      </c>
      <c r="D2161" s="16" t="inlineStr">
        <is>
          <t>128-17411791669112296</t>
        </is>
      </c>
      <c r="E2161" s="16" t="inlineStr">
        <is>
          <t>Shipped</t>
        </is>
      </c>
      <c r="F2161" s="16" t="inlineStr">
        <is>
          <t>LV54W25</t>
        </is>
      </c>
      <c r="G2161" s="16" t="inlineStr">
        <is>
          <t>TIANLAI Lámpara Ventilador E27 2 en 1, Silenciosa, LED Alta Luminosidad 180°, Instalación Rápida, Ahorro Energético para Dormitorio y Interiores Pequeños</t>
        </is>
      </c>
      <c r="H2161" s="16" t="inlineStr">
        <is>
          <t>1 Pieza</t>
        </is>
      </c>
      <c r="I2161" s="16" t="n">
        <v>1</v>
      </c>
      <c r="J2161" s="17" t="n">
        <v>78.5</v>
      </c>
      <c r="K2161" s="17" t="n">
        <v>81.16</v>
      </c>
      <c r="L2161" s="17" t="n">
        <v>25.86</v>
      </c>
      <c r="M2161" s="17" t="n">
        <v>0</v>
      </c>
      <c r="N2161" s="17">
        <f>K2161*0.08+L2161*0.08</f>
        <v/>
      </c>
      <c r="O2161" s="17">
        <f>-(K2161*0.025+L2161*0.025)</f>
        <v/>
      </c>
      <c r="P2161" s="17">
        <f>32</f>
        <v/>
      </c>
      <c r="Q2161" s="17">
        <f>J2161+L2161+N2161+O2161-P2161-M2161</f>
        <v/>
      </c>
    </row>
    <row r="2162">
      <c r="A2162" s="16" t="inlineStr">
        <is>
          <t>5.22-5.28</t>
        </is>
      </c>
      <c r="B2162" s="16" t="inlineStr">
        <is>
          <t>PO-128-17762169541750016</t>
        </is>
      </c>
      <c r="C2162" s="16" t="inlineStr">
        <is>
          <t>Shipped</t>
        </is>
      </c>
      <c r="D2162" s="16" t="inlineStr">
        <is>
          <t>128-17762127598710016</t>
        </is>
      </c>
      <c r="E2162" s="16" t="inlineStr">
        <is>
          <t>Shipped</t>
        </is>
      </c>
      <c r="F2162" s="16" t="inlineStr">
        <is>
          <t>B03W10-10PZS</t>
        </is>
      </c>
      <c r="G21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162" s="16" t="inlineStr">
        <is>
          <t>B03W10</t>
        </is>
      </c>
      <c r="I2162" s="16" t="n">
        <v>1</v>
      </c>
      <c r="J2162" s="17" t="n">
        <v>76</v>
      </c>
      <c r="K2162" s="17" t="n">
        <v>80.05</v>
      </c>
      <c r="L2162" s="17" t="n">
        <v>25.86</v>
      </c>
      <c r="M2162" s="17" t="n">
        <v>0</v>
      </c>
      <c r="N2162" s="17">
        <f>K2162*0.08+L2162*0.08</f>
        <v/>
      </c>
      <c r="O2162" s="17">
        <f>-(K2162*0.025+L2162*0.025)</f>
        <v/>
      </c>
      <c r="P2162" s="17">
        <f>32</f>
        <v/>
      </c>
      <c r="Q2162" s="17">
        <f>J2162+L2162+N2162+O2162-P2162-M2162</f>
        <v/>
      </c>
    </row>
    <row r="2163">
      <c r="A2163" s="16" t="inlineStr">
        <is>
          <t>5.22-5.28</t>
        </is>
      </c>
      <c r="B2163" s="16" t="inlineStr">
        <is>
          <t>PO-128-17774875527030068</t>
        </is>
      </c>
      <c r="C2163" s="16" t="inlineStr">
        <is>
          <t>Shipped</t>
        </is>
      </c>
      <c r="D2163" s="16" t="inlineStr">
        <is>
          <t>128-17774955480950068</t>
        </is>
      </c>
      <c r="E2163" s="16" t="inlineStr">
        <is>
          <t>Shipped</t>
        </is>
      </c>
      <c r="F2163" s="16" t="inlineStr">
        <is>
          <t>LV54W25</t>
        </is>
      </c>
      <c r="G2163" s="16" t="inlineStr">
        <is>
          <t>TIANLAI Lámpara Ventilador E27 2 en 1, Silenciosa, LED Alta Luminosidad 180°, Instalación Rápida, Ahorro Energético para Dormitorio y Interiores Pequeños</t>
        </is>
      </c>
      <c r="H2163" s="16" t="inlineStr">
        <is>
          <t>1 Pieza</t>
        </is>
      </c>
      <c r="I2163" s="16" t="n">
        <v>3</v>
      </c>
      <c r="J2163" s="17" t="n">
        <v>235.5</v>
      </c>
      <c r="K2163" s="17" t="n">
        <v>243.48</v>
      </c>
      <c r="L2163" s="17" t="n">
        <v>0</v>
      </c>
      <c r="M2163" s="17" t="n">
        <v>0</v>
      </c>
      <c r="N2163" s="17">
        <f>K2163*0.08+L2163*0.08</f>
        <v/>
      </c>
      <c r="O2163" s="17">
        <f>-(K2163*0.025+L2163*0.025)</f>
        <v/>
      </c>
      <c r="P2163" s="17">
        <f>32</f>
        <v/>
      </c>
      <c r="Q2163" s="17">
        <f>J2163+L2163+N2163+O2163-P2163-M2163</f>
        <v/>
      </c>
    </row>
    <row r="2164">
      <c r="A2164" s="16" t="inlineStr">
        <is>
          <t>5.22-5.28</t>
        </is>
      </c>
      <c r="B2164" s="16" t="inlineStr">
        <is>
          <t>PO-128-17768222230390044</t>
        </is>
      </c>
      <c r="C2164" s="16" t="inlineStr">
        <is>
          <t>Shipped</t>
        </is>
      </c>
      <c r="D2164" s="16" t="inlineStr">
        <is>
          <t>128-17768232716150044</t>
        </is>
      </c>
      <c r="E2164" s="16" t="inlineStr">
        <is>
          <t>Shipped</t>
        </is>
      </c>
      <c r="F2164" s="16" t="inlineStr">
        <is>
          <t>KTS-2031</t>
        </is>
      </c>
      <c r="G2164" s="16" t="inlineStr">
        <is>
          <t>Bocina inalámbrica de 3 pulgadas con linterna multifuncional y panel solar integrado.Altavoz Portátil con Linterna LED 4 Modos, Radio FM, Bluetooth, Carga Solar, Ideal para Apagones, Emergencias, Campo y Exteriores</t>
        </is>
      </c>
      <c r="H2164" s="16" t="inlineStr">
        <is>
          <t>NEGRO</t>
        </is>
      </c>
      <c r="I2164" s="16" t="n">
        <v>1</v>
      </c>
      <c r="J2164" s="17" t="n">
        <v>90</v>
      </c>
      <c r="K2164" s="17" t="n">
        <v>99.22</v>
      </c>
      <c r="L2164" s="17" t="n">
        <v>25.86</v>
      </c>
      <c r="M2164" s="17" t="n">
        <v>0</v>
      </c>
      <c r="N2164" s="17">
        <f>K2164*0.08+L2164*0.08</f>
        <v/>
      </c>
      <c r="O2164" s="17">
        <f>-(K2164*0.025+L2164*0.025)</f>
        <v/>
      </c>
      <c r="P2164" s="17">
        <f>32</f>
        <v/>
      </c>
      <c r="Q2164" s="17">
        <f>J2164+L2164+N2164+O2164-P2164-M2164</f>
        <v/>
      </c>
    </row>
    <row r="2165">
      <c r="A2165" s="16" t="inlineStr">
        <is>
          <t>5.22-5.28</t>
        </is>
      </c>
      <c r="B2165" s="16" t="inlineStr">
        <is>
          <t>PO-128-17557992824951363</t>
        </is>
      </c>
      <c r="C2165" s="16" t="inlineStr">
        <is>
          <t>Shipped</t>
        </is>
      </c>
      <c r="D2165" s="16" t="inlineStr">
        <is>
          <t>128-17557950881911363</t>
        </is>
      </c>
      <c r="E2165" s="16" t="inlineStr">
        <is>
          <t>Shipped</t>
        </is>
      </c>
      <c r="F2165" s="16" t="inlineStr">
        <is>
          <t>KTS-2031</t>
        </is>
      </c>
      <c r="G2165" s="16" t="inlineStr">
        <is>
          <t>Bocina inalámbrica de 3 pulgadas con linterna multifuncional y panel solar integrado.Altavoz Portátil con Linterna LED 4 Modos, Radio FM, Bluetooth, Carga Solar, Ideal para Apagones, Emergencias, Campo y Exteriores</t>
        </is>
      </c>
      <c r="H2165" s="16" t="inlineStr">
        <is>
          <t>NEGRO</t>
        </is>
      </c>
      <c r="I2165" s="16" t="n">
        <v>3</v>
      </c>
      <c r="J2165" s="17" t="n">
        <v>270</v>
      </c>
      <c r="K2165" s="17" t="n">
        <v>297.66</v>
      </c>
      <c r="L2165" s="17" t="n">
        <v>0</v>
      </c>
      <c r="M2165" s="17" t="n">
        <v>0</v>
      </c>
      <c r="N2165" s="17">
        <f>K2165*0.08+L2165*0.08</f>
        <v/>
      </c>
      <c r="O2165" s="17">
        <f>-(K2165*0.025+L2165*0.025)</f>
        <v/>
      </c>
      <c r="P2165" s="17">
        <f>32</f>
        <v/>
      </c>
      <c r="Q2165" s="17">
        <f>J2165+L2165+N2165+O2165-P2165-M2165</f>
        <v/>
      </c>
    </row>
    <row r="2166">
      <c r="A2166" s="16" t="inlineStr">
        <is>
          <t>5.22-5.28</t>
        </is>
      </c>
      <c r="B2166" s="16" t="inlineStr">
        <is>
          <t>PO-128-17846656822390536</t>
        </is>
      </c>
      <c r="C2166" s="16" t="inlineStr">
        <is>
          <t>Shipped</t>
        </is>
      </c>
      <c r="D2166" s="16" t="inlineStr">
        <is>
          <t>128-17846625365110536</t>
        </is>
      </c>
      <c r="E2166" s="16" t="inlineStr">
        <is>
          <t>Shipped</t>
        </is>
      </c>
      <c r="F2166" s="16" t="inlineStr">
        <is>
          <t>LV54W25</t>
        </is>
      </c>
      <c r="G2166" s="16" t="inlineStr">
        <is>
          <t>TIANLAI Lámpara Ventilador E27 2 en 1, Silenciosa, LED Alta Luminosidad 180°, Instalación Rápida, Ahorro Energético para Dormitorio y Interiores Pequeños</t>
        </is>
      </c>
      <c r="H2166" s="16" t="inlineStr">
        <is>
          <t>1 Pieza</t>
        </is>
      </c>
      <c r="I2166" s="16" t="n">
        <v>1</v>
      </c>
      <c r="J2166" s="17" t="n">
        <v>78.5</v>
      </c>
      <c r="K2166" s="17" t="n">
        <v>90.18000000000001</v>
      </c>
      <c r="L2166" s="17" t="n">
        <v>25.86</v>
      </c>
      <c r="M2166" s="17" t="n">
        <v>0</v>
      </c>
      <c r="N2166" s="17">
        <f>K2166*0.08+L2166*0.08</f>
        <v/>
      </c>
      <c r="O2166" s="17">
        <f>-(K2166*0.025+L2166*0.025)</f>
        <v/>
      </c>
      <c r="P2166" s="17">
        <f>32</f>
        <v/>
      </c>
      <c r="Q2166" s="17">
        <f>J2166+L2166+N2166+O2166-P2166-M2166</f>
        <v/>
      </c>
    </row>
    <row r="2167">
      <c r="A2167" s="16" t="inlineStr">
        <is>
          <t>5.22-5.28</t>
        </is>
      </c>
      <c r="B2167" s="16" t="inlineStr">
        <is>
          <t>PO-128-17543779976311511</t>
        </is>
      </c>
      <c r="C2167" s="16" t="inlineStr">
        <is>
          <t>Shipped</t>
        </is>
      </c>
      <c r="D2167" s="16" t="inlineStr">
        <is>
          <t>128-17543811433591511</t>
        </is>
      </c>
      <c r="E2167" s="16" t="inlineStr">
        <is>
          <t>Shipped</t>
        </is>
      </c>
      <c r="F2167" s="16" t="inlineStr">
        <is>
          <t>KTS-2031</t>
        </is>
      </c>
      <c r="G2167" s="16" t="inlineStr">
        <is>
          <t>Bocina inalámbrica de 3 pulgadas con linterna multifuncional y panel solar integrado.Altavoz Portátil con Linterna LED 4 Modos, Radio FM, Bluetooth, Carga Solar, Ideal para Apagones, Emergencias, Campo y Exteriores</t>
        </is>
      </c>
      <c r="H2167" s="16" t="inlineStr">
        <is>
          <t>NEGRO</t>
        </is>
      </c>
      <c r="I2167" s="16" t="n">
        <v>1</v>
      </c>
      <c r="J2167" s="17" t="n">
        <v>90</v>
      </c>
      <c r="K2167" s="17" t="n">
        <v>74.42</v>
      </c>
      <c r="L2167" s="17" t="n">
        <v>25.86</v>
      </c>
      <c r="M2167" s="17" t="n">
        <v>0</v>
      </c>
      <c r="N2167" s="17">
        <f>K2167*0.08+L2167*0.08</f>
        <v/>
      </c>
      <c r="O2167" s="17">
        <f>-(K2167*0.025+L2167*0.025)</f>
        <v/>
      </c>
      <c r="P2167" s="17">
        <f>32</f>
        <v/>
      </c>
      <c r="Q2167" s="17">
        <f>J2167+L2167+N2167+O2167-P2167-M2167</f>
        <v/>
      </c>
    </row>
    <row r="2168">
      <c r="A2168" s="16" t="inlineStr">
        <is>
          <t>5.22-5.28</t>
        </is>
      </c>
      <c r="B2168" s="16" t="inlineStr">
        <is>
          <t>PO-128-17623653681271995</t>
        </is>
      </c>
      <c r="C2168" s="16" t="inlineStr">
        <is>
          <t>Shipped</t>
        </is>
      </c>
      <c r="D2168" s="16" t="inlineStr">
        <is>
          <t>128-17623658924151995</t>
        </is>
      </c>
      <c r="E2168" s="16" t="inlineStr">
        <is>
          <t>Shipped</t>
        </is>
      </c>
      <c r="F2168" s="16" t="inlineStr">
        <is>
          <t>KTS-2031</t>
        </is>
      </c>
      <c r="G2168" s="16" t="inlineStr">
        <is>
          <t>Bocina inalámbrica de 3 pulgadas con linterna multifuncional y panel solar integrado.Altavoz Portátil con Linterna LED 4 Modos, Radio FM, Bluetooth, Carga Solar, Ideal para Apagones, Emergencias, Campo y Exteriores</t>
        </is>
      </c>
      <c r="H2168" s="16" t="inlineStr">
        <is>
          <t>NEGRO</t>
        </is>
      </c>
      <c r="I2168" s="16" t="n">
        <v>1</v>
      </c>
      <c r="J2168" s="17" t="n">
        <v>90</v>
      </c>
      <c r="K2168" s="17" t="n">
        <v>99.22</v>
      </c>
      <c r="L2168" s="17" t="n">
        <v>25.86</v>
      </c>
      <c r="M2168" s="17" t="n">
        <v>0</v>
      </c>
      <c r="N2168" s="17">
        <f>K2168*0.08+L2168*0.08</f>
        <v/>
      </c>
      <c r="O2168" s="17">
        <f>-(K2168*0.025+L2168*0.025)</f>
        <v/>
      </c>
      <c r="P2168" s="17">
        <f>32</f>
        <v/>
      </c>
      <c r="Q2168" s="17">
        <f>J2168+L2168+N2168+O2168-P2168-M2168</f>
        <v/>
      </c>
    </row>
    <row r="2169">
      <c r="A2169" s="16" t="inlineStr">
        <is>
          <t>5.22-5.28</t>
        </is>
      </c>
      <c r="B2169" s="16" t="inlineStr">
        <is>
          <t>PO-128-17543830157431511</t>
        </is>
      </c>
      <c r="C2169" s="16" t="inlineStr">
        <is>
          <t>Shipped</t>
        </is>
      </c>
      <c r="D2169" s="16" t="inlineStr">
        <is>
          <t>128-17543809185911511</t>
        </is>
      </c>
      <c r="E2169" s="16" t="inlineStr">
        <is>
          <t>Shipped</t>
        </is>
      </c>
      <c r="F2169" s="16" t="inlineStr">
        <is>
          <t>BSC07</t>
        </is>
      </c>
      <c r="G2169" s="16" t="inlineStr">
        <is>
          <t>TIANLAI Báscula Digital BSC04/BSC07, Alta Precisión, Fácil Operación, Ligera y Portátil, Función Tara, Unidad Dual oz/g, Ideal para Cocina, Control de Porciones, Sellos y Objetos Pequeños, Uso en Hogar y Viaje</t>
        </is>
      </c>
      <c r="H2169" s="16" t="inlineStr">
        <is>
          <t>1g/White</t>
        </is>
      </c>
      <c r="I2169" s="16" t="n">
        <v>1</v>
      </c>
      <c r="J2169" s="17" t="n">
        <v>37</v>
      </c>
      <c r="K2169" s="17" t="n">
        <v>49.22</v>
      </c>
      <c r="L2169" s="17" t="n">
        <v>25.86</v>
      </c>
      <c r="M2169" s="17" t="n">
        <v>0</v>
      </c>
      <c r="N2169" s="17">
        <f>K2169*0.08+L2169*0.08</f>
        <v/>
      </c>
      <c r="O2169" s="17">
        <f>-(K2169*0.025+L2169*0.025)</f>
        <v/>
      </c>
      <c r="P2169" s="17">
        <f>32</f>
        <v/>
      </c>
      <c r="Q2169" s="17">
        <f>J2169+L2169+N2169+O2169-P2169-M2169</f>
        <v/>
      </c>
    </row>
    <row r="2170">
      <c r="A2170" s="16" t="inlineStr">
        <is>
          <t>5.22-5.28</t>
        </is>
      </c>
      <c r="B2170" s="16" t="inlineStr">
        <is>
          <t>PO-128-17866686707830611</t>
        </is>
      </c>
      <c r="C2170" s="16" t="inlineStr">
        <is>
          <t>Shipped</t>
        </is>
      </c>
      <c r="D2170" s="16" t="inlineStr">
        <is>
          <t>128-17866644764790611</t>
        </is>
      </c>
      <c r="E2170" s="16" t="inlineStr">
        <is>
          <t>Shipped</t>
        </is>
      </c>
      <c r="F2170" s="16" t="inlineStr">
        <is>
          <t>LV64W25</t>
        </is>
      </c>
      <c r="G21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70" s="16" t="inlineStr">
        <is>
          <t>Blanco</t>
        </is>
      </c>
      <c r="I2170" s="16" t="n">
        <v>4</v>
      </c>
      <c r="J2170" s="17" t="n">
        <v>500</v>
      </c>
      <c r="K2170" s="17" t="n">
        <v>515.76</v>
      </c>
      <c r="L2170" s="17" t="n">
        <v>0</v>
      </c>
      <c r="M2170" s="17" t="n">
        <v>0</v>
      </c>
      <c r="N2170" s="17">
        <f>K2170*0.08+L2170*0.08</f>
        <v/>
      </c>
      <c r="O2170" s="17">
        <f>-(K2170*0.025+L2170*0.025)</f>
        <v/>
      </c>
      <c r="P2170" s="17">
        <f>32</f>
        <v/>
      </c>
      <c r="Q2170" s="17">
        <f>J2170+L2170+N2170+O2170-P2170-M2170</f>
        <v/>
      </c>
    </row>
    <row r="2171">
      <c r="A2171" s="16" t="inlineStr">
        <is>
          <t>5.22-5.28</t>
        </is>
      </c>
      <c r="B2171" s="16" t="inlineStr">
        <is>
          <t>PO-128-17485749809272689</t>
        </is>
      </c>
      <c r="C2171" s="16" t="inlineStr">
        <is>
          <t>Shipped</t>
        </is>
      </c>
      <c r="D2171" s="16" t="inlineStr">
        <is>
          <t>128-17485728837752689</t>
        </is>
      </c>
      <c r="E2171" s="16" t="inlineStr">
        <is>
          <t>Shipped</t>
        </is>
      </c>
      <c r="F2171" s="16" t="inlineStr">
        <is>
          <t>KTS-2031</t>
        </is>
      </c>
      <c r="G2171" s="16" t="inlineStr">
        <is>
          <t>Bocina inalámbrica de 3 pulgadas con linterna multifuncional y panel solar integrado.Altavoz Portátil con Linterna LED 4 Modos, Radio FM, Bluetooth, Carga Solar, Ideal para Apagones, Emergencias, Campo y Exteriores</t>
        </is>
      </c>
      <c r="H2171" s="16" t="inlineStr">
        <is>
          <t>NEGRO</t>
        </is>
      </c>
      <c r="I2171" s="16" t="n">
        <v>1</v>
      </c>
      <c r="J2171" s="17" t="n">
        <v>90</v>
      </c>
      <c r="K2171" s="17" t="n">
        <v>99.22</v>
      </c>
      <c r="L2171" s="17" t="n">
        <v>25.86</v>
      </c>
      <c r="M2171" s="17" t="n">
        <v>0</v>
      </c>
      <c r="N2171" s="17">
        <f>K2171*0.08+L2171*0.08</f>
        <v/>
      </c>
      <c r="O2171" s="17">
        <f>-(K2171*0.025+L2171*0.025)</f>
        <v/>
      </c>
      <c r="P2171" s="17">
        <f>32</f>
        <v/>
      </c>
      <c r="Q2171" s="17">
        <f>J2171+L2171+N2171+O2171-P2171-M2171</f>
        <v/>
      </c>
    </row>
    <row r="2172">
      <c r="A2172" s="16" t="inlineStr">
        <is>
          <t>5.22-5.28</t>
        </is>
      </c>
      <c r="B2172" s="16" t="inlineStr">
        <is>
          <t>PO-128-17392660867192410</t>
        </is>
      </c>
      <c r="C2172" s="16" t="inlineStr">
        <is>
          <t>Shipped</t>
        </is>
      </c>
      <c r="D2172" s="16" t="inlineStr">
        <is>
          <t>128-17392671352952410</t>
        </is>
      </c>
      <c r="E2172" s="16" t="inlineStr">
        <is>
          <t>Shipped</t>
        </is>
      </c>
      <c r="F2172" s="16" t="inlineStr">
        <is>
          <t>KTS-2031</t>
        </is>
      </c>
      <c r="G2172" s="16" t="inlineStr">
        <is>
          <t>Bocina inalámbrica de 3 pulgadas con linterna multifuncional y panel solar integrado.Altavoz Portátil con Linterna LED 4 Modos, Radio FM, Bluetooth, Carga Solar, Ideal para Apagones, Emergencias, Campo y Exteriores</t>
        </is>
      </c>
      <c r="H2172" s="16" t="inlineStr">
        <is>
          <t>NEGRO</t>
        </is>
      </c>
      <c r="I2172" s="16" t="n">
        <v>1</v>
      </c>
      <c r="J2172" s="17" t="n">
        <v>90</v>
      </c>
      <c r="K2172" s="17" t="n">
        <v>99.22</v>
      </c>
      <c r="L2172" s="17" t="n">
        <v>25.86</v>
      </c>
      <c r="M2172" s="17" t="n">
        <v>0</v>
      </c>
      <c r="N2172" s="17">
        <f>K2172*0.08+L2172*0.08</f>
        <v/>
      </c>
      <c r="O2172" s="17">
        <f>-(K2172*0.025+L2172*0.025)</f>
        <v/>
      </c>
      <c r="P2172" s="17">
        <f>32</f>
        <v/>
      </c>
      <c r="Q2172" s="17">
        <f>J2172+L2172+N2172+O2172-P2172-M2172</f>
        <v/>
      </c>
    </row>
    <row r="2173">
      <c r="A2173" s="16" t="inlineStr">
        <is>
          <t>5.22-5.28</t>
        </is>
      </c>
      <c r="B2173" s="16" t="inlineStr">
        <is>
          <t>PO-128-17534442509431503</t>
        </is>
      </c>
      <c r="C2173" s="16" t="inlineStr">
        <is>
          <t>Shipped</t>
        </is>
      </c>
      <c r="D2173" s="16" t="inlineStr">
        <is>
          <t>128-17534421537911503</t>
        </is>
      </c>
      <c r="E2173" s="16" t="inlineStr">
        <is>
          <t>Shipped</t>
        </is>
      </c>
      <c r="F2173" s="16" t="inlineStr">
        <is>
          <t>LV54W25</t>
        </is>
      </c>
      <c r="G2173" s="16" t="inlineStr">
        <is>
          <t>TIANLAI Lámpara Ventilador E27 2 en 1, Silenciosa, LED Alta Luminosidad 180°, Instalación Rápida, Ahorro Energético para Dormitorio y Interiores Pequeños</t>
        </is>
      </c>
      <c r="H2173" s="16" t="inlineStr">
        <is>
          <t>1 Pieza</t>
        </is>
      </c>
      <c r="I2173" s="16" t="n">
        <v>1</v>
      </c>
      <c r="J2173" s="17" t="n">
        <v>78.5</v>
      </c>
      <c r="K2173" s="17" t="n">
        <v>90.18000000000001</v>
      </c>
      <c r="L2173" s="17" t="n">
        <v>25.86</v>
      </c>
      <c r="M2173" s="17" t="n">
        <v>0</v>
      </c>
      <c r="N2173" s="17">
        <f>K2173*0.08+L2173*0.08</f>
        <v/>
      </c>
      <c r="O2173" s="17">
        <f>-(K2173*0.025+L2173*0.025)</f>
        <v/>
      </c>
      <c r="P2173" s="17">
        <f>32</f>
        <v/>
      </c>
      <c r="Q2173" s="17">
        <f>J2173+L2173+N2173+O2173-P2173-M2173</f>
        <v/>
      </c>
    </row>
    <row r="2174">
      <c r="A2174" s="16" t="inlineStr">
        <is>
          <t>5.22-5.28</t>
        </is>
      </c>
      <c r="B2174" s="16" t="inlineStr">
        <is>
          <t>PO-128-17854892183670553</t>
        </is>
      </c>
      <c r="C2174" s="16" t="inlineStr">
        <is>
          <t>Shipped</t>
        </is>
      </c>
      <c r="D2174" s="16" t="inlineStr">
        <is>
          <t>128-17854934126710553</t>
        </is>
      </c>
      <c r="E2174" s="16" t="inlineStr">
        <is>
          <t>Shipped</t>
        </is>
      </c>
      <c r="F2174" s="16" t="inlineStr">
        <is>
          <t>KTS-2031</t>
        </is>
      </c>
      <c r="G2174" s="16" t="inlineStr">
        <is>
          <t>Bocina inalámbrica de 3 pulgadas con linterna multifuncional y panel solar integrado.Altavoz Portátil con Linterna LED 4 Modos, Radio FM, Bluetooth, Carga Solar, Ideal para Apagones, Emergencias, Campo y Exteriores</t>
        </is>
      </c>
      <c r="H2174" s="16" t="inlineStr">
        <is>
          <t>NEGRO</t>
        </is>
      </c>
      <c r="I2174" s="16" t="n">
        <v>1</v>
      </c>
      <c r="J2174" s="17" t="n">
        <v>90</v>
      </c>
      <c r="K2174" s="17" t="n">
        <v>13.01</v>
      </c>
      <c r="L2174" s="17" t="n">
        <v>25.86</v>
      </c>
      <c r="M2174" s="17" t="n">
        <v>0</v>
      </c>
      <c r="N2174" s="17">
        <f>K2174*0.08+L2174*0.08</f>
        <v/>
      </c>
      <c r="O2174" s="17">
        <f>-(K2174*0.025+L2174*0.025)</f>
        <v/>
      </c>
      <c r="P2174" s="17">
        <f>32</f>
        <v/>
      </c>
      <c r="Q2174" s="17">
        <f>J2174+L2174+N2174+O2174-P2174-M2174</f>
        <v/>
      </c>
    </row>
    <row r="2175">
      <c r="A2175" s="16" t="inlineStr">
        <is>
          <t>5.22-5.28</t>
        </is>
      </c>
      <c r="B2175" s="16" t="inlineStr">
        <is>
          <t>PO-128-17777422805110119</t>
        </is>
      </c>
      <c r="C2175" s="16" t="inlineStr">
        <is>
          <t>Shipped</t>
        </is>
      </c>
      <c r="D2175" s="16" t="inlineStr">
        <is>
          <t>128-17777443776630119</t>
        </is>
      </c>
      <c r="E2175" s="16" t="inlineStr">
        <is>
          <t>Shipped</t>
        </is>
      </c>
      <c r="F2175" s="16" t="inlineStr">
        <is>
          <t>LV54W25</t>
        </is>
      </c>
      <c r="G2175" s="16" t="inlineStr">
        <is>
          <t>TIANLAI Lámpara Ventilador E27 2 en 1, Silenciosa, LED Alta Luminosidad 180°, Instalación Rápida, Ahorro Energético para Dormitorio y Interiores Pequeños</t>
        </is>
      </c>
      <c r="H2175" s="16" t="inlineStr">
        <is>
          <t>1 Pieza</t>
        </is>
      </c>
      <c r="I2175" s="16" t="n">
        <v>1</v>
      </c>
      <c r="J2175" s="17" t="n">
        <v>78.5</v>
      </c>
      <c r="K2175" s="17" t="n">
        <v>81.16</v>
      </c>
      <c r="L2175" s="17" t="n">
        <v>25.86</v>
      </c>
      <c r="M2175" s="17" t="n">
        <v>0</v>
      </c>
      <c r="N2175" s="17">
        <f>K2175*0.08+L2175*0.08</f>
        <v/>
      </c>
      <c r="O2175" s="17">
        <f>-(K2175*0.025+L2175*0.025)</f>
        <v/>
      </c>
      <c r="P2175" s="17">
        <f>32</f>
        <v/>
      </c>
      <c r="Q2175" s="17">
        <f>J2175+L2175+N2175+O2175-P2175-M2175</f>
        <v/>
      </c>
    </row>
    <row r="2176">
      <c r="A2176" s="16" t="inlineStr">
        <is>
          <t>5.22-5.28</t>
        </is>
      </c>
      <c r="B2176" s="16" t="inlineStr">
        <is>
          <t>PO-128-17840071038070705</t>
        </is>
      </c>
      <c r="C2176" s="16" t="inlineStr">
        <is>
          <t>Shipped</t>
        </is>
      </c>
      <c r="D2176" s="16" t="inlineStr">
        <is>
          <t>128-17840081523830705</t>
        </is>
      </c>
      <c r="E2176" s="16" t="inlineStr">
        <is>
          <t>Shipped</t>
        </is>
      </c>
      <c r="F2176" s="16" t="inlineStr">
        <is>
          <t>LV64W25</t>
        </is>
      </c>
      <c r="G21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76" s="16" t="inlineStr">
        <is>
          <t>Blanco</t>
        </is>
      </c>
      <c r="I2176" s="16" t="n">
        <v>1</v>
      </c>
      <c r="J2176" s="17" t="n">
        <v>125</v>
      </c>
      <c r="K2176" s="17" t="n">
        <v>128.94</v>
      </c>
      <c r="L2176" s="17" t="n">
        <v>25.86</v>
      </c>
      <c r="M2176" s="17" t="n">
        <v>0</v>
      </c>
      <c r="N2176" s="17">
        <f>K2176*0.08+L2176*0.08</f>
        <v/>
      </c>
      <c r="O2176" s="17">
        <f>-(K2176*0.025+L2176*0.025)</f>
        <v/>
      </c>
      <c r="P2176" s="17">
        <f>32</f>
        <v/>
      </c>
      <c r="Q2176" s="17">
        <f>J2176+L2176+N2176+O2176-P2176-M2176</f>
        <v/>
      </c>
    </row>
    <row r="2177">
      <c r="A2177" s="16" t="inlineStr">
        <is>
          <t>5.22-5.28</t>
        </is>
      </c>
      <c r="B2177" s="16" t="inlineStr">
        <is>
          <t>PO-128-17256078037113160</t>
        </is>
      </c>
      <c r="C2177" s="16" t="inlineStr">
        <is>
          <t>Shipped</t>
        </is>
      </c>
      <c r="D2177" s="16" t="inlineStr">
        <is>
          <t>128-17256099008633160</t>
        </is>
      </c>
      <c r="E2177" s="16" t="inlineStr">
        <is>
          <t>Shipped</t>
        </is>
      </c>
      <c r="F2177" s="16" t="inlineStr">
        <is>
          <t>TL1455N20B</t>
        </is>
      </c>
      <c r="G2177" s="16" t="inlineStr">
        <is>
          <t>LINK BITS Soporte para TV 14 A 55 Pulgadas, Base para TV Pantalla Articulado Inclinable y Giratorio, MAX VESA 400×400 mm, Soporta hasta 18kg, adaptarse a la mayoría de los televisores de 14 Pulgadas/20 Pulgadas/32 Pulgadas/42 Pulgadas/55 pulgadas</t>
        </is>
      </c>
      <c r="H2177" s="16" t="inlineStr">
        <is>
          <t>TL1455N20B</t>
        </is>
      </c>
      <c r="I2177" s="16" t="n">
        <v>1</v>
      </c>
      <c r="J2177" s="17" t="n">
        <v>74</v>
      </c>
      <c r="K2177" s="17" t="n">
        <v>95.06</v>
      </c>
      <c r="L2177" s="17" t="n">
        <v>25.86</v>
      </c>
      <c r="M2177" s="17" t="n">
        <v>0</v>
      </c>
      <c r="N2177" s="17">
        <f>K2177*0.08+L2177*0.08</f>
        <v/>
      </c>
      <c r="O2177" s="17">
        <f>-(K2177*0.025+L2177*0.025)</f>
        <v/>
      </c>
      <c r="P2177" s="17">
        <f>32</f>
        <v/>
      </c>
      <c r="Q2177" s="17">
        <f>J2177+L2177+N2177+O2177-P2177-M2177</f>
        <v/>
      </c>
    </row>
    <row r="2178">
      <c r="A2178" s="16" t="inlineStr">
        <is>
          <t>5.22-5.28</t>
        </is>
      </c>
      <c r="B2178" s="16" t="inlineStr">
        <is>
          <t>PO-128-17324227162233778</t>
        </is>
      </c>
      <c r="C2178" s="16" t="inlineStr">
        <is>
          <t>Shipped</t>
        </is>
      </c>
      <c r="D2178" s="16" t="inlineStr">
        <is>
          <t>128-17324237647993778</t>
        </is>
      </c>
      <c r="E2178" s="16" t="inlineStr">
        <is>
          <t>Shipped</t>
        </is>
      </c>
      <c r="F2178" s="16" t="inlineStr">
        <is>
          <t>VA371T</t>
        </is>
      </c>
      <c r="G2178" s="16" t="inlineStr">
        <is>
          <t>Linkbits Bocina Bluetooth Portátil 3" de Alta Gama，Hi-Res Audio y Graves Potentes，Luces LED + Soporte USB/TF/FM/TWS，Ideal para Hogar y Aire Libre</t>
        </is>
      </c>
      <c r="H2178" s="16" t="inlineStr">
        <is>
          <t>VA371T</t>
        </is>
      </c>
      <c r="I2178" s="16" t="n">
        <v>2</v>
      </c>
      <c r="J2178" s="17" t="n">
        <v>91</v>
      </c>
      <c r="K2178" s="17" t="n">
        <v>107.72</v>
      </c>
      <c r="L2178" s="17" t="n">
        <v>0</v>
      </c>
      <c r="M2178" s="17" t="n">
        <v>0</v>
      </c>
      <c r="N2178" s="17">
        <f>K2178*0.08+L2178*0.08</f>
        <v/>
      </c>
      <c r="O2178" s="17">
        <f>-(K2178*0.025+L2178*0.025)</f>
        <v/>
      </c>
      <c r="P2178" s="17">
        <f>32</f>
        <v/>
      </c>
      <c r="Q2178" s="17">
        <f>J2178+L2178+N2178+O2178-P2178-M2178</f>
        <v/>
      </c>
    </row>
    <row r="2179">
      <c r="A2179" s="16" t="inlineStr">
        <is>
          <t>5.22-5.28</t>
        </is>
      </c>
      <c r="B2179" s="16" t="inlineStr">
        <is>
          <t>PO-128-17324227162233778</t>
        </is>
      </c>
      <c r="C2179" s="16" t="inlineStr">
        <is>
          <t>Shipped</t>
        </is>
      </c>
      <c r="D2179" s="16" t="inlineStr">
        <is>
          <t>128-17324236664953778</t>
        </is>
      </c>
      <c r="E2179" s="16" t="inlineStr">
        <is>
          <t>Shipped</t>
        </is>
      </c>
      <c r="F2179" s="16" t="inlineStr">
        <is>
          <t>VB349T</t>
        </is>
      </c>
      <c r="G2179" s="16" t="inlineStr">
        <is>
          <t>LINKBITS Altavoz Portátil de Doble Altavoz - 3 Pulgadas, Sonido HD, Emparejamiento Rápido de Bluetooth, Conectividad TWS, Reproducción Multimodo (Micro SD/USB/Radio FM) - Perfecto para Oficina, Viajes y Espacios Pequeños</t>
        </is>
      </c>
      <c r="H2179" s="16" t="inlineStr">
        <is>
          <t>NEGRO</t>
        </is>
      </c>
      <c r="I2179" s="16" t="n">
        <v>2</v>
      </c>
      <c r="J2179" s="17" t="n">
        <v>160</v>
      </c>
      <c r="K2179" s="17" t="n">
        <v>186.52</v>
      </c>
      <c r="L2179" s="17" t="n">
        <v>0</v>
      </c>
      <c r="M2179" s="17" t="n">
        <v>0</v>
      </c>
      <c r="N2179" s="17">
        <f>K2179*0.08+L2179*0.08</f>
        <v/>
      </c>
      <c r="O2179" s="17">
        <f>-(K2179*0.025+L2179*0.025)</f>
        <v/>
      </c>
      <c r="P2179" s="17">
        <f>32</f>
        <v/>
      </c>
      <c r="Q2179" s="17">
        <f>J2179+L2179+N2179+O2179-P2179-M2179</f>
        <v/>
      </c>
    </row>
    <row r="2180">
      <c r="A2180" s="16" t="inlineStr">
        <is>
          <t>5.22-5.28</t>
        </is>
      </c>
      <c r="B2180" s="16" t="inlineStr">
        <is>
          <t>PO-128-17405490819192270</t>
        </is>
      </c>
      <c r="C2180" s="16" t="inlineStr">
        <is>
          <t>Shipped</t>
        </is>
      </c>
      <c r="D2180" s="16" t="inlineStr">
        <is>
          <t>128-17405448876152270</t>
        </is>
      </c>
      <c r="E2180" s="16" t="inlineStr">
        <is>
          <t>Shipped</t>
        </is>
      </c>
      <c r="F2180" s="16" t="inlineStr">
        <is>
          <t>KTS-2031</t>
        </is>
      </c>
      <c r="G2180" s="16" t="inlineStr">
        <is>
          <t>Bocina inalámbrica de 3 pulgadas con linterna multifuncional y panel solar integrado.Altavoz Portátil con Linterna LED 4 Modos, Radio FM, Bluetooth, Carga Solar, Ideal para Apagones, Emergencias, Campo y Exteriores</t>
        </is>
      </c>
      <c r="H2180" s="16" t="inlineStr">
        <is>
          <t>NEGRO</t>
        </is>
      </c>
      <c r="I2180" s="16" t="n">
        <v>3</v>
      </c>
      <c r="J2180" s="17" t="n">
        <v>270</v>
      </c>
      <c r="K2180" s="17" t="n">
        <v>4.55</v>
      </c>
      <c r="L2180" s="17" t="n">
        <v>0</v>
      </c>
      <c r="M2180" s="17" t="n">
        <v>0</v>
      </c>
      <c r="N2180" s="17">
        <f>K2180*0.08+L2180*0.08</f>
        <v/>
      </c>
      <c r="O2180" s="17">
        <f>-(K2180*0.025+L2180*0.025)</f>
        <v/>
      </c>
      <c r="P2180" s="17">
        <f>32</f>
        <v/>
      </c>
      <c r="Q2180" s="17">
        <f>J2180+L2180+N2180+O2180-P2180-M2180</f>
        <v/>
      </c>
    </row>
    <row r="2181">
      <c r="A2181" s="16" t="inlineStr">
        <is>
          <t>5.22-5.28</t>
        </is>
      </c>
      <c r="B2181" s="16" t="inlineStr">
        <is>
          <t>PO-128-17316864551033758</t>
        </is>
      </c>
      <c r="C2181" s="16" t="inlineStr">
        <is>
          <t>Shipped</t>
        </is>
      </c>
      <c r="D2181" s="16" t="inlineStr">
        <is>
          <t>128-17316838336633758</t>
        </is>
      </c>
      <c r="E2181" s="16" t="inlineStr">
        <is>
          <t>Shipped</t>
        </is>
      </c>
      <c r="F2181" s="16" t="inlineStr">
        <is>
          <t>LV54W25</t>
        </is>
      </c>
      <c r="G2181" s="16" t="inlineStr">
        <is>
          <t>TIANLAI Lámpara Ventilador E27 2 en 1, Silenciosa, LED Alta Luminosidad 180°, Instalación Rápida, Ahorro Energético para Dormitorio y Interiores Pequeños</t>
        </is>
      </c>
      <c r="H2181" s="16" t="inlineStr">
        <is>
          <t>1 Pieza</t>
        </is>
      </c>
      <c r="I2181" s="16" t="n">
        <v>1</v>
      </c>
      <c r="J2181" s="17" t="n">
        <v>78.5</v>
      </c>
      <c r="K2181" s="17" t="n">
        <v>80.27</v>
      </c>
      <c r="L2181" s="17" t="n">
        <v>25.86</v>
      </c>
      <c r="M2181" s="17" t="n">
        <v>0</v>
      </c>
      <c r="N2181" s="17">
        <f>K2181*0.08+L2181*0.08</f>
        <v/>
      </c>
      <c r="O2181" s="17">
        <f>-(K2181*0.025+L2181*0.025)</f>
        <v/>
      </c>
      <c r="P2181" s="17">
        <f>32</f>
        <v/>
      </c>
      <c r="Q2181" s="17">
        <f>J2181+L2181+N2181+O2181-P2181-M2181</f>
        <v/>
      </c>
    </row>
    <row r="2182">
      <c r="A2182" s="16" t="inlineStr">
        <is>
          <t>5.22-5.28</t>
        </is>
      </c>
      <c r="B2182" s="16" t="inlineStr">
        <is>
          <t>PO-128-17385635766392388</t>
        </is>
      </c>
      <c r="C2182" s="16" t="inlineStr">
        <is>
          <t>Shipped</t>
        </is>
      </c>
      <c r="D2182" s="16" t="inlineStr">
        <is>
          <t>128-17385646252152388</t>
        </is>
      </c>
      <c r="E2182" s="16" t="inlineStr">
        <is>
          <t>Shipped</t>
        </is>
      </c>
      <c r="F2182" s="16" t="inlineStr">
        <is>
          <t>LV54W25</t>
        </is>
      </c>
      <c r="G2182" s="16" t="inlineStr">
        <is>
          <t>TIANLAI Lámpara Ventilador E27 2 en 1, Silenciosa, LED Alta Luminosidad 180°, Instalación Rápida, Ahorro Energético para Dormitorio y Interiores Pequeños</t>
        </is>
      </c>
      <c r="H2182" s="16" t="inlineStr">
        <is>
          <t>1 Pieza</t>
        </is>
      </c>
      <c r="I2182" s="16" t="n">
        <v>1</v>
      </c>
      <c r="J2182" s="17" t="n">
        <v>78.5</v>
      </c>
      <c r="K2182" s="17" t="n">
        <v>81.16</v>
      </c>
      <c r="L2182" s="17" t="n">
        <v>25.86</v>
      </c>
      <c r="M2182" s="17" t="n">
        <v>0</v>
      </c>
      <c r="N2182" s="17">
        <f>K2182*0.08+L2182*0.08</f>
        <v/>
      </c>
      <c r="O2182" s="17">
        <f>-(K2182*0.025+L2182*0.025)</f>
        <v/>
      </c>
      <c r="P2182" s="17">
        <f>32</f>
        <v/>
      </c>
      <c r="Q2182" s="17">
        <f>J2182+L2182+N2182+O2182-P2182-M2182</f>
        <v/>
      </c>
    </row>
    <row r="2183">
      <c r="A2183" s="16" t="inlineStr">
        <is>
          <t>5.22-5.28</t>
        </is>
      </c>
      <c r="B2183" s="16" t="inlineStr">
        <is>
          <t>PO-128-17508553398392617</t>
        </is>
      </c>
      <c r="C2183" s="16" t="inlineStr">
        <is>
          <t>Shipped</t>
        </is>
      </c>
      <c r="D2183" s="16" t="inlineStr">
        <is>
          <t>128-17508584855672617</t>
        </is>
      </c>
      <c r="E2183" s="16" t="inlineStr">
        <is>
          <t>Shipped</t>
        </is>
      </c>
      <c r="F2183" s="16" t="inlineStr">
        <is>
          <t>TL1455N20B</t>
        </is>
      </c>
      <c r="G2183" s="16" t="inlineStr">
        <is>
          <t>LINK BITS Soporte para TV 14 A 55 Pulgadas, Base para TV Pantalla Articulado Inclinable y Giratorio, MAX VESA 400×400 mm, Soporta hasta 18kg, adaptarse a la mayoría de los televisores de 14 Pulgadas/20 Pulgadas/32 Pulgadas/42 Pulgadas/55 pulgadas</t>
        </is>
      </c>
      <c r="H2183" s="16" t="inlineStr">
        <is>
          <t>TL1455N20B</t>
        </is>
      </c>
      <c r="I2183" s="16" t="n">
        <v>1</v>
      </c>
      <c r="J2183" s="17" t="n">
        <v>74</v>
      </c>
      <c r="K2183" s="17" t="n">
        <v>95.06</v>
      </c>
      <c r="L2183" s="17" t="n">
        <v>25.86</v>
      </c>
      <c r="M2183" s="17" t="n">
        <v>0</v>
      </c>
      <c r="N2183" s="17">
        <f>K2183*0.08+L2183*0.08</f>
        <v/>
      </c>
      <c r="O2183" s="17">
        <f>-(K2183*0.025+L2183*0.025)</f>
        <v/>
      </c>
      <c r="P2183" s="17">
        <f>32</f>
        <v/>
      </c>
      <c r="Q2183" s="17">
        <f>J2183+L2183+N2183+O2183-P2183-M2183</f>
        <v/>
      </c>
    </row>
    <row r="2184">
      <c r="A2184" s="16" t="inlineStr">
        <is>
          <t>5.22-5.28</t>
        </is>
      </c>
      <c r="B2184" s="16" t="inlineStr">
        <is>
          <t>PO-128-17447086252152982</t>
        </is>
      </c>
      <c r="C2184" s="16" t="inlineStr">
        <is>
          <t>Shipped</t>
        </is>
      </c>
      <c r="D2184" s="16" t="inlineStr">
        <is>
          <t>128-17447107223672982</t>
        </is>
      </c>
      <c r="E2184" s="16" t="inlineStr">
        <is>
          <t>Shipped</t>
        </is>
      </c>
      <c r="F2184" s="16" t="inlineStr">
        <is>
          <t>KTS-2031</t>
        </is>
      </c>
      <c r="G2184" s="16" t="inlineStr">
        <is>
          <t>Bocina inalámbrica de 3 pulgadas con linterna multifuncional y panel solar integrado.Altavoz Portátil con Linterna LED 4 Modos, Radio FM, Bluetooth, Carga Solar, Ideal para Apagones, Emergencias, Campo y Exteriores</t>
        </is>
      </c>
      <c r="H2184" s="16" t="inlineStr">
        <is>
          <t>NEGRO</t>
        </is>
      </c>
      <c r="I2184" s="16" t="n">
        <v>1</v>
      </c>
      <c r="J2184" s="17" t="n">
        <v>90</v>
      </c>
      <c r="K2184" s="17" t="n">
        <v>99.22</v>
      </c>
      <c r="L2184" s="17" t="n">
        <v>25.86</v>
      </c>
      <c r="M2184" s="17" t="n">
        <v>0</v>
      </c>
      <c r="N2184" s="17">
        <f>K2184*0.08+L2184*0.08</f>
        <v/>
      </c>
      <c r="O2184" s="17">
        <f>-(K2184*0.025+L2184*0.025)</f>
        <v/>
      </c>
      <c r="P2184" s="17">
        <f>32</f>
        <v/>
      </c>
      <c r="Q2184" s="17">
        <f>J2184+L2184+N2184+O2184-P2184-M2184</f>
        <v/>
      </c>
    </row>
    <row r="2185">
      <c r="A2185" s="16" t="inlineStr">
        <is>
          <t>5.22-5.28</t>
        </is>
      </c>
      <c r="B2185" s="16" t="inlineStr">
        <is>
          <t>PO-128-17813908283510861</t>
        </is>
      </c>
      <c r="C2185" s="16" t="inlineStr">
        <is>
          <t>Shipped</t>
        </is>
      </c>
      <c r="D2185" s="16" t="inlineStr">
        <is>
          <t>128-17813929255030861</t>
        </is>
      </c>
      <c r="E2185" s="16" t="inlineStr">
        <is>
          <t>Shipped</t>
        </is>
      </c>
      <c r="F2185" s="16" t="inlineStr">
        <is>
          <t>LV54W25</t>
        </is>
      </c>
      <c r="G2185" s="16" t="inlineStr">
        <is>
          <t>TIANLAI Lámpara Ventilador E27 2 en 1, Silenciosa, LED Alta Luminosidad 180°, Instalación Rápida, Ahorro Energético para Dormitorio y Interiores Pequeños</t>
        </is>
      </c>
      <c r="H2185" s="16" t="inlineStr">
        <is>
          <t>1 Pieza</t>
        </is>
      </c>
      <c r="I2185" s="16" t="n">
        <v>1</v>
      </c>
      <c r="J2185" s="17" t="n">
        <v>78.5</v>
      </c>
      <c r="K2185" s="17" t="n">
        <v>90.18000000000001</v>
      </c>
      <c r="L2185" s="17" t="n">
        <v>25.86</v>
      </c>
      <c r="M2185" s="17" t="n">
        <v>0</v>
      </c>
      <c r="N2185" s="17">
        <f>K2185*0.08+L2185*0.08</f>
        <v/>
      </c>
      <c r="O2185" s="17">
        <f>-(K2185*0.025+L2185*0.025)</f>
        <v/>
      </c>
      <c r="P2185" s="17">
        <f>32</f>
        <v/>
      </c>
      <c r="Q2185" s="17">
        <f>J2185+L2185+N2185+O2185-P2185-M2185</f>
        <v/>
      </c>
    </row>
    <row r="2186">
      <c r="A2186" s="16" t="inlineStr">
        <is>
          <t>5.22-5.28</t>
        </is>
      </c>
      <c r="B2186" s="16" t="inlineStr">
        <is>
          <t>PO-128-17769313278070039</t>
        </is>
      </c>
      <c r="C2186" s="16" t="inlineStr">
        <is>
          <t>Shipped</t>
        </is>
      </c>
      <c r="D2186" s="16" t="inlineStr">
        <is>
          <t>128-17769344735350039</t>
        </is>
      </c>
      <c r="E2186" s="16" t="inlineStr">
        <is>
          <t>Shipped</t>
        </is>
      </c>
      <c r="F2186" s="16" t="inlineStr">
        <is>
          <t>KTS-2031</t>
        </is>
      </c>
      <c r="G2186" s="16" t="inlineStr">
        <is>
          <t>Bocina inalámbrica de 3 pulgadas con linterna multifuncional y panel solar integrado.Altavoz Portátil con Linterna LED 4 Modos, Radio FM, Bluetooth, Carga Solar, Ideal para Apagones, Emergencias, Campo y Exteriores</t>
        </is>
      </c>
      <c r="H2186" s="16" t="inlineStr">
        <is>
          <t>NEGRO</t>
        </is>
      </c>
      <c r="I2186" s="16" t="n">
        <v>1</v>
      </c>
      <c r="J2186" s="17" t="n">
        <v>90</v>
      </c>
      <c r="K2186" s="17" t="n">
        <v>99.22</v>
      </c>
      <c r="L2186" s="17" t="n">
        <v>25.86</v>
      </c>
      <c r="M2186" s="17" t="n">
        <v>0</v>
      </c>
      <c r="N2186" s="17">
        <f>K2186*0.08+L2186*0.08</f>
        <v/>
      </c>
      <c r="O2186" s="17">
        <f>-(K2186*0.025+L2186*0.025)</f>
        <v/>
      </c>
      <c r="P2186" s="17">
        <f>32</f>
        <v/>
      </c>
      <c r="Q2186" s="17">
        <f>J2186+L2186+N2186+O2186-P2186-M2186</f>
        <v/>
      </c>
    </row>
    <row r="2187">
      <c r="A2187" s="16" t="inlineStr">
        <is>
          <t>5.22-5.28</t>
        </is>
      </c>
      <c r="B2187" s="16" t="inlineStr">
        <is>
          <t>PO-128-17679451292791599</t>
        </is>
      </c>
      <c r="C2187" s="16" t="inlineStr">
        <is>
          <t>Shipped</t>
        </is>
      </c>
      <c r="D2187" s="16" t="inlineStr">
        <is>
          <t>128-17679472264311599</t>
        </is>
      </c>
      <c r="E2187" s="16" t="inlineStr">
        <is>
          <t>Shipped</t>
        </is>
      </c>
      <c r="F2187" s="16" t="inlineStr">
        <is>
          <t>LV64W25</t>
        </is>
      </c>
      <c r="G21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87" s="16" t="inlineStr">
        <is>
          <t>Blanco</t>
        </is>
      </c>
      <c r="I2187" s="16" t="n">
        <v>1</v>
      </c>
      <c r="J2187" s="17" t="n">
        <v>125</v>
      </c>
      <c r="K2187" s="17" t="n">
        <v>57.05</v>
      </c>
      <c r="L2187" s="17" t="n">
        <v>25.86</v>
      </c>
      <c r="M2187" s="17" t="n">
        <v>0</v>
      </c>
      <c r="N2187" s="17">
        <f>K2187*0.08+L2187*0.08</f>
        <v/>
      </c>
      <c r="O2187" s="17">
        <f>-(K2187*0.025+L2187*0.025)</f>
        <v/>
      </c>
      <c r="P2187" s="17">
        <f>32</f>
        <v/>
      </c>
      <c r="Q2187" s="17">
        <f>J2187+L2187+N2187+O2187-P2187-M2187</f>
        <v/>
      </c>
    </row>
    <row r="2188">
      <c r="A2188" s="16" t="inlineStr">
        <is>
          <t>5.22-5.28</t>
        </is>
      </c>
      <c r="B2188" s="16" t="inlineStr">
        <is>
          <t>PO-128-17223102651513231</t>
        </is>
      </c>
      <c r="C2188" s="16" t="inlineStr">
        <is>
          <t>Shipped</t>
        </is>
      </c>
      <c r="D2188" s="16" t="inlineStr">
        <is>
          <t>128-17223123623033231</t>
        </is>
      </c>
      <c r="E2188" s="16" t="inlineStr">
        <is>
          <t>Shipped</t>
        </is>
      </c>
      <c r="F2188" s="16" t="inlineStr">
        <is>
          <t>KTS-2031</t>
        </is>
      </c>
      <c r="G2188" s="16" t="inlineStr">
        <is>
          <t>Bocina inalámbrica de 3 pulgadas con linterna multifuncional y panel solar integrado.Altavoz Portátil con Linterna LED 4 Modos, Radio FM, Bluetooth, Carga Solar, Ideal para Apagones, Emergencias, Campo y Exteriores</t>
        </is>
      </c>
      <c r="H2188" s="16" t="inlineStr">
        <is>
          <t>NEGRO</t>
        </is>
      </c>
      <c r="I2188" s="16" t="n">
        <v>1</v>
      </c>
      <c r="J2188" s="17" t="n">
        <v>90</v>
      </c>
      <c r="K2188" s="17" t="n">
        <v>99.22</v>
      </c>
      <c r="L2188" s="17" t="n">
        <v>25.86</v>
      </c>
      <c r="M2188" s="17" t="n">
        <v>0</v>
      </c>
      <c r="N2188" s="17">
        <f>K2188*0.08+L2188*0.08</f>
        <v/>
      </c>
      <c r="O2188" s="17">
        <f>-(K2188*0.025+L2188*0.025)</f>
        <v/>
      </c>
      <c r="P2188" s="17">
        <f>32</f>
        <v/>
      </c>
      <c r="Q2188" s="17">
        <f>J2188+L2188+N2188+O2188-P2188-M2188</f>
        <v/>
      </c>
    </row>
    <row r="2189">
      <c r="A2189" s="16" t="inlineStr">
        <is>
          <t>5.22-5.28</t>
        </is>
      </c>
      <c r="B2189" s="16" t="inlineStr">
        <is>
          <t>PO-128-17258474437753146</t>
        </is>
      </c>
      <c r="C2189" s="16" t="inlineStr">
        <is>
          <t>Shipped</t>
        </is>
      </c>
      <c r="D2189" s="16" t="inlineStr">
        <is>
          <t>128-17258550459513146</t>
        </is>
      </c>
      <c r="E2189" s="16" t="inlineStr">
        <is>
          <t>Shipped</t>
        </is>
      </c>
      <c r="F2189" s="16" t="inlineStr">
        <is>
          <t>LV64W25</t>
        </is>
      </c>
      <c r="G21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189" s="16" t="inlineStr">
        <is>
          <t>Blanco</t>
        </is>
      </c>
      <c r="I2189" s="16" t="n">
        <v>2</v>
      </c>
      <c r="J2189" s="17" t="n">
        <v>250</v>
      </c>
      <c r="K2189" s="17" t="n">
        <v>257.88</v>
      </c>
      <c r="L2189" s="17" t="n">
        <v>0</v>
      </c>
      <c r="M2189" s="17" t="n">
        <v>0</v>
      </c>
      <c r="N2189" s="17">
        <f>K2189*0.08+L2189*0.08</f>
        <v/>
      </c>
      <c r="O2189" s="17">
        <f>-(K2189*0.025+L2189*0.025)</f>
        <v/>
      </c>
      <c r="P2189" s="17">
        <f>32</f>
        <v/>
      </c>
      <c r="Q2189" s="17">
        <f>J2189+L2189+N2189+O2189-P2189-M2189</f>
        <v/>
      </c>
    </row>
    <row r="2190">
      <c r="A2190" s="16" t="inlineStr">
        <is>
          <t>5.22-5.28</t>
        </is>
      </c>
      <c r="B2190" s="16" t="inlineStr">
        <is>
          <t>PO-128-17359362983032483</t>
        </is>
      </c>
      <c r="C2190" s="16" t="inlineStr">
        <is>
          <t>Shipped</t>
        </is>
      </c>
      <c r="D2190" s="16" t="inlineStr">
        <is>
          <t>128-17359331525752483</t>
        </is>
      </c>
      <c r="E2190" s="16" t="inlineStr">
        <is>
          <t>Shipped</t>
        </is>
      </c>
      <c r="F2190" s="16" t="inlineStr">
        <is>
          <t>SB428T</t>
        </is>
      </c>
      <c r="G2190" s="16" t="inlineStr">
        <is>
          <t>LINK BITS Bocina Portátil con 2 Altavoces de 4" (5W×2), Sonido Potente, Luces LED, Bluetooth, USB/TF/FM - Ideal para Reuniones, Fiestas y Picnics en México</t>
        </is>
      </c>
      <c r="H2190" s="16" t="inlineStr">
        <is>
          <t>SB428T</t>
        </is>
      </c>
      <c r="I2190" s="16" t="n">
        <v>14</v>
      </c>
      <c r="J2190" s="17" t="n">
        <v>1369.2</v>
      </c>
      <c r="K2190" s="17" t="n">
        <v>1627.92</v>
      </c>
      <c r="L2190" s="17" t="n">
        <v>0</v>
      </c>
      <c r="M2190" s="17" t="n">
        <v>0</v>
      </c>
      <c r="N2190" s="17">
        <f>K2190*0.08+L2190*0.08</f>
        <v/>
      </c>
      <c r="O2190" s="17">
        <f>-(K2190*0.025+L2190*0.025)</f>
        <v/>
      </c>
      <c r="P2190" s="17">
        <f>32</f>
        <v/>
      </c>
      <c r="Q2190" s="17">
        <f>J2190+L2190+N2190+O2190-P2190-M2190</f>
        <v/>
      </c>
    </row>
    <row r="2191">
      <c r="A2191" s="16" t="inlineStr">
        <is>
          <t>5.22-5.28</t>
        </is>
      </c>
      <c r="B2191" s="16" t="inlineStr">
        <is>
          <t>PO-128-17760432817270026</t>
        </is>
      </c>
      <c r="C2191" s="16" t="inlineStr">
        <is>
          <t>Shipped</t>
        </is>
      </c>
      <c r="D2191" s="16" t="inlineStr">
        <is>
          <t>128-17760411845750026</t>
        </is>
      </c>
      <c r="E2191" s="16" t="inlineStr">
        <is>
          <t>Shipped</t>
        </is>
      </c>
      <c r="F2191" s="16" t="inlineStr">
        <is>
          <t>B03W10-10PZS</t>
        </is>
      </c>
      <c r="G219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191" s="16" t="inlineStr">
        <is>
          <t>B03W10</t>
        </is>
      </c>
      <c r="I2191" s="16" t="n">
        <v>1</v>
      </c>
      <c r="J2191" s="17" t="n">
        <v>76</v>
      </c>
      <c r="K2191" s="17" t="n">
        <v>71.16</v>
      </c>
      <c r="L2191" s="17" t="n">
        <v>25.86</v>
      </c>
      <c r="M2191" s="17" t="n">
        <v>0</v>
      </c>
      <c r="N2191" s="17">
        <f>K2191*0.08+L2191*0.08</f>
        <v/>
      </c>
      <c r="O2191" s="17">
        <f>-(K2191*0.025+L2191*0.025)</f>
        <v/>
      </c>
      <c r="P2191" s="17">
        <f>32</f>
        <v/>
      </c>
      <c r="Q2191" s="17">
        <f>J2191+L2191+N2191+O2191-P2191-M2191</f>
        <v/>
      </c>
    </row>
    <row r="2192">
      <c r="A2192" s="16" t="inlineStr">
        <is>
          <t>5.22-5.28</t>
        </is>
      </c>
      <c r="B2192" s="16" t="inlineStr">
        <is>
          <t>PO-128-17802154570870995</t>
        </is>
      </c>
      <c r="C2192" s="16" t="inlineStr">
        <is>
          <t>Shipped</t>
        </is>
      </c>
      <c r="D2192" s="16" t="inlineStr">
        <is>
          <t>128-17802144085110995</t>
        </is>
      </c>
      <c r="E2192" s="16" t="inlineStr">
        <is>
          <t>Shipped</t>
        </is>
      </c>
      <c r="F2192" s="16" t="inlineStr">
        <is>
          <t>KTS-2031</t>
        </is>
      </c>
      <c r="G2192" s="16" t="inlineStr">
        <is>
          <t>Bocina inalámbrica de 3 pulgadas con linterna multifuncional y panel solar integrado.Altavoz Portátil con Linterna LED 4 Modos, Radio FM, Bluetooth, Carga Solar, Ideal para Apagones, Emergencias, Campo y Exteriores</t>
        </is>
      </c>
      <c r="H2192" s="16" t="inlineStr">
        <is>
          <t>NEGRO</t>
        </is>
      </c>
      <c r="I2192" s="16" t="n">
        <v>1</v>
      </c>
      <c r="J2192" s="17" t="n">
        <v>90</v>
      </c>
      <c r="K2192" s="17" t="n">
        <v>99.22</v>
      </c>
      <c r="L2192" s="17" t="n">
        <v>25.86</v>
      </c>
      <c r="M2192" s="17" t="n">
        <v>0</v>
      </c>
      <c r="N2192" s="17">
        <f>K2192*0.08+L2192*0.08</f>
        <v/>
      </c>
      <c r="O2192" s="17">
        <f>-(K2192*0.025+L2192*0.025)</f>
        <v/>
      </c>
      <c r="P2192" s="17">
        <f>32</f>
        <v/>
      </c>
      <c r="Q2192" s="17">
        <f>J2192+L2192+N2192+O2192-P2192-M2192</f>
        <v/>
      </c>
    </row>
    <row r="2193">
      <c r="A2193" s="16" t="inlineStr">
        <is>
          <t>5.22-5.28</t>
        </is>
      </c>
      <c r="B2193" s="16" t="inlineStr">
        <is>
          <t>PO-128-17790516698230937</t>
        </is>
      </c>
      <c r="C2193" s="16" t="inlineStr">
        <is>
          <t>Shipped</t>
        </is>
      </c>
      <c r="D2193" s="16" t="inlineStr">
        <is>
          <t>128-17790527183990937</t>
        </is>
      </c>
      <c r="E2193" s="16" t="inlineStr">
        <is>
          <t>Shipped</t>
        </is>
      </c>
      <c r="F2193" s="16" t="inlineStr">
        <is>
          <t>BG-115-B</t>
        </is>
      </c>
      <c r="G2193" s="16" t="inlineStr">
        <is>
          <t>LINK BITS Audífonos Inalámbricos con Luces Multicolor, Recargables y en Adorable Forma de Orejas de Gato - Conecta a Celulares y PCs, Tiene Radio FM, Tarjeta TF y AUX - 7 Horas de Reproducción, Plegables y Perfectos para Trabajo, Juegos y Estudio</t>
        </is>
      </c>
      <c r="H2193" s="16" t="inlineStr">
        <is>
          <t>blanco</t>
        </is>
      </c>
      <c r="I2193" s="16" t="n">
        <v>1</v>
      </c>
      <c r="J2193" s="17" t="n">
        <v>77.90000000000001</v>
      </c>
      <c r="K2193" s="17" t="n">
        <v>75.34</v>
      </c>
      <c r="L2193" s="17" t="n">
        <v>25.86</v>
      </c>
      <c r="M2193" s="17" t="n">
        <v>0</v>
      </c>
      <c r="N2193" s="17">
        <f>K2193*0.08+L2193*0.08</f>
        <v/>
      </c>
      <c r="O2193" s="17">
        <f>-(K2193*0.025+L2193*0.025)</f>
        <v/>
      </c>
      <c r="P2193" s="17">
        <f>32</f>
        <v/>
      </c>
      <c r="Q2193" s="17">
        <f>J2193+L2193+N2193+O2193-P2193-M2193</f>
        <v/>
      </c>
    </row>
    <row r="2194">
      <c r="A2194" s="16" t="inlineStr">
        <is>
          <t>5.22-5.28</t>
        </is>
      </c>
      <c r="B2194" s="16" t="inlineStr">
        <is>
          <t>PO-128-17759145731190226</t>
        </is>
      </c>
      <c r="C2194" s="16" t="inlineStr">
        <is>
          <t>Shipped</t>
        </is>
      </c>
      <c r="D2194" s="16" t="inlineStr">
        <is>
          <t>128-17759103788150226</t>
        </is>
      </c>
      <c r="E2194" s="16" t="inlineStr">
        <is>
          <t>Shipped</t>
        </is>
      </c>
      <c r="F2194" s="16" t="inlineStr">
        <is>
          <t>LV54W25</t>
        </is>
      </c>
      <c r="G2194" s="16" t="inlineStr">
        <is>
          <t>TIANLAI Lámpara Ventilador E27 2 en 1, Silenciosa, LED Alta Luminosidad 180°, Instalación Rápida, Ahorro Energético para Dormitorio y Interiores Pequeños</t>
        </is>
      </c>
      <c r="H2194" s="16" t="inlineStr">
        <is>
          <t>1 Pieza</t>
        </is>
      </c>
      <c r="I2194" s="16" t="n">
        <v>1</v>
      </c>
      <c r="J2194" s="17" t="n">
        <v>78.5</v>
      </c>
      <c r="K2194" s="17" t="n">
        <v>81.16</v>
      </c>
      <c r="L2194" s="17" t="n">
        <v>25.86</v>
      </c>
      <c r="M2194" s="17" t="n">
        <v>0</v>
      </c>
      <c r="N2194" s="17">
        <f>K2194*0.08+L2194*0.08</f>
        <v/>
      </c>
      <c r="O2194" s="17">
        <f>-(K2194*0.025+L2194*0.025)</f>
        <v/>
      </c>
      <c r="P2194" s="17">
        <f>32</f>
        <v/>
      </c>
      <c r="Q2194" s="17">
        <f>J2194+L2194+N2194+O2194-P2194-M2194</f>
        <v/>
      </c>
    </row>
    <row r="2195">
      <c r="A2195" s="16" t="inlineStr">
        <is>
          <t>5.22-5.28</t>
        </is>
      </c>
      <c r="B2195" s="16" t="inlineStr">
        <is>
          <t>PO-128-17582666166391278</t>
        </is>
      </c>
      <c r="C2195" s="16" t="inlineStr">
        <is>
          <t>Shipped</t>
        </is>
      </c>
      <c r="D2195" s="16" t="inlineStr">
        <is>
          <t>128-17582624223351278</t>
        </is>
      </c>
      <c r="E2195" s="16" t="inlineStr">
        <is>
          <t>Shipped</t>
        </is>
      </c>
      <c r="F2195" s="16" t="inlineStr">
        <is>
          <t>LV54W25</t>
        </is>
      </c>
      <c r="G2195" s="16" t="inlineStr">
        <is>
          <t>TIANLAI Lámpara Ventilador E27 2 en 1, Silenciosa, LED Alta Luminosidad 180°, Instalación Rápida, Ahorro Energético para Dormitorio y Interiores Pequeños</t>
        </is>
      </c>
      <c r="H2195" s="16" t="inlineStr">
        <is>
          <t>1 Pieza</t>
        </is>
      </c>
      <c r="I2195" s="16" t="n">
        <v>3</v>
      </c>
      <c r="J2195" s="17" t="n">
        <v>235.5</v>
      </c>
      <c r="K2195" s="17" t="n">
        <v>206.97</v>
      </c>
      <c r="L2195" s="17" t="n">
        <v>0</v>
      </c>
      <c r="M2195" s="17" t="n">
        <v>0</v>
      </c>
      <c r="N2195" s="17">
        <f>K2195*0.08+L2195*0.08</f>
        <v/>
      </c>
      <c r="O2195" s="17">
        <f>-(K2195*0.025+L2195*0.025)</f>
        <v/>
      </c>
      <c r="P2195" s="17">
        <f>32</f>
        <v/>
      </c>
      <c r="Q2195" s="17">
        <f>J2195+L2195+N2195+O2195-P2195-M2195</f>
        <v/>
      </c>
    </row>
    <row r="2196">
      <c r="A2196" s="16" t="inlineStr">
        <is>
          <t>5.22-5.28</t>
        </is>
      </c>
      <c r="B2196" s="16" t="inlineStr">
        <is>
          <t>PO-128-17235308019833284</t>
        </is>
      </c>
      <c r="C2196" s="16" t="inlineStr">
        <is>
          <t>Shipped</t>
        </is>
      </c>
      <c r="D2196" s="16" t="inlineStr">
        <is>
          <t>128-17235287048313284</t>
        </is>
      </c>
      <c r="E2196" s="16" t="inlineStr">
        <is>
          <t>Shipped</t>
        </is>
      </c>
      <c r="F2196" s="16" t="inlineStr">
        <is>
          <t>KTS-2031</t>
        </is>
      </c>
      <c r="G2196" s="16" t="inlineStr">
        <is>
          <t>Bocina inalámbrica de 3 pulgadas con linterna multifuncional y panel solar integrado.Altavoz Portátil con Linterna LED 4 Modos, Radio FM, Bluetooth, Carga Solar, Ideal para Apagones, Emergencias, Campo y Exteriores</t>
        </is>
      </c>
      <c r="H2196" s="16" t="inlineStr">
        <is>
          <t>NEGRO</t>
        </is>
      </c>
      <c r="I2196" s="16" t="n">
        <v>1</v>
      </c>
      <c r="J2196" s="17" t="n">
        <v>90</v>
      </c>
      <c r="K2196" s="17" t="n">
        <v>99.22</v>
      </c>
      <c r="L2196" s="17" t="n">
        <v>25.86</v>
      </c>
      <c r="M2196" s="17" t="n">
        <v>0</v>
      </c>
      <c r="N2196" s="17">
        <f>K2196*0.08+L2196*0.08</f>
        <v/>
      </c>
      <c r="O2196" s="17">
        <f>-(K2196*0.025+L2196*0.025)</f>
        <v/>
      </c>
      <c r="P2196" s="17">
        <f>32</f>
        <v/>
      </c>
      <c r="Q2196" s="17">
        <f>J2196+L2196+N2196+O2196-P2196-M2196</f>
        <v/>
      </c>
    </row>
    <row r="2197">
      <c r="A2197" s="16" t="inlineStr">
        <is>
          <t>5.22-5.28</t>
        </is>
      </c>
      <c r="B2197" s="16" t="inlineStr">
        <is>
          <t>PO-128-17399221770872181</t>
        </is>
      </c>
      <c r="C2197" s="16" t="inlineStr">
        <is>
          <t>Shipped</t>
        </is>
      </c>
      <c r="D2197" s="16" t="inlineStr">
        <is>
          <t>128-17399169342072181</t>
        </is>
      </c>
      <c r="E2197" s="16" t="inlineStr">
        <is>
          <t>Shipped</t>
        </is>
      </c>
      <c r="F2197" s="16" t="inlineStr">
        <is>
          <t>KTS-2031</t>
        </is>
      </c>
      <c r="G2197" s="16" t="inlineStr">
        <is>
          <t>Bocina inalámbrica de 3 pulgadas con linterna multifuncional y panel solar integrado.Altavoz Portátil con Linterna LED 4 Modos, Radio FM, Bluetooth, Carga Solar, Ideal para Apagones, Emergencias, Campo y Exteriores</t>
        </is>
      </c>
      <c r="H2197" s="16" t="inlineStr">
        <is>
          <t>NEGRO</t>
        </is>
      </c>
      <c r="I2197" s="16" t="n">
        <v>1</v>
      </c>
      <c r="J2197" s="17" t="n">
        <v>90</v>
      </c>
      <c r="K2197" s="17" t="n">
        <v>99.22</v>
      </c>
      <c r="L2197" s="17" t="n">
        <v>25.86</v>
      </c>
      <c r="M2197" s="17" t="n">
        <v>0</v>
      </c>
      <c r="N2197" s="17">
        <f>K2197*0.08+L2197*0.08</f>
        <v/>
      </c>
      <c r="O2197" s="17">
        <f>-(K2197*0.025+L2197*0.025)</f>
        <v/>
      </c>
      <c r="P2197" s="17">
        <f>32</f>
        <v/>
      </c>
      <c r="Q2197" s="17">
        <f>J2197+L2197+N2197+O2197-P2197-M2197</f>
        <v/>
      </c>
    </row>
    <row r="2198">
      <c r="A2198" s="16" t="inlineStr">
        <is>
          <t>5.22-5.28</t>
        </is>
      </c>
      <c r="B2198" s="16" t="inlineStr">
        <is>
          <t>PO-128-17643544248951877</t>
        </is>
      </c>
      <c r="C2198" s="16" t="inlineStr">
        <is>
          <t>Shipped</t>
        </is>
      </c>
      <c r="D2198" s="16" t="inlineStr">
        <is>
          <t>128-17643565220471877</t>
        </is>
      </c>
      <c r="E2198" s="16" t="inlineStr">
        <is>
          <t>Shipped</t>
        </is>
      </c>
      <c r="F2198" s="16" t="inlineStr">
        <is>
          <t>TLCD06-12P-A</t>
        </is>
      </c>
      <c r="G219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198" s="16" t="inlineStr">
        <is>
          <t>AZUL/pantalla de 12 pulgadas</t>
        </is>
      </c>
      <c r="I2198" s="16" t="n">
        <v>1</v>
      </c>
      <c r="J2198" s="17" t="n">
        <v>31.8</v>
      </c>
      <c r="K2198" s="17" t="n">
        <v>43.81</v>
      </c>
      <c r="L2198" s="17" t="n">
        <v>25.86</v>
      </c>
      <c r="M2198" s="17" t="n">
        <v>0</v>
      </c>
      <c r="N2198" s="17">
        <f>K2198*0.08+L2198*0.08</f>
        <v/>
      </c>
      <c r="O2198" s="17">
        <f>-(K2198*0.025+L2198*0.025)</f>
        <v/>
      </c>
      <c r="P2198" s="17">
        <f>32</f>
        <v/>
      </c>
      <c r="Q2198" s="17">
        <f>J2198+L2198+N2198+O2198-P2198-M2198</f>
        <v/>
      </c>
    </row>
    <row r="2199">
      <c r="A2199" s="16" t="inlineStr">
        <is>
          <t>5.22-5.28</t>
        </is>
      </c>
      <c r="B2199" s="16" t="inlineStr">
        <is>
          <t>PO-128-17675032986231561</t>
        </is>
      </c>
      <c r="C2199" s="16" t="inlineStr">
        <is>
          <t>Shipped</t>
        </is>
      </c>
      <c r="D2199" s="16" t="inlineStr">
        <is>
          <t>128-17675074929271561</t>
        </is>
      </c>
      <c r="E2199" s="16" t="inlineStr">
        <is>
          <t>Shipped</t>
        </is>
      </c>
      <c r="F2199" s="16" t="inlineStr">
        <is>
          <t>LV54W25</t>
        </is>
      </c>
      <c r="G2199" s="16" t="inlineStr">
        <is>
          <t>TIANLAI Lámpara Ventilador E27 2 en 1, Silenciosa, LED Alta Luminosidad 180°, Instalación Rápida, Ahorro Energético para Dormitorio y Interiores Pequeños</t>
        </is>
      </c>
      <c r="H2199" s="16" t="inlineStr">
        <is>
          <t>1 Pieza</t>
        </is>
      </c>
      <c r="I2199" s="16" t="n">
        <v>1</v>
      </c>
      <c r="J2199" s="17" t="n">
        <v>74.5</v>
      </c>
      <c r="K2199" s="17" t="n">
        <v>76.70999999999999</v>
      </c>
      <c r="L2199" s="17" t="n">
        <v>25.86</v>
      </c>
      <c r="M2199" s="17" t="n">
        <v>0</v>
      </c>
      <c r="N2199" s="17">
        <f>K2199*0.08+L2199*0.08</f>
        <v/>
      </c>
      <c r="O2199" s="17">
        <f>-(K2199*0.025+L2199*0.025)</f>
        <v/>
      </c>
      <c r="P2199" s="17">
        <f>32</f>
        <v/>
      </c>
      <c r="Q2199" s="17">
        <f>J2199+L2199+N2199+O2199-P2199-M2199</f>
        <v/>
      </c>
    </row>
    <row r="2200">
      <c r="A2200" s="16" t="inlineStr">
        <is>
          <t>5.22-5.28</t>
        </is>
      </c>
      <c r="B2200" s="16" t="inlineStr">
        <is>
          <t>PO-128-17653192228471691</t>
        </is>
      </c>
      <c r="C2200" s="16" t="inlineStr">
        <is>
          <t>Shipped</t>
        </is>
      </c>
      <c r="D2200" s="16" t="inlineStr">
        <is>
          <t>128-17653181742711691</t>
        </is>
      </c>
      <c r="E2200" s="16" t="inlineStr">
        <is>
          <t>Shipped</t>
        </is>
      </c>
      <c r="F2200" s="16" t="inlineStr">
        <is>
          <t>LV54W25</t>
        </is>
      </c>
      <c r="G2200" s="16" t="inlineStr">
        <is>
          <t>TIANLAI Lámpara Ventilador E27 2 en 1, Silenciosa, LED Alta Luminosidad 180°, Instalación Rápida, Ahorro Energético para Dormitorio y Interiores Pequeños</t>
        </is>
      </c>
      <c r="H2200" s="16" t="inlineStr">
        <is>
          <t>1 Pieza</t>
        </is>
      </c>
      <c r="I2200" s="16" t="n">
        <v>1</v>
      </c>
      <c r="J2200" s="17" t="n">
        <v>74.5</v>
      </c>
      <c r="K2200" s="17" t="n">
        <v>86.18000000000001</v>
      </c>
      <c r="L2200" s="17" t="n">
        <v>25.86</v>
      </c>
      <c r="M2200" s="17" t="n">
        <v>0</v>
      </c>
      <c r="N2200" s="17">
        <f>K2200*0.08+L2200*0.08</f>
        <v/>
      </c>
      <c r="O2200" s="17">
        <f>-(K2200*0.025+L2200*0.025)</f>
        <v/>
      </c>
      <c r="P2200" s="17">
        <f>32</f>
        <v/>
      </c>
      <c r="Q2200" s="17">
        <f>J2200+L2200+N2200+O2200-P2200-M2200</f>
        <v/>
      </c>
    </row>
    <row r="2201">
      <c r="A2201" s="16" t="inlineStr">
        <is>
          <t>5.22-5.28</t>
        </is>
      </c>
      <c r="B2201" s="16" t="inlineStr">
        <is>
          <t>PO-128-17354037438072448</t>
        </is>
      </c>
      <c r="C2201" s="16" t="inlineStr">
        <is>
          <t>Shipped</t>
        </is>
      </c>
      <c r="D2201" s="16" t="inlineStr">
        <is>
          <t>128-17354173752952448</t>
        </is>
      </c>
      <c r="E2201" s="16" t="inlineStr">
        <is>
          <t>Shipped</t>
        </is>
      </c>
      <c r="F2201" s="16" t="inlineStr">
        <is>
          <t>LV54W25</t>
        </is>
      </c>
      <c r="G2201" s="16" t="inlineStr">
        <is>
          <t>TIANLAI Lámpara Ventilador E27 2 en 1, Silenciosa, LED Alta Luminosidad 180°, Instalación Rápida, Ahorro Energético para Dormitorio y Interiores Pequeños</t>
        </is>
      </c>
      <c r="H2201" s="16" t="inlineStr">
        <is>
          <t>1 Pieza</t>
        </is>
      </c>
      <c r="I2201" s="16" t="n">
        <v>1</v>
      </c>
      <c r="J2201" s="17" t="n">
        <v>74.5</v>
      </c>
      <c r="K2201" s="17" t="n">
        <v>33.61</v>
      </c>
      <c r="L2201" s="17" t="n">
        <v>25.86</v>
      </c>
      <c r="M2201" s="17" t="n">
        <v>0</v>
      </c>
      <c r="N2201" s="17">
        <f>K2201*0.08+L2201*0.08</f>
        <v/>
      </c>
      <c r="O2201" s="17">
        <f>-(K2201*0.025+L2201*0.025)</f>
        <v/>
      </c>
      <c r="P2201" s="17">
        <f>32</f>
        <v/>
      </c>
      <c r="Q2201" s="17">
        <f>J2201+L2201+N2201+O2201-P2201-M2201</f>
        <v/>
      </c>
    </row>
    <row r="2202">
      <c r="A2202" s="16" t="inlineStr">
        <is>
          <t>5.22-5.28</t>
        </is>
      </c>
      <c r="B2202" s="16" t="inlineStr">
        <is>
          <t>PO-128-17408926341752251</t>
        </is>
      </c>
      <c r="C2202" s="16" t="inlineStr">
        <is>
          <t>Shipped</t>
        </is>
      </c>
      <c r="D2202" s="16" t="inlineStr">
        <is>
          <t>128-17408973527672251</t>
        </is>
      </c>
      <c r="E2202" s="16" t="inlineStr">
        <is>
          <t>Shipped</t>
        </is>
      </c>
      <c r="F2202" s="16" t="inlineStr">
        <is>
          <t>LV64W25</t>
        </is>
      </c>
      <c r="G22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02" s="16" t="inlineStr">
        <is>
          <t>Blanco</t>
        </is>
      </c>
      <c r="I2202" s="16" t="n">
        <v>1</v>
      </c>
      <c r="J2202" s="17" t="n">
        <v>125</v>
      </c>
      <c r="K2202" s="17" t="n">
        <v>128.94</v>
      </c>
      <c r="L2202" s="17" t="n">
        <v>25.86</v>
      </c>
      <c r="M2202" s="17" t="n">
        <v>0</v>
      </c>
      <c r="N2202" s="17">
        <f>K2202*0.08+L2202*0.08</f>
        <v/>
      </c>
      <c r="O2202" s="17">
        <f>-(K2202*0.025+L2202*0.025)</f>
        <v/>
      </c>
      <c r="P2202" s="17">
        <f>32</f>
        <v/>
      </c>
      <c r="Q2202" s="17">
        <f>J2202+L2202+N2202+O2202-P2202-M2202</f>
        <v/>
      </c>
    </row>
    <row r="2203">
      <c r="A2203" s="16" t="inlineStr">
        <is>
          <t>5.22-5.28</t>
        </is>
      </c>
      <c r="B2203" s="16" t="inlineStr">
        <is>
          <t>PO-128-17741893704310139</t>
        </is>
      </c>
      <c r="C2203" s="16" t="inlineStr">
        <is>
          <t>Shipped</t>
        </is>
      </c>
      <c r="D2203" s="16" t="inlineStr">
        <is>
          <t>128-17741851761270139</t>
        </is>
      </c>
      <c r="E2203" s="16" t="inlineStr">
        <is>
          <t>Shipped</t>
        </is>
      </c>
      <c r="F2203" s="16" t="inlineStr">
        <is>
          <t>BG-115-B</t>
        </is>
      </c>
      <c r="G2203" s="16" t="inlineStr">
        <is>
          <t>LINK BITS Audífonos Inalámbricos con Luces Multicolor, Recargables y en Adorable Forma de Orejas de Gato - Conecta a Celulares y PCs, Tiene Radio FM, Tarjeta TF y AUX - 7 Horas de Reproducción, Plegables y Perfectos para Trabajo, Juegos y Estudio</t>
        </is>
      </c>
      <c r="H2203" s="16" t="inlineStr">
        <is>
          <t>blanco</t>
        </is>
      </c>
      <c r="I2203" s="16" t="n">
        <v>1</v>
      </c>
      <c r="J2203" s="17" t="n">
        <v>77.90000000000001</v>
      </c>
      <c r="K2203" s="17" t="n">
        <v>2.41</v>
      </c>
      <c r="L2203" s="17" t="n">
        <v>25.86</v>
      </c>
      <c r="M2203" s="17" t="n">
        <v>0</v>
      </c>
      <c r="N2203" s="17">
        <f>K2203*0.08+L2203*0.08</f>
        <v/>
      </c>
      <c r="O2203" s="17">
        <f>-(K2203*0.025+L2203*0.025)</f>
        <v/>
      </c>
      <c r="P2203" s="17">
        <f>32</f>
        <v/>
      </c>
      <c r="Q2203" s="17">
        <f>J2203+L2203+N2203+O2203-P2203-M2203</f>
        <v/>
      </c>
    </row>
    <row r="2204">
      <c r="A2204" s="16" t="inlineStr">
        <is>
          <t>5.22-5.28</t>
        </is>
      </c>
      <c r="B2204" s="16" t="inlineStr">
        <is>
          <t>PO-128-17824680591990669</t>
        </is>
      </c>
      <c r="C2204" s="16" t="inlineStr">
        <is>
          <t>Shipped</t>
        </is>
      </c>
      <c r="D2204" s="16" t="inlineStr">
        <is>
          <t>128-17824680346230669</t>
        </is>
      </c>
      <c r="E2204" s="16" t="inlineStr">
        <is>
          <t>Shipped</t>
        </is>
      </c>
      <c r="F2204" s="16" t="inlineStr">
        <is>
          <t>TL1455N20B</t>
        </is>
      </c>
      <c r="G2204" s="16" t="inlineStr">
        <is>
          <t>LINK BITS Soporte para TV 14 A 55 Pulgadas, Base para TV Pantalla Articulado Inclinable y Giratorio, MAX VESA 400×400 mm, Soporta hasta 18kg, adaptarse a la mayoría de los televisores de 14 Pulgadas/20 Pulgadas/32 Pulgadas/42 Pulgadas/55 pulgadas</t>
        </is>
      </c>
      <c r="H2204" s="16" t="inlineStr">
        <is>
          <t>TL1455N20B</t>
        </is>
      </c>
      <c r="I2204" s="16" t="n">
        <v>3</v>
      </c>
      <c r="J2204" s="17" t="n">
        <v>222</v>
      </c>
      <c r="K2204" s="17" t="n">
        <v>285.18</v>
      </c>
      <c r="L2204" s="17" t="n">
        <v>0</v>
      </c>
      <c r="M2204" s="17" t="n">
        <v>0</v>
      </c>
      <c r="N2204" s="17">
        <f>K2204*0.08+L2204*0.08</f>
        <v/>
      </c>
      <c r="O2204" s="17">
        <f>-(K2204*0.025+L2204*0.025)</f>
        <v/>
      </c>
      <c r="P2204" s="17">
        <f>32</f>
        <v/>
      </c>
      <c r="Q2204" s="17">
        <f>J2204+L2204+N2204+O2204-P2204-M2204</f>
        <v/>
      </c>
    </row>
    <row r="2205">
      <c r="A2205" s="16" t="inlineStr">
        <is>
          <t>5.22-5.28</t>
        </is>
      </c>
      <c r="B2205" s="16" t="inlineStr">
        <is>
          <t>PO-128-17205891159673333</t>
        </is>
      </c>
      <c r="C2205" s="16" t="inlineStr">
        <is>
          <t>Shipped</t>
        </is>
      </c>
      <c r="D2205" s="16" t="inlineStr">
        <is>
          <t>128-17205922616953333</t>
        </is>
      </c>
      <c r="E2205" s="16" t="inlineStr">
        <is>
          <t>Shipped</t>
        </is>
      </c>
      <c r="F2205" s="16" t="inlineStr">
        <is>
          <t>BSC07</t>
        </is>
      </c>
      <c r="G2205" s="16" t="inlineStr">
        <is>
          <t>TIANLAI Báscula Digital BSC04/BSC07, Alta Precisión, Fácil Operación, Ligera y Portátil, Función Tara, Unidad Dual oz/g, Ideal para Cocina, Control de Porciones, Sellos y Objetos Pequeños, Uso en Hogar y Viaje</t>
        </is>
      </c>
      <c r="H2205" s="16" t="inlineStr">
        <is>
          <t>1g/White</t>
        </is>
      </c>
      <c r="I2205" s="16" t="n">
        <v>1</v>
      </c>
      <c r="J2205" s="17" t="n">
        <v>37</v>
      </c>
      <c r="K2205" s="17" t="n">
        <v>41.36</v>
      </c>
      <c r="L2205" s="17" t="n">
        <v>10.32</v>
      </c>
      <c r="M2205" s="17" t="n">
        <v>0</v>
      </c>
      <c r="N2205" s="17">
        <f>K2205*0.08+L2205*0.08</f>
        <v/>
      </c>
      <c r="O2205" s="17">
        <f>-(K2205*0.025+L2205*0.025)</f>
        <v/>
      </c>
      <c r="P2205" s="17">
        <f>32</f>
        <v/>
      </c>
      <c r="Q2205" s="17">
        <f>J2205+L2205+N2205+O2205-P2205-M2205</f>
        <v/>
      </c>
    </row>
    <row r="2206">
      <c r="A2206" s="16" t="inlineStr">
        <is>
          <t>5.22-5.28</t>
        </is>
      </c>
      <c r="B2206" s="16" t="inlineStr">
        <is>
          <t>PO-128-17205891159673333</t>
        </is>
      </c>
      <c r="C2206" s="16" t="inlineStr">
        <is>
          <t>Shipped</t>
        </is>
      </c>
      <c r="D2206" s="16" t="inlineStr">
        <is>
          <t>128-17205943588473333</t>
        </is>
      </c>
      <c r="E2206" s="16" t="inlineStr">
        <is>
          <t>Shipped</t>
        </is>
      </c>
      <c r="F2206" s="16" t="inlineStr">
        <is>
          <t>BSC04</t>
        </is>
      </c>
      <c r="G2206" s="16" t="inlineStr">
        <is>
          <t>TIANLAI Báscula Digital BSC04/BSC07, Alta Precisión, Fácil Operación, Ligera y Portátil, Función Tara, Unidad Dual oz/g, Ideal para Cocina, Control de Porciones, Sellos y Objetos Pequeños, Uso en Hogar y Viaje</t>
        </is>
      </c>
      <c r="H2206" s="16" t="inlineStr">
        <is>
          <t>5g/White</t>
        </is>
      </c>
      <c r="I2206" s="16" t="n">
        <v>1</v>
      </c>
      <c r="J2206" s="17" t="n">
        <v>57.8</v>
      </c>
      <c r="K2206" s="17" t="n">
        <v>62.26</v>
      </c>
      <c r="L2206" s="17" t="n">
        <v>15.54</v>
      </c>
      <c r="M2206" s="17" t="n">
        <v>0</v>
      </c>
      <c r="N2206" s="17">
        <f>K2206*0.08+L2206*0.08</f>
        <v/>
      </c>
      <c r="O2206" s="17">
        <f>-(K2206*0.025+L2206*0.025)</f>
        <v/>
      </c>
      <c r="P2206" s="17">
        <f>32</f>
        <v/>
      </c>
      <c r="Q2206" s="17">
        <f>J2206+L2206+N2206+O2206-P2206-M2206</f>
        <v/>
      </c>
    </row>
    <row r="2207">
      <c r="A2207" s="16" t="inlineStr">
        <is>
          <t>5.22-5.28</t>
        </is>
      </c>
      <c r="B2207" s="16" t="inlineStr">
        <is>
          <t>PO-128-17538897444471477</t>
        </is>
      </c>
      <c r="C2207" s="16" t="inlineStr">
        <is>
          <t>Shipped</t>
        </is>
      </c>
      <c r="D2207" s="16" t="inlineStr">
        <is>
          <t>128-17538886958711477</t>
        </is>
      </c>
      <c r="E2207" s="16" t="inlineStr">
        <is>
          <t>Shipped</t>
        </is>
      </c>
      <c r="F2207" s="16" t="inlineStr">
        <is>
          <t>LV64W25</t>
        </is>
      </c>
      <c r="G22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07" s="16" t="inlineStr">
        <is>
          <t>Blanco</t>
        </is>
      </c>
      <c r="I2207" s="16" t="n">
        <v>1</v>
      </c>
      <c r="J2207" s="17" t="n">
        <v>125</v>
      </c>
      <c r="K2207" s="17" t="n">
        <v>128.94</v>
      </c>
      <c r="L2207" s="17" t="n">
        <v>25.86</v>
      </c>
      <c r="M2207" s="17" t="n">
        <v>0</v>
      </c>
      <c r="N2207" s="17">
        <f>K2207*0.08+L2207*0.08</f>
        <v/>
      </c>
      <c r="O2207" s="17">
        <f>-(K2207*0.025+L2207*0.025)</f>
        <v/>
      </c>
      <c r="P2207" s="17">
        <f>32</f>
        <v/>
      </c>
      <c r="Q2207" s="17">
        <f>J2207+L2207+N2207+O2207-P2207-M2207</f>
        <v/>
      </c>
    </row>
    <row r="2208">
      <c r="A2208" s="16" t="inlineStr">
        <is>
          <t>5.22-5.28</t>
        </is>
      </c>
      <c r="B2208" s="16" t="inlineStr">
        <is>
          <t>PO-128-17518652846712685</t>
        </is>
      </c>
      <c r="C2208" s="16" t="inlineStr">
        <is>
          <t>Shipped</t>
        </is>
      </c>
      <c r="D2208" s="16" t="inlineStr">
        <is>
          <t>128-17518616146552685</t>
        </is>
      </c>
      <c r="E2208" s="16" t="inlineStr">
        <is>
          <t>Shipped</t>
        </is>
      </c>
      <c r="F2208" s="16" t="inlineStr">
        <is>
          <t>LV54W25</t>
        </is>
      </c>
      <c r="G2208" s="16" t="inlineStr">
        <is>
          <t>TIANLAI Lámpara Ventilador E27 2 en 1, Silenciosa, LED Alta Luminosidad 180°, Instalación Rápida, Ahorro Energético para Dormitorio y Interiores Pequeños</t>
        </is>
      </c>
      <c r="H2208" s="16" t="inlineStr">
        <is>
          <t>1 Pieza</t>
        </is>
      </c>
      <c r="I2208" s="16" t="n">
        <v>1</v>
      </c>
      <c r="J2208" s="17" t="n">
        <v>74.5</v>
      </c>
      <c r="K2208" s="17" t="n">
        <v>76.70999999999999</v>
      </c>
      <c r="L2208" s="17" t="n">
        <v>25.86</v>
      </c>
      <c r="M2208" s="17" t="n">
        <v>0</v>
      </c>
      <c r="N2208" s="17">
        <f>K2208*0.08+L2208*0.08</f>
        <v/>
      </c>
      <c r="O2208" s="17">
        <f>-(K2208*0.025+L2208*0.025)</f>
        <v/>
      </c>
      <c r="P2208" s="17">
        <f>32</f>
        <v/>
      </c>
      <c r="Q2208" s="17">
        <f>J2208+L2208+N2208+O2208-P2208-M2208</f>
        <v/>
      </c>
    </row>
    <row r="2209">
      <c r="A2209" s="16" t="inlineStr">
        <is>
          <t>5.22-5.28</t>
        </is>
      </c>
      <c r="B2209" s="16" t="inlineStr">
        <is>
          <t>PO-128-17447874463352979</t>
        </is>
      </c>
      <c r="C2209" s="16" t="inlineStr">
        <is>
          <t>Shipped</t>
        </is>
      </c>
      <c r="D2209" s="16" t="inlineStr">
        <is>
          <t>128-17447853491832979</t>
        </is>
      </c>
      <c r="E2209" s="16" t="inlineStr">
        <is>
          <t>Shipped</t>
        </is>
      </c>
      <c r="F2209" s="16" t="inlineStr">
        <is>
          <t>TL2663N18C</t>
        </is>
      </c>
      <c r="G2209" s="16" t="inlineStr">
        <is>
          <t>Linkbits，Soporte de pared fijo para televisores de 26"-63", Ultra-Delgado Compatible con VESA 400x400mm, Capacidad de Peso Fuerte de 25KG, Instalación Fácil Sin Electricidad</t>
        </is>
      </c>
      <c r="H2209" s="16" t="inlineStr">
        <is>
          <t>NEGRO</t>
        </is>
      </c>
      <c r="I2209" s="16" t="n">
        <v>1</v>
      </c>
      <c r="J2209" s="17" t="n">
        <v>53.6</v>
      </c>
      <c r="K2209" s="17" t="n">
        <v>68.56999999999999</v>
      </c>
      <c r="L2209" s="17" t="n">
        <v>25.86</v>
      </c>
      <c r="M2209" s="17" t="n">
        <v>0</v>
      </c>
      <c r="N2209" s="17">
        <f>K2209*0.08+L2209*0.08</f>
        <v/>
      </c>
      <c r="O2209" s="17">
        <f>-(K2209*0.025+L2209*0.025)</f>
        <v/>
      </c>
      <c r="P2209" s="17">
        <f>32</f>
        <v/>
      </c>
      <c r="Q2209" s="17">
        <f>J2209+L2209+N2209+O2209-P2209-M2209</f>
        <v/>
      </c>
    </row>
    <row r="2210">
      <c r="A2210" s="16" t="inlineStr">
        <is>
          <t>5.22-5.28</t>
        </is>
      </c>
      <c r="B2210" s="16" t="inlineStr">
        <is>
          <t>PO-128-17742244086390134</t>
        </is>
      </c>
      <c r="C2210" s="16" t="inlineStr">
        <is>
          <t>Shipped</t>
        </is>
      </c>
      <c r="D2210" s="16" t="inlineStr">
        <is>
          <t>128-17742299136630134</t>
        </is>
      </c>
      <c r="E2210" s="16" t="inlineStr">
        <is>
          <t>Shipped</t>
        </is>
      </c>
      <c r="F2210" s="16" t="inlineStr">
        <is>
          <t>TL1412N17C</t>
        </is>
      </c>
      <c r="G2210" s="16" t="inlineStr">
        <is>
          <t>Linkbits, Soporte de Pared Fijo para TV y Monitor de 14"-43", Ultra Delgado 2.3cm, Fuerte Capacidad de Peso de 25KG, Fácil Instalación con Accesorios Completos</t>
        </is>
      </c>
      <c r="H2210" s="16" t="inlineStr">
        <is>
          <t>NEGRO</t>
        </is>
      </c>
      <c r="I2210" s="16" t="n">
        <v>2</v>
      </c>
      <c r="J2210" s="17" t="n">
        <v>73</v>
      </c>
      <c r="K2210" s="17" t="n">
        <v>96.42</v>
      </c>
      <c r="L2210" s="17" t="n">
        <v>25.86</v>
      </c>
      <c r="M2210" s="17" t="n">
        <v>0</v>
      </c>
      <c r="N2210" s="17">
        <f>K2210*0.08+L2210*0.08</f>
        <v/>
      </c>
      <c r="O2210" s="17">
        <f>-(K2210*0.025+L2210*0.025)</f>
        <v/>
      </c>
      <c r="P2210" s="17">
        <f>32</f>
        <v/>
      </c>
      <c r="Q2210" s="17">
        <f>J2210+L2210+N2210+O2210-P2210-M2210</f>
        <v/>
      </c>
    </row>
    <row r="2211">
      <c r="A2211" s="16" t="inlineStr">
        <is>
          <t>5.22-5.28</t>
        </is>
      </c>
      <c r="B2211" s="16" t="inlineStr">
        <is>
          <t>PO-128-17454008730233071</t>
        </is>
      </c>
      <c r="C2211" s="16" t="inlineStr">
        <is>
          <t>Shipped</t>
        </is>
      </c>
      <c r="D2211" s="16" t="inlineStr">
        <is>
          <t>128-17453966787193071</t>
        </is>
      </c>
      <c r="E2211" s="16" t="inlineStr">
        <is>
          <t>Shipped</t>
        </is>
      </c>
      <c r="F2211" s="16" t="inlineStr">
        <is>
          <t>LV54W25</t>
        </is>
      </c>
      <c r="G2211" s="16" t="inlineStr">
        <is>
          <t>TIANLAI Lámpara Ventilador E27 2 en 1, Silenciosa, LED Alta Luminosidad 180°, Instalación Rápida, Ahorro Energético para Dormitorio y Interiores Pequeños</t>
        </is>
      </c>
      <c r="H2211" s="16" t="inlineStr">
        <is>
          <t>1 Pieza</t>
        </is>
      </c>
      <c r="I2211" s="16" t="n">
        <v>2</v>
      </c>
      <c r="J2211" s="17" t="n">
        <v>149</v>
      </c>
      <c r="K2211" s="17" t="n">
        <v>172.36</v>
      </c>
      <c r="L2211" s="17" t="n">
        <v>25.86</v>
      </c>
      <c r="M2211" s="17" t="n">
        <v>0</v>
      </c>
      <c r="N2211" s="17">
        <f>K2211*0.08+L2211*0.08</f>
        <v/>
      </c>
      <c r="O2211" s="17">
        <f>-(K2211*0.025+L2211*0.025)</f>
        <v/>
      </c>
      <c r="P2211" s="17">
        <f>32</f>
        <v/>
      </c>
      <c r="Q2211" s="17">
        <f>J2211+L2211+N2211+O2211-P2211-M2211</f>
        <v/>
      </c>
    </row>
    <row r="2212">
      <c r="A2212" s="16" t="inlineStr">
        <is>
          <t>5.22-5.28</t>
        </is>
      </c>
      <c r="B2212" s="16" t="inlineStr">
        <is>
          <t>PO-128-17763844711030006</t>
        </is>
      </c>
      <c r="C2212" s="16" t="inlineStr">
        <is>
          <t>Shipped</t>
        </is>
      </c>
      <c r="D2212" s="16" t="inlineStr">
        <is>
          <t>128-17763802767990006</t>
        </is>
      </c>
      <c r="E2212" s="16" t="inlineStr">
        <is>
          <t>Shipped</t>
        </is>
      </c>
      <c r="F2212" s="16" t="inlineStr">
        <is>
          <t>LV54W25</t>
        </is>
      </c>
      <c r="G2212" s="16" t="inlineStr">
        <is>
          <t>TIANLAI Lámpara Ventilador E27 2 en 1, Silenciosa, LED Alta Luminosidad 180°, Instalación Rápida, Ahorro Energético para Dormitorio y Interiores Pequeños</t>
        </is>
      </c>
      <c r="H2212" s="16" t="inlineStr">
        <is>
          <t>1 Pieza</t>
        </is>
      </c>
      <c r="I2212" s="16" t="n">
        <v>2</v>
      </c>
      <c r="J2212" s="17" t="n">
        <v>149</v>
      </c>
      <c r="K2212" s="17" t="n">
        <v>155.14</v>
      </c>
      <c r="L2212" s="17" t="n">
        <v>25.86</v>
      </c>
      <c r="M2212" s="17" t="n">
        <v>0</v>
      </c>
      <c r="N2212" s="17">
        <f>K2212*0.08+L2212*0.08</f>
        <v/>
      </c>
      <c r="O2212" s="17">
        <f>-(K2212*0.025+L2212*0.025)</f>
        <v/>
      </c>
      <c r="P2212" s="17">
        <f>32</f>
        <v/>
      </c>
      <c r="Q2212" s="17">
        <f>J2212+L2212+N2212+O2212-P2212-M2212</f>
        <v/>
      </c>
    </row>
    <row r="2213">
      <c r="A2213" s="16" t="inlineStr">
        <is>
          <t>5.22-5.28</t>
        </is>
      </c>
      <c r="B2213" s="16" t="inlineStr">
        <is>
          <t>PO-128-17863222001270631</t>
        </is>
      </c>
      <c r="C2213" s="16" t="inlineStr">
        <is>
          <t>Shipped</t>
        </is>
      </c>
      <c r="D2213" s="16" t="inlineStr">
        <is>
          <t>128-17863253458550631</t>
        </is>
      </c>
      <c r="E2213" s="16" t="inlineStr">
        <is>
          <t>Shipped</t>
        </is>
      </c>
      <c r="F2213" s="16" t="inlineStr">
        <is>
          <t>TL1455N20B</t>
        </is>
      </c>
      <c r="G2213" s="16" t="inlineStr">
        <is>
          <t>LINK BITS Soporte para TV 14 A 55 Pulgadas, Base para TV Pantalla Articulado Inclinable y Giratorio, MAX VESA 400×400 mm, Soporta hasta 18kg, adaptarse a la mayoría de los televisores de 14 Pulgadas/20 Pulgadas/32 Pulgadas/42 Pulgadas/55 pulgadas</t>
        </is>
      </c>
      <c r="H2213" s="16" t="inlineStr">
        <is>
          <t>TL1455N20B</t>
        </is>
      </c>
      <c r="I2213" s="16" t="n">
        <v>1</v>
      </c>
      <c r="J2213" s="17" t="n">
        <v>74</v>
      </c>
      <c r="K2213" s="17" t="n">
        <v>88.90000000000001</v>
      </c>
      <c r="L2213" s="17" t="n">
        <v>25.86</v>
      </c>
      <c r="M2213" s="17" t="n">
        <v>0</v>
      </c>
      <c r="N2213" s="17">
        <f>K2213*0.08+L2213*0.08</f>
        <v/>
      </c>
      <c r="O2213" s="17">
        <f>-(K2213*0.025+L2213*0.025)</f>
        <v/>
      </c>
      <c r="P2213" s="17">
        <f>32</f>
        <v/>
      </c>
      <c r="Q2213" s="17">
        <f>J2213+L2213+N2213+O2213-P2213-M2213</f>
        <v/>
      </c>
    </row>
    <row r="2214">
      <c r="A2214" s="16" t="inlineStr">
        <is>
          <t>5.22-5.28</t>
        </is>
      </c>
      <c r="B2214" s="16" t="inlineStr">
        <is>
          <t>PO-128-17836462341750727</t>
        </is>
      </c>
      <c r="C2214" s="16" t="inlineStr">
        <is>
          <t>Shipped</t>
        </is>
      </c>
      <c r="D2214" s="16" t="inlineStr">
        <is>
          <t>128-17836472827510727</t>
        </is>
      </c>
      <c r="E2214" s="16" t="inlineStr">
        <is>
          <t>Shipped</t>
        </is>
      </c>
      <c r="F2214" s="16" t="inlineStr">
        <is>
          <t>TL1455N20B</t>
        </is>
      </c>
      <c r="G2214" s="16" t="inlineStr">
        <is>
          <t>LINK BITS Soporte para TV 14 A 55 Pulgadas, Base para TV Pantalla Articulado Inclinable y Giratorio, MAX VESA 400×400 mm, Soporta hasta 18kg, adaptarse a la mayoría de los televisores de 14 Pulgadas/20 Pulgadas/32 Pulgadas/42 Pulgadas/55 pulgadas</t>
        </is>
      </c>
      <c r="H2214" s="16" t="inlineStr">
        <is>
          <t>TL1455N20B</t>
        </is>
      </c>
      <c r="I2214" s="16" t="n">
        <v>1</v>
      </c>
      <c r="J2214" s="17" t="n">
        <v>74</v>
      </c>
      <c r="K2214" s="17" t="n">
        <v>95.06</v>
      </c>
      <c r="L2214" s="17" t="n">
        <v>25.86</v>
      </c>
      <c r="M2214" s="17" t="n">
        <v>0</v>
      </c>
      <c r="N2214" s="17">
        <f>K2214*0.08+L2214*0.08</f>
        <v/>
      </c>
      <c r="O2214" s="17">
        <f>-(K2214*0.025+L2214*0.025)</f>
        <v/>
      </c>
      <c r="P2214" s="17">
        <f>32</f>
        <v/>
      </c>
      <c r="Q2214" s="17">
        <f>J2214+L2214+N2214+O2214-P2214-M2214</f>
        <v/>
      </c>
    </row>
    <row r="2215">
      <c r="A2215" s="16" t="inlineStr">
        <is>
          <t>5.22-5.28</t>
        </is>
      </c>
      <c r="B2215" s="16" t="inlineStr">
        <is>
          <t>PO-128-17355500421752440</t>
        </is>
      </c>
      <c r="C2215" s="16" t="inlineStr">
        <is>
          <t>Shipped</t>
        </is>
      </c>
      <c r="D2215" s="16" t="inlineStr">
        <is>
          <t>128-17355458478712440</t>
        </is>
      </c>
      <c r="E2215" s="16" t="inlineStr">
        <is>
          <t>Shipped</t>
        </is>
      </c>
      <c r="F2215" s="16" t="inlineStr">
        <is>
          <t>LV64W25</t>
        </is>
      </c>
      <c r="G22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15" s="16" t="inlineStr">
        <is>
          <t>Blanco</t>
        </is>
      </c>
      <c r="I2215" s="16" t="n">
        <v>1</v>
      </c>
      <c r="J2215" s="17" t="n">
        <v>125</v>
      </c>
      <c r="K2215" s="17" t="n">
        <v>103.16</v>
      </c>
      <c r="L2215" s="17" t="n">
        <v>25.86</v>
      </c>
      <c r="M2215" s="17" t="n">
        <v>0</v>
      </c>
      <c r="N2215" s="17">
        <f>K2215*0.08+L2215*0.08</f>
        <v/>
      </c>
      <c r="O2215" s="17">
        <f>-(K2215*0.025+L2215*0.025)</f>
        <v/>
      </c>
      <c r="P2215" s="17">
        <f>32</f>
        <v/>
      </c>
      <c r="Q2215" s="17">
        <f>J2215+L2215+N2215+O2215-P2215-M2215</f>
        <v/>
      </c>
    </row>
    <row r="2216">
      <c r="A2216" s="16" t="inlineStr">
        <is>
          <t>5.22-5.28</t>
        </is>
      </c>
      <c r="B2216" s="16" t="inlineStr">
        <is>
          <t>PO-128-17414668631672281</t>
        </is>
      </c>
      <c r="C2216" s="16" t="inlineStr">
        <is>
          <t>Shipped</t>
        </is>
      </c>
      <c r="D2216" s="16" t="inlineStr">
        <is>
          <t>128-17414654213752281</t>
        </is>
      </c>
      <c r="E2216" s="16" t="inlineStr">
        <is>
          <t>Shipped</t>
        </is>
      </c>
      <c r="F2216" s="16" t="inlineStr">
        <is>
          <t>KTS-2031</t>
        </is>
      </c>
      <c r="G2216" s="16" t="inlineStr">
        <is>
          <t>Bocina inalámbrica de 3 pulgadas con linterna multifuncional y panel solar integrado.Altavoz Portátil con Linterna LED 4 Modos, Radio FM, Bluetooth, Carga Solar, Ideal para Apagones, Emergencias, Campo y Exteriores</t>
        </is>
      </c>
      <c r="H2216" s="16" t="inlineStr">
        <is>
          <t>NEGRO</t>
        </is>
      </c>
      <c r="I2216" s="16" t="n">
        <v>1</v>
      </c>
      <c r="J2216" s="17" t="n">
        <v>90</v>
      </c>
      <c r="K2216" s="17" t="n">
        <v>93.84999999999999</v>
      </c>
      <c r="L2216" s="17" t="n">
        <v>25.86</v>
      </c>
      <c r="M2216" s="17" t="n">
        <v>0</v>
      </c>
      <c r="N2216" s="17">
        <f>K2216*0.08+L2216*0.08</f>
        <v/>
      </c>
      <c r="O2216" s="17">
        <f>-(K2216*0.025+L2216*0.025)</f>
        <v/>
      </c>
      <c r="P2216" s="17">
        <f>32</f>
        <v/>
      </c>
      <c r="Q2216" s="17">
        <f>J2216+L2216+N2216+O2216-P2216-M2216</f>
        <v/>
      </c>
    </row>
    <row r="2217">
      <c r="A2217" s="16" t="inlineStr">
        <is>
          <t>5.22-5.28</t>
        </is>
      </c>
      <c r="B2217" s="16" t="inlineStr">
        <is>
          <t>PO-128-17859898880630587</t>
        </is>
      </c>
      <c r="C2217" s="16" t="inlineStr">
        <is>
          <t>Shipped</t>
        </is>
      </c>
      <c r="D2217" s="16" t="inlineStr">
        <is>
          <t>128-17859940823670587</t>
        </is>
      </c>
      <c r="E2217" s="16" t="inlineStr">
        <is>
          <t>Shipped</t>
        </is>
      </c>
      <c r="F2217" s="16" t="inlineStr">
        <is>
          <t>TLCD02-8P-R</t>
        </is>
      </c>
      <c r="G221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217" s="16" t="inlineStr">
        <is>
          <t>ROJO/pantalla de 8.5 pulgadas</t>
        </is>
      </c>
      <c r="I2217" s="16" t="n">
        <v>1</v>
      </c>
      <c r="J2217" s="17" t="n">
        <v>24.8</v>
      </c>
      <c r="K2217" s="17" t="n">
        <v>29.28</v>
      </c>
      <c r="L2217" s="17" t="n">
        <v>12.93</v>
      </c>
      <c r="M2217" s="17" t="n">
        <v>0</v>
      </c>
      <c r="N2217" s="17">
        <f>K2217*0.08+L2217*0.08</f>
        <v/>
      </c>
      <c r="O2217" s="17">
        <f>-(K2217*0.025+L2217*0.025)</f>
        <v/>
      </c>
      <c r="P2217" s="17">
        <f>32</f>
        <v/>
      </c>
      <c r="Q2217" s="17">
        <f>J2217+L2217+N2217+O2217-P2217-M2217</f>
        <v/>
      </c>
    </row>
    <row r="2218">
      <c r="A2218" s="16" t="inlineStr">
        <is>
          <t>5.22-5.28</t>
        </is>
      </c>
      <c r="B2218" s="16" t="inlineStr">
        <is>
          <t>PO-128-17859898880630587</t>
        </is>
      </c>
      <c r="C2218" s="16" t="inlineStr">
        <is>
          <t>Shipped</t>
        </is>
      </c>
      <c r="D2218" s="16" t="inlineStr">
        <is>
          <t>128-17859888010870587</t>
        </is>
      </c>
      <c r="E2218" s="16" t="inlineStr">
        <is>
          <t>Shipped</t>
        </is>
      </c>
      <c r="F2218" s="16" t="inlineStr">
        <is>
          <t>TLCD02-8P-R</t>
        </is>
      </c>
      <c r="G221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218" s="16" t="inlineStr">
        <is>
          <t>ROJO/pantalla de 8.5 pulgadas</t>
        </is>
      </c>
      <c r="I2218" s="16" t="n">
        <v>1</v>
      </c>
      <c r="J2218" s="17" t="n">
        <v>24.8</v>
      </c>
      <c r="K2218" s="17" t="n">
        <v>29.28</v>
      </c>
      <c r="L2218" s="17" t="n">
        <v>12.93</v>
      </c>
      <c r="M2218" s="17" t="n">
        <v>0</v>
      </c>
      <c r="N2218" s="17">
        <f>K2218*0.08+L2218*0.08</f>
        <v/>
      </c>
      <c r="O2218" s="17">
        <f>-(K2218*0.025+L2218*0.025)</f>
        <v/>
      </c>
      <c r="P2218" s="17">
        <f>32</f>
        <v/>
      </c>
      <c r="Q2218" s="17">
        <f>J2218+L2218+N2218+O2218-P2218-M2218</f>
        <v/>
      </c>
    </row>
    <row r="2219">
      <c r="A2219" s="16" t="inlineStr">
        <is>
          <t>5.22-5.28</t>
        </is>
      </c>
      <c r="B2219" s="16" t="inlineStr">
        <is>
          <t>PO-128-17381908547192346</t>
        </is>
      </c>
      <c r="C2219" s="16" t="inlineStr">
        <is>
          <t>Shipped</t>
        </is>
      </c>
      <c r="D2219" s="16" t="inlineStr">
        <is>
          <t>128-17381929518712346</t>
        </is>
      </c>
      <c r="E2219" s="16" t="inlineStr">
        <is>
          <t>Shipped</t>
        </is>
      </c>
      <c r="F2219" s="16" t="inlineStr">
        <is>
          <t>LV54W25</t>
        </is>
      </c>
      <c r="G2219" s="16" t="inlineStr">
        <is>
          <t>TIANLAI Lámpara Ventilador E27 2 en 1, Silenciosa, LED Alta Luminosidad 180°, Instalación Rápida, Ahorro Energético para Dormitorio y Interiores Pequeños</t>
        </is>
      </c>
      <c r="H2219" s="16" t="inlineStr">
        <is>
          <t>1 Pieza</t>
        </is>
      </c>
      <c r="I2219" s="16" t="n">
        <v>1</v>
      </c>
      <c r="J2219" s="17" t="n">
        <v>74.5</v>
      </c>
      <c r="K2219" s="17" t="n">
        <v>86.18000000000001</v>
      </c>
      <c r="L2219" s="17" t="n">
        <v>25.86</v>
      </c>
      <c r="M2219" s="17" t="n">
        <v>0</v>
      </c>
      <c r="N2219" s="17">
        <f>K2219*0.08+L2219*0.08</f>
        <v/>
      </c>
      <c r="O2219" s="17">
        <f>-(K2219*0.025+L2219*0.025)</f>
        <v/>
      </c>
      <c r="P2219" s="17">
        <f>32</f>
        <v/>
      </c>
      <c r="Q2219" s="17">
        <f>J2219+L2219+N2219+O2219-P2219-M2219</f>
        <v/>
      </c>
    </row>
    <row r="2220">
      <c r="A2220" s="16" t="inlineStr">
        <is>
          <t>5.22-5.28</t>
        </is>
      </c>
      <c r="B2220" s="16" t="inlineStr">
        <is>
          <t>PO-128-17820462884470884</t>
        </is>
      </c>
      <c r="C2220" s="16" t="inlineStr">
        <is>
          <t>Shipped</t>
        </is>
      </c>
      <c r="D2220" s="16" t="inlineStr">
        <is>
          <t>128-17820441912950884</t>
        </is>
      </c>
      <c r="E2220" s="16" t="inlineStr">
        <is>
          <t>Shipped</t>
        </is>
      </c>
      <c r="F2220" s="16" t="inlineStr">
        <is>
          <t>LV54W25</t>
        </is>
      </c>
      <c r="G2220" s="16" t="inlineStr">
        <is>
          <t>TIANLAI Lámpara Ventilador E27 2 en 1, Silenciosa, LED Alta Luminosidad 180°, Instalación Rápida, Ahorro Energético para Dormitorio y Interiores Pequeños</t>
        </is>
      </c>
      <c r="H2220" s="16" t="inlineStr">
        <is>
          <t>1 Pieza</t>
        </is>
      </c>
      <c r="I2220" s="16" t="n">
        <v>3</v>
      </c>
      <c r="J2220" s="17" t="n">
        <v>223.5</v>
      </c>
      <c r="K2220" s="17" t="n">
        <v>232.71</v>
      </c>
      <c r="L2220" s="17" t="n">
        <v>0</v>
      </c>
      <c r="M2220" s="17" t="n">
        <v>0</v>
      </c>
      <c r="N2220" s="17">
        <f>K2220*0.08+L2220*0.08</f>
        <v/>
      </c>
      <c r="O2220" s="17">
        <f>-(K2220*0.025+L2220*0.025)</f>
        <v/>
      </c>
      <c r="P2220" s="17">
        <f>32</f>
        <v/>
      </c>
      <c r="Q2220" s="17">
        <f>J2220+L2220+N2220+O2220-P2220-M2220</f>
        <v/>
      </c>
    </row>
    <row r="2221">
      <c r="A2221" s="16" t="inlineStr">
        <is>
          <t>5.22-5.28</t>
        </is>
      </c>
      <c r="B2221" s="16" t="inlineStr">
        <is>
          <t>PO-128-17258171418233148</t>
        </is>
      </c>
      <c r="C2221" s="16" t="inlineStr">
        <is>
          <t>Shipped</t>
        </is>
      </c>
      <c r="D2221" s="16" t="inlineStr">
        <is>
          <t>128-17258192389753148</t>
        </is>
      </c>
      <c r="E2221" s="16" t="inlineStr">
        <is>
          <t>Shipped</t>
        </is>
      </c>
      <c r="F2221" s="16" t="inlineStr">
        <is>
          <t>LV54W25</t>
        </is>
      </c>
      <c r="G2221" s="16" t="inlineStr">
        <is>
          <t>TIANLAI Lámpara Ventilador E27 2 en 1, Silenciosa, LED Alta Luminosidad 180°, Instalación Rápida, Ahorro Energético para Dormitorio y Interiores Pequeños</t>
        </is>
      </c>
      <c r="H2221" s="16" t="inlineStr">
        <is>
          <t>1 Pieza</t>
        </is>
      </c>
      <c r="I2221" s="16" t="n">
        <v>1</v>
      </c>
      <c r="J2221" s="17" t="n">
        <v>74.5</v>
      </c>
      <c r="K2221" s="17" t="n">
        <v>77.56999999999999</v>
      </c>
      <c r="L2221" s="17" t="n">
        <v>25.86</v>
      </c>
      <c r="M2221" s="17" t="n">
        <v>0</v>
      </c>
      <c r="N2221" s="17">
        <f>K2221*0.08+L2221*0.08</f>
        <v/>
      </c>
      <c r="O2221" s="17">
        <f>-(K2221*0.025+L2221*0.025)</f>
        <v/>
      </c>
      <c r="P2221" s="17">
        <f>32</f>
        <v/>
      </c>
      <c r="Q2221" s="17">
        <f>J2221+L2221+N2221+O2221-P2221-M2221</f>
        <v/>
      </c>
    </row>
    <row r="2222">
      <c r="A2222" s="16" t="inlineStr">
        <is>
          <t>5.22-5.28</t>
        </is>
      </c>
      <c r="B2222" s="16" t="inlineStr">
        <is>
          <t>PO-128-17542119112311521</t>
        </is>
      </c>
      <c r="C2222" s="16" t="inlineStr">
        <is>
          <t>Shipped</t>
        </is>
      </c>
      <c r="D2222" s="16" t="inlineStr">
        <is>
          <t>128-17542124355191521</t>
        </is>
      </c>
      <c r="E2222" s="16" t="inlineStr">
        <is>
          <t>Shipped</t>
        </is>
      </c>
      <c r="F2222" s="16" t="inlineStr">
        <is>
          <t>LV54W25</t>
        </is>
      </c>
      <c r="G2222" s="16" t="inlineStr">
        <is>
          <t>TIANLAI Lámpara Ventilador E27 2 en 1, Silenciosa, LED Alta Luminosidad 180°, Instalación Rápida, Ahorro Energético para Dormitorio y Interiores Pequeños</t>
        </is>
      </c>
      <c r="H2222" s="16" t="inlineStr">
        <is>
          <t>1 Pieza</t>
        </is>
      </c>
      <c r="I2222" s="16" t="n">
        <v>1</v>
      </c>
      <c r="J2222" s="17" t="n">
        <v>74.5</v>
      </c>
      <c r="K2222" s="17" t="n">
        <v>65.20999999999999</v>
      </c>
      <c r="L2222" s="17" t="n">
        <v>25.86</v>
      </c>
      <c r="M2222" s="17" t="n">
        <v>0</v>
      </c>
      <c r="N2222" s="17">
        <f>K2222*0.08+L2222*0.08</f>
        <v/>
      </c>
      <c r="O2222" s="17">
        <f>-(K2222*0.025+L2222*0.025)</f>
        <v/>
      </c>
      <c r="P2222" s="17">
        <f>32</f>
        <v/>
      </c>
      <c r="Q2222" s="17">
        <f>J2222+L2222+N2222+O2222-P2222-M2222</f>
        <v/>
      </c>
    </row>
    <row r="2223">
      <c r="A2223" s="16" t="inlineStr">
        <is>
          <t>5.22-5.28</t>
        </is>
      </c>
      <c r="B2223" s="16" t="inlineStr">
        <is>
          <t>PO-128-17277041695354061</t>
        </is>
      </c>
      <c r="C2223" s="16" t="inlineStr">
        <is>
          <t>Shipped</t>
        </is>
      </c>
      <c r="D2223" s="16" t="inlineStr">
        <is>
          <t>128-17277062666874061</t>
        </is>
      </c>
      <c r="E2223" s="16" t="inlineStr">
        <is>
          <t>Shipped</t>
        </is>
      </c>
      <c r="F2223" s="16" t="inlineStr">
        <is>
          <t>LV54W25</t>
        </is>
      </c>
      <c r="G2223" s="16" t="inlineStr">
        <is>
          <t>TIANLAI Lámpara Ventilador E27 2 en 1, Silenciosa, LED Alta Luminosidad 180°, Instalación Rápida, Ahorro Energético para Dormitorio y Interiores Pequeños</t>
        </is>
      </c>
      <c r="H2223" s="16" t="inlineStr">
        <is>
          <t>1 Pieza</t>
        </is>
      </c>
      <c r="I2223" s="16" t="n">
        <v>1</v>
      </c>
      <c r="J2223" s="17" t="n">
        <v>74.5</v>
      </c>
      <c r="K2223" s="17" t="n">
        <v>86.18000000000001</v>
      </c>
      <c r="L2223" s="17" t="n">
        <v>25.86</v>
      </c>
      <c r="M2223" s="17" t="n">
        <v>0</v>
      </c>
      <c r="N2223" s="17">
        <f>K2223*0.08+L2223*0.08</f>
        <v/>
      </c>
      <c r="O2223" s="17">
        <f>-(K2223*0.025+L2223*0.025)</f>
        <v/>
      </c>
      <c r="P2223" s="17">
        <f>32</f>
        <v/>
      </c>
      <c r="Q2223" s="17">
        <f>J2223+L2223+N2223+O2223-P2223-M2223</f>
        <v/>
      </c>
    </row>
    <row r="2224">
      <c r="A2224" s="16" t="inlineStr">
        <is>
          <t>5.22-5.28</t>
        </is>
      </c>
      <c r="B2224" s="16" t="inlineStr">
        <is>
          <t>PO-128-17505045750392572</t>
        </is>
      </c>
      <c r="C2224" s="16" t="inlineStr">
        <is>
          <t>Shipped</t>
        </is>
      </c>
      <c r="D2224" s="16" t="inlineStr">
        <is>
          <t>128-17505150607992572</t>
        </is>
      </c>
      <c r="E2224" s="16" t="inlineStr">
        <is>
          <t>Shipped</t>
        </is>
      </c>
      <c r="F2224" s="16" t="inlineStr">
        <is>
          <t>KTS-2031</t>
        </is>
      </c>
      <c r="G2224" s="16" t="inlineStr">
        <is>
          <t>Bocina inalámbrica de 3 pulgadas con linterna multifuncional y panel solar integrado.Altavoz Portátil con Linterna LED 4 Modos, Radio FM, Bluetooth, Carga Solar, Ideal para Apagones, Emergencias, Campo y Exteriores</t>
        </is>
      </c>
      <c r="H2224" s="16" t="inlineStr">
        <is>
          <t>NEGRO</t>
        </is>
      </c>
      <c r="I2224" s="16" t="n">
        <v>1</v>
      </c>
      <c r="J2224" s="17" t="n">
        <v>90</v>
      </c>
      <c r="K2224" s="17" t="n">
        <v>99.22</v>
      </c>
      <c r="L2224" s="17" t="n">
        <v>25.86</v>
      </c>
      <c r="M2224" s="17" t="n">
        <v>0</v>
      </c>
      <c r="N2224" s="17">
        <f>K2224*0.08+L2224*0.08</f>
        <v/>
      </c>
      <c r="O2224" s="17">
        <f>-(K2224*0.025+L2224*0.025)</f>
        <v/>
      </c>
      <c r="P2224" s="17">
        <f>32</f>
        <v/>
      </c>
      <c r="Q2224" s="17">
        <f>J2224+L2224+N2224+O2224-P2224-M2224</f>
        <v/>
      </c>
    </row>
    <row r="2225">
      <c r="A2225" s="16" t="inlineStr">
        <is>
          <t>5.22-5.28</t>
        </is>
      </c>
      <c r="B2225" s="16" t="inlineStr">
        <is>
          <t>PO-128-17373385052792335</t>
        </is>
      </c>
      <c r="C2225" s="16" t="inlineStr">
        <is>
          <t>Shipped</t>
        </is>
      </c>
      <c r="D2225" s="16" t="inlineStr">
        <is>
          <t>128-17373364081272335</t>
        </is>
      </c>
      <c r="E2225" s="16" t="inlineStr">
        <is>
          <t>Shipped</t>
        </is>
      </c>
      <c r="F2225" s="16" t="inlineStr">
        <is>
          <t>LV64W25</t>
        </is>
      </c>
      <c r="G22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25" s="16" t="inlineStr">
        <is>
          <t>Blanco</t>
        </is>
      </c>
      <c r="I2225" s="16" t="n">
        <v>1</v>
      </c>
      <c r="J2225" s="17" t="n">
        <v>125</v>
      </c>
      <c r="K2225" s="17" t="n">
        <v>143.26</v>
      </c>
      <c r="L2225" s="17" t="n">
        <v>25.86</v>
      </c>
      <c r="M2225" s="17" t="n">
        <v>0</v>
      </c>
      <c r="N2225" s="17">
        <f>K2225*0.08+L2225*0.08</f>
        <v/>
      </c>
      <c r="O2225" s="17">
        <f>-(K2225*0.025+L2225*0.025)</f>
        <v/>
      </c>
      <c r="P2225" s="17">
        <f>32</f>
        <v/>
      </c>
      <c r="Q2225" s="17">
        <f>J2225+L2225+N2225+O2225-P2225-M2225</f>
        <v/>
      </c>
    </row>
    <row r="2226">
      <c r="A2226" s="16" t="inlineStr">
        <is>
          <t>5.22-5.28</t>
        </is>
      </c>
      <c r="B2226" s="16" t="inlineStr">
        <is>
          <t>PO-128-17200794491513554</t>
        </is>
      </c>
      <c r="C2226" s="16" t="inlineStr">
        <is>
          <t>Shipped</t>
        </is>
      </c>
      <c r="D2226" s="16" t="inlineStr">
        <is>
          <t>128-17200726334073554</t>
        </is>
      </c>
      <c r="E2226" s="16" t="inlineStr">
        <is>
          <t>Shipped</t>
        </is>
      </c>
      <c r="F2226" s="16" t="inlineStr">
        <is>
          <t>LV64W25</t>
        </is>
      </c>
      <c r="G22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26" s="16" t="inlineStr">
        <is>
          <t>Blanco</t>
        </is>
      </c>
      <c r="I2226" s="16" t="n">
        <v>1</v>
      </c>
      <c r="J2226" s="17" t="n">
        <v>125</v>
      </c>
      <c r="K2226" s="17" t="n">
        <v>128.94</v>
      </c>
      <c r="L2226" s="17" t="n">
        <v>25.86</v>
      </c>
      <c r="M2226" s="17" t="n">
        <v>0</v>
      </c>
      <c r="N2226" s="17">
        <f>K2226*0.08+L2226*0.08</f>
        <v/>
      </c>
      <c r="O2226" s="17">
        <f>-(K2226*0.025+L2226*0.025)</f>
        <v/>
      </c>
      <c r="P2226" s="17">
        <f>32</f>
        <v/>
      </c>
      <c r="Q2226" s="17">
        <f>J2226+L2226+N2226+O2226-P2226-M2226</f>
        <v/>
      </c>
    </row>
    <row r="2227">
      <c r="A2227" s="16" t="inlineStr">
        <is>
          <t>5.22-5.28</t>
        </is>
      </c>
      <c r="B2227" s="16" t="inlineStr">
        <is>
          <t>PO-128-17796342579830964</t>
        </is>
      </c>
      <c r="C2227" s="16" t="inlineStr">
        <is>
          <t>Shipped</t>
        </is>
      </c>
      <c r="D2227" s="16" t="inlineStr">
        <is>
          <t>128-17796384522870964</t>
        </is>
      </c>
      <c r="E2227" s="16" t="inlineStr">
        <is>
          <t>Shipped</t>
        </is>
      </c>
      <c r="F2227" s="16" t="inlineStr">
        <is>
          <t>LV54W25</t>
        </is>
      </c>
      <c r="G2227" s="16" t="inlineStr">
        <is>
          <t>TIANLAI Lámpara Ventilador E27 2 en 1, Silenciosa, LED Alta Luminosidad 180°, Instalación Rápida, Ahorro Energético para Dormitorio y Interiores Pequeños</t>
        </is>
      </c>
      <c r="H2227" s="16" t="inlineStr">
        <is>
          <t>1 Pieza</t>
        </is>
      </c>
      <c r="I2227" s="16" t="n">
        <v>2</v>
      </c>
      <c r="J2227" s="17" t="n">
        <v>149</v>
      </c>
      <c r="K2227" s="17" t="n">
        <v>153.42</v>
      </c>
      <c r="L2227" s="17" t="n">
        <v>25.86</v>
      </c>
      <c r="M2227" s="17" t="n">
        <v>0</v>
      </c>
      <c r="N2227" s="17">
        <f>K2227*0.08+L2227*0.08</f>
        <v/>
      </c>
      <c r="O2227" s="17">
        <f>-(K2227*0.025+L2227*0.025)</f>
        <v/>
      </c>
      <c r="P2227" s="17">
        <f>32</f>
        <v/>
      </c>
      <c r="Q2227" s="17">
        <f>J2227+L2227+N2227+O2227-P2227-M2227</f>
        <v/>
      </c>
    </row>
    <row r="2228">
      <c r="A2228" s="16" t="inlineStr">
        <is>
          <t>5.22-5.28</t>
        </is>
      </c>
      <c r="B2228" s="16" t="inlineStr">
        <is>
          <t>PO-128-17362152919672464</t>
        </is>
      </c>
      <c r="C2228" s="16" t="inlineStr">
        <is>
          <t>Shipped</t>
        </is>
      </c>
      <c r="D2228" s="16" t="inlineStr">
        <is>
          <t>128-17362194862712464</t>
        </is>
      </c>
      <c r="E2228" s="16" t="inlineStr">
        <is>
          <t>Shipped</t>
        </is>
      </c>
      <c r="F2228" s="16" t="inlineStr">
        <is>
          <t>LV64W25</t>
        </is>
      </c>
      <c r="G22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28" s="16" t="inlineStr">
        <is>
          <t>Blanco</t>
        </is>
      </c>
      <c r="I2228" s="16" t="n">
        <v>3</v>
      </c>
      <c r="J2228" s="17" t="n">
        <v>375</v>
      </c>
      <c r="K2228" s="17" t="n">
        <v>429.78</v>
      </c>
      <c r="L2228" s="17" t="n">
        <v>0</v>
      </c>
      <c r="M2228" s="17" t="n">
        <v>0</v>
      </c>
      <c r="N2228" s="17">
        <f>K2228*0.08+L2228*0.08</f>
        <v/>
      </c>
      <c r="O2228" s="17">
        <f>-(K2228*0.025+L2228*0.025)</f>
        <v/>
      </c>
      <c r="P2228" s="17">
        <f>32</f>
        <v/>
      </c>
      <c r="Q2228" s="17">
        <f>J2228+L2228+N2228+O2228-P2228-M2228</f>
        <v/>
      </c>
    </row>
    <row r="2229">
      <c r="A2229" s="16" t="inlineStr">
        <is>
          <t>5.22-5.28</t>
        </is>
      </c>
      <c r="B2229" s="16" t="inlineStr">
        <is>
          <t>PO-128-17351578829433681</t>
        </is>
      </c>
      <c r="C2229" s="16" t="inlineStr">
        <is>
          <t>Shipped</t>
        </is>
      </c>
      <c r="D2229" s="16" t="inlineStr">
        <is>
          <t>128-17351594558073681</t>
        </is>
      </c>
      <c r="E2229" s="16" t="inlineStr">
        <is>
          <t>Shipped</t>
        </is>
      </c>
      <c r="F2229" s="16" t="inlineStr">
        <is>
          <t>LV64W25</t>
        </is>
      </c>
      <c r="G22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29" s="16" t="inlineStr">
        <is>
          <t>Blanco</t>
        </is>
      </c>
      <c r="I2229" s="16" t="n">
        <v>3</v>
      </c>
      <c r="J2229" s="17" t="n">
        <v>375</v>
      </c>
      <c r="K2229" s="17" t="n">
        <v>271.5</v>
      </c>
      <c r="L2229" s="17" t="n">
        <v>0</v>
      </c>
      <c r="M2229" s="17" t="n">
        <v>0</v>
      </c>
      <c r="N2229" s="17">
        <f>K2229*0.08+L2229*0.08</f>
        <v/>
      </c>
      <c r="O2229" s="17">
        <f>-(K2229*0.025+L2229*0.025)</f>
        <v/>
      </c>
      <c r="P2229" s="17">
        <f>32</f>
        <v/>
      </c>
      <c r="Q2229" s="17">
        <f>J2229+L2229+N2229+O2229-P2229-M2229</f>
        <v/>
      </c>
    </row>
    <row r="2230">
      <c r="A2230" s="16" t="inlineStr">
        <is>
          <t>5.22-5.28</t>
        </is>
      </c>
      <c r="B2230" s="16" t="inlineStr">
        <is>
          <t>PO-128-17639916175991832</t>
        </is>
      </c>
      <c r="C2230" s="16" t="inlineStr">
        <is>
          <t>Shipped</t>
        </is>
      </c>
      <c r="D2230" s="16" t="inlineStr">
        <is>
          <t>128-17639926661751832</t>
        </is>
      </c>
      <c r="E2230" s="16" t="inlineStr">
        <is>
          <t>Shipped</t>
        </is>
      </c>
      <c r="F2230" s="16" t="inlineStr">
        <is>
          <t>LV54W25</t>
        </is>
      </c>
      <c r="G2230" s="16" t="inlineStr">
        <is>
          <t>TIANLAI Lámpara Ventilador E27 2 en 1, Silenciosa, LED Alta Luminosidad 180°, Instalación Rápida, Ahorro Energético para Dormitorio y Interiores Pequeños</t>
        </is>
      </c>
      <c r="H2230" s="16" t="inlineStr">
        <is>
          <t>1 Pieza</t>
        </is>
      </c>
      <c r="I2230" s="16" t="n">
        <v>2</v>
      </c>
      <c r="J2230" s="17" t="n">
        <v>149</v>
      </c>
      <c r="K2230" s="17" t="n">
        <v>153.42</v>
      </c>
      <c r="L2230" s="17" t="n">
        <v>25.86</v>
      </c>
      <c r="M2230" s="17" t="n">
        <v>0</v>
      </c>
      <c r="N2230" s="17">
        <f>K2230*0.08+L2230*0.08</f>
        <v/>
      </c>
      <c r="O2230" s="17">
        <f>-(K2230*0.025+L2230*0.025)</f>
        <v/>
      </c>
      <c r="P2230" s="17">
        <f>32</f>
        <v/>
      </c>
      <c r="Q2230" s="17">
        <f>J2230+L2230+N2230+O2230-P2230-M2230</f>
        <v/>
      </c>
    </row>
    <row r="2231">
      <c r="A2231" s="16" t="inlineStr">
        <is>
          <t>5.22-5.28</t>
        </is>
      </c>
      <c r="B2231" s="16" t="inlineStr">
        <is>
          <t>PO-128-17866569498230611</t>
        </is>
      </c>
      <c r="C2231" s="16" t="inlineStr">
        <is>
          <t>Shipped</t>
        </is>
      </c>
      <c r="D2231" s="16" t="inlineStr">
        <is>
          <t>128-17866616684150611</t>
        </is>
      </c>
      <c r="E2231" s="16" t="inlineStr">
        <is>
          <t>Shipped</t>
        </is>
      </c>
      <c r="F2231" s="16" t="inlineStr">
        <is>
          <t>SB428T</t>
        </is>
      </c>
      <c r="G2231" s="16" t="inlineStr">
        <is>
          <t>LINK BITS Bocina Portátil con 2 Altavoces de 4" (5W×2), Sonido Potente, Luces LED, Bluetooth, USB/TF/FM - Ideal para Reuniones, Fiestas y Picnics en México</t>
        </is>
      </c>
      <c r="H2231" s="16" t="inlineStr">
        <is>
          <t>SB428T</t>
        </is>
      </c>
      <c r="I2231" s="16" t="n">
        <v>1</v>
      </c>
      <c r="J2231" s="17" t="n">
        <v>98</v>
      </c>
      <c r="K2231" s="17" t="n">
        <v>116.49</v>
      </c>
      <c r="L2231" s="17" t="n">
        <v>25.86</v>
      </c>
      <c r="M2231" s="17" t="n">
        <v>0</v>
      </c>
      <c r="N2231" s="17">
        <f>K2231*0.08+L2231*0.08</f>
        <v/>
      </c>
      <c r="O2231" s="17">
        <f>-(K2231*0.025+L2231*0.025)</f>
        <v/>
      </c>
      <c r="P2231" s="17">
        <f>32</f>
        <v/>
      </c>
      <c r="Q2231" s="17">
        <f>J2231+L2231+N2231+O2231-P2231-M2231</f>
        <v/>
      </c>
    </row>
    <row r="2232">
      <c r="A2232" s="16" t="inlineStr">
        <is>
          <t>5.22-5.28</t>
        </is>
      </c>
      <c r="B2232" s="16" t="inlineStr">
        <is>
          <t>PO-128-17183696266873464</t>
        </is>
      </c>
      <c r="C2232" s="16" t="inlineStr">
        <is>
          <t>Shipped</t>
        </is>
      </c>
      <c r="D2232" s="16" t="inlineStr">
        <is>
          <t>128-17183654323833464</t>
        </is>
      </c>
      <c r="E2232" s="16" t="inlineStr">
        <is>
          <t>Shipped</t>
        </is>
      </c>
      <c r="F2232" s="16" t="inlineStr">
        <is>
          <t>KTS-2031</t>
        </is>
      </c>
      <c r="G2232" s="16" t="inlineStr">
        <is>
          <t>Bocina inalámbrica de 3 pulgadas con linterna multifuncional y panel solar integrado.Altavoz Portátil con Linterna LED 4 Modos, Radio FM, Bluetooth, Carga Solar, Ideal para Apagones, Emergencias, Campo y Exteriores</t>
        </is>
      </c>
      <c r="H2232" s="16" t="inlineStr">
        <is>
          <t>NEGRO</t>
        </is>
      </c>
      <c r="I2232" s="16" t="n">
        <v>1</v>
      </c>
      <c r="J2232" s="17" t="n">
        <v>90</v>
      </c>
      <c r="K2232" s="17" t="n">
        <v>99.22</v>
      </c>
      <c r="L2232" s="17" t="n">
        <v>25.86</v>
      </c>
      <c r="M2232" s="17" t="n">
        <v>0</v>
      </c>
      <c r="N2232" s="17">
        <f>K2232*0.08+L2232*0.08</f>
        <v/>
      </c>
      <c r="O2232" s="17">
        <f>-(K2232*0.025+L2232*0.025)</f>
        <v/>
      </c>
      <c r="P2232" s="17">
        <f>32</f>
        <v/>
      </c>
      <c r="Q2232" s="17">
        <f>J2232+L2232+N2232+O2232-P2232-M2232</f>
        <v/>
      </c>
    </row>
    <row r="2233">
      <c r="A2233" s="16" t="inlineStr">
        <is>
          <t>5.22-5.28</t>
        </is>
      </c>
      <c r="B2233" s="16" t="inlineStr">
        <is>
          <t>PO-128-17653786404471686</t>
        </is>
      </c>
      <c r="C2233" s="16" t="inlineStr">
        <is>
          <t>Shipped</t>
        </is>
      </c>
      <c r="D2233" s="16" t="inlineStr">
        <is>
          <t>128-17653789025911686</t>
        </is>
      </c>
      <c r="E2233" s="16" t="inlineStr">
        <is>
          <t>Shipped</t>
        </is>
      </c>
      <c r="F2233" s="16" t="inlineStr">
        <is>
          <t>TLCD02-8P-V</t>
        </is>
      </c>
      <c r="G223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233" s="16" t="inlineStr">
        <is>
          <t>VERDE/pantalla de 8.5 pulgadas</t>
        </is>
      </c>
      <c r="I2233" s="16" t="n">
        <v>1</v>
      </c>
      <c r="J2233" s="17" t="n">
        <v>25</v>
      </c>
      <c r="K2233" s="17" t="n">
        <v>28.75</v>
      </c>
      <c r="L2233" s="17" t="n">
        <v>12.78</v>
      </c>
      <c r="M2233" s="17" t="n">
        <v>0</v>
      </c>
      <c r="N2233" s="17">
        <f>K2233*0.08+L2233*0.08</f>
        <v/>
      </c>
      <c r="O2233" s="17">
        <f>-(K2233*0.025+L2233*0.025)</f>
        <v/>
      </c>
      <c r="P2233" s="17">
        <f>32</f>
        <v/>
      </c>
      <c r="Q2233" s="17">
        <f>J2233+L2233+N2233+O2233-P2233-M2233</f>
        <v/>
      </c>
    </row>
    <row r="2234">
      <c r="A2234" s="16" t="inlineStr">
        <is>
          <t>5.22-5.28</t>
        </is>
      </c>
      <c r="B2234" s="16" t="inlineStr">
        <is>
          <t>PO-128-17653786404471686</t>
        </is>
      </c>
      <c r="C2234" s="16" t="inlineStr">
        <is>
          <t>Shipped</t>
        </is>
      </c>
      <c r="D2234" s="16" t="inlineStr">
        <is>
          <t>128-17653794268791686</t>
        </is>
      </c>
      <c r="E2234" s="16" t="inlineStr">
        <is>
          <t>Shipped</t>
        </is>
      </c>
      <c r="F2234" s="16" t="inlineStr">
        <is>
          <t>TLCD02-8P-N</t>
        </is>
      </c>
      <c r="G223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234" s="16" t="inlineStr">
        <is>
          <t>NEGRO/pantalla de 8.5 pulgadas</t>
        </is>
      </c>
      <c r="I2234" s="16" t="n">
        <v>1</v>
      </c>
      <c r="J2234" s="17" t="n">
        <v>25</v>
      </c>
      <c r="K2234" s="17" t="n">
        <v>29.45</v>
      </c>
      <c r="L2234" s="17" t="n">
        <v>13.09</v>
      </c>
      <c r="M2234" s="17" t="n">
        <v>0</v>
      </c>
      <c r="N2234" s="17">
        <f>K2234*0.08+L2234*0.08</f>
        <v/>
      </c>
      <c r="O2234" s="17">
        <f>-(K2234*0.025+L2234*0.025)</f>
        <v/>
      </c>
      <c r="P2234" s="17">
        <f>32</f>
        <v/>
      </c>
      <c r="Q2234" s="17">
        <f>J2234+L2234+N2234+O2234-P2234-M2234</f>
        <v/>
      </c>
    </row>
    <row r="2235">
      <c r="A2235" s="16" t="inlineStr">
        <is>
          <t>5.22-5.28</t>
        </is>
      </c>
      <c r="B2235" s="16" t="inlineStr">
        <is>
          <t>PO-128-17478188836472924</t>
        </is>
      </c>
      <c r="C2235" s="16" t="inlineStr">
        <is>
          <t>Shipped</t>
        </is>
      </c>
      <c r="D2235" s="16" t="inlineStr">
        <is>
          <t>128-17478220293752924</t>
        </is>
      </c>
      <c r="E2235" s="16" t="inlineStr">
        <is>
          <t>Shipped</t>
        </is>
      </c>
      <c r="F2235" s="16" t="inlineStr">
        <is>
          <t>TL1455N20B</t>
        </is>
      </c>
      <c r="G2235" s="16" t="inlineStr">
        <is>
          <t>LINK BITS Soporte para TV 14 A 55 Pulgadas, Base para TV Pantalla Articulado Inclinable y Giratorio, MAX VESA 400×400 mm, Soporta hasta 18kg, adaptarse a la mayoría de los televisores de 14 Pulgadas/20 Pulgadas/32 Pulgadas/42 Pulgadas/55 pulgadas</t>
        </is>
      </c>
      <c r="H2235" s="16" t="inlineStr">
        <is>
          <t>TL1455N20B</t>
        </is>
      </c>
      <c r="I2235" s="16" t="n">
        <v>1</v>
      </c>
      <c r="J2235" s="17" t="n">
        <v>75</v>
      </c>
      <c r="K2235" s="17" t="n">
        <v>96.06</v>
      </c>
      <c r="L2235" s="17" t="n">
        <v>25.86</v>
      </c>
      <c r="M2235" s="17" t="n">
        <v>0</v>
      </c>
      <c r="N2235" s="17">
        <f>K2235*0.08+L2235*0.08</f>
        <v/>
      </c>
      <c r="O2235" s="17">
        <f>-(K2235*0.025+L2235*0.025)</f>
        <v/>
      </c>
      <c r="P2235" s="17">
        <f>32</f>
        <v/>
      </c>
      <c r="Q2235" s="17">
        <f>J2235+L2235+N2235+O2235-P2235-M2235</f>
        <v/>
      </c>
    </row>
    <row r="2236">
      <c r="A2236" s="16" t="inlineStr">
        <is>
          <t>5.22-5.28</t>
        </is>
      </c>
      <c r="B2236" s="16" t="inlineStr">
        <is>
          <t>PO-128-17216751703673397</t>
        </is>
      </c>
      <c r="C2236" s="16" t="inlineStr">
        <is>
          <t>Shipped</t>
        </is>
      </c>
      <c r="D2236" s="16" t="inlineStr">
        <is>
          <t>128-17216709760633397</t>
        </is>
      </c>
      <c r="E2236" s="16" t="inlineStr">
        <is>
          <t>Shipped</t>
        </is>
      </c>
      <c r="F2236" s="16" t="inlineStr">
        <is>
          <t>LV54W25</t>
        </is>
      </c>
      <c r="G2236" s="16" t="inlineStr">
        <is>
          <t>TIANLAI Lámpara Ventilador E27 2 en 1, Silenciosa, LED Alta Luminosidad 180°, Instalación Rápida, Ahorro Energético para Dormitorio y Interiores Pequeños</t>
        </is>
      </c>
      <c r="H2236" s="16" t="inlineStr">
        <is>
          <t>1 Pieza</t>
        </is>
      </c>
      <c r="I2236" s="16" t="n">
        <v>1</v>
      </c>
      <c r="J2236" s="17" t="n">
        <v>74.5</v>
      </c>
      <c r="K2236" s="17" t="n">
        <v>68.95</v>
      </c>
      <c r="L2236" s="17" t="n">
        <v>25.86</v>
      </c>
      <c r="M2236" s="17" t="n">
        <v>0</v>
      </c>
      <c r="N2236" s="17">
        <f>K2236*0.08+L2236*0.08</f>
        <v/>
      </c>
      <c r="O2236" s="17">
        <f>-(K2236*0.025+L2236*0.025)</f>
        <v/>
      </c>
      <c r="P2236" s="17">
        <f>32</f>
        <v/>
      </c>
      <c r="Q2236" s="17">
        <f>J2236+L2236+N2236+O2236-P2236-M2236</f>
        <v/>
      </c>
    </row>
    <row r="2237">
      <c r="A2237" s="16" t="inlineStr">
        <is>
          <t>5.22-5.28</t>
        </is>
      </c>
      <c r="B2237" s="16" t="inlineStr">
        <is>
          <t>PO-128-17483455150712703</t>
        </is>
      </c>
      <c r="C2237" s="16" t="inlineStr">
        <is>
          <t>Shipped</t>
        </is>
      </c>
      <c r="D2237" s="16" t="inlineStr">
        <is>
          <t>128-17483409275512703</t>
        </is>
      </c>
      <c r="E2237" s="16" t="inlineStr">
        <is>
          <t>Shipped</t>
        </is>
      </c>
      <c r="F2237" s="16" t="inlineStr">
        <is>
          <t>KTS-2031</t>
        </is>
      </c>
      <c r="G2237" s="16" t="inlineStr">
        <is>
          <t>Bocina inalámbrica de 3 pulgadas con linterna multifuncional y panel solar integrado.Altavoz Portátil con Linterna LED 4 Modos, Radio FM, Bluetooth, Carga Solar, Ideal para Apagones, Emergencias, Campo y Exteriores</t>
        </is>
      </c>
      <c r="H2237" s="16" t="inlineStr">
        <is>
          <t>NEGRO</t>
        </is>
      </c>
      <c r="I2237" s="16" t="n">
        <v>1</v>
      </c>
      <c r="J2237" s="17" t="n">
        <v>90</v>
      </c>
      <c r="K2237" s="17" t="n">
        <v>99.22</v>
      </c>
      <c r="L2237" s="17" t="n">
        <v>25.86</v>
      </c>
      <c r="M2237" s="17" t="n">
        <v>0</v>
      </c>
      <c r="N2237" s="17">
        <f>K2237*0.08+L2237*0.08</f>
        <v/>
      </c>
      <c r="O2237" s="17">
        <f>-(K2237*0.025+L2237*0.025)</f>
        <v/>
      </c>
      <c r="P2237" s="17">
        <f>32</f>
        <v/>
      </c>
      <c r="Q2237" s="17">
        <f>J2237+L2237+N2237+O2237-P2237-M2237</f>
        <v/>
      </c>
    </row>
    <row r="2238">
      <c r="A2238" s="16" t="inlineStr">
        <is>
          <t>5.22-5.28</t>
        </is>
      </c>
      <c r="B2238" s="16" t="inlineStr">
        <is>
          <t>PO-128-17738995861110154</t>
        </is>
      </c>
      <c r="C2238" s="16" t="inlineStr">
        <is>
          <t>Shipped</t>
        </is>
      </c>
      <c r="D2238" s="16" t="inlineStr">
        <is>
          <t>128-17739050911350154</t>
        </is>
      </c>
      <c r="E2238" s="16" t="inlineStr">
        <is>
          <t>Shipped</t>
        </is>
      </c>
      <c r="F2238" s="16" t="inlineStr">
        <is>
          <t>LV54W25</t>
        </is>
      </c>
      <c r="G2238" s="16" t="inlineStr">
        <is>
          <t>TIANLAI Lámpara Ventilador E27 2 en 1, Silenciosa, LED Alta Luminosidad 180°, Instalación Rápida, Ahorro Energético para Dormitorio y Interiores Pequeños</t>
        </is>
      </c>
      <c r="H2238" s="16" t="inlineStr">
        <is>
          <t>1 Pieza</t>
        </is>
      </c>
      <c r="I2238" s="16" t="n">
        <v>1</v>
      </c>
      <c r="J2238" s="17" t="n">
        <v>74.5</v>
      </c>
      <c r="K2238" s="17" t="n">
        <v>77.56999999999999</v>
      </c>
      <c r="L2238" s="17" t="n">
        <v>25.86</v>
      </c>
      <c r="M2238" s="17" t="n">
        <v>0</v>
      </c>
      <c r="N2238" s="17">
        <f>K2238*0.08+L2238*0.08</f>
        <v/>
      </c>
      <c r="O2238" s="17">
        <f>-(K2238*0.025+L2238*0.025)</f>
        <v/>
      </c>
      <c r="P2238" s="17">
        <f>32</f>
        <v/>
      </c>
      <c r="Q2238" s="17">
        <f>J2238+L2238+N2238+O2238-P2238-M2238</f>
        <v/>
      </c>
    </row>
    <row r="2239">
      <c r="A2239" s="16" t="inlineStr">
        <is>
          <t>5.22-5.28</t>
        </is>
      </c>
      <c r="B2239" s="16" t="inlineStr">
        <is>
          <t>PO-128-17606543125111137</t>
        </is>
      </c>
      <c r="C2239" s="16" t="inlineStr">
        <is>
          <t>Shipped</t>
        </is>
      </c>
      <c r="D2239" s="16" t="inlineStr">
        <is>
          <t>128-17606548367991137</t>
        </is>
      </c>
      <c r="E2239" s="16" t="inlineStr">
        <is>
          <t>Shipped</t>
        </is>
      </c>
      <c r="F2239" s="16" t="inlineStr">
        <is>
          <t>KTS-2031</t>
        </is>
      </c>
      <c r="G2239" s="16" t="inlineStr">
        <is>
          <t>Bocina inalámbrica de 3 pulgadas con linterna multifuncional y panel solar integrado.Altavoz Portátil con Linterna LED 4 Modos, Radio FM, Bluetooth, Carga Solar, Ideal para Apagones, Emergencias, Campo y Exteriores</t>
        </is>
      </c>
      <c r="H2239" s="16" t="inlineStr">
        <is>
          <t>NEGRO</t>
        </is>
      </c>
      <c r="I2239" s="16" t="n">
        <v>1</v>
      </c>
      <c r="J2239" s="17" t="n">
        <v>90</v>
      </c>
      <c r="K2239" s="17" t="n">
        <v>79.38</v>
      </c>
      <c r="L2239" s="17" t="n">
        <v>25.86</v>
      </c>
      <c r="M2239" s="17" t="n">
        <v>0</v>
      </c>
      <c r="N2239" s="17">
        <f>K2239*0.08+L2239*0.08</f>
        <v/>
      </c>
      <c r="O2239" s="17">
        <f>-(K2239*0.025+L2239*0.025)</f>
        <v/>
      </c>
      <c r="P2239" s="17">
        <f>32</f>
        <v/>
      </c>
      <c r="Q2239" s="17">
        <f>J2239+L2239+N2239+O2239-P2239-M2239</f>
        <v/>
      </c>
    </row>
    <row r="2240">
      <c r="A2240" s="16" t="inlineStr">
        <is>
          <t>5.22-5.28</t>
        </is>
      </c>
      <c r="B2240" s="16" t="inlineStr">
        <is>
          <t>PO-128-17466054328952871</t>
        </is>
      </c>
      <c r="C2240" s="16" t="inlineStr">
        <is>
          <t>Shipped</t>
        </is>
      </c>
      <c r="D2240" s="16" t="inlineStr">
        <is>
          <t>128-17466012385912871</t>
        </is>
      </c>
      <c r="E2240" s="16" t="inlineStr">
        <is>
          <t>Shipped</t>
        </is>
      </c>
      <c r="F2240" s="16" t="inlineStr">
        <is>
          <t>LV54W25</t>
        </is>
      </c>
      <c r="G2240" s="16" t="inlineStr">
        <is>
          <t>TIANLAI Lámpara Ventilador E27 2 en 1, Silenciosa, LED Alta Luminosidad 180°, Instalación Rápida, Ahorro Energético para Dormitorio y Interiores Pequeños</t>
        </is>
      </c>
      <c r="H2240" s="16" t="inlineStr">
        <is>
          <t>1 Pieza</t>
        </is>
      </c>
      <c r="I2240" s="16" t="n">
        <v>3</v>
      </c>
      <c r="J2240" s="17" t="n">
        <v>223.5</v>
      </c>
      <c r="K2240" s="17" t="n">
        <v>189.61</v>
      </c>
      <c r="L2240" s="17" t="n">
        <v>0</v>
      </c>
      <c r="M2240" s="17" t="n">
        <v>0</v>
      </c>
      <c r="N2240" s="17">
        <f>K2240*0.08+L2240*0.08</f>
        <v/>
      </c>
      <c r="O2240" s="17">
        <f>-(K2240*0.025+L2240*0.025)</f>
        <v/>
      </c>
      <c r="P2240" s="17">
        <f>32</f>
        <v/>
      </c>
      <c r="Q2240" s="17">
        <f>J2240+L2240+N2240+O2240-P2240-M2240</f>
        <v/>
      </c>
    </row>
    <row r="2241">
      <c r="A2241" s="16" t="inlineStr">
        <is>
          <t>5.22-5.28</t>
        </is>
      </c>
      <c r="B2241" s="16" t="inlineStr">
        <is>
          <t>PO-128-06572208502391179</t>
        </is>
      </c>
      <c r="C2241" s="16" t="inlineStr">
        <is>
          <t>Shipped</t>
        </is>
      </c>
      <c r="D2241" s="16" t="inlineStr">
        <is>
          <t>128-06572166559351179</t>
        </is>
      </c>
      <c r="E2241" s="16" t="inlineStr">
        <is>
          <t>Shipped</t>
        </is>
      </c>
      <c r="F2241" s="16" t="inlineStr">
        <is>
          <t>LV54W25</t>
        </is>
      </c>
      <c r="G2241" s="16" t="inlineStr">
        <is>
          <t>TIANLAI Lámpara Ventilador E27 2 en 1, Silenciosa, LED Alta Luminosidad 180°, Instalación Rápida, Ahorro Energético para Dormitorio y Interiores Pequeños</t>
        </is>
      </c>
      <c r="H2241" s="16" t="inlineStr">
        <is>
          <t>1 Pieza</t>
        </is>
      </c>
      <c r="I2241" s="16" t="n">
        <v>1</v>
      </c>
      <c r="J2241" s="17" t="n">
        <v>74.5</v>
      </c>
      <c r="K2241" s="17" t="n">
        <v>77.56999999999999</v>
      </c>
      <c r="L2241" s="17" t="n">
        <v>25.86</v>
      </c>
      <c r="M2241" s="17" t="n">
        <v>0</v>
      </c>
      <c r="N2241" s="17">
        <f>K2241*0.08+L2241*0.08</f>
        <v/>
      </c>
      <c r="O2241" s="17">
        <f>-(K2241*0.025+L2241*0.025)</f>
        <v/>
      </c>
      <c r="P2241" s="17">
        <f>32</f>
        <v/>
      </c>
      <c r="Q2241" s="17">
        <f>J2241+L2241+N2241+O2241-P2241-M2241</f>
        <v/>
      </c>
    </row>
    <row r="2242">
      <c r="A2242" s="16" t="inlineStr">
        <is>
          <t>5.22-5.28</t>
        </is>
      </c>
      <c r="B2242" s="16" t="inlineStr">
        <is>
          <t>PO-128-06317575271033721</t>
        </is>
      </c>
      <c r="C2242" s="16" t="inlineStr">
        <is>
          <t>Shipped</t>
        </is>
      </c>
      <c r="D2242" s="16" t="inlineStr">
        <is>
          <t>128-06317596242553721</t>
        </is>
      </c>
      <c r="E2242" s="16" t="inlineStr">
        <is>
          <t>Shipped</t>
        </is>
      </c>
      <c r="F2242" s="16" t="inlineStr">
        <is>
          <t>KTS-2031</t>
        </is>
      </c>
      <c r="G2242" s="16" t="inlineStr">
        <is>
          <t>Bocina inalámbrica de 3 pulgadas con linterna multifuncional y panel solar integrado.Altavoz Portátil con Linterna LED 4 Modos, Radio FM, Bluetooth, Carga Solar, Ideal para Apagones, Emergencias, Campo y Exteriores</t>
        </is>
      </c>
      <c r="H2242" s="16" t="inlineStr">
        <is>
          <t>NEGRO</t>
        </is>
      </c>
      <c r="I2242" s="16" t="n">
        <v>3</v>
      </c>
      <c r="J2242" s="17" t="n">
        <v>270</v>
      </c>
      <c r="K2242" s="17" t="n">
        <v>297.66</v>
      </c>
      <c r="L2242" s="17" t="n">
        <v>0</v>
      </c>
      <c r="M2242" s="17" t="n">
        <v>0</v>
      </c>
      <c r="N2242" s="17">
        <f>K2242*0.08+L2242*0.08</f>
        <v/>
      </c>
      <c r="O2242" s="17">
        <f>-(K2242*0.025+L2242*0.025)</f>
        <v/>
      </c>
      <c r="P2242" s="17">
        <f>32</f>
        <v/>
      </c>
      <c r="Q2242" s="17">
        <f>J2242+L2242+N2242+O2242-P2242-M2242</f>
        <v/>
      </c>
    </row>
    <row r="2243">
      <c r="A2243" s="16" t="inlineStr">
        <is>
          <t>5.22-5.28</t>
        </is>
      </c>
      <c r="B2243" s="16" t="inlineStr">
        <is>
          <t>PO-128-06829995751030667</t>
        </is>
      </c>
      <c r="C2243" s="16" t="inlineStr">
        <is>
          <t>Shipped</t>
        </is>
      </c>
      <c r="D2243" s="16" t="inlineStr">
        <is>
          <t>128-06829953807990667</t>
        </is>
      </c>
      <c r="E2243" s="16" t="inlineStr">
        <is>
          <t>Shipped</t>
        </is>
      </c>
      <c r="F2243" s="16" t="inlineStr">
        <is>
          <t>LV54W25</t>
        </is>
      </c>
      <c r="G2243" s="16" t="inlineStr">
        <is>
          <t>TIANLAI Lámpara Ventilador E27 2 en 1, Silenciosa, LED Alta Luminosidad 180°, Instalación Rápida, Ahorro Energético para Dormitorio y Interiores Pequeños</t>
        </is>
      </c>
      <c r="H2243" s="16" t="inlineStr">
        <is>
          <t>1 Pieza</t>
        </is>
      </c>
      <c r="I2243" s="16" t="n">
        <v>2</v>
      </c>
      <c r="J2243" s="17" t="n">
        <v>149</v>
      </c>
      <c r="K2243" s="17" t="n">
        <v>155.14</v>
      </c>
      <c r="L2243" s="17" t="n">
        <v>25.86</v>
      </c>
      <c r="M2243" s="17" t="n">
        <v>0</v>
      </c>
      <c r="N2243" s="17">
        <f>K2243*0.08+L2243*0.08</f>
        <v/>
      </c>
      <c r="O2243" s="17">
        <f>-(K2243*0.025+L2243*0.025)</f>
        <v/>
      </c>
      <c r="P2243" s="17">
        <f>32</f>
        <v/>
      </c>
      <c r="Q2243" s="17">
        <f>J2243+L2243+N2243+O2243-P2243-M2243</f>
        <v/>
      </c>
    </row>
    <row r="2244">
      <c r="A2244" s="16" t="inlineStr">
        <is>
          <t>5.22-5.28</t>
        </is>
      </c>
      <c r="B2244" s="16" t="inlineStr">
        <is>
          <t>PO-128-06327896325753787</t>
        </is>
      </c>
      <c r="C2244" s="16" t="inlineStr">
        <is>
          <t>Shipped</t>
        </is>
      </c>
      <c r="D2244" s="16" t="inlineStr">
        <is>
          <t>128-06327885839993787</t>
        </is>
      </c>
      <c r="E2244" s="16" t="inlineStr">
        <is>
          <t>Shipped</t>
        </is>
      </c>
      <c r="F2244" s="16" t="inlineStr">
        <is>
          <t>LV54W25</t>
        </is>
      </c>
      <c r="G2244" s="16" t="inlineStr">
        <is>
          <t>TIANLAI Lámpara Ventilador E27 2 en 1, Silenciosa, LED Alta Luminosidad 180°, Instalación Rápida, Ahorro Energético para Dormitorio y Interiores Pequeños</t>
        </is>
      </c>
      <c r="H2244" s="16" t="inlineStr">
        <is>
          <t>1 Pieza</t>
        </is>
      </c>
      <c r="I2244" s="16" t="n">
        <v>1</v>
      </c>
      <c r="J2244" s="17" t="n">
        <v>74.5</v>
      </c>
      <c r="K2244" s="17" t="n">
        <v>76.70999999999999</v>
      </c>
      <c r="L2244" s="17" t="n">
        <v>25.86</v>
      </c>
      <c r="M2244" s="17" t="n">
        <v>0</v>
      </c>
      <c r="N2244" s="17">
        <f>K2244*0.08+L2244*0.08</f>
        <v/>
      </c>
      <c r="O2244" s="17">
        <f>-(K2244*0.025+L2244*0.025)</f>
        <v/>
      </c>
      <c r="P2244" s="17">
        <f>32</f>
        <v/>
      </c>
      <c r="Q2244" s="17">
        <f>J2244+L2244+N2244+O2244-P2244-M2244</f>
        <v/>
      </c>
    </row>
    <row r="2245">
      <c r="A2245" s="16" t="inlineStr">
        <is>
          <t>5.22-5.28</t>
        </is>
      </c>
      <c r="B2245" s="16" t="inlineStr">
        <is>
          <t>PO-128-06617165717111935</t>
        </is>
      </c>
      <c r="C2245" s="16" t="inlineStr">
        <is>
          <t>Shipped</t>
        </is>
      </c>
      <c r="D2245" s="16" t="inlineStr">
        <is>
          <t>128-06617207660151935</t>
        </is>
      </c>
      <c r="E2245" s="16" t="inlineStr">
        <is>
          <t>Shipped</t>
        </is>
      </c>
      <c r="F2245" s="16" t="inlineStr">
        <is>
          <t>LV54W25</t>
        </is>
      </c>
      <c r="G2245" s="16" t="inlineStr">
        <is>
          <t>TIANLAI Lámpara Ventilador E27 2 en 1, Silenciosa, LED Alta Luminosidad 180°, Instalación Rápida, Ahorro Energético para Dormitorio y Interiores Pequeños</t>
        </is>
      </c>
      <c r="H2245" s="16" t="inlineStr">
        <is>
          <t>1 Pieza</t>
        </is>
      </c>
      <c r="I2245" s="16" t="n">
        <v>3</v>
      </c>
      <c r="J2245" s="17" t="n">
        <v>223.5</v>
      </c>
      <c r="K2245" s="17" t="n">
        <v>232.71</v>
      </c>
      <c r="L2245" s="17" t="n">
        <v>0</v>
      </c>
      <c r="M2245" s="17" t="n">
        <v>0</v>
      </c>
      <c r="N2245" s="17">
        <f>K2245*0.08+L2245*0.08</f>
        <v/>
      </c>
      <c r="O2245" s="17">
        <f>-(K2245*0.025+L2245*0.025)</f>
        <v/>
      </c>
      <c r="P2245" s="17">
        <f>32</f>
        <v/>
      </c>
      <c r="Q2245" s="17">
        <f>J2245+L2245+N2245+O2245-P2245-M2245</f>
        <v/>
      </c>
    </row>
    <row r="2246">
      <c r="A2246" s="16" t="inlineStr">
        <is>
          <t>5.22-5.28</t>
        </is>
      </c>
      <c r="B2246" s="16" t="inlineStr">
        <is>
          <t>PO-128-06864296730230588</t>
        </is>
      </c>
      <c r="C2246" s="16" t="inlineStr">
        <is>
          <t>Shipped</t>
        </is>
      </c>
      <c r="D2246" s="16" t="inlineStr">
        <is>
          <t>128-06864254787190588</t>
        </is>
      </c>
      <c r="E2246" s="16" t="inlineStr">
        <is>
          <t>Shipped</t>
        </is>
      </c>
      <c r="F2246" s="16" t="inlineStr">
        <is>
          <t>LV54W25</t>
        </is>
      </c>
      <c r="G2246" s="16" t="inlineStr">
        <is>
          <t>TIANLAI Lámpara Ventilador E27 2 en 1, Silenciosa, LED Alta Luminosidad 180°, Instalación Rápida, Ahorro Energético para Dormitorio y Interiores Pequeños</t>
        </is>
      </c>
      <c r="H2246" s="16" t="inlineStr">
        <is>
          <t>1 Pieza</t>
        </is>
      </c>
      <c r="I2246" s="16" t="n">
        <v>1</v>
      </c>
      <c r="J2246" s="17" t="n">
        <v>74.5</v>
      </c>
      <c r="K2246" s="17" t="n">
        <v>77.56999999999999</v>
      </c>
      <c r="L2246" s="17" t="n">
        <v>25.86</v>
      </c>
      <c r="M2246" s="17" t="n">
        <v>0</v>
      </c>
      <c r="N2246" s="17">
        <f>K2246*0.08+L2246*0.08</f>
        <v/>
      </c>
      <c r="O2246" s="17">
        <f>-(K2246*0.025+L2246*0.025)</f>
        <v/>
      </c>
      <c r="P2246" s="17">
        <f>32</f>
        <v/>
      </c>
      <c r="Q2246" s="17">
        <f>J2246+L2246+N2246+O2246-P2246-M2246</f>
        <v/>
      </c>
    </row>
    <row r="2247">
      <c r="A2247" s="16" t="inlineStr">
        <is>
          <t>5.22-5.28</t>
        </is>
      </c>
      <c r="B2247" s="16" t="inlineStr">
        <is>
          <t>PO-128-06535228867191462</t>
        </is>
      </c>
      <c r="C2247" s="16" t="inlineStr">
        <is>
          <t>Shipped</t>
        </is>
      </c>
      <c r="D2247" s="16" t="inlineStr">
        <is>
          <t>128-06535223624311462</t>
        </is>
      </c>
      <c r="E2247" s="16" t="inlineStr">
        <is>
          <t>Shipped</t>
        </is>
      </c>
      <c r="F2247" s="16" t="inlineStr">
        <is>
          <t>LV54W25</t>
        </is>
      </c>
      <c r="G2247" s="16" t="inlineStr">
        <is>
          <t>TIANLAI Lámpara Ventilador E27 2 en 1, Silenciosa, LED Alta Luminosidad 180°, Instalación Rápida, Ahorro Energético para Dormitorio y Interiores Pequeños</t>
        </is>
      </c>
      <c r="H2247" s="16" t="inlineStr">
        <is>
          <t>1 Pieza</t>
        </is>
      </c>
      <c r="I2247" s="16" t="n">
        <v>1</v>
      </c>
      <c r="J2247" s="17" t="n">
        <v>74.5</v>
      </c>
      <c r="K2247" s="17" t="n">
        <v>76.70999999999999</v>
      </c>
      <c r="L2247" s="17" t="n">
        <v>25.86</v>
      </c>
      <c r="M2247" s="17" t="n">
        <v>0</v>
      </c>
      <c r="N2247" s="17">
        <f>K2247*0.08+L2247*0.08</f>
        <v/>
      </c>
      <c r="O2247" s="17">
        <f>-(K2247*0.025+L2247*0.025)</f>
        <v/>
      </c>
      <c r="P2247" s="17">
        <f>32</f>
        <v/>
      </c>
      <c r="Q2247" s="17">
        <f>J2247+L2247+N2247+O2247-P2247-M2247</f>
        <v/>
      </c>
    </row>
    <row r="2248">
      <c r="A2248" s="16" t="inlineStr">
        <is>
          <t>5.22-5.28</t>
        </is>
      </c>
      <c r="B2248" s="16" t="inlineStr">
        <is>
          <t>PO-128-06600172682871074</t>
        </is>
      </c>
      <c r="C2248" s="16" t="inlineStr">
        <is>
          <t>Shipped</t>
        </is>
      </c>
      <c r="D2248" s="16" t="inlineStr">
        <is>
          <t>128-06600183168631074</t>
        </is>
      </c>
      <c r="E2248" s="16" t="inlineStr">
        <is>
          <t>Shipped</t>
        </is>
      </c>
      <c r="F2248" s="16" t="inlineStr">
        <is>
          <t>LV54W25</t>
        </is>
      </c>
      <c r="G2248" s="16" t="inlineStr">
        <is>
          <t>TIANLAI Lámpara Ventilador E27 2 en 1, Silenciosa, LED Alta Luminosidad 180°, Instalación Rápida, Ahorro Energético para Dormitorio y Interiores Pequeños</t>
        </is>
      </c>
      <c r="H2248" s="16" t="inlineStr">
        <is>
          <t>1 Pieza</t>
        </is>
      </c>
      <c r="I2248" s="16" t="n">
        <v>1</v>
      </c>
      <c r="J2248" s="17" t="n">
        <v>74.5</v>
      </c>
      <c r="K2248" s="17" t="n">
        <v>76.70999999999999</v>
      </c>
      <c r="L2248" s="17" t="n">
        <v>25.86</v>
      </c>
      <c r="M2248" s="17" t="n">
        <v>0</v>
      </c>
      <c r="N2248" s="17">
        <f>K2248*0.08+L2248*0.08</f>
        <v/>
      </c>
      <c r="O2248" s="17">
        <f>-(K2248*0.025+L2248*0.025)</f>
        <v/>
      </c>
      <c r="P2248" s="17">
        <f>32</f>
        <v/>
      </c>
      <c r="Q2248" s="17">
        <f>J2248+L2248+N2248+O2248-P2248-M2248</f>
        <v/>
      </c>
    </row>
    <row r="2249">
      <c r="A2249" s="16" t="inlineStr">
        <is>
          <t>5.22-5.28</t>
        </is>
      </c>
      <c r="B2249" s="16" t="inlineStr">
        <is>
          <t>PO-128-06523527665272685</t>
        </is>
      </c>
      <c r="C2249" s="16" t="inlineStr">
        <is>
          <t>Shipped</t>
        </is>
      </c>
      <c r="D2249" s="16" t="inlineStr">
        <is>
          <t>128-06523569608312685</t>
        </is>
      </c>
      <c r="E2249" s="16" t="inlineStr">
        <is>
          <t>Shipped</t>
        </is>
      </c>
      <c r="F2249" s="16" t="inlineStr">
        <is>
          <t>KTS-2031</t>
        </is>
      </c>
      <c r="G2249" s="16" t="inlineStr">
        <is>
          <t>Bocina inalámbrica de 3 pulgadas con linterna multifuncional y panel solar integrado.Altavoz Portátil con Linterna LED 4 Modos, Radio FM, Bluetooth, Carga Solar, Ideal para Apagones, Emergencias, Campo y Exteriores</t>
        </is>
      </c>
      <c r="H2249" s="16" t="inlineStr">
        <is>
          <t>NEGRO</t>
        </is>
      </c>
      <c r="I2249" s="16" t="n">
        <v>2</v>
      </c>
      <c r="J2249" s="17" t="n">
        <v>180</v>
      </c>
      <c r="K2249" s="17" t="n">
        <v>198.44</v>
      </c>
      <c r="L2249" s="17" t="n">
        <v>25.86</v>
      </c>
      <c r="M2249" s="17" t="n">
        <v>0</v>
      </c>
      <c r="N2249" s="17">
        <f>K2249*0.08+L2249*0.08</f>
        <v/>
      </c>
      <c r="O2249" s="17">
        <f>-(K2249*0.025+L2249*0.025)</f>
        <v/>
      </c>
      <c r="P2249" s="17">
        <f>32</f>
        <v/>
      </c>
      <c r="Q2249" s="17">
        <f>J2249+L2249+N2249+O2249-P2249-M2249</f>
        <v/>
      </c>
    </row>
    <row r="2250">
      <c r="A2250" s="16" t="inlineStr">
        <is>
          <t>5.22-5.28</t>
        </is>
      </c>
      <c r="B2250" s="16" t="inlineStr">
        <is>
          <t>PO-128-06254266174073072</t>
        </is>
      </c>
      <c r="C2250" s="16" t="inlineStr">
        <is>
          <t>Shipped</t>
        </is>
      </c>
      <c r="D2250" s="16" t="inlineStr">
        <is>
          <t>128-06254234716793072</t>
        </is>
      </c>
      <c r="E2250" s="16" t="inlineStr">
        <is>
          <t>Shipped</t>
        </is>
      </c>
      <c r="F2250" s="16" t="inlineStr">
        <is>
          <t>LV54W25</t>
        </is>
      </c>
      <c r="G2250" s="16" t="inlineStr">
        <is>
          <t>TIANLAI Lámpara Ventilador E27 2 en 1, Silenciosa, LED Alta Luminosidad 180°, Instalación Rápida, Ahorro Energético para Dormitorio y Interiores Pequeños</t>
        </is>
      </c>
      <c r="H2250" s="16" t="inlineStr">
        <is>
          <t>1 Pieza</t>
        </is>
      </c>
      <c r="I2250" s="16" t="n">
        <v>1</v>
      </c>
      <c r="J2250" s="17" t="n">
        <v>74.5</v>
      </c>
      <c r="K2250" s="17" t="n">
        <v>86.18000000000001</v>
      </c>
      <c r="L2250" s="17" t="n">
        <v>25.86</v>
      </c>
      <c r="M2250" s="17" t="n">
        <v>0</v>
      </c>
      <c r="N2250" s="17">
        <f>K2250*0.08+L2250*0.08</f>
        <v/>
      </c>
      <c r="O2250" s="17">
        <f>-(K2250*0.025+L2250*0.025)</f>
        <v/>
      </c>
      <c r="P2250" s="17">
        <f>32</f>
        <v/>
      </c>
      <c r="Q2250" s="17">
        <f>J2250+L2250+N2250+O2250-P2250-M2250</f>
        <v/>
      </c>
    </row>
    <row r="2251">
      <c r="A2251" s="16" t="inlineStr">
        <is>
          <t>5.22-5.28</t>
        </is>
      </c>
      <c r="B2251" s="16" t="inlineStr">
        <is>
          <t>PO-128-06751425295990175</t>
        </is>
      </c>
      <c r="C2251" s="16" t="inlineStr">
        <is>
          <t>Shipped</t>
        </is>
      </c>
      <c r="D2251" s="16" t="inlineStr">
        <is>
          <t>128-06751362381430175</t>
        </is>
      </c>
      <c r="E2251" s="16" t="inlineStr">
        <is>
          <t>Shipped</t>
        </is>
      </c>
      <c r="F2251" s="16" t="inlineStr">
        <is>
          <t>TL2663N18C</t>
        </is>
      </c>
      <c r="G2251" s="16" t="inlineStr">
        <is>
          <t>Linkbits，Soporte de pared fijo para televisores de 26"-63", Ultra-Delgado Compatible con VESA 400x400mm, Capacidad de Peso Fuerte de 25KG, Instalación Fácil Sin Electricidad</t>
        </is>
      </c>
      <c r="H2251" s="16" t="inlineStr">
        <is>
          <t>NEGRO</t>
        </is>
      </c>
      <c r="I2251" s="16" t="n">
        <v>1</v>
      </c>
      <c r="J2251" s="17" t="n">
        <v>55.5</v>
      </c>
      <c r="K2251" s="17" t="n">
        <v>70.47</v>
      </c>
      <c r="L2251" s="17" t="n">
        <v>25.86</v>
      </c>
      <c r="M2251" s="17" t="n">
        <v>0</v>
      </c>
      <c r="N2251" s="17">
        <f>K2251*0.08+L2251*0.08</f>
        <v/>
      </c>
      <c r="O2251" s="17">
        <f>-(K2251*0.025+L2251*0.025)</f>
        <v/>
      </c>
      <c r="P2251" s="17">
        <f>32</f>
        <v/>
      </c>
      <c r="Q2251" s="17">
        <f>J2251+L2251+N2251+O2251-P2251-M2251</f>
        <v/>
      </c>
    </row>
    <row r="2252">
      <c r="A2252" s="16" t="inlineStr">
        <is>
          <t>5.22-5.28</t>
        </is>
      </c>
      <c r="B2252" s="16" t="inlineStr">
        <is>
          <t>PO-128-06561869583991369</t>
        </is>
      </c>
      <c r="C2252" s="16" t="inlineStr">
        <is>
          <t>Shipped</t>
        </is>
      </c>
      <c r="D2252" s="16" t="inlineStr">
        <is>
          <t>128-06561827640951369</t>
        </is>
      </c>
      <c r="E2252" s="16" t="inlineStr">
        <is>
          <t>Shipped</t>
        </is>
      </c>
      <c r="F2252" s="16" t="inlineStr">
        <is>
          <t>LV64W25</t>
        </is>
      </c>
      <c r="G22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52" s="16" t="inlineStr">
        <is>
          <t>Blanco</t>
        </is>
      </c>
      <c r="I2252" s="16" t="n">
        <v>1</v>
      </c>
      <c r="J2252" s="17" t="n">
        <v>125</v>
      </c>
      <c r="K2252" s="17" t="n">
        <v>128.94</v>
      </c>
      <c r="L2252" s="17" t="n">
        <v>25.86</v>
      </c>
      <c r="M2252" s="17" t="n">
        <v>0</v>
      </c>
      <c r="N2252" s="17">
        <f>K2252*0.08+L2252*0.08</f>
        <v/>
      </c>
      <c r="O2252" s="17">
        <f>-(K2252*0.025+L2252*0.025)</f>
        <v/>
      </c>
      <c r="P2252" s="17">
        <f>32</f>
        <v/>
      </c>
      <c r="Q2252" s="17">
        <f>J2252+L2252+N2252+O2252-P2252-M2252</f>
        <v/>
      </c>
    </row>
    <row r="2253">
      <c r="A2253" s="16" t="inlineStr">
        <is>
          <t>5.22-5.28</t>
        </is>
      </c>
      <c r="B2253" s="16" t="inlineStr">
        <is>
          <t>PO-128-06466139484792835</t>
        </is>
      </c>
      <c r="C2253" s="16" t="inlineStr">
        <is>
          <t>Shipped</t>
        </is>
      </c>
      <c r="D2253" s="16" t="inlineStr">
        <is>
          <t>128-06466160456312835</t>
        </is>
      </c>
      <c r="E2253" s="16" t="inlineStr">
        <is>
          <t>Shipped</t>
        </is>
      </c>
      <c r="F2253" s="16" t="inlineStr">
        <is>
          <t>LV54W25</t>
        </is>
      </c>
      <c r="G2253" s="16" t="inlineStr">
        <is>
          <t>TIANLAI Lámpara Ventilador E27 2 en 1, Silenciosa, LED Alta Luminosidad 180°, Instalación Rápida, Ahorro Energético para Dormitorio y Interiores Pequeños</t>
        </is>
      </c>
      <c r="H2253" s="16" t="inlineStr">
        <is>
          <t>1 Pieza</t>
        </is>
      </c>
      <c r="I2253" s="16" t="n">
        <v>1</v>
      </c>
      <c r="J2253" s="17" t="n">
        <v>74.5</v>
      </c>
      <c r="K2253" s="17" t="n">
        <v>76.70999999999999</v>
      </c>
      <c r="L2253" s="17" t="n">
        <v>25.86</v>
      </c>
      <c r="M2253" s="17" t="n">
        <v>0</v>
      </c>
      <c r="N2253" s="17">
        <f>K2253*0.08+L2253*0.08</f>
        <v/>
      </c>
      <c r="O2253" s="17">
        <f>-(K2253*0.025+L2253*0.025)</f>
        <v/>
      </c>
      <c r="P2253" s="17">
        <f>32</f>
        <v/>
      </c>
      <c r="Q2253" s="17">
        <f>J2253+L2253+N2253+O2253-P2253-M2253</f>
        <v/>
      </c>
    </row>
    <row r="2254">
      <c r="A2254" s="16" t="inlineStr">
        <is>
          <t>5.22-5.28</t>
        </is>
      </c>
      <c r="B2254" s="16" t="inlineStr">
        <is>
          <t>PO-128-06471881851512865</t>
        </is>
      </c>
      <c r="C2254" s="16" t="inlineStr">
        <is>
          <t>Shipped</t>
        </is>
      </c>
      <c r="D2254" s="16" t="inlineStr">
        <is>
          <t>128-06471923794552865</t>
        </is>
      </c>
      <c r="E2254" s="16" t="inlineStr">
        <is>
          <t>Shipped</t>
        </is>
      </c>
      <c r="F2254" s="16" t="inlineStr">
        <is>
          <t>TL1455N20B</t>
        </is>
      </c>
      <c r="G2254" s="16" t="inlineStr">
        <is>
          <t>LINK BITS Soporte para TV 14 A 55 Pulgadas, Base para TV Pantalla Articulado Inclinable y Giratorio, MAX VESA 400×400 mm, Soporta hasta 18kg, adaptarse a la mayoría de los televisores de 14 Pulgadas/20 Pulgadas/32 Pulgadas/42 Pulgadas/55 pulgadas</t>
        </is>
      </c>
      <c r="H2254" s="16" t="inlineStr">
        <is>
          <t>TL1455N20B</t>
        </is>
      </c>
      <c r="I2254" s="16" t="n">
        <v>1</v>
      </c>
      <c r="J2254" s="17" t="n">
        <v>75</v>
      </c>
      <c r="K2254" s="17" t="n">
        <v>96.06</v>
      </c>
      <c r="L2254" s="17" t="n">
        <v>25.86</v>
      </c>
      <c r="M2254" s="17" t="n">
        <v>0</v>
      </c>
      <c r="N2254" s="17">
        <f>K2254*0.08+L2254*0.08</f>
        <v/>
      </c>
      <c r="O2254" s="17">
        <f>-(K2254*0.025+L2254*0.025)</f>
        <v/>
      </c>
      <c r="P2254" s="17">
        <f>32</f>
        <v/>
      </c>
      <c r="Q2254" s="17">
        <f>J2254+L2254+N2254+O2254-P2254-M2254</f>
        <v/>
      </c>
    </row>
    <row r="2255">
      <c r="A2255" s="16" t="inlineStr">
        <is>
          <t>5.22-5.28</t>
        </is>
      </c>
      <c r="B2255" s="16" t="inlineStr">
        <is>
          <t>PO-128-06582598641271245</t>
        </is>
      </c>
      <c r="C2255" s="16" t="inlineStr">
        <is>
          <t>Shipped</t>
        </is>
      </c>
      <c r="D2255" s="16" t="inlineStr">
        <is>
          <t>128-06582567183991245</t>
        </is>
      </c>
      <c r="E2255" s="16" t="inlineStr">
        <is>
          <t>Shipped</t>
        </is>
      </c>
      <c r="F2255" s="16" t="inlineStr">
        <is>
          <t>LV64W25</t>
        </is>
      </c>
      <c r="G22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55" s="16" t="inlineStr">
        <is>
          <t>Blanco</t>
        </is>
      </c>
      <c r="I2255" s="16" t="n">
        <v>1</v>
      </c>
      <c r="J2255" s="17" t="n">
        <v>125</v>
      </c>
      <c r="K2255" s="17" t="n">
        <v>143.26</v>
      </c>
      <c r="L2255" s="17" t="n">
        <v>25.86</v>
      </c>
      <c r="M2255" s="17" t="n">
        <v>0</v>
      </c>
      <c r="N2255" s="17">
        <f>K2255*0.08+L2255*0.08</f>
        <v/>
      </c>
      <c r="O2255" s="17">
        <f>-(K2255*0.025+L2255*0.025)</f>
        <v/>
      </c>
      <c r="P2255" s="17">
        <f>32</f>
        <v/>
      </c>
      <c r="Q2255" s="17">
        <f>J2255+L2255+N2255+O2255-P2255-M2255</f>
        <v/>
      </c>
    </row>
    <row r="2256">
      <c r="A2256" s="16" t="inlineStr">
        <is>
          <t>5.22-5.28</t>
        </is>
      </c>
      <c r="B2256" s="16" t="inlineStr">
        <is>
          <t>PO-128-06370146908792511</t>
        </is>
      </c>
      <c r="C2256" s="16" t="inlineStr">
        <is>
          <t>Shipped</t>
        </is>
      </c>
      <c r="D2256" s="16" t="inlineStr">
        <is>
          <t>128-06370298952312511</t>
        </is>
      </c>
      <c r="E2256" s="16" t="inlineStr">
        <is>
          <t>Shipped</t>
        </is>
      </c>
      <c r="F2256" s="16" t="inlineStr">
        <is>
          <t>LV54W25</t>
        </is>
      </c>
      <c r="G2256" s="16" t="inlineStr">
        <is>
          <t>TIANLAI Lámpara Ventilador E27 2 en 1, Silenciosa, LED Alta Luminosidad 180°, Instalación Rápida, Ahorro Energético para Dormitorio y Interiores Pequeños</t>
        </is>
      </c>
      <c r="H2256" s="16" t="inlineStr">
        <is>
          <t>1 Pieza</t>
        </is>
      </c>
      <c r="I2256" s="16" t="n">
        <v>3</v>
      </c>
      <c r="J2256" s="17" t="n">
        <v>223.5</v>
      </c>
      <c r="K2256" s="17" t="n">
        <v>230.13</v>
      </c>
      <c r="L2256" s="17" t="n">
        <v>0</v>
      </c>
      <c r="M2256" s="17" t="n">
        <v>0</v>
      </c>
      <c r="N2256" s="17">
        <f>K2256*0.08+L2256*0.08</f>
        <v/>
      </c>
      <c r="O2256" s="17">
        <f>-(K2256*0.025+L2256*0.025)</f>
        <v/>
      </c>
      <c r="P2256" s="17">
        <f>32</f>
        <v/>
      </c>
      <c r="Q2256" s="17">
        <f>J2256+L2256+N2256+O2256-P2256-M2256</f>
        <v/>
      </c>
    </row>
    <row r="2257">
      <c r="A2257" s="16" t="inlineStr">
        <is>
          <t>5.22-5.28</t>
        </is>
      </c>
      <c r="B2257" s="16" t="inlineStr">
        <is>
          <t>PO-128-06549741420151505</t>
        </is>
      </c>
      <c r="C2257" s="16" t="inlineStr">
        <is>
          <t>Shipped</t>
        </is>
      </c>
      <c r="D2257" s="16" t="inlineStr">
        <is>
          <t>128-06549824814711505</t>
        </is>
      </c>
      <c r="E2257" s="16" t="inlineStr">
        <is>
          <t>Shipped</t>
        </is>
      </c>
      <c r="F2257" s="16" t="inlineStr">
        <is>
          <t>LV54W25</t>
        </is>
      </c>
      <c r="G2257" s="16" t="inlineStr">
        <is>
          <t>TIANLAI Lámpara Ventilador E27 2 en 1, Silenciosa, LED Alta Luminosidad 180°, Instalación Rápida, Ahorro Energético para Dormitorio y Interiores Pequeños</t>
        </is>
      </c>
      <c r="H2257" s="16" t="inlineStr">
        <is>
          <t>1 Pieza</t>
        </is>
      </c>
      <c r="I2257" s="16" t="n">
        <v>2</v>
      </c>
      <c r="J2257" s="17" t="n">
        <v>149</v>
      </c>
      <c r="K2257" s="17" t="n">
        <v>155.14</v>
      </c>
      <c r="L2257" s="17" t="n">
        <v>25.86</v>
      </c>
      <c r="M2257" s="17" t="n">
        <v>0</v>
      </c>
      <c r="N2257" s="17">
        <f>K2257*0.08+L2257*0.08</f>
        <v/>
      </c>
      <c r="O2257" s="17">
        <f>-(K2257*0.025+L2257*0.025)</f>
        <v/>
      </c>
      <c r="P2257" s="17">
        <f>32</f>
        <v/>
      </c>
      <c r="Q2257" s="17">
        <f>J2257+L2257+N2257+O2257-P2257-M2257</f>
        <v/>
      </c>
    </row>
    <row r="2258">
      <c r="A2258" s="16" t="inlineStr">
        <is>
          <t>5.22-5.28</t>
        </is>
      </c>
      <c r="B2258" s="16" t="inlineStr">
        <is>
          <t>PO-128-06700200310390414</t>
        </is>
      </c>
      <c r="C2258" s="16" t="inlineStr">
        <is>
          <t>Shipped</t>
        </is>
      </c>
      <c r="D2258" s="16" t="inlineStr">
        <is>
          <t>128-06700289439350414</t>
        </is>
      </c>
      <c r="E2258" s="16" t="inlineStr">
        <is>
          <t>Shipped</t>
        </is>
      </c>
      <c r="F2258" s="16" t="inlineStr">
        <is>
          <t>KTS-2031</t>
        </is>
      </c>
      <c r="G2258" s="16" t="inlineStr">
        <is>
          <t>Bocina inalámbrica de 3 pulgadas con linterna multifuncional y panel solar integrado.Altavoz Portátil con Linterna LED 4 Modos, Radio FM, Bluetooth, Carga Solar, Ideal para Apagones, Emergencias, Campo y Exteriores</t>
        </is>
      </c>
      <c r="H2258" s="16" t="inlineStr">
        <is>
          <t>NEGRO</t>
        </is>
      </c>
      <c r="I2258" s="16" t="n">
        <v>1</v>
      </c>
      <c r="J2258" s="17" t="n">
        <v>90</v>
      </c>
      <c r="K2258" s="17" t="n">
        <v>99.22</v>
      </c>
      <c r="L2258" s="17" t="n">
        <v>25.86</v>
      </c>
      <c r="M2258" s="17" t="n">
        <v>0</v>
      </c>
      <c r="N2258" s="17">
        <f>K2258*0.08+L2258*0.08</f>
        <v/>
      </c>
      <c r="O2258" s="17">
        <f>-(K2258*0.025+L2258*0.025)</f>
        <v/>
      </c>
      <c r="P2258" s="17">
        <f>32</f>
        <v/>
      </c>
      <c r="Q2258" s="17">
        <f>J2258+L2258+N2258+O2258-P2258-M2258</f>
        <v/>
      </c>
    </row>
    <row r="2259">
      <c r="A2259" s="16" t="inlineStr">
        <is>
          <t>5.22-5.28</t>
        </is>
      </c>
      <c r="B2259" s="16" t="inlineStr">
        <is>
          <t>PO-128-06578574147191205</t>
        </is>
      </c>
      <c r="C2259" s="16" t="inlineStr">
        <is>
          <t>Shipped</t>
        </is>
      </c>
      <c r="D2259" s="16" t="inlineStr">
        <is>
          <t>128-06578616090231205</t>
        </is>
      </c>
      <c r="E2259" s="16" t="inlineStr">
        <is>
          <t>Shipped</t>
        </is>
      </c>
      <c r="F2259" s="16" t="inlineStr">
        <is>
          <t>LV54W25</t>
        </is>
      </c>
      <c r="G2259" s="16" t="inlineStr">
        <is>
          <t>TIANLAI Lámpara Ventilador E27 2 en 1, Silenciosa, LED Alta Luminosidad 180°, Instalación Rápida, Ahorro Energético para Dormitorio y Interiores Pequeños</t>
        </is>
      </c>
      <c r="H2259" s="16" t="inlineStr">
        <is>
          <t>1 Pieza</t>
        </is>
      </c>
      <c r="I2259" s="16" t="n">
        <v>2</v>
      </c>
      <c r="J2259" s="17" t="n">
        <v>149</v>
      </c>
      <c r="K2259" s="17" t="n">
        <v>155.13</v>
      </c>
      <c r="L2259" s="17" t="n">
        <v>25.86</v>
      </c>
      <c r="M2259" s="17" t="n">
        <v>0</v>
      </c>
      <c r="N2259" s="17">
        <f>K2259*0.08+L2259*0.08</f>
        <v/>
      </c>
      <c r="O2259" s="17">
        <f>-(K2259*0.025+L2259*0.025)</f>
        <v/>
      </c>
      <c r="P2259" s="17">
        <f>32</f>
        <v/>
      </c>
      <c r="Q2259" s="17">
        <f>J2259+L2259+N2259+O2259-P2259-M2259</f>
        <v/>
      </c>
    </row>
    <row r="2260">
      <c r="A2260" s="16" t="inlineStr">
        <is>
          <t>5.22-5.28</t>
        </is>
      </c>
      <c r="B2260" s="16" t="inlineStr">
        <is>
          <t>PO-128-06503406520952805</t>
        </is>
      </c>
      <c r="C2260" s="16" t="inlineStr">
        <is>
          <t>Shipped</t>
        </is>
      </c>
      <c r="D2260" s="16" t="inlineStr">
        <is>
          <t>128-06503413074552805</t>
        </is>
      </c>
      <c r="E2260" s="16" t="inlineStr">
        <is>
          <t>Shipped</t>
        </is>
      </c>
      <c r="F2260" s="16" t="inlineStr">
        <is>
          <t>LV54W25</t>
        </is>
      </c>
      <c r="G2260" s="16" t="inlineStr">
        <is>
          <t>TIANLAI Lámpara Ventilador E27 2 en 1, Silenciosa, LED Alta Luminosidad 180°, Instalación Rápida, Ahorro Energético para Dormitorio y Interiores Pequeños</t>
        </is>
      </c>
      <c r="H2260" s="16" t="inlineStr">
        <is>
          <t>1 Pieza</t>
        </is>
      </c>
      <c r="I2260" s="16" t="n">
        <v>1</v>
      </c>
      <c r="J2260" s="17" t="n">
        <v>74.5</v>
      </c>
      <c r="K2260" s="17" t="n">
        <v>76.70999999999999</v>
      </c>
      <c r="L2260" s="17" t="n">
        <v>25.86</v>
      </c>
      <c r="M2260" s="17" t="n">
        <v>0</v>
      </c>
      <c r="N2260" s="17">
        <f>K2260*0.08+L2260*0.08</f>
        <v/>
      </c>
      <c r="O2260" s="17">
        <f>-(K2260*0.025+L2260*0.025)</f>
        <v/>
      </c>
      <c r="P2260" s="17">
        <f>32</f>
        <v/>
      </c>
      <c r="Q2260" s="17">
        <f>J2260+L2260+N2260+O2260-P2260-M2260</f>
        <v/>
      </c>
    </row>
    <row r="2261">
      <c r="A2261" s="16" t="inlineStr">
        <is>
          <t>5.22-5.28</t>
        </is>
      </c>
      <c r="B2261" s="16" t="inlineStr">
        <is>
          <t>PO-128-06278324869754019</t>
        </is>
      </c>
      <c r="C2261" s="16" t="inlineStr">
        <is>
          <t>Shipped</t>
        </is>
      </c>
      <c r="D2261" s="16" t="inlineStr">
        <is>
          <t>128-06278345841274019</t>
        </is>
      </c>
      <c r="E2261" s="16" t="inlineStr">
        <is>
          <t>Shipped</t>
        </is>
      </c>
      <c r="F2261" s="16" t="inlineStr">
        <is>
          <t>LV54W25</t>
        </is>
      </c>
      <c r="G2261" s="16" t="inlineStr">
        <is>
          <t>TIANLAI Lámpara Ventilador E27 2 en 1, Silenciosa, LED Alta Luminosidad 180°, Instalación Rápida, Ahorro Energético para Dormitorio y Interiores Pequeños</t>
        </is>
      </c>
      <c r="H2261" s="16" t="inlineStr">
        <is>
          <t>1 Pieza</t>
        </is>
      </c>
      <c r="I2261" s="16" t="n">
        <v>1</v>
      </c>
      <c r="J2261" s="17" t="n">
        <v>74.5</v>
      </c>
      <c r="K2261" s="17" t="n">
        <v>77.56999999999999</v>
      </c>
      <c r="L2261" s="17" t="n">
        <v>25.86</v>
      </c>
      <c r="M2261" s="17" t="n">
        <v>0</v>
      </c>
      <c r="N2261" s="17">
        <f>K2261*0.08+L2261*0.08</f>
        <v/>
      </c>
      <c r="O2261" s="17">
        <f>-(K2261*0.025+L2261*0.025)</f>
        <v/>
      </c>
      <c r="P2261" s="17">
        <f>32</f>
        <v/>
      </c>
      <c r="Q2261" s="17">
        <f>J2261+L2261+N2261+O2261-P2261-M2261</f>
        <v/>
      </c>
    </row>
    <row r="2262">
      <c r="A2262" s="16" t="inlineStr">
        <is>
          <t>5.22-5.28</t>
        </is>
      </c>
      <c r="B2262" s="16" t="inlineStr">
        <is>
          <t>PO-128-06193194215033500</t>
        </is>
      </c>
      <c r="C2262" s="16" t="inlineStr">
        <is>
          <t>Shipped</t>
        </is>
      </c>
      <c r="D2262" s="16" t="inlineStr">
        <is>
          <t>128-06193204700793500</t>
        </is>
      </c>
      <c r="E2262" s="16" t="inlineStr">
        <is>
          <t>Shipped</t>
        </is>
      </c>
      <c r="F2262" s="16" t="inlineStr">
        <is>
          <t>LV54W25</t>
        </is>
      </c>
      <c r="G2262" s="16" t="inlineStr">
        <is>
          <t>TIANLAI Lámpara Ventilador E27 2 en 1, Silenciosa, LED Alta Luminosidad 180°, Instalación Rápida, Ahorro Energético para Dormitorio y Interiores Pequeños</t>
        </is>
      </c>
      <c r="H2262" s="16" t="inlineStr">
        <is>
          <t>1 Pieza</t>
        </is>
      </c>
      <c r="I2262" s="16" t="n">
        <v>1</v>
      </c>
      <c r="J2262" s="17" t="n">
        <v>74.5</v>
      </c>
      <c r="K2262" s="17" t="n">
        <v>77.56999999999999</v>
      </c>
      <c r="L2262" s="17" t="n">
        <v>25.86</v>
      </c>
      <c r="M2262" s="17" t="n">
        <v>0</v>
      </c>
      <c r="N2262" s="17">
        <f>K2262*0.08+L2262*0.08</f>
        <v/>
      </c>
      <c r="O2262" s="17">
        <f>-(K2262*0.025+L2262*0.025)</f>
        <v/>
      </c>
      <c r="P2262" s="17">
        <f>32</f>
        <v/>
      </c>
      <c r="Q2262" s="17">
        <f>J2262+L2262+N2262+O2262-P2262-M2262</f>
        <v/>
      </c>
    </row>
    <row r="2263">
      <c r="A2263" s="16" t="inlineStr">
        <is>
          <t>5.22-5.28</t>
        </is>
      </c>
      <c r="B2263" s="16" t="inlineStr">
        <is>
          <t>PO-128-06550428641911309</t>
        </is>
      </c>
      <c r="C2263" s="16" t="inlineStr">
        <is>
          <t>Shipped</t>
        </is>
      </c>
      <c r="D2263" s="16" t="inlineStr">
        <is>
          <t>128-06550481070711309</t>
        </is>
      </c>
      <c r="E2263" s="16" t="inlineStr">
        <is>
          <t>Shipped</t>
        </is>
      </c>
      <c r="F2263" s="16" t="inlineStr">
        <is>
          <t>LV64W25</t>
        </is>
      </c>
      <c r="G22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63" s="16" t="inlineStr">
        <is>
          <t>Blanco</t>
        </is>
      </c>
      <c r="I2263" s="16" t="n">
        <v>2</v>
      </c>
      <c r="J2263" s="17" t="n">
        <v>250</v>
      </c>
      <c r="K2263" s="17" t="n">
        <v>206.32</v>
      </c>
      <c r="L2263" s="17" t="n">
        <v>0</v>
      </c>
      <c r="M2263" s="17" t="n">
        <v>0</v>
      </c>
      <c r="N2263" s="17">
        <f>K2263*0.08+L2263*0.08</f>
        <v/>
      </c>
      <c r="O2263" s="17">
        <f>-(K2263*0.025+L2263*0.025)</f>
        <v/>
      </c>
      <c r="P2263" s="17">
        <f>32</f>
        <v/>
      </c>
      <c r="Q2263" s="17">
        <f>J2263+L2263+N2263+O2263-P2263-M2263</f>
        <v/>
      </c>
    </row>
    <row r="2264">
      <c r="A2264" s="16" t="inlineStr">
        <is>
          <t>5.22-5.28</t>
        </is>
      </c>
      <c r="B2264" s="16" t="inlineStr">
        <is>
          <t>PO-128-06787104768630920</t>
        </is>
      </c>
      <c r="C2264" s="16" t="inlineStr">
        <is>
          <t>Shipped</t>
        </is>
      </c>
      <c r="D2264" s="16" t="inlineStr">
        <is>
          <t>128-06787089039990920</t>
        </is>
      </c>
      <c r="E2264" s="16" t="inlineStr">
        <is>
          <t>Shipped</t>
        </is>
      </c>
      <c r="F2264" s="16" t="inlineStr">
        <is>
          <t>LV54W25</t>
        </is>
      </c>
      <c r="G2264" s="16" t="inlineStr">
        <is>
          <t>TIANLAI Lámpara Ventilador E27 2 en 1, Silenciosa, LED Alta Luminosidad 180°, Instalación Rápida, Ahorro Energético para Dormitorio y Interiores Pequeños</t>
        </is>
      </c>
      <c r="H2264" s="16" t="inlineStr">
        <is>
          <t>1 Pieza</t>
        </is>
      </c>
      <c r="I2264" s="16" t="n">
        <v>1</v>
      </c>
      <c r="J2264" s="17" t="n">
        <v>74.5</v>
      </c>
      <c r="K2264" s="17" t="n">
        <v>86.18000000000001</v>
      </c>
      <c r="L2264" s="17" t="n">
        <v>25.86</v>
      </c>
      <c r="M2264" s="17" t="n">
        <v>0</v>
      </c>
      <c r="N2264" s="17">
        <f>K2264*0.08+L2264*0.08</f>
        <v/>
      </c>
      <c r="O2264" s="17">
        <f>-(K2264*0.025+L2264*0.025)</f>
        <v/>
      </c>
      <c r="P2264" s="17">
        <f>32</f>
        <v/>
      </c>
      <c r="Q2264" s="17">
        <f>J2264+L2264+N2264+O2264-P2264-M2264</f>
        <v/>
      </c>
    </row>
    <row r="2265">
      <c r="A2265" s="16" t="inlineStr">
        <is>
          <t>5.22-5.28</t>
        </is>
      </c>
      <c r="B2265" s="16" t="inlineStr">
        <is>
          <t>PO-128-06568747761271390</t>
        </is>
      </c>
      <c r="C2265" s="16" t="inlineStr">
        <is>
          <t>Shipped</t>
        </is>
      </c>
      <c r="D2265" s="16" t="inlineStr">
        <is>
          <t>128-06568705818231390</t>
        </is>
      </c>
      <c r="E2265" s="16" t="inlineStr">
        <is>
          <t>Shipped</t>
        </is>
      </c>
      <c r="F2265" s="16" t="inlineStr">
        <is>
          <t>LV54W25</t>
        </is>
      </c>
      <c r="G2265" s="16" t="inlineStr">
        <is>
          <t>TIANLAI Lámpara Ventilador E27 2 en 1, Silenciosa, LED Alta Luminosidad 180°, Instalación Rápida, Ahorro Energético para Dormitorio y Interiores Pequeños</t>
        </is>
      </c>
      <c r="H2265" s="16" t="inlineStr">
        <is>
          <t>1 Pieza</t>
        </is>
      </c>
      <c r="I2265" s="16" t="n">
        <v>1</v>
      </c>
      <c r="J2265" s="17" t="n">
        <v>74.5</v>
      </c>
      <c r="K2265" s="17" t="n">
        <v>77.56999999999999</v>
      </c>
      <c r="L2265" s="17" t="n">
        <v>25.86</v>
      </c>
      <c r="M2265" s="17" t="n">
        <v>0</v>
      </c>
      <c r="N2265" s="17">
        <f>K2265*0.08+L2265*0.08</f>
        <v/>
      </c>
      <c r="O2265" s="17">
        <f>-(K2265*0.025+L2265*0.025)</f>
        <v/>
      </c>
      <c r="P2265" s="17">
        <f>32</f>
        <v/>
      </c>
      <c r="Q2265" s="17">
        <f>J2265+L2265+N2265+O2265-P2265-M2265</f>
        <v/>
      </c>
    </row>
    <row r="2266">
      <c r="A2266" s="16" t="inlineStr">
        <is>
          <t>5.22-5.28</t>
        </is>
      </c>
      <c r="B2266" s="16" t="inlineStr">
        <is>
          <t>PO-128-06744047847030155</t>
        </is>
      </c>
      <c r="C2266" s="16" t="inlineStr">
        <is>
          <t>Shipped</t>
        </is>
      </c>
      <c r="D2266" s="16" t="inlineStr">
        <is>
          <t>128-06744068818550155</t>
        </is>
      </c>
      <c r="E2266" s="16" t="inlineStr">
        <is>
          <t>Shipped</t>
        </is>
      </c>
      <c r="F2266" s="16" t="inlineStr">
        <is>
          <t>LV54W25</t>
        </is>
      </c>
      <c r="G2266" s="16" t="inlineStr">
        <is>
          <t>TIANLAI Lámpara Ventilador E27 2 en 1, Silenciosa, LED Alta Luminosidad 180°, Instalación Rápida, Ahorro Energético para Dormitorio y Interiores Pequeños</t>
        </is>
      </c>
      <c r="H2266" s="16" t="inlineStr">
        <is>
          <t>1 Pieza</t>
        </is>
      </c>
      <c r="I2266" s="16" t="n">
        <v>1</v>
      </c>
      <c r="J2266" s="17" t="n">
        <v>74.5</v>
      </c>
      <c r="K2266" s="17" t="n">
        <v>86.18000000000001</v>
      </c>
      <c r="L2266" s="17" t="n">
        <v>25.86</v>
      </c>
      <c r="M2266" s="17" t="n">
        <v>0</v>
      </c>
      <c r="N2266" s="17">
        <f>K2266*0.08+L2266*0.08</f>
        <v/>
      </c>
      <c r="O2266" s="17">
        <f>-(K2266*0.025+L2266*0.025)</f>
        <v/>
      </c>
      <c r="P2266" s="17">
        <f>32</f>
        <v/>
      </c>
      <c r="Q2266" s="17">
        <f>J2266+L2266+N2266+O2266-P2266-M2266</f>
        <v/>
      </c>
    </row>
    <row r="2267">
      <c r="A2267" s="16" t="inlineStr">
        <is>
          <t>5.22-5.28</t>
        </is>
      </c>
      <c r="B2267" s="16" t="inlineStr">
        <is>
          <t>PO-128-06770958858870056</t>
        </is>
      </c>
      <c r="C2267" s="16" t="inlineStr">
        <is>
          <t>Shipped</t>
        </is>
      </c>
      <c r="D2267" s="16" t="inlineStr">
        <is>
          <t>128-06771027016310056</t>
        </is>
      </c>
      <c r="E2267" s="16" t="inlineStr">
        <is>
          <t>Shipped</t>
        </is>
      </c>
      <c r="F2267" s="16" t="inlineStr">
        <is>
          <t>KTS-1936</t>
        </is>
      </c>
      <c r="G2267" s="16" t="inlineStr">
        <is>
          <t>Espejo con Luz para Makeup，Espejo con Luz LED y Bocina Bluetooth，Espejo para Maquillaje con Aumentos y Luces LED de Intensidad Ajustable，Lente de Aumento 10X+Reproductor TF+ TWS，espejo de portátil y para estudiantes, oficina, dormitorio, mejor regalo</t>
        </is>
      </c>
      <c r="H2267" s="16" t="inlineStr">
        <is>
          <t>BLANCO</t>
        </is>
      </c>
      <c r="I2267" s="16" t="n">
        <v>1</v>
      </c>
      <c r="J2267" s="17" t="n">
        <v>225</v>
      </c>
      <c r="K2267" s="17" t="n">
        <v>252.84</v>
      </c>
      <c r="L2267" s="17" t="n">
        <v>25.86</v>
      </c>
      <c r="M2267" s="17" t="n">
        <v>0</v>
      </c>
      <c r="N2267" s="17">
        <f>K2267*0.08+L2267*0.08</f>
        <v/>
      </c>
      <c r="O2267" s="17">
        <f>-(K2267*0.025+L2267*0.025)</f>
        <v/>
      </c>
      <c r="P2267" s="17">
        <f>32</f>
        <v/>
      </c>
      <c r="Q2267" s="17">
        <f>J2267+L2267+N2267+O2267-P2267-M2267</f>
        <v/>
      </c>
    </row>
    <row r="2268">
      <c r="A2268" s="16" t="inlineStr">
        <is>
          <t>5.22-5.28</t>
        </is>
      </c>
      <c r="B2268" s="16" t="inlineStr">
        <is>
          <t>PO-128-06224545679993443</t>
        </is>
      </c>
      <c r="C2268" s="16" t="inlineStr">
        <is>
          <t>Shipped</t>
        </is>
      </c>
      <c r="D2268" s="16" t="inlineStr">
        <is>
          <t>128-06224527329913443</t>
        </is>
      </c>
      <c r="E2268" s="16" t="inlineStr">
        <is>
          <t>Shipped</t>
        </is>
      </c>
      <c r="F2268" s="16" t="inlineStr">
        <is>
          <t>KTS-2031</t>
        </is>
      </c>
      <c r="G2268" s="16" t="inlineStr">
        <is>
          <t>Bocina inalámbrica de 3 pulgadas con linterna multifuncional y panel solar integrado.Altavoz Portátil con Linterna LED 4 Modos, Radio FM, Bluetooth, Carga Solar, Ideal para Apagones, Emergencias, Campo y Exteriores</t>
        </is>
      </c>
      <c r="H2268" s="16" t="inlineStr">
        <is>
          <t>NEGRO</t>
        </is>
      </c>
      <c r="I2268" s="16" t="n">
        <v>2</v>
      </c>
      <c r="J2268" s="17" t="n">
        <v>180</v>
      </c>
      <c r="K2268" s="17" t="n">
        <v>198.44</v>
      </c>
      <c r="L2268" s="17" t="n">
        <v>25.86</v>
      </c>
      <c r="M2268" s="17" t="n">
        <v>0</v>
      </c>
      <c r="N2268" s="17">
        <f>K2268*0.08+L2268*0.08</f>
        <v/>
      </c>
      <c r="O2268" s="17">
        <f>-(K2268*0.025+L2268*0.025)</f>
        <v/>
      </c>
      <c r="P2268" s="17">
        <f>32</f>
        <v/>
      </c>
      <c r="Q2268" s="17">
        <f>J2268+L2268+N2268+O2268-P2268-M2268</f>
        <v/>
      </c>
    </row>
    <row r="2269">
      <c r="A2269" s="16" t="inlineStr">
        <is>
          <t>5.22-5.28</t>
        </is>
      </c>
      <c r="B2269" s="16" t="inlineStr">
        <is>
          <t>PO-128-06285168113274040</t>
        </is>
      </c>
      <c r="C2269" s="16" t="inlineStr">
        <is>
          <t>Shipped</t>
        </is>
      </c>
      <c r="D2269" s="16" t="inlineStr">
        <is>
          <t>128-06285244135034040</t>
        </is>
      </c>
      <c r="E2269" s="16" t="inlineStr">
        <is>
          <t>Shipped</t>
        </is>
      </c>
      <c r="F2269" s="16" t="inlineStr">
        <is>
          <t>LV54W25</t>
        </is>
      </c>
      <c r="G2269" s="16" t="inlineStr">
        <is>
          <t>TIANLAI Lámpara Ventilador E27 2 en 1, Silenciosa, LED Alta Luminosidad 180°, Instalación Rápida, Ahorro Energético para Dormitorio y Interiores Pequeños</t>
        </is>
      </c>
      <c r="H2269" s="16" t="inlineStr">
        <is>
          <t>1 Pieza</t>
        </is>
      </c>
      <c r="I2269" s="16" t="n">
        <v>1</v>
      </c>
      <c r="J2269" s="17" t="n">
        <v>74.5</v>
      </c>
      <c r="K2269" s="17" t="n">
        <v>59.77</v>
      </c>
      <c r="L2269" s="17" t="n">
        <v>25.86</v>
      </c>
      <c r="M2269" s="17" t="n">
        <v>0</v>
      </c>
      <c r="N2269" s="17">
        <f>K2269*0.08+L2269*0.08</f>
        <v/>
      </c>
      <c r="O2269" s="17">
        <f>-(K2269*0.025+L2269*0.025)</f>
        <v/>
      </c>
      <c r="P2269" s="17">
        <f>32</f>
        <v/>
      </c>
      <c r="Q2269" s="17">
        <f>J2269+L2269+N2269+O2269-P2269-M2269</f>
        <v/>
      </c>
    </row>
    <row r="2270">
      <c r="A2270" s="16" t="inlineStr">
        <is>
          <t>5.22-5.28</t>
        </is>
      </c>
      <c r="B2270" s="16" t="inlineStr">
        <is>
          <t>PO-128-06198688302713533</t>
        </is>
      </c>
      <c r="C2270" s="16" t="inlineStr">
        <is>
          <t>Shipped</t>
        </is>
      </c>
      <c r="D2270" s="16" t="inlineStr">
        <is>
          <t>128-06198840346233533</t>
        </is>
      </c>
      <c r="E2270" s="16" t="inlineStr">
        <is>
          <t>Shipped</t>
        </is>
      </c>
      <c r="F2270" s="16" t="inlineStr">
        <is>
          <t>KTS-2031</t>
        </is>
      </c>
      <c r="G2270" s="16" t="inlineStr">
        <is>
          <t>Bocina inalámbrica de 3 pulgadas con linterna multifuncional y panel solar integrado.Altavoz Portátil con Linterna LED 4 Modos, Radio FM, Bluetooth, Carga Solar, Ideal para Apagones, Emergencias, Campo y Exteriores</t>
        </is>
      </c>
      <c r="H2270" s="16" t="inlineStr">
        <is>
          <t>NEGRO</t>
        </is>
      </c>
      <c r="I2270" s="16" t="n">
        <v>1</v>
      </c>
      <c r="J2270" s="17" t="n">
        <v>90</v>
      </c>
      <c r="K2270" s="17" t="n">
        <v>99.22</v>
      </c>
      <c r="L2270" s="17" t="n">
        <v>25.86</v>
      </c>
      <c r="M2270" s="17" t="n">
        <v>0</v>
      </c>
      <c r="N2270" s="17">
        <f>K2270*0.08+L2270*0.08</f>
        <v/>
      </c>
      <c r="O2270" s="17">
        <f>-(K2270*0.025+L2270*0.025)</f>
        <v/>
      </c>
      <c r="P2270" s="17">
        <f>32</f>
        <v/>
      </c>
      <c r="Q2270" s="17">
        <f>J2270+L2270+N2270+O2270-P2270-M2270</f>
        <v/>
      </c>
    </row>
    <row r="2271">
      <c r="A2271" s="16" t="inlineStr">
        <is>
          <t>5.22-5.28</t>
        </is>
      </c>
      <c r="B2271" s="16" t="inlineStr">
        <is>
          <t>PO-128-06238496215673294</t>
        </is>
      </c>
      <c r="C2271" s="16" t="inlineStr">
        <is>
          <t>Shipped</t>
        </is>
      </c>
      <c r="D2271" s="16" t="inlineStr">
        <is>
          <t>128-06238538158713294</t>
        </is>
      </c>
      <c r="E2271" s="16" t="inlineStr">
        <is>
          <t>Shipped</t>
        </is>
      </c>
      <c r="F2271" s="16" t="inlineStr">
        <is>
          <t>LV54W25</t>
        </is>
      </c>
      <c r="G2271" s="16" t="inlineStr">
        <is>
          <t>TIANLAI Lámpara Ventilador E27 2 en 1, Silenciosa, LED Alta Luminosidad 180°, Instalación Rápida, Ahorro Energético para Dormitorio y Interiores Pequeños</t>
        </is>
      </c>
      <c r="H2271" s="16" t="inlineStr">
        <is>
          <t>1 Pieza</t>
        </is>
      </c>
      <c r="I2271" s="16" t="n">
        <v>3</v>
      </c>
      <c r="J2271" s="17" t="n">
        <v>223.5</v>
      </c>
      <c r="K2271" s="17" t="n">
        <v>230.13</v>
      </c>
      <c r="L2271" s="17" t="n">
        <v>0</v>
      </c>
      <c r="M2271" s="17" t="n">
        <v>0</v>
      </c>
      <c r="N2271" s="17">
        <f>K2271*0.08+L2271*0.08</f>
        <v/>
      </c>
      <c r="O2271" s="17">
        <f>-(K2271*0.025+L2271*0.025)</f>
        <v/>
      </c>
      <c r="P2271" s="17">
        <f>32</f>
        <v/>
      </c>
      <c r="Q2271" s="17">
        <f>J2271+L2271+N2271+O2271-P2271-M2271</f>
        <v/>
      </c>
    </row>
    <row r="2272">
      <c r="A2272" s="16" t="inlineStr">
        <is>
          <t>5.22-5.28</t>
        </is>
      </c>
      <c r="B2272" s="16" t="inlineStr">
        <is>
          <t>PO-128-06214408771193374</t>
        </is>
      </c>
      <c r="C2272" s="16" t="inlineStr">
        <is>
          <t>Shipped</t>
        </is>
      </c>
      <c r="D2272" s="16" t="inlineStr">
        <is>
          <t>128-06214446782073374</t>
        </is>
      </c>
      <c r="E2272" s="16" t="inlineStr">
        <is>
          <t>Shipped</t>
        </is>
      </c>
      <c r="F2272" s="16" t="inlineStr">
        <is>
          <t>LV54W25</t>
        </is>
      </c>
      <c r="G2272" s="16" t="inlineStr">
        <is>
          <t>TIANLAI Lámpara Ventilador E27 2 en 1, Silenciosa, LED Alta Luminosidad 180°, Instalación Rápida, Ahorro Energético para Dormitorio y Interiores Pequeños</t>
        </is>
      </c>
      <c r="H2272" s="16" t="inlineStr">
        <is>
          <t>1 Pieza</t>
        </is>
      </c>
      <c r="I2272" s="16" t="n">
        <v>1</v>
      </c>
      <c r="J2272" s="17" t="n">
        <v>74.5</v>
      </c>
      <c r="K2272" s="17" t="n">
        <v>77.56999999999999</v>
      </c>
      <c r="L2272" s="17" t="n">
        <v>25.86</v>
      </c>
      <c r="M2272" s="17" t="n">
        <v>0</v>
      </c>
      <c r="N2272" s="17">
        <f>K2272*0.08+L2272*0.08</f>
        <v/>
      </c>
      <c r="O2272" s="17">
        <f>-(K2272*0.025+L2272*0.025)</f>
        <v/>
      </c>
      <c r="P2272" s="17">
        <f>32</f>
        <v/>
      </c>
      <c r="Q2272" s="17">
        <f>J2272+L2272+N2272+O2272-P2272-M2272</f>
        <v/>
      </c>
    </row>
    <row r="2273">
      <c r="A2273" s="16" t="inlineStr">
        <is>
          <t>5.22-5.28</t>
        </is>
      </c>
      <c r="B2273" s="16" t="inlineStr">
        <is>
          <t>PO-128-06869775580790621</t>
        </is>
      </c>
      <c r="C2273" s="16" t="inlineStr">
        <is>
          <t>Shipped</t>
        </is>
      </c>
      <c r="D2273" s="16" t="inlineStr">
        <is>
          <t>128-06869780823670621</t>
        </is>
      </c>
      <c r="E2273" s="16" t="inlineStr">
        <is>
          <t>Shipped</t>
        </is>
      </c>
      <c r="F2273" s="16" t="inlineStr">
        <is>
          <t>TL2663N18C</t>
        </is>
      </c>
      <c r="G2273" s="16" t="inlineStr">
        <is>
          <t>Linkbits，Soporte de pared fijo para televisores de 26"-63", Ultra-Delgado Compatible con VESA 400x400mm, Capacidad de Peso Fuerte de 25KG, Instalación Fácil Sin Electricidad</t>
        </is>
      </c>
      <c r="H2273" s="16" t="inlineStr">
        <is>
          <t>NEGRO</t>
        </is>
      </c>
      <c r="I2273" s="16" t="n">
        <v>1</v>
      </c>
      <c r="J2273" s="17" t="n">
        <v>55.5</v>
      </c>
      <c r="K2273" s="17" t="n">
        <v>70.47</v>
      </c>
      <c r="L2273" s="17" t="n">
        <v>25.86</v>
      </c>
      <c r="M2273" s="17" t="n">
        <v>0</v>
      </c>
      <c r="N2273" s="17">
        <f>K2273*0.08+L2273*0.08</f>
        <v/>
      </c>
      <c r="O2273" s="17">
        <f>-(K2273*0.025+L2273*0.025)</f>
        <v/>
      </c>
      <c r="P2273" s="17">
        <f>32</f>
        <v/>
      </c>
      <c r="Q2273" s="17">
        <f>J2273+L2273+N2273+O2273-P2273-M2273</f>
        <v/>
      </c>
    </row>
    <row r="2274">
      <c r="A2274" s="16" t="inlineStr">
        <is>
          <t>5.22-5.28</t>
        </is>
      </c>
      <c r="B2274" s="16" t="inlineStr">
        <is>
          <t>PO-128-06254101791353075</t>
        </is>
      </c>
      <c r="C2274" s="16" t="inlineStr">
        <is>
          <t>Shipped</t>
        </is>
      </c>
      <c r="D2274" s="16" t="inlineStr">
        <is>
          <t>128-06254112277113075</t>
        </is>
      </c>
      <c r="E2274" s="16" t="inlineStr">
        <is>
          <t>Shipped</t>
        </is>
      </c>
      <c r="F2274" s="16" t="inlineStr">
        <is>
          <t>LV54W25</t>
        </is>
      </c>
      <c r="G2274" s="16" t="inlineStr">
        <is>
          <t>TIANLAI Lámpara Ventilador E27 2 en 1, Silenciosa, LED Alta Luminosidad 180°, Instalación Rápida, Ahorro Energético para Dormitorio y Interiores Pequeños</t>
        </is>
      </c>
      <c r="H2274" s="16" t="inlineStr">
        <is>
          <t>1 Pieza</t>
        </is>
      </c>
      <c r="I2274" s="16" t="n">
        <v>3</v>
      </c>
      <c r="J2274" s="17" t="n">
        <v>223.5</v>
      </c>
      <c r="K2274" s="17" t="n">
        <v>186.17</v>
      </c>
      <c r="L2274" s="17" t="n">
        <v>0</v>
      </c>
      <c r="M2274" s="17" t="n">
        <v>0</v>
      </c>
      <c r="N2274" s="17">
        <f>K2274*0.08+L2274*0.08</f>
        <v/>
      </c>
      <c r="O2274" s="17">
        <f>-(K2274*0.025+L2274*0.025)</f>
        <v/>
      </c>
      <c r="P2274" s="17">
        <f>32</f>
        <v/>
      </c>
      <c r="Q2274" s="17">
        <f>J2274+L2274+N2274+O2274-P2274-M2274</f>
        <v/>
      </c>
    </row>
    <row r="2275">
      <c r="A2275" s="16" t="inlineStr">
        <is>
          <t>5.22-5.28</t>
        </is>
      </c>
      <c r="B2275" s="16" t="inlineStr">
        <is>
          <t>PO-128-06271681669753992</t>
        </is>
      </c>
      <c r="C2275" s="16" t="inlineStr">
        <is>
          <t>Shipped</t>
        </is>
      </c>
      <c r="D2275" s="16" t="inlineStr">
        <is>
          <t>128-06271786527353992</t>
        </is>
      </c>
      <c r="E2275" s="16" t="inlineStr">
        <is>
          <t>Shipped</t>
        </is>
      </c>
      <c r="F2275" s="16" t="inlineStr">
        <is>
          <t>KTS-1369</t>
        </is>
      </c>
      <c r="G2275" s="16" t="inlineStr">
        <is>
          <t>Bocina 3 Pulgadas Portátil Bluetooth con Luces LED, Sonido Claro y Batería Larga Duración, TWS TF USB FM, Ideal para Hogar Oficina y Exterior</t>
        </is>
      </c>
      <c r="H2275" s="16" t="inlineStr">
        <is>
          <t>NEGRO</t>
        </is>
      </c>
      <c r="I2275" s="16" t="n">
        <v>1</v>
      </c>
      <c r="J2275" s="17" t="n">
        <v>55</v>
      </c>
      <c r="K2275" s="17" t="n">
        <v>66.28</v>
      </c>
      <c r="L2275" s="17" t="n">
        <v>25.86</v>
      </c>
      <c r="M2275" s="17" t="n">
        <v>0</v>
      </c>
      <c r="N2275" s="17">
        <f>K2275*0.08+L2275*0.08</f>
        <v/>
      </c>
      <c r="O2275" s="17">
        <f>-(K2275*0.025+L2275*0.025)</f>
        <v/>
      </c>
      <c r="P2275" s="17">
        <f>32</f>
        <v/>
      </c>
      <c r="Q2275" s="17">
        <f>J2275+L2275+N2275+O2275-P2275-M2275</f>
        <v/>
      </c>
    </row>
    <row r="2276">
      <c r="A2276" s="16" t="inlineStr">
        <is>
          <t>5.22-5.28</t>
        </is>
      </c>
      <c r="B2276" s="16" t="inlineStr">
        <is>
          <t>PO-128-06716162048630449</t>
        </is>
      </c>
      <c r="C2276" s="16" t="inlineStr">
        <is>
          <t>Shipped</t>
        </is>
      </c>
      <c r="D2276" s="16" t="inlineStr">
        <is>
          <t>128-06716120105590449</t>
        </is>
      </c>
      <c r="E2276" s="16" t="inlineStr">
        <is>
          <t>Shipped</t>
        </is>
      </c>
      <c r="F2276" s="16" t="inlineStr">
        <is>
          <t>LV54W25</t>
        </is>
      </c>
      <c r="G2276" s="16" t="inlineStr">
        <is>
          <t>TIANLAI Lámpara Ventilador E27 2 en 1, Silenciosa, LED Alta Luminosidad 180°, Instalación Rápida, Ahorro Energético para Dormitorio y Interiores Pequeños</t>
        </is>
      </c>
      <c r="H2276" s="16" t="inlineStr">
        <is>
          <t>1 Pieza</t>
        </is>
      </c>
      <c r="I2276" s="16" t="n">
        <v>1</v>
      </c>
      <c r="J2276" s="17" t="n">
        <v>74.5</v>
      </c>
      <c r="K2276" s="17" t="n">
        <v>73.26000000000001</v>
      </c>
      <c r="L2276" s="17" t="n">
        <v>25.86</v>
      </c>
      <c r="M2276" s="17" t="n">
        <v>0</v>
      </c>
      <c r="N2276" s="17">
        <f>K2276*0.08+L2276*0.08</f>
        <v/>
      </c>
      <c r="O2276" s="17">
        <f>-(K2276*0.025+L2276*0.025)</f>
        <v/>
      </c>
      <c r="P2276" s="17">
        <f>32</f>
        <v/>
      </c>
      <c r="Q2276" s="17">
        <f>J2276+L2276+N2276+O2276-P2276-M2276</f>
        <v/>
      </c>
    </row>
    <row r="2277">
      <c r="A2277" s="16" t="inlineStr">
        <is>
          <t>5.22-5.28</t>
        </is>
      </c>
      <c r="B2277" s="16" t="inlineStr">
        <is>
          <t>PO-128-06799832766070972</t>
        </is>
      </c>
      <c r="C2277" s="16" t="inlineStr">
        <is>
          <t>Shipped</t>
        </is>
      </c>
      <c r="D2277" s="16" t="inlineStr">
        <is>
          <t>128-06799937623670972</t>
        </is>
      </c>
      <c r="E2277" s="16" t="inlineStr">
        <is>
          <t>Shipped</t>
        </is>
      </c>
      <c r="F2277" s="16" t="inlineStr">
        <is>
          <t>LV54W25</t>
        </is>
      </c>
      <c r="G2277" s="16" t="inlineStr">
        <is>
          <t>TIANLAI Lámpara Ventilador E27 2 en 1, Silenciosa, LED Alta Luminosidad 180°, Instalación Rápida, Ahorro Energético para Dormitorio y Interiores Pequeños</t>
        </is>
      </c>
      <c r="H2277" s="16" t="inlineStr">
        <is>
          <t>1 Pieza</t>
        </is>
      </c>
      <c r="I2277" s="16" t="n">
        <v>3</v>
      </c>
      <c r="J2277" s="17" t="n">
        <v>223.5</v>
      </c>
      <c r="K2277" s="17" t="n">
        <v>230.13</v>
      </c>
      <c r="L2277" s="17" t="n">
        <v>0</v>
      </c>
      <c r="M2277" s="17" t="n">
        <v>0</v>
      </c>
      <c r="N2277" s="17">
        <f>K2277*0.08+L2277*0.08</f>
        <v/>
      </c>
      <c r="O2277" s="17">
        <f>-(K2277*0.025+L2277*0.025)</f>
        <v/>
      </c>
      <c r="P2277" s="17">
        <f>32</f>
        <v/>
      </c>
      <c r="Q2277" s="17">
        <f>J2277+L2277+N2277+O2277-P2277-M2277</f>
        <v/>
      </c>
    </row>
    <row r="2278">
      <c r="A2278" s="16" t="inlineStr">
        <is>
          <t>5.22-5.28</t>
        </is>
      </c>
      <c r="B2278" s="16" t="inlineStr">
        <is>
          <t>PO-128-06225067720313438</t>
        </is>
      </c>
      <c r="C2278" s="16" t="inlineStr">
        <is>
          <t>Shipped</t>
        </is>
      </c>
      <c r="D2278" s="16" t="inlineStr">
        <is>
          <t>128-06225083448953438</t>
        </is>
      </c>
      <c r="E2278" s="16" t="inlineStr">
        <is>
          <t>Shipped</t>
        </is>
      </c>
      <c r="F2278" s="16" t="inlineStr">
        <is>
          <t>LV54W25</t>
        </is>
      </c>
      <c r="G2278" s="16" t="inlineStr">
        <is>
          <t>TIANLAI Lámpara Ventilador E27 2 en 1, Silenciosa, LED Alta Luminosidad 180°, Instalación Rápida, Ahorro Energético para Dormitorio y Interiores Pequeños</t>
        </is>
      </c>
      <c r="H2278" s="16" t="inlineStr">
        <is>
          <t>1 Pieza</t>
        </is>
      </c>
      <c r="I2278" s="16" t="n">
        <v>5</v>
      </c>
      <c r="J2278" s="17" t="n">
        <v>372.5</v>
      </c>
      <c r="K2278" s="17" t="n">
        <v>383.55</v>
      </c>
      <c r="L2278" s="17" t="n">
        <v>0</v>
      </c>
      <c r="M2278" s="17" t="n">
        <v>0</v>
      </c>
      <c r="N2278" s="17">
        <f>K2278*0.08+L2278*0.08</f>
        <v/>
      </c>
      <c r="O2278" s="17">
        <f>-(K2278*0.025+L2278*0.025)</f>
        <v/>
      </c>
      <c r="P2278" s="17">
        <f>32</f>
        <v/>
      </c>
      <c r="Q2278" s="17">
        <f>J2278+L2278+N2278+O2278-P2278-M2278</f>
        <v/>
      </c>
    </row>
    <row r="2279">
      <c r="A2279" s="16" t="inlineStr">
        <is>
          <t>5.22-5.28</t>
        </is>
      </c>
      <c r="B2279" s="16" t="inlineStr">
        <is>
          <t>PO-128-06220024924793404</t>
        </is>
      </c>
      <c r="C2279" s="16" t="inlineStr">
        <is>
          <t>Shipped</t>
        </is>
      </c>
      <c r="D2279" s="16" t="inlineStr">
        <is>
          <t>128-06220129782393404</t>
        </is>
      </c>
      <c r="E2279" s="16" t="inlineStr">
        <is>
          <t>Shipped</t>
        </is>
      </c>
      <c r="F2279" s="16" t="inlineStr">
        <is>
          <t>KTS-2031</t>
        </is>
      </c>
      <c r="G2279" s="16" t="inlineStr">
        <is>
          <t>Bocina inalámbrica de 3 pulgadas con linterna multifuncional y panel solar integrado.Altavoz Portátil con Linterna LED 4 Modos, Radio FM, Bluetooth, Carga Solar, Ideal para Apagones, Emergencias, Campo y Exteriores</t>
        </is>
      </c>
      <c r="H2279" s="16" t="inlineStr">
        <is>
          <t>NEGRO</t>
        </is>
      </c>
      <c r="I2279" s="16" t="n">
        <v>4</v>
      </c>
      <c r="J2279" s="17" t="n">
        <v>360</v>
      </c>
      <c r="K2279" s="17" t="n">
        <v>396.88</v>
      </c>
      <c r="L2279" s="17" t="n">
        <v>0</v>
      </c>
      <c r="M2279" s="17" t="n">
        <v>0</v>
      </c>
      <c r="N2279" s="17">
        <f>K2279*0.08+L2279*0.08</f>
        <v/>
      </c>
      <c r="O2279" s="17">
        <f>-(K2279*0.025+L2279*0.025)</f>
        <v/>
      </c>
      <c r="P2279" s="17">
        <f>32</f>
        <v/>
      </c>
      <c r="Q2279" s="17">
        <f>J2279+L2279+N2279+O2279-P2279-M2279</f>
        <v/>
      </c>
    </row>
    <row r="2280">
      <c r="A2280" s="16" t="inlineStr">
        <is>
          <t>5.22-5.28</t>
        </is>
      </c>
      <c r="B2280" s="16" t="inlineStr">
        <is>
          <t>PO-128-06695863900791656</t>
        </is>
      </c>
      <c r="C2280" s="16" t="inlineStr">
        <is>
          <t>Shipped</t>
        </is>
      </c>
      <c r="D2280" s="16" t="inlineStr">
        <is>
          <t>128-06695905843831656</t>
        </is>
      </c>
      <c r="E2280" s="16" t="inlineStr">
        <is>
          <t>Shipped</t>
        </is>
      </c>
      <c r="F2280" s="16" t="inlineStr">
        <is>
          <t>LV64W25</t>
        </is>
      </c>
      <c r="G22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0" s="16" t="inlineStr">
        <is>
          <t>Blanco</t>
        </is>
      </c>
      <c r="I2280" s="16" t="n">
        <v>3</v>
      </c>
      <c r="J2280" s="17" t="n">
        <v>375</v>
      </c>
      <c r="K2280" s="17" t="n">
        <v>136.67</v>
      </c>
      <c r="L2280" s="17" t="n">
        <v>0</v>
      </c>
      <c r="M2280" s="17" t="n">
        <v>0</v>
      </c>
      <c r="N2280" s="17">
        <f>K2280*0.08+L2280*0.08</f>
        <v/>
      </c>
      <c r="O2280" s="17">
        <f>-(K2280*0.025+L2280*0.025)</f>
        <v/>
      </c>
      <c r="P2280" s="17">
        <f>32</f>
        <v/>
      </c>
      <c r="Q2280" s="17">
        <f>J2280+L2280+N2280+O2280-P2280-M2280</f>
        <v/>
      </c>
    </row>
    <row r="2281">
      <c r="A2281" s="16" t="inlineStr">
        <is>
          <t>5.22-5.28</t>
        </is>
      </c>
      <c r="B2281" s="16" t="inlineStr">
        <is>
          <t>PO-128-06849259402870742</t>
        </is>
      </c>
      <c r="C2281" s="16" t="inlineStr">
        <is>
          <t>Shipped</t>
        </is>
      </c>
      <c r="D2281" s="16" t="inlineStr">
        <is>
          <t>128-06849217459830742</t>
        </is>
      </c>
      <c r="E2281" s="16" t="inlineStr">
        <is>
          <t>Shipped</t>
        </is>
      </c>
      <c r="F2281" s="16" t="inlineStr">
        <is>
          <t>LV64W25</t>
        </is>
      </c>
      <c r="G22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1" s="16" t="inlineStr">
        <is>
          <t>Blanco</t>
        </is>
      </c>
      <c r="I2281" s="16" t="n">
        <v>2</v>
      </c>
      <c r="J2281" s="17" t="n">
        <v>250</v>
      </c>
      <c r="K2281" s="17" t="n">
        <v>257.88</v>
      </c>
      <c r="L2281" s="17" t="n">
        <v>0</v>
      </c>
      <c r="M2281" s="17" t="n">
        <v>0</v>
      </c>
      <c r="N2281" s="17">
        <f>K2281*0.08+L2281*0.08</f>
        <v/>
      </c>
      <c r="O2281" s="17">
        <f>-(K2281*0.025+L2281*0.025)</f>
        <v/>
      </c>
      <c r="P2281" s="17">
        <f>32</f>
        <v/>
      </c>
      <c r="Q2281" s="17">
        <f>J2281+L2281+N2281+O2281-P2281-M2281</f>
        <v/>
      </c>
    </row>
    <row r="2282">
      <c r="A2282" s="16" t="inlineStr">
        <is>
          <t>5.22-5.28</t>
        </is>
      </c>
      <c r="B2282" s="16" t="inlineStr">
        <is>
          <t>PO-128-06755592259190212</t>
        </is>
      </c>
      <c r="C2282" s="16" t="inlineStr">
        <is>
          <t>Shipped</t>
        </is>
      </c>
      <c r="D2282" s="16" t="inlineStr">
        <is>
          <t>128-06755539830390212</t>
        </is>
      </c>
      <c r="E2282" s="16" t="inlineStr">
        <is>
          <t>Shipped</t>
        </is>
      </c>
      <c r="F2282" s="16" t="inlineStr">
        <is>
          <t>LV54W25</t>
        </is>
      </c>
      <c r="G2282" s="16" t="inlineStr">
        <is>
          <t>TIANLAI Lámpara Ventilador E27 2 en 1, Silenciosa, LED Alta Luminosidad 180°, Instalación Rápida, Ahorro Energético para Dormitorio y Interiores Pequeños</t>
        </is>
      </c>
      <c r="H2282" s="16" t="inlineStr">
        <is>
          <t>1 Pieza</t>
        </is>
      </c>
      <c r="I2282" s="16" t="n">
        <v>1</v>
      </c>
      <c r="J2282" s="17" t="n">
        <v>74.5</v>
      </c>
      <c r="K2282" s="17" t="n">
        <v>76.70999999999999</v>
      </c>
      <c r="L2282" s="17" t="n">
        <v>25.86</v>
      </c>
      <c r="M2282" s="17" t="n">
        <v>0</v>
      </c>
      <c r="N2282" s="17">
        <f>K2282*0.08+L2282*0.08</f>
        <v/>
      </c>
      <c r="O2282" s="17">
        <f>-(K2282*0.025+L2282*0.025)</f>
        <v/>
      </c>
      <c r="P2282" s="17">
        <f>32</f>
        <v/>
      </c>
      <c r="Q2282" s="17">
        <f>J2282+L2282+N2282+O2282-P2282-M2282</f>
        <v/>
      </c>
    </row>
    <row r="2283">
      <c r="A2283" s="16" t="inlineStr">
        <is>
          <t>5.22-5.28</t>
        </is>
      </c>
      <c r="B2283" s="16" t="inlineStr">
        <is>
          <t>PO-128-06192161700473506</t>
        </is>
      </c>
      <c r="C2283" s="16" t="inlineStr">
        <is>
          <t>Shipped</t>
        </is>
      </c>
      <c r="D2283" s="16" t="inlineStr">
        <is>
          <t>128-06192140728953506</t>
        </is>
      </c>
      <c r="E2283" s="16" t="inlineStr">
        <is>
          <t>Shipped</t>
        </is>
      </c>
      <c r="F2283" s="16" t="inlineStr">
        <is>
          <t>LV54W25</t>
        </is>
      </c>
      <c r="G2283" s="16" t="inlineStr">
        <is>
          <t>TIANLAI Lámpara Ventilador E27 2 en 1, Silenciosa, LED Alta Luminosidad 180°, Instalación Rápida, Ahorro Energético para Dormitorio y Interiores Pequeños</t>
        </is>
      </c>
      <c r="H2283" s="16" t="inlineStr">
        <is>
          <t>1 Pieza</t>
        </is>
      </c>
      <c r="I2283" s="16" t="n">
        <v>5</v>
      </c>
      <c r="J2283" s="17" t="n">
        <v>390</v>
      </c>
      <c r="K2283" s="17" t="n">
        <v>392.3</v>
      </c>
      <c r="L2283" s="17" t="n">
        <v>0</v>
      </c>
      <c r="M2283" s="17" t="n">
        <v>0</v>
      </c>
      <c r="N2283" s="17">
        <f>K2283*0.08+L2283*0.08</f>
        <v/>
      </c>
      <c r="O2283" s="17">
        <f>-(K2283*0.025+L2283*0.025)</f>
        <v/>
      </c>
      <c r="P2283" s="17">
        <f>32</f>
        <v/>
      </c>
      <c r="Q2283" s="17">
        <f>J2283+L2283+N2283+O2283-P2283-M2283</f>
        <v/>
      </c>
    </row>
    <row r="2284">
      <c r="A2284" s="16" t="inlineStr">
        <is>
          <t>5.22-5.28</t>
        </is>
      </c>
      <c r="B2284" s="16" t="inlineStr">
        <is>
          <t>PO-128-06529618007671433</t>
        </is>
      </c>
      <c r="C2284" s="16" t="inlineStr">
        <is>
          <t>Shipped</t>
        </is>
      </c>
      <c r="D2284" s="16" t="inlineStr">
        <is>
          <t>128-06529686165111433</t>
        </is>
      </c>
      <c r="E2284" s="16" t="inlineStr">
        <is>
          <t>Shipped</t>
        </is>
      </c>
      <c r="F2284" s="16" t="inlineStr">
        <is>
          <t>LV64W25</t>
        </is>
      </c>
      <c r="G22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4" s="16" t="inlineStr">
        <is>
          <t>Blanco</t>
        </is>
      </c>
      <c r="I2284" s="16" t="n">
        <v>4</v>
      </c>
      <c r="J2284" s="17" t="n">
        <v>520</v>
      </c>
      <c r="K2284" s="17" t="n">
        <v>551.5599999999999</v>
      </c>
      <c r="L2284" s="17" t="n">
        <v>0</v>
      </c>
      <c r="M2284" s="17" t="n">
        <v>0</v>
      </c>
      <c r="N2284" s="17">
        <f>K2284*0.08+L2284*0.08</f>
        <v/>
      </c>
      <c r="O2284" s="17">
        <f>-(K2284*0.025+L2284*0.025)</f>
        <v/>
      </c>
      <c r="P2284" s="17">
        <f>32</f>
        <v/>
      </c>
      <c r="Q2284" s="17">
        <f>J2284+L2284+N2284+O2284-P2284-M2284</f>
        <v/>
      </c>
    </row>
    <row r="2285">
      <c r="A2285" s="16" t="inlineStr">
        <is>
          <t>5.22-5.28</t>
        </is>
      </c>
      <c r="B2285" s="16" t="inlineStr">
        <is>
          <t>PO-128-06613579372151122</t>
        </is>
      </c>
      <c r="C2285" s="16" t="inlineStr">
        <is>
          <t>Shipped</t>
        </is>
      </c>
      <c r="D2285" s="16" t="inlineStr">
        <is>
          <t>128-06613745178231122</t>
        </is>
      </c>
      <c r="E2285" s="16" t="inlineStr">
        <is>
          <t>Shipped</t>
        </is>
      </c>
      <c r="F2285" s="16" t="inlineStr">
        <is>
          <t>KTS-1369</t>
        </is>
      </c>
      <c r="G2285" s="16" t="inlineStr">
        <is>
          <t>Bocina 3 Pulgadas Portátil Bluetooth con Luces LED, Sonido Claro y Batería Larga Duración, TWS TF USB FM, Ideal para Hogar Oficina y Exterior</t>
        </is>
      </c>
      <c r="H2285" s="16" t="inlineStr">
        <is>
          <t>NEGRO</t>
        </is>
      </c>
      <c r="I2285" s="16" t="n">
        <v>1</v>
      </c>
      <c r="J2285" s="17" t="n">
        <v>52</v>
      </c>
      <c r="K2285" s="17" t="n">
        <v>9.83</v>
      </c>
      <c r="L2285" s="17" t="n">
        <v>25.86</v>
      </c>
      <c r="M2285" s="17" t="n">
        <v>0</v>
      </c>
      <c r="N2285" s="17">
        <f>K2285*0.08+L2285*0.08</f>
        <v/>
      </c>
      <c r="O2285" s="17">
        <f>-(K2285*0.025+L2285*0.025)</f>
        <v/>
      </c>
      <c r="P2285" s="17">
        <f>32</f>
        <v/>
      </c>
      <c r="Q2285" s="17">
        <f>J2285+L2285+N2285+O2285-P2285-M2285</f>
        <v/>
      </c>
    </row>
    <row r="2286">
      <c r="A2286" s="16" t="inlineStr">
        <is>
          <t>5.22-5.28</t>
        </is>
      </c>
      <c r="B2286" s="16" t="inlineStr">
        <is>
          <t>PO-128-06862830848630599</t>
        </is>
      </c>
      <c r="C2286" s="16" t="inlineStr">
        <is>
          <t>Shipped</t>
        </is>
      </c>
      <c r="D2286" s="16" t="inlineStr">
        <is>
          <t>128-06862851820150599</t>
        </is>
      </c>
      <c r="E2286" s="16" t="inlineStr">
        <is>
          <t>Shipped</t>
        </is>
      </c>
      <c r="F2286" s="16" t="inlineStr">
        <is>
          <t>LV64W25</t>
        </is>
      </c>
      <c r="G22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6" s="16" t="inlineStr">
        <is>
          <t>Blanco</t>
        </is>
      </c>
      <c r="I2286" s="16" t="n">
        <v>1</v>
      </c>
      <c r="J2286" s="17" t="n">
        <v>123.9</v>
      </c>
      <c r="K2286" s="17" t="n">
        <v>142.16</v>
      </c>
      <c r="L2286" s="17" t="n">
        <v>25.86</v>
      </c>
      <c r="M2286" s="17" t="n">
        <v>0</v>
      </c>
      <c r="N2286" s="17">
        <f>K2286*0.08+L2286*0.08</f>
        <v/>
      </c>
      <c r="O2286" s="17">
        <f>-(K2286*0.025+L2286*0.025)</f>
        <v/>
      </c>
      <c r="P2286" s="17">
        <f>32</f>
        <v/>
      </c>
      <c r="Q2286" s="17">
        <f>J2286+L2286+N2286+O2286-P2286-M2286</f>
        <v/>
      </c>
    </row>
    <row r="2287">
      <c r="A2287" s="16" t="inlineStr">
        <is>
          <t>5.22-5.28</t>
        </is>
      </c>
      <c r="B2287" s="16" t="inlineStr">
        <is>
          <t>PO-128-06677091338871768</t>
        </is>
      </c>
      <c r="C2287" s="16" t="inlineStr">
        <is>
          <t>Shipped</t>
        </is>
      </c>
      <c r="D2287" s="16" t="inlineStr">
        <is>
          <t>128-06677143767671768</t>
        </is>
      </c>
      <c r="E2287" s="16" t="inlineStr">
        <is>
          <t>Shipped</t>
        </is>
      </c>
      <c r="F2287" s="16" t="inlineStr">
        <is>
          <t>LV54W25</t>
        </is>
      </c>
      <c r="G2287" s="16" t="inlineStr">
        <is>
          <t>TIANLAI Lámpara Ventilador E27 2 en 1, Silenciosa, LED Alta Luminosidad 180°, Instalación Rápida, Ahorro Energético para Dormitorio y Interiores Pequeños</t>
        </is>
      </c>
      <c r="H2287" s="16" t="inlineStr">
        <is>
          <t>1 Pieza</t>
        </is>
      </c>
      <c r="I2287" s="16" t="n">
        <v>2</v>
      </c>
      <c r="J2287" s="17" t="n">
        <v>148.6</v>
      </c>
      <c r="K2287" s="17" t="n">
        <v>154.78</v>
      </c>
      <c r="L2287" s="17" t="n">
        <v>25.86</v>
      </c>
      <c r="M2287" s="17" t="n">
        <v>0</v>
      </c>
      <c r="N2287" s="17">
        <f>K2287*0.08+L2287*0.08</f>
        <v/>
      </c>
      <c r="O2287" s="17">
        <f>-(K2287*0.025+L2287*0.025)</f>
        <v/>
      </c>
      <c r="P2287" s="17">
        <f>32</f>
        <v/>
      </c>
      <c r="Q2287" s="17">
        <f>J2287+L2287+N2287+O2287-P2287-M2287</f>
        <v/>
      </c>
    </row>
    <row r="2288">
      <c r="A2288" s="16" t="inlineStr">
        <is>
          <t>5.22-5.28</t>
        </is>
      </c>
      <c r="B2288" s="16" t="inlineStr">
        <is>
          <t>PO-128-06430624507512087</t>
        </is>
      </c>
      <c r="C2288" s="16" t="inlineStr">
        <is>
          <t>Shipped</t>
        </is>
      </c>
      <c r="D2288" s="16" t="inlineStr">
        <is>
          <t>128-06430704461432087</t>
        </is>
      </c>
      <c r="E2288" s="16" t="inlineStr">
        <is>
          <t>Shipped</t>
        </is>
      </c>
      <c r="F2288" s="16" t="inlineStr">
        <is>
          <t>LV64W25</t>
        </is>
      </c>
      <c r="G22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8" s="16" t="inlineStr">
        <is>
          <t>Blanco</t>
        </is>
      </c>
      <c r="I2288" s="16" t="n">
        <v>6</v>
      </c>
      <c r="J2288" s="17" t="n">
        <v>743.4</v>
      </c>
      <c r="K2288" s="17" t="n">
        <v>793.26</v>
      </c>
      <c r="L2288" s="17" t="n">
        <v>0</v>
      </c>
      <c r="M2288" s="17" t="n">
        <v>0</v>
      </c>
      <c r="N2288" s="17">
        <f>K2288*0.08+L2288*0.08</f>
        <v/>
      </c>
      <c r="O2288" s="17">
        <f>-(K2288*0.025+L2288*0.025)</f>
        <v/>
      </c>
      <c r="P2288" s="17">
        <f>32</f>
        <v/>
      </c>
      <c r="Q2288" s="17">
        <f>J2288+L2288+N2288+O2288-P2288-M2288</f>
        <v/>
      </c>
    </row>
    <row r="2289">
      <c r="A2289" s="16" t="inlineStr">
        <is>
          <t>5.22-5.28</t>
        </is>
      </c>
      <c r="B2289" s="16" t="inlineStr">
        <is>
          <t>PO-128-06215373609593368</t>
        </is>
      </c>
      <c r="C2289" s="16" t="inlineStr">
        <is>
          <t>Shipped</t>
        </is>
      </c>
      <c r="D2289" s="16" t="inlineStr">
        <is>
          <t>128-06215327734393368</t>
        </is>
      </c>
      <c r="E2289" s="16" t="inlineStr">
        <is>
          <t>Shipped</t>
        </is>
      </c>
      <c r="F2289" s="16" t="inlineStr">
        <is>
          <t>LV64W25</t>
        </is>
      </c>
      <c r="G22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89" s="16" t="inlineStr">
        <is>
          <t>Blanco</t>
        </is>
      </c>
      <c r="I2289" s="16" t="n">
        <v>1</v>
      </c>
      <c r="J2289" s="17" t="n">
        <v>123.9</v>
      </c>
      <c r="K2289" s="17" t="n">
        <v>133.36</v>
      </c>
      <c r="L2289" s="17" t="n">
        <v>25.86</v>
      </c>
      <c r="M2289" s="17" t="n">
        <v>0</v>
      </c>
      <c r="N2289" s="17">
        <f>K2289*0.08+L2289*0.08</f>
        <v/>
      </c>
      <c r="O2289" s="17">
        <f>-(K2289*0.025+L2289*0.025)</f>
        <v/>
      </c>
      <c r="P2289" s="17">
        <f>32</f>
        <v/>
      </c>
      <c r="Q2289" s="17">
        <f>J2289+L2289+N2289+O2289-P2289-M2289</f>
        <v/>
      </c>
    </row>
    <row r="2290">
      <c r="A2290" s="16" t="inlineStr">
        <is>
          <t>5.22-5.28</t>
        </is>
      </c>
      <c r="B2290" s="16" t="inlineStr">
        <is>
          <t>PO-128-06459425935993067</t>
        </is>
      </c>
      <c r="C2290" s="16" t="inlineStr">
        <is>
          <t>Shipped</t>
        </is>
      </c>
      <c r="D2290" s="16" t="inlineStr">
        <is>
          <t>128-06459446907513067</t>
        </is>
      </c>
      <c r="E2290" s="16" t="inlineStr">
        <is>
          <t>Shipped</t>
        </is>
      </c>
      <c r="F2290" s="16" t="inlineStr">
        <is>
          <t>TL2663N18C</t>
        </is>
      </c>
      <c r="G2290" s="16" t="inlineStr">
        <is>
          <t>Linkbits，Soporte de pared fijo para televisores de 26"-63", Ultra-Delgado Compatible con VESA 400x400mm, Capacidad de Peso Fuerte de 25KG, Instalación Fácil Sin Electricidad</t>
        </is>
      </c>
      <c r="H2290" s="16" t="inlineStr">
        <is>
          <t>NEGRO</t>
        </is>
      </c>
      <c r="I2290" s="16" t="n">
        <v>6</v>
      </c>
      <c r="J2290" s="17" t="n">
        <v>324</v>
      </c>
      <c r="K2290" s="17" t="n">
        <v>413.82</v>
      </c>
      <c r="L2290" s="17" t="n">
        <v>0</v>
      </c>
      <c r="M2290" s="17" t="n">
        <v>0</v>
      </c>
      <c r="N2290" s="17">
        <f>K2290*0.08+L2290*0.08</f>
        <v/>
      </c>
      <c r="O2290" s="17">
        <f>-(K2290*0.025+L2290*0.025)</f>
        <v/>
      </c>
      <c r="P2290" s="17">
        <f>32</f>
        <v/>
      </c>
      <c r="Q2290" s="17">
        <f>J2290+L2290+N2290+O2290-P2290-M2290</f>
        <v/>
      </c>
    </row>
    <row r="2291">
      <c r="A2291" s="16" t="inlineStr">
        <is>
          <t>5.22-5.28</t>
        </is>
      </c>
      <c r="B2291" s="16" t="inlineStr">
        <is>
          <t>PO-128-06272450560633988</t>
        </is>
      </c>
      <c r="C2291" s="16" t="inlineStr">
        <is>
          <t>Shipped</t>
        </is>
      </c>
      <c r="D2291" s="16" t="inlineStr">
        <is>
          <t>128-06272471532153988</t>
        </is>
      </c>
      <c r="E2291" s="16" t="inlineStr">
        <is>
          <t>Shipped</t>
        </is>
      </c>
      <c r="F2291" s="16" t="inlineStr">
        <is>
          <t>B03W10-10PZS</t>
        </is>
      </c>
      <c r="G229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291" s="16" t="inlineStr">
        <is>
          <t>B03W10</t>
        </is>
      </c>
      <c r="I2291" s="16" t="n">
        <v>1</v>
      </c>
      <c r="J2291" s="17" t="n">
        <v>66</v>
      </c>
      <c r="K2291" s="17" t="n">
        <v>73.42</v>
      </c>
      <c r="L2291" s="17" t="n">
        <v>25.86</v>
      </c>
      <c r="M2291" s="17" t="n">
        <v>0</v>
      </c>
      <c r="N2291" s="17">
        <f>K2291*0.08+L2291*0.08</f>
        <v/>
      </c>
      <c r="O2291" s="17">
        <f>-(K2291*0.025+L2291*0.025)</f>
        <v/>
      </c>
      <c r="P2291" s="17">
        <f>32</f>
        <v/>
      </c>
      <c r="Q2291" s="17">
        <f>J2291+L2291+N2291+O2291-P2291-M2291</f>
        <v/>
      </c>
    </row>
    <row r="2292">
      <c r="A2292" s="16" t="inlineStr">
        <is>
          <t>5.22-5.28</t>
        </is>
      </c>
      <c r="B2292" s="16" t="inlineStr">
        <is>
          <t>PO-128-06696924252791650</t>
        </is>
      </c>
      <c r="C2292" s="16" t="inlineStr">
        <is>
          <t>Shipped</t>
        </is>
      </c>
      <c r="D2292" s="16" t="inlineStr">
        <is>
          <t>128-06696882309751650</t>
        </is>
      </c>
      <c r="E2292" s="16" t="inlineStr">
        <is>
          <t>Shipped</t>
        </is>
      </c>
      <c r="F2292" s="16" t="inlineStr">
        <is>
          <t>KTS-2031</t>
        </is>
      </c>
      <c r="G2292" s="16" t="inlineStr">
        <is>
          <t>Bocina inalámbrica de 3 pulgadas con linterna multifuncional y panel solar integrado.Altavoz Portátil con Linterna LED 4 Modos, Radio FM, Bluetooth, Carga Solar, Ideal para Apagones, Emergencias, Campo y Exteriores</t>
        </is>
      </c>
      <c r="H2292" s="16" t="inlineStr">
        <is>
          <t>NEGRO</t>
        </is>
      </c>
      <c r="I2292" s="16" t="n">
        <v>1</v>
      </c>
      <c r="J2292" s="17" t="n">
        <v>85</v>
      </c>
      <c r="K2292" s="17" t="n">
        <v>94.22</v>
      </c>
      <c r="L2292" s="17" t="n">
        <v>25.86</v>
      </c>
      <c r="M2292" s="17" t="n">
        <v>0</v>
      </c>
      <c r="N2292" s="17">
        <f>K2292*0.08+L2292*0.08</f>
        <v/>
      </c>
      <c r="O2292" s="17">
        <f>-(K2292*0.025+L2292*0.025)</f>
        <v/>
      </c>
      <c r="P2292" s="17">
        <f>32</f>
        <v/>
      </c>
      <c r="Q2292" s="17">
        <f>J2292+L2292+N2292+O2292-P2292-M2292</f>
        <v/>
      </c>
    </row>
    <row r="2293">
      <c r="A2293" s="16" t="inlineStr">
        <is>
          <t>5.22-5.28</t>
        </is>
      </c>
      <c r="B2293" s="16" t="inlineStr">
        <is>
          <t>PO-128-06728384051830310</t>
        </is>
      </c>
      <c r="C2293" s="16" t="inlineStr">
        <is>
          <t>Shipped</t>
        </is>
      </c>
      <c r="D2293" s="16" t="inlineStr">
        <is>
          <t>128-06728425994870310</t>
        </is>
      </c>
      <c r="E2293" s="16" t="inlineStr">
        <is>
          <t>Shipped</t>
        </is>
      </c>
      <c r="F2293" s="16" t="inlineStr">
        <is>
          <t>KTS-2031</t>
        </is>
      </c>
      <c r="G2293" s="16" t="inlineStr">
        <is>
          <t>Bocina inalámbrica de 3 pulgadas con linterna multifuncional y panel solar integrado.Altavoz Portátil con Linterna LED 4 Modos, Radio FM, Bluetooth, Carga Solar, Ideal para Apagones, Emergencias, Campo y Exteriores</t>
        </is>
      </c>
      <c r="H2293" s="16" t="inlineStr">
        <is>
          <t>NEGRO</t>
        </is>
      </c>
      <c r="I2293" s="16" t="n">
        <v>3</v>
      </c>
      <c r="J2293" s="17" t="n">
        <v>255</v>
      </c>
      <c r="K2293" s="17" t="n">
        <v>282.66</v>
      </c>
      <c r="L2293" s="17" t="n">
        <v>0</v>
      </c>
      <c r="M2293" s="17" t="n">
        <v>0</v>
      </c>
      <c r="N2293" s="17">
        <f>K2293*0.08+L2293*0.08</f>
        <v/>
      </c>
      <c r="O2293" s="17">
        <f>-(K2293*0.025+L2293*0.025)</f>
        <v/>
      </c>
      <c r="P2293" s="17">
        <f>32</f>
        <v/>
      </c>
      <c r="Q2293" s="17">
        <f>J2293+L2293+N2293+O2293-P2293-M2293</f>
        <v/>
      </c>
    </row>
    <row r="2294">
      <c r="A2294" s="16" t="inlineStr">
        <is>
          <t>5.22-5.28</t>
        </is>
      </c>
      <c r="B2294" s="16" t="inlineStr">
        <is>
          <t>PO-128-06714414398070459</t>
        </is>
      </c>
      <c r="C2294" s="16" t="inlineStr">
        <is>
          <t>Shipped</t>
        </is>
      </c>
      <c r="D2294" s="16" t="inlineStr">
        <is>
          <t>128-06714574305910459</t>
        </is>
      </c>
      <c r="E2294" s="16" t="inlineStr">
        <is>
          <t>Shipped</t>
        </is>
      </c>
      <c r="F2294" s="16" t="inlineStr">
        <is>
          <t>LV54W25</t>
        </is>
      </c>
      <c r="G2294" s="16" t="inlineStr">
        <is>
          <t>TIANLAI Lámpara Ventilador E27 2 en 1, Silenciosa, LED Alta Luminosidad 180°, Instalación Rápida, Ahorro Energético para Dormitorio y Interiores Pequeños</t>
        </is>
      </c>
      <c r="H2294" s="16" t="inlineStr">
        <is>
          <t>1 Pieza</t>
        </is>
      </c>
      <c r="I2294" s="16" t="n">
        <v>3</v>
      </c>
      <c r="J2294" s="17" t="n">
        <v>222.9</v>
      </c>
      <c r="K2294" s="17" t="n">
        <v>232.17</v>
      </c>
      <c r="L2294" s="17" t="n">
        <v>0</v>
      </c>
      <c r="M2294" s="17" t="n">
        <v>0</v>
      </c>
      <c r="N2294" s="17">
        <f>K2294*0.08+L2294*0.08</f>
        <v/>
      </c>
      <c r="O2294" s="17">
        <f>-(K2294*0.025+L2294*0.025)</f>
        <v/>
      </c>
      <c r="P2294" s="17">
        <f>32</f>
        <v/>
      </c>
      <c r="Q2294" s="17">
        <f>J2294+L2294+N2294+O2294-P2294-M2294</f>
        <v/>
      </c>
    </row>
    <row r="2295">
      <c r="A2295" s="16" t="inlineStr">
        <is>
          <t>5.22-5.28</t>
        </is>
      </c>
      <c r="B2295" s="16" t="inlineStr">
        <is>
          <t>PO-128-06606534615671100</t>
        </is>
      </c>
      <c r="C2295" s="16" t="inlineStr">
        <is>
          <t>Shipped</t>
        </is>
      </c>
      <c r="D2295" s="16" t="inlineStr">
        <is>
          <t>128-06606698455671100</t>
        </is>
      </c>
      <c r="E2295" s="16" t="inlineStr">
        <is>
          <t>Shipped</t>
        </is>
      </c>
      <c r="F2295" s="16" t="inlineStr">
        <is>
          <t>LV64W25</t>
        </is>
      </c>
      <c r="G22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95" s="16" t="inlineStr">
        <is>
          <t>Blanco</t>
        </is>
      </c>
      <c r="I2295" s="16" t="n">
        <v>1</v>
      </c>
      <c r="J2295" s="17" t="n">
        <v>123.9</v>
      </c>
      <c r="K2295" s="17" t="n">
        <v>132.21</v>
      </c>
      <c r="L2295" s="17" t="n">
        <v>25.86</v>
      </c>
      <c r="M2295" s="17" t="n">
        <v>0</v>
      </c>
      <c r="N2295" s="17">
        <f>K2295*0.08+L2295*0.08</f>
        <v/>
      </c>
      <c r="O2295" s="17">
        <f>-(K2295*0.025+L2295*0.025)</f>
        <v/>
      </c>
      <c r="P2295" s="17">
        <f>32</f>
        <v/>
      </c>
      <c r="Q2295" s="17">
        <f>J2295+L2295+N2295+O2295-P2295-M2295</f>
        <v/>
      </c>
    </row>
    <row r="2296">
      <c r="A2296" s="16" t="inlineStr">
        <is>
          <t>5.22-5.28</t>
        </is>
      </c>
      <c r="B2296" s="16" t="inlineStr">
        <is>
          <t>PO-128-06508992860792578</t>
        </is>
      </c>
      <c r="C2296" s="16" t="inlineStr">
        <is>
          <t>Shipped</t>
        </is>
      </c>
      <c r="D2296" s="16" t="inlineStr">
        <is>
          <t>128-06509045289592578</t>
        </is>
      </c>
      <c r="E2296" s="16" t="inlineStr">
        <is>
          <t>Shipped</t>
        </is>
      </c>
      <c r="F2296" s="16" t="inlineStr">
        <is>
          <t>LV54W25</t>
        </is>
      </c>
      <c r="G2296" s="16" t="inlineStr">
        <is>
          <t>TIANLAI Lámpara Ventilador E27 2 en 1, Silenciosa, LED Alta Luminosidad 180°, Instalación Rápida, Ahorro Energético para Dormitorio y Interiores Pequeños</t>
        </is>
      </c>
      <c r="H2296" s="16" t="inlineStr">
        <is>
          <t>1 Pieza</t>
        </is>
      </c>
      <c r="I2296" s="16" t="n">
        <v>1</v>
      </c>
      <c r="J2296" s="17" t="n">
        <v>74.3</v>
      </c>
      <c r="K2296" s="17" t="n">
        <v>77.39</v>
      </c>
      <c r="L2296" s="17" t="n">
        <v>25.86</v>
      </c>
      <c r="M2296" s="17" t="n">
        <v>0</v>
      </c>
      <c r="N2296" s="17">
        <f>K2296*0.08+L2296*0.08</f>
        <v/>
      </c>
      <c r="O2296" s="17">
        <f>-(K2296*0.025+L2296*0.025)</f>
        <v/>
      </c>
      <c r="P2296" s="17">
        <f>32</f>
        <v/>
      </c>
      <c r="Q2296" s="17">
        <f>J2296+L2296+N2296+O2296-P2296-M2296</f>
        <v/>
      </c>
    </row>
    <row r="2297">
      <c r="A2297" s="16" t="inlineStr">
        <is>
          <t>5.22-5.28</t>
        </is>
      </c>
      <c r="B2297" s="16" t="inlineStr">
        <is>
          <t>PO-128-12027681400951428</t>
        </is>
      </c>
      <c r="C2297" s="16" t="inlineStr">
        <is>
          <t>Shipped</t>
        </is>
      </c>
      <c r="D2297" s="16" t="inlineStr">
        <is>
          <t>128-12027733829751428</t>
        </is>
      </c>
      <c r="E2297" s="16" t="inlineStr">
        <is>
          <t>Shipped</t>
        </is>
      </c>
      <c r="F2297" s="16" t="inlineStr">
        <is>
          <t>LV54W25</t>
        </is>
      </c>
      <c r="G2297" s="16" t="inlineStr">
        <is>
          <t>TIANLAI Lámpara Ventilador E27 2 en 1, Silenciosa, LED Alta Luminosidad 180°, Instalación Rápida, Ahorro Energético para Dormitorio y Interiores Pequeños</t>
        </is>
      </c>
      <c r="H2297" s="16" t="inlineStr">
        <is>
          <t>1 Pieza</t>
        </is>
      </c>
      <c r="I2297" s="16" t="n">
        <v>1</v>
      </c>
      <c r="J2297" s="17" t="n">
        <v>74.3</v>
      </c>
      <c r="K2297" s="17" t="n">
        <v>77.39</v>
      </c>
      <c r="L2297" s="17" t="n">
        <v>25.86</v>
      </c>
      <c r="M2297" s="17" t="n">
        <v>0</v>
      </c>
      <c r="N2297" s="17">
        <f>K2297*0.08+L2297*0.08</f>
        <v/>
      </c>
      <c r="O2297" s="17">
        <f>-(K2297*0.025+L2297*0.025)</f>
        <v/>
      </c>
      <c r="P2297" s="17">
        <f>32</f>
        <v/>
      </c>
      <c r="Q2297" s="17">
        <f>J2297+L2297+N2297+O2297-P2297-M2297</f>
        <v/>
      </c>
    </row>
    <row r="2298">
      <c r="A2298" s="16" t="inlineStr">
        <is>
          <t>5.22-5.28</t>
        </is>
      </c>
      <c r="B2298" s="16" t="inlineStr">
        <is>
          <t>PO-128-11756104200313113</t>
        </is>
      </c>
      <c r="C2298" s="16" t="inlineStr">
        <is>
          <t>Shipped</t>
        </is>
      </c>
      <c r="D2298" s="16" t="inlineStr">
        <is>
          <t>128-11756093714553113</t>
        </is>
      </c>
      <c r="E2298" s="16" t="inlineStr">
        <is>
          <t>Shipped</t>
        </is>
      </c>
      <c r="F2298" s="16" t="inlineStr">
        <is>
          <t>LV54W25</t>
        </is>
      </c>
      <c r="G2298" s="16" t="inlineStr">
        <is>
          <t>TIANLAI Lámpara Ventilador E27 2 en 1, Silenciosa, LED Alta Luminosidad 180°, Instalación Rápida, Ahorro Energético para Dormitorio y Interiores Pequeños</t>
        </is>
      </c>
      <c r="H2298" s="16" t="inlineStr">
        <is>
          <t>1 Pieza</t>
        </is>
      </c>
      <c r="I2298" s="16" t="n">
        <v>1</v>
      </c>
      <c r="J2298" s="17" t="n">
        <v>74.3</v>
      </c>
      <c r="K2298" s="17" t="n">
        <v>85.98</v>
      </c>
      <c r="L2298" s="17" t="n">
        <v>25.86</v>
      </c>
      <c r="M2298" s="17" t="n">
        <v>0</v>
      </c>
      <c r="N2298" s="17">
        <f>K2298*0.08+L2298*0.08</f>
        <v/>
      </c>
      <c r="O2298" s="17">
        <f>-(K2298*0.025+L2298*0.025)</f>
        <v/>
      </c>
      <c r="P2298" s="17">
        <f>32</f>
        <v/>
      </c>
      <c r="Q2298" s="17">
        <f>J2298+L2298+N2298+O2298-P2298-M2298</f>
        <v/>
      </c>
    </row>
    <row r="2299">
      <c r="A2299" s="16" t="inlineStr">
        <is>
          <t>5.22-5.28</t>
        </is>
      </c>
      <c r="B2299" s="16" t="inlineStr">
        <is>
          <t>PO-128-12056002803831325</t>
        </is>
      </c>
      <c r="C2299" s="16" t="inlineStr">
        <is>
          <t>Shipped</t>
        </is>
      </c>
      <c r="D2299" s="16" t="inlineStr">
        <is>
          <t>128-12055981832311325</t>
        </is>
      </c>
      <c r="E2299" s="16" t="inlineStr">
        <is>
          <t>Shipped</t>
        </is>
      </c>
      <c r="F2299" s="16" t="inlineStr">
        <is>
          <t>LV64W25</t>
        </is>
      </c>
      <c r="G22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299" s="16" t="inlineStr">
        <is>
          <t>Blanco</t>
        </is>
      </c>
      <c r="I2299" s="16" t="n">
        <v>3</v>
      </c>
      <c r="J2299" s="17" t="n">
        <v>371.7</v>
      </c>
      <c r="K2299" s="17" t="n">
        <v>426.48</v>
      </c>
      <c r="L2299" s="17" t="n">
        <v>0</v>
      </c>
      <c r="M2299" s="17" t="n">
        <v>0</v>
      </c>
      <c r="N2299" s="17">
        <f>K2299*0.08+L2299*0.08</f>
        <v/>
      </c>
      <c r="O2299" s="17">
        <f>-(K2299*0.025+L2299*0.025)</f>
        <v/>
      </c>
      <c r="P2299" s="17">
        <f>32</f>
        <v/>
      </c>
      <c r="Q2299" s="17">
        <f>J2299+L2299+N2299+O2299-P2299-M2299</f>
        <v/>
      </c>
    </row>
    <row r="2300">
      <c r="A2300" s="16" t="inlineStr">
        <is>
          <t>5.22-5.28</t>
        </is>
      </c>
      <c r="B2300" s="16" t="inlineStr">
        <is>
          <t>PO-128-11954537347193016</t>
        </is>
      </c>
      <c r="C2300" s="16" t="inlineStr">
        <is>
          <t>Shipped</t>
        </is>
      </c>
      <c r="D2300" s="16" t="inlineStr">
        <is>
          <t>128-11954589775993016</t>
        </is>
      </c>
      <c r="E2300" s="16" t="inlineStr">
        <is>
          <t>Shipped</t>
        </is>
      </c>
      <c r="F2300" s="16" t="inlineStr">
        <is>
          <t>LV54W25</t>
        </is>
      </c>
      <c r="G2300" s="16" t="inlineStr">
        <is>
          <t>TIANLAI Lámpara Ventilador E27 2 en 1, Silenciosa, LED Alta Luminosidad 180°, Instalación Rápida, Ahorro Energético para Dormitorio y Interiores Pequeños</t>
        </is>
      </c>
      <c r="H2300" s="16" t="inlineStr">
        <is>
          <t>1 Pieza</t>
        </is>
      </c>
      <c r="I2300" s="16" t="n">
        <v>4</v>
      </c>
      <c r="J2300" s="17" t="n">
        <v>297.2</v>
      </c>
      <c r="K2300" s="17" t="n">
        <v>275.13</v>
      </c>
      <c r="L2300" s="17" t="n">
        <v>0</v>
      </c>
      <c r="M2300" s="17" t="n">
        <v>0</v>
      </c>
      <c r="N2300" s="17">
        <f>K2300*0.08+L2300*0.08</f>
        <v/>
      </c>
      <c r="O2300" s="17">
        <f>-(K2300*0.025+L2300*0.025)</f>
        <v/>
      </c>
      <c r="P2300" s="17">
        <f>32</f>
        <v/>
      </c>
      <c r="Q2300" s="17">
        <f>J2300+L2300+N2300+O2300-P2300-M2300</f>
        <v/>
      </c>
    </row>
    <row r="2301">
      <c r="A2301" s="16" t="inlineStr">
        <is>
          <t>5.22-5.28</t>
        </is>
      </c>
      <c r="B2301" s="16" t="inlineStr">
        <is>
          <t>PO-128-11784557269114095</t>
        </is>
      </c>
      <c r="C2301" s="16" t="inlineStr">
        <is>
          <t>Shipped</t>
        </is>
      </c>
      <c r="D2301" s="16" t="inlineStr">
        <is>
          <t>128-11784515326074095</t>
        </is>
      </c>
      <c r="E2301" s="16" t="inlineStr">
        <is>
          <t>Shipped</t>
        </is>
      </c>
      <c r="F2301" s="16" t="inlineStr">
        <is>
          <t>LV54W25</t>
        </is>
      </c>
      <c r="G2301" s="16" t="inlineStr">
        <is>
          <t>TIANLAI Lámpara Ventilador E27 2 en 1, Silenciosa, LED Alta Luminosidad 180°, Instalación Rápida, Ahorro Energético para Dormitorio y Interiores Pequeños</t>
        </is>
      </c>
      <c r="H2301" s="16" t="inlineStr">
        <is>
          <t>1 Pieza</t>
        </is>
      </c>
      <c r="I2301" s="16" t="n">
        <v>3</v>
      </c>
      <c r="J2301" s="17" t="n">
        <v>222.9</v>
      </c>
      <c r="K2301" s="17" t="n">
        <v>232.17</v>
      </c>
      <c r="L2301" s="17" t="n">
        <v>0</v>
      </c>
      <c r="M2301" s="17" t="n">
        <v>0</v>
      </c>
      <c r="N2301" s="17">
        <f>K2301*0.08+L2301*0.08</f>
        <v/>
      </c>
      <c r="O2301" s="17">
        <f>-(K2301*0.025+L2301*0.025)</f>
        <v/>
      </c>
      <c r="P2301" s="17">
        <f>32</f>
        <v/>
      </c>
      <c r="Q2301" s="17">
        <f>J2301+L2301+N2301+O2301-P2301-M2301</f>
        <v/>
      </c>
    </row>
    <row r="2302">
      <c r="A2302" s="16" t="inlineStr">
        <is>
          <t>5.22-5.28</t>
        </is>
      </c>
      <c r="B2302" s="16" t="inlineStr">
        <is>
          <t>PO-128-11967001321592878</t>
        </is>
      </c>
      <c r="C2302" s="16" t="inlineStr">
        <is>
          <t>Shipped</t>
        </is>
      </c>
      <c r="D2302" s="16" t="inlineStr">
        <is>
          <t>128-11966959378552878</t>
        </is>
      </c>
      <c r="E2302" s="16" t="inlineStr">
        <is>
          <t>Shipped</t>
        </is>
      </c>
      <c r="F2302" s="16" t="inlineStr">
        <is>
          <t>LV54W25</t>
        </is>
      </c>
      <c r="G2302" s="16" t="inlineStr">
        <is>
          <t>TIANLAI Lámpara Ventilador E27 2 en 1, Silenciosa, LED Alta Luminosidad 180°, Instalación Rápida, Ahorro Energético para Dormitorio y Interiores Pequeños</t>
        </is>
      </c>
      <c r="H2302" s="16" t="inlineStr">
        <is>
          <t>1 Pieza</t>
        </is>
      </c>
      <c r="I2302" s="16" t="n">
        <v>1</v>
      </c>
      <c r="J2302" s="17" t="n">
        <v>74.3</v>
      </c>
      <c r="K2302" s="17" t="n">
        <v>85.98</v>
      </c>
      <c r="L2302" s="17" t="n">
        <v>25.86</v>
      </c>
      <c r="M2302" s="17" t="n">
        <v>0</v>
      </c>
      <c r="N2302" s="17">
        <f>K2302*0.08+L2302*0.08</f>
        <v/>
      </c>
      <c r="O2302" s="17">
        <f>-(K2302*0.025+L2302*0.025)</f>
        <v/>
      </c>
      <c r="P2302" s="17">
        <f>32</f>
        <v/>
      </c>
      <c r="Q2302" s="17">
        <f>J2302+L2302+N2302+O2302-P2302-M2302</f>
        <v/>
      </c>
    </row>
    <row r="2303">
      <c r="A2303" s="16" t="inlineStr">
        <is>
          <t>5.22-5.28</t>
        </is>
      </c>
      <c r="B2303" s="16" t="inlineStr">
        <is>
          <t>PO-128-11693838974073546</t>
        </is>
      </c>
      <c r="C2303" s="16" t="inlineStr">
        <is>
          <t>Shipped</t>
        </is>
      </c>
      <c r="D2303" s="16" t="inlineStr">
        <is>
          <t>128-11693859945593546</t>
        </is>
      </c>
      <c r="E2303" s="16" t="inlineStr">
        <is>
          <t>Shipped</t>
        </is>
      </c>
      <c r="F2303" s="16" t="inlineStr">
        <is>
          <t>LV54W25</t>
        </is>
      </c>
      <c r="G2303" s="16" t="inlineStr">
        <is>
          <t>TIANLAI Lámpara Ventilador E27 2 en 1, Silenciosa, LED Alta Luminosidad 180°, Instalación Rápida, Ahorro Energético para Dormitorio y Interiores Pequeños</t>
        </is>
      </c>
      <c r="H2303" s="16" t="inlineStr">
        <is>
          <t>1 Pieza</t>
        </is>
      </c>
      <c r="I2303" s="16" t="n">
        <v>1</v>
      </c>
      <c r="J2303" s="17" t="n">
        <v>74.3</v>
      </c>
      <c r="K2303" s="17" t="n">
        <v>1.52</v>
      </c>
      <c r="L2303" s="17" t="n">
        <v>25.86</v>
      </c>
      <c r="M2303" s="17" t="n">
        <v>0.01</v>
      </c>
      <c r="N2303" s="17">
        <f>K2303*0.08+L2303*0.08</f>
        <v/>
      </c>
      <c r="O2303" s="17">
        <f>-(K2303*0.025+L2303*0.025)</f>
        <v/>
      </c>
      <c r="P2303" s="17">
        <f>32</f>
        <v/>
      </c>
      <c r="Q2303" s="17">
        <f>J2303+L2303+N2303+O2303-P2303-M2303</f>
        <v/>
      </c>
    </row>
    <row r="2304">
      <c r="A2304" s="16" t="inlineStr">
        <is>
          <t>5.22-5.28</t>
        </is>
      </c>
      <c r="B2304" s="16" t="inlineStr">
        <is>
          <t>PO-128-12280359765110114</t>
        </is>
      </c>
      <c r="C2304" s="16" t="inlineStr">
        <is>
          <t>Shipped</t>
        </is>
      </c>
      <c r="D2304" s="16" t="inlineStr">
        <is>
          <t>128-12280380736630114</t>
        </is>
      </c>
      <c r="E2304" s="16" t="inlineStr">
        <is>
          <t>Shipped</t>
        </is>
      </c>
      <c r="F2304" s="16" t="inlineStr">
        <is>
          <t>BSC07</t>
        </is>
      </c>
      <c r="G2304" s="16" t="inlineStr">
        <is>
          <t>TIANLAI Báscula Digital BSC04/BSC07, Alta Precisión, Fácil Operación, Ligera y Portátil, Función Tara, Unidad Dual oz/g, Ideal para Cocina, Control de Porciones, Sellos y Objetos Pequeños, Uso en Hogar y Viaje</t>
        </is>
      </c>
      <c r="H2304" s="16" t="inlineStr">
        <is>
          <t>1g/White</t>
        </is>
      </c>
      <c r="I2304" s="16" t="n">
        <v>10</v>
      </c>
      <c r="J2304" s="17" t="n">
        <v>350</v>
      </c>
      <c r="K2304" s="17" t="n">
        <v>472.2</v>
      </c>
      <c r="L2304" s="17" t="n">
        <v>0</v>
      </c>
      <c r="M2304" s="17" t="n">
        <v>0</v>
      </c>
      <c r="N2304" s="17">
        <f>K2304*0.08+L2304*0.08</f>
        <v/>
      </c>
      <c r="O2304" s="17">
        <f>-(K2304*0.025+L2304*0.025)</f>
        <v/>
      </c>
      <c r="P2304" s="17">
        <f>32</f>
        <v/>
      </c>
      <c r="Q2304" s="17">
        <f>J2304+L2304+N2304+O2304-P2304-M2304</f>
        <v/>
      </c>
    </row>
    <row r="2305">
      <c r="A2305" s="16" t="inlineStr">
        <is>
          <t>5.22-5.28</t>
        </is>
      </c>
      <c r="B2305" s="16" t="inlineStr">
        <is>
          <t>PO-128-11993058435192722</t>
        </is>
      </c>
      <c r="C2305" s="16" t="inlineStr">
        <is>
          <t>Shipped</t>
        </is>
      </c>
      <c r="D2305" s="16" t="inlineStr">
        <is>
          <t>128-11993037463672722</t>
        </is>
      </c>
      <c r="E2305" s="16" t="inlineStr">
        <is>
          <t>Shipped</t>
        </is>
      </c>
      <c r="F2305" s="16" t="inlineStr">
        <is>
          <t>TL1455N20B</t>
        </is>
      </c>
      <c r="G2305" s="16" t="inlineStr">
        <is>
          <t>LINK BITS Soporte para TV 14 A 55 Pulgadas, Base para TV Pantalla Articulado Inclinable y Giratorio, MAX VESA 400×400 mm, Soporta hasta 18kg, adaptarse a la mayoría de los televisores de 14 Pulgadas/20 Pulgadas/32 Pulgadas/42 Pulgadas/55 pulgadas</t>
        </is>
      </c>
      <c r="H2305" s="16" t="inlineStr">
        <is>
          <t>TL1455N20B</t>
        </is>
      </c>
      <c r="I2305" s="16" t="n">
        <v>1</v>
      </c>
      <c r="J2305" s="17" t="n">
        <v>74.5</v>
      </c>
      <c r="K2305" s="17" t="n">
        <v>95.56</v>
      </c>
      <c r="L2305" s="17" t="n">
        <v>25.86</v>
      </c>
      <c r="M2305" s="17" t="n">
        <v>0</v>
      </c>
      <c r="N2305" s="17">
        <f>K2305*0.08+L2305*0.08</f>
        <v/>
      </c>
      <c r="O2305" s="17">
        <f>-(K2305*0.025+L2305*0.025)</f>
        <v/>
      </c>
      <c r="P2305" s="17">
        <f>32</f>
        <v/>
      </c>
      <c r="Q2305" s="17">
        <f>J2305+L2305+N2305+O2305-P2305-M2305</f>
        <v/>
      </c>
    </row>
    <row r="2306">
      <c r="A2306" s="16" t="inlineStr">
        <is>
          <t>5.22-5.28</t>
        </is>
      </c>
      <c r="B2306" s="16" t="inlineStr">
        <is>
          <t>PO-128-11948221924472990</t>
        </is>
      </c>
      <c r="C2306" s="16" t="inlineStr">
        <is>
          <t>Shipped</t>
        </is>
      </c>
      <c r="D2306" s="16" t="inlineStr">
        <is>
          <t>128-11948179981432990</t>
        </is>
      </c>
      <c r="E2306" s="16" t="inlineStr">
        <is>
          <t>Shipped</t>
        </is>
      </c>
      <c r="F2306" s="16" t="inlineStr">
        <is>
          <t>KTS-2031</t>
        </is>
      </c>
      <c r="G2306" s="16" t="inlineStr">
        <is>
          <t>Bocina inalámbrica de 3 pulgadas con linterna multifuncional y panel solar integrado.Altavoz Portátil con Linterna LED 4 Modos, Radio FM, Bluetooth, Carga Solar, Ideal para Apagones, Emergencias, Campo y Exteriores</t>
        </is>
      </c>
      <c r="H2306" s="16" t="inlineStr">
        <is>
          <t>NEGRO</t>
        </is>
      </c>
      <c r="I2306" s="16" t="n">
        <v>1</v>
      </c>
      <c r="J2306" s="17" t="n">
        <v>85</v>
      </c>
      <c r="K2306" s="17" t="n">
        <v>94.22</v>
      </c>
      <c r="L2306" s="17" t="n">
        <v>25.86</v>
      </c>
      <c r="M2306" s="17" t="n">
        <v>0</v>
      </c>
      <c r="N2306" s="17">
        <f>K2306*0.08+L2306*0.08</f>
        <v/>
      </c>
      <c r="O2306" s="17">
        <f>-(K2306*0.025+L2306*0.025)</f>
        <v/>
      </c>
      <c r="P2306" s="17">
        <f>32</f>
        <v/>
      </c>
      <c r="Q2306" s="17">
        <f>J2306+L2306+N2306+O2306-P2306-M2306</f>
        <v/>
      </c>
    </row>
    <row r="2307">
      <c r="A2307" s="16" t="inlineStr">
        <is>
          <t>5.22-5.28</t>
        </is>
      </c>
      <c r="B2307" s="16" t="inlineStr">
        <is>
          <t>PO-128-12181687215991598</t>
        </is>
      </c>
      <c r="C2307" s="16" t="inlineStr">
        <is>
          <t>Shipped</t>
        </is>
      </c>
      <c r="D2307" s="16" t="inlineStr">
        <is>
          <t>128-12181767169911598</t>
        </is>
      </c>
      <c r="E2307" s="16" t="inlineStr">
        <is>
          <t>Shipped</t>
        </is>
      </c>
      <c r="F2307" s="16" t="inlineStr">
        <is>
          <t>TL1455N20B</t>
        </is>
      </c>
      <c r="G2307" s="16" t="inlineStr">
        <is>
          <t>LINK BITS Soporte para TV 14 A 55 Pulgadas, Base para TV Pantalla Articulado Inclinable y Giratorio, MAX VESA 400×400 mm, Soporta hasta 18kg, adaptarse a la mayoría de los televisores de 14 Pulgadas/20 Pulgadas/32 Pulgadas/42 Pulgadas/55 pulgadas</t>
        </is>
      </c>
      <c r="H2307" s="16" t="inlineStr">
        <is>
          <t>TL1455N20B</t>
        </is>
      </c>
      <c r="I2307" s="16" t="n">
        <v>1</v>
      </c>
      <c r="J2307" s="17" t="n">
        <v>74.5</v>
      </c>
      <c r="K2307" s="17" t="n">
        <v>95.56</v>
      </c>
      <c r="L2307" s="17" t="n">
        <v>25.86</v>
      </c>
      <c r="M2307" s="17" t="n">
        <v>0</v>
      </c>
      <c r="N2307" s="17">
        <f>K2307*0.08+L2307*0.08</f>
        <v/>
      </c>
      <c r="O2307" s="17">
        <f>-(K2307*0.025+L2307*0.025)</f>
        <v/>
      </c>
      <c r="P2307" s="17">
        <f>32</f>
        <v/>
      </c>
      <c r="Q2307" s="17">
        <f>J2307+L2307+N2307+O2307-P2307-M2307</f>
        <v/>
      </c>
    </row>
    <row r="2308">
      <c r="A2308" s="16" t="inlineStr">
        <is>
          <t>5.22-5.28</t>
        </is>
      </c>
      <c r="B2308" s="16" t="inlineStr">
        <is>
          <t>PO-128-12076263329911202</t>
        </is>
      </c>
      <c r="C2308" s="16" t="inlineStr">
        <is>
          <t>Shipped</t>
        </is>
      </c>
      <c r="D2308" s="16" t="inlineStr">
        <is>
          <t>128-12076259397751202</t>
        </is>
      </c>
      <c r="E2308" s="16" t="inlineStr">
        <is>
          <t>Shipped</t>
        </is>
      </c>
      <c r="F2308" s="16" t="inlineStr">
        <is>
          <t>KTS-2031</t>
        </is>
      </c>
      <c r="G2308" s="16" t="inlineStr">
        <is>
          <t>Bocina inalámbrica de 3 pulgadas con linterna multifuncional y panel solar integrado.Altavoz Portátil con Linterna LED 4 Modos, Radio FM, Bluetooth, Carga Solar, Ideal para Apagones, Emergencias, Campo y Exteriores</t>
        </is>
      </c>
      <c r="H2308" s="16" t="inlineStr">
        <is>
          <t>NEGRO</t>
        </is>
      </c>
      <c r="I2308" s="16" t="n">
        <v>3</v>
      </c>
      <c r="J2308" s="17" t="n">
        <v>255</v>
      </c>
      <c r="K2308" s="17" t="n">
        <v>213.14</v>
      </c>
      <c r="L2308" s="17" t="n">
        <v>0</v>
      </c>
      <c r="M2308" s="17" t="n">
        <v>0</v>
      </c>
      <c r="N2308" s="17">
        <f>K2308*0.08+L2308*0.08</f>
        <v/>
      </c>
      <c r="O2308" s="17">
        <f>-(K2308*0.025+L2308*0.025)</f>
        <v/>
      </c>
      <c r="P2308" s="17">
        <f>32</f>
        <v/>
      </c>
      <c r="Q2308" s="17">
        <f>J2308+L2308+N2308+O2308-P2308-M2308</f>
        <v/>
      </c>
    </row>
    <row r="2309">
      <c r="A2309" s="16" t="inlineStr">
        <is>
          <t>5.22-5.28</t>
        </is>
      </c>
      <c r="B2309" s="16" t="inlineStr">
        <is>
          <t>PO-128-12076432704631203</t>
        </is>
      </c>
      <c r="C2309" s="16" t="inlineStr">
        <is>
          <t>Shipped</t>
        </is>
      </c>
      <c r="D2309" s="16" t="inlineStr">
        <is>
          <t>128-12076445811831203</t>
        </is>
      </c>
      <c r="E2309" s="16" t="inlineStr">
        <is>
          <t>Shipped</t>
        </is>
      </c>
      <c r="F2309" s="16" t="inlineStr">
        <is>
          <t>VB349T</t>
        </is>
      </c>
      <c r="G2309" s="16" t="inlineStr">
        <is>
          <t>LINKBITS Altavoz Portátil de Doble Altavoz - 3 Pulgadas, Sonido HD, Emparejamiento Rápido de Bluetooth, Conectividad TWS, Reproducción Multimodo (Micro SD/USB/Radio FM) - Perfecto para Oficina, Viajes y Espacios Pequeños</t>
        </is>
      </c>
      <c r="H2309" s="16" t="inlineStr">
        <is>
          <t>NEGRO</t>
        </is>
      </c>
      <c r="I2309" s="16" t="n">
        <v>1</v>
      </c>
      <c r="J2309" s="17" t="n">
        <v>79</v>
      </c>
      <c r="K2309" s="17" t="n">
        <v>92.26000000000001</v>
      </c>
      <c r="L2309" s="17" t="n">
        <v>25.86</v>
      </c>
      <c r="M2309" s="17" t="n">
        <v>0</v>
      </c>
      <c r="N2309" s="17">
        <f>K2309*0.08+L2309*0.08</f>
        <v/>
      </c>
      <c r="O2309" s="17">
        <f>-(K2309*0.025+L2309*0.025)</f>
        <v/>
      </c>
      <c r="P2309" s="17">
        <f>32</f>
        <v/>
      </c>
      <c r="Q2309" s="17">
        <f>J2309+L2309+N2309+O2309-P2309-M2309</f>
        <v/>
      </c>
    </row>
    <row r="2310">
      <c r="A2310" s="16" t="inlineStr">
        <is>
          <t>5.22-5.28</t>
        </is>
      </c>
      <c r="B2310" s="16" t="inlineStr">
        <is>
          <t>PO-128-11804962814073909</t>
        </is>
      </c>
      <c r="C2310" s="16" t="inlineStr">
        <is>
          <t>Shipped</t>
        </is>
      </c>
      <c r="D2310" s="16" t="inlineStr">
        <is>
          <t>128-11805114857593909</t>
        </is>
      </c>
      <c r="E2310" s="16" t="inlineStr">
        <is>
          <t>Shipped</t>
        </is>
      </c>
      <c r="F2310" s="16" t="inlineStr">
        <is>
          <t>LV64W25</t>
        </is>
      </c>
      <c r="G23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10" s="16" t="inlineStr">
        <is>
          <t>Blanco</t>
        </is>
      </c>
      <c r="I2310" s="16" t="n">
        <v>1</v>
      </c>
      <c r="J2310" s="17" t="n">
        <v>123.9</v>
      </c>
      <c r="K2310" s="17" t="n">
        <v>142.16</v>
      </c>
      <c r="L2310" s="17" t="n">
        <v>25.86</v>
      </c>
      <c r="M2310" s="17" t="n">
        <v>0</v>
      </c>
      <c r="N2310" s="17">
        <f>K2310*0.08+L2310*0.08</f>
        <v/>
      </c>
      <c r="O2310" s="17">
        <f>-(K2310*0.025+L2310*0.025)</f>
        <v/>
      </c>
      <c r="P2310" s="17">
        <f>32</f>
        <v/>
      </c>
      <c r="Q2310" s="17">
        <f>J2310+L2310+N2310+O2310-P2310-M2310</f>
        <v/>
      </c>
    </row>
    <row r="2311">
      <c r="A2311" s="16" t="inlineStr">
        <is>
          <t>5.22-5.28</t>
        </is>
      </c>
      <c r="B2311" s="16" t="inlineStr">
        <is>
          <t>PO-128-12030888702071411</t>
        </is>
      </c>
      <c r="C2311" s="16" t="inlineStr">
        <is>
          <t>Shipped</t>
        </is>
      </c>
      <c r="D2311" s="16" t="inlineStr">
        <is>
          <t>128-12030909673591411</t>
        </is>
      </c>
      <c r="E2311" s="16" t="inlineStr">
        <is>
          <t>Shipped</t>
        </is>
      </c>
      <c r="F2311" s="16" t="inlineStr">
        <is>
          <t>LV54W25</t>
        </is>
      </c>
      <c r="G2311" s="16" t="inlineStr">
        <is>
          <t>TIANLAI Lámpara Ventilador E27 2 en 1, Silenciosa, LED Alta Luminosidad 180°, Instalación Rápida, Ahorro Energético para Dormitorio y Interiores Pequeños</t>
        </is>
      </c>
      <c r="H2311" s="16" t="inlineStr">
        <is>
          <t>1 Pieza</t>
        </is>
      </c>
      <c r="I2311" s="16" t="n">
        <v>1</v>
      </c>
      <c r="J2311" s="17" t="n">
        <v>74.3</v>
      </c>
      <c r="K2311" s="17" t="n">
        <v>85.98</v>
      </c>
      <c r="L2311" s="17" t="n">
        <v>25.86</v>
      </c>
      <c r="M2311" s="17" t="n">
        <v>0</v>
      </c>
      <c r="N2311" s="17">
        <f>K2311*0.08+L2311*0.08</f>
        <v/>
      </c>
      <c r="O2311" s="17">
        <f>-(K2311*0.025+L2311*0.025)</f>
        <v/>
      </c>
      <c r="P2311" s="17">
        <f>32</f>
        <v/>
      </c>
      <c r="Q2311" s="17">
        <f>J2311+L2311+N2311+O2311-P2311-M2311</f>
        <v/>
      </c>
    </row>
    <row r="2312">
      <c r="A2312" s="16" t="inlineStr">
        <is>
          <t>5.22-5.28</t>
        </is>
      </c>
      <c r="B2312" s="16" t="inlineStr">
        <is>
          <t>PO-128-11942067008632962</t>
        </is>
      </c>
      <c r="C2312" s="16" t="inlineStr">
        <is>
          <t>Shipped</t>
        </is>
      </c>
      <c r="D2312" s="16" t="inlineStr">
        <is>
          <t>128-11942038172792962</t>
        </is>
      </c>
      <c r="E2312" s="16" t="inlineStr">
        <is>
          <t>Shipped</t>
        </is>
      </c>
      <c r="F2312" s="16" t="inlineStr">
        <is>
          <t>LV64W25</t>
        </is>
      </c>
      <c r="G23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12" s="16" t="inlineStr">
        <is>
          <t>Blanco</t>
        </is>
      </c>
      <c r="I2312" s="16" t="n">
        <v>1</v>
      </c>
      <c r="J2312" s="17" t="n">
        <v>123.9</v>
      </c>
      <c r="K2312" s="17" t="n">
        <v>142.16</v>
      </c>
      <c r="L2312" s="17" t="n">
        <v>25.86</v>
      </c>
      <c r="M2312" s="17" t="n">
        <v>0</v>
      </c>
      <c r="N2312" s="17">
        <f>K2312*0.08+L2312*0.08</f>
        <v/>
      </c>
      <c r="O2312" s="17">
        <f>-(K2312*0.025+L2312*0.025)</f>
        <v/>
      </c>
      <c r="P2312" s="17">
        <f>32</f>
        <v/>
      </c>
      <c r="Q2312" s="17">
        <f>J2312+L2312+N2312+O2312-P2312-M2312</f>
        <v/>
      </c>
    </row>
    <row r="2313">
      <c r="A2313" s="16" t="inlineStr">
        <is>
          <t>5.22-5.28</t>
        </is>
      </c>
      <c r="B2313" s="16" t="inlineStr">
        <is>
          <t>PO-128-12319511012470840</t>
        </is>
      </c>
      <c r="C2313" s="16" t="inlineStr">
        <is>
          <t>Shipped</t>
        </is>
      </c>
      <c r="D2313" s="16" t="inlineStr">
        <is>
          <t>128-12319592932470840</t>
        </is>
      </c>
      <c r="E2313" s="16" t="inlineStr">
        <is>
          <t>Shipped</t>
        </is>
      </c>
      <c r="F2313" s="16" t="inlineStr">
        <is>
          <t>LV54W25</t>
        </is>
      </c>
      <c r="G2313" s="16" t="inlineStr">
        <is>
          <t>TIANLAI Lámpara Ventilador E27 2 en 1, Silenciosa, LED Alta Luminosidad 180°, Instalación Rápida, Ahorro Energético para Dormitorio y Interiores Pequeños</t>
        </is>
      </c>
      <c r="H2313" s="16" t="inlineStr">
        <is>
          <t>1 Pieza</t>
        </is>
      </c>
      <c r="I2313" s="16" t="n">
        <v>1</v>
      </c>
      <c r="J2313" s="17" t="n">
        <v>74.3</v>
      </c>
      <c r="K2313" s="17" t="n">
        <v>60.19</v>
      </c>
      <c r="L2313" s="17" t="n">
        <v>25.86</v>
      </c>
      <c r="M2313" s="17" t="n">
        <v>0</v>
      </c>
      <c r="N2313" s="17">
        <f>K2313*0.08+L2313*0.08</f>
        <v/>
      </c>
      <c r="O2313" s="17">
        <f>-(K2313*0.025+L2313*0.025)</f>
        <v/>
      </c>
      <c r="P2313" s="17">
        <f>32</f>
        <v/>
      </c>
      <c r="Q2313" s="17">
        <f>J2313+L2313+N2313+O2313-P2313-M2313</f>
        <v/>
      </c>
    </row>
    <row r="2314">
      <c r="A2314" s="16" t="inlineStr">
        <is>
          <t>5.22-5.28</t>
        </is>
      </c>
      <c r="B2314" s="16" t="inlineStr">
        <is>
          <t>PO-128-11777987981434004</t>
        </is>
      </c>
      <c r="C2314" s="16" t="inlineStr">
        <is>
          <t>Shipped</t>
        </is>
      </c>
      <c r="D2314" s="16" t="inlineStr">
        <is>
          <t>128-11778022060154004</t>
        </is>
      </c>
      <c r="E2314" s="16" t="inlineStr">
        <is>
          <t>Shipped</t>
        </is>
      </c>
      <c r="F2314" s="16" t="inlineStr">
        <is>
          <t>TL2663N18C</t>
        </is>
      </c>
      <c r="G2314" s="16" t="inlineStr">
        <is>
          <t>Linkbits，Soporte de pared fijo para televisores de 26"-63", Ultra-Delgado Compatible con VESA 400x400mm, Capacidad de Peso Fuerte de 25KG, Instalación Fácil Sin Electricidad</t>
        </is>
      </c>
      <c r="H2314" s="16" t="inlineStr">
        <is>
          <t>NEGRO</t>
        </is>
      </c>
      <c r="I2314" s="16" t="n">
        <v>1</v>
      </c>
      <c r="J2314" s="17" t="n">
        <v>54</v>
      </c>
      <c r="K2314" s="17" t="n">
        <v>62.96</v>
      </c>
      <c r="L2314" s="17" t="n">
        <v>25.86</v>
      </c>
      <c r="M2314" s="17" t="n">
        <v>0</v>
      </c>
      <c r="N2314" s="17">
        <f>K2314*0.08+L2314*0.08</f>
        <v/>
      </c>
      <c r="O2314" s="17">
        <f>-(K2314*0.025+L2314*0.025)</f>
        <v/>
      </c>
      <c r="P2314" s="17">
        <f>32</f>
        <v/>
      </c>
      <c r="Q2314" s="17">
        <f>J2314+L2314+N2314+O2314-P2314-M2314</f>
        <v/>
      </c>
    </row>
    <row r="2315">
      <c r="A2315" s="16" t="inlineStr">
        <is>
          <t>5.22-5.28</t>
        </is>
      </c>
      <c r="B2315" s="16" t="inlineStr">
        <is>
          <t>PO-128-11691720231033494</t>
        </is>
      </c>
      <c r="C2315" s="16" t="inlineStr">
        <is>
          <t>Shipped</t>
        </is>
      </c>
      <c r="D2315" s="16" t="inlineStr">
        <is>
          <t>128-11691772659833494</t>
        </is>
      </c>
      <c r="E2315" s="16" t="inlineStr">
        <is>
          <t>Shipped</t>
        </is>
      </c>
      <c r="F2315" s="16" t="inlineStr">
        <is>
          <t>LV54W25</t>
        </is>
      </c>
      <c r="G2315" s="16" t="inlineStr">
        <is>
          <t>TIANLAI Lámpara Ventilador E27 2 en 1, Silenciosa, LED Alta Luminosidad 180°, Instalación Rápida, Ahorro Energético para Dormitorio y Interiores Pequeños</t>
        </is>
      </c>
      <c r="H2315" s="16" t="inlineStr">
        <is>
          <t>1 Pieza</t>
        </is>
      </c>
      <c r="I2315" s="16" t="n">
        <v>3</v>
      </c>
      <c r="J2315" s="17" t="n">
        <v>222.9</v>
      </c>
      <c r="K2315" s="17" t="n">
        <v>232.17</v>
      </c>
      <c r="L2315" s="17" t="n">
        <v>0</v>
      </c>
      <c r="M2315" s="17" t="n">
        <v>0</v>
      </c>
      <c r="N2315" s="17">
        <f>K2315*0.08+L2315*0.08</f>
        <v/>
      </c>
      <c r="O2315" s="17">
        <f>-(K2315*0.025+L2315*0.025)</f>
        <v/>
      </c>
      <c r="P2315" s="17">
        <f>32</f>
        <v/>
      </c>
      <c r="Q2315" s="17">
        <f>J2315+L2315+N2315+O2315-P2315-M2315</f>
        <v/>
      </c>
    </row>
    <row r="2316">
      <c r="A2316" s="16" t="inlineStr">
        <is>
          <t>5.22-5.28</t>
        </is>
      </c>
      <c r="B2316" s="16" t="inlineStr">
        <is>
          <t>PO-128-11952345715833031</t>
        </is>
      </c>
      <c r="C2316" s="16" t="inlineStr">
        <is>
          <t>Shipped</t>
        </is>
      </c>
      <c r="D2316" s="16" t="inlineStr">
        <is>
          <t>128-11952413873273031</t>
        </is>
      </c>
      <c r="E2316" s="16" t="inlineStr">
        <is>
          <t>Shipped</t>
        </is>
      </c>
      <c r="F2316" s="16" t="inlineStr">
        <is>
          <t>LV64W25</t>
        </is>
      </c>
      <c r="G23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16" s="16" t="inlineStr">
        <is>
          <t>Blanco</t>
        </is>
      </c>
      <c r="I2316" s="16" t="n">
        <v>2</v>
      </c>
      <c r="J2316" s="17" t="n">
        <v>247.8</v>
      </c>
      <c r="K2316" s="17" t="n">
        <v>284.32</v>
      </c>
      <c r="L2316" s="17" t="n">
        <v>0</v>
      </c>
      <c r="M2316" s="17" t="n">
        <v>0</v>
      </c>
      <c r="N2316" s="17">
        <f>K2316*0.08+L2316*0.08</f>
        <v/>
      </c>
      <c r="O2316" s="17">
        <f>-(K2316*0.025+L2316*0.025)</f>
        <v/>
      </c>
      <c r="P2316" s="17">
        <f>32</f>
        <v/>
      </c>
      <c r="Q2316" s="17">
        <f>J2316+L2316+N2316+O2316-P2316-M2316</f>
        <v/>
      </c>
    </row>
    <row r="2317">
      <c r="A2317" s="16" t="inlineStr">
        <is>
          <t>5.22-5.28</t>
        </is>
      </c>
      <c r="B2317" s="16" t="inlineStr">
        <is>
          <t>PO-128-12168754496631741</t>
        </is>
      </c>
      <c r="C2317" s="16" t="inlineStr">
        <is>
          <t>Shipped</t>
        </is>
      </c>
      <c r="D2317" s="16" t="inlineStr">
        <is>
          <t>128-12168733525111741</t>
        </is>
      </c>
      <c r="E2317" s="16" t="inlineStr">
        <is>
          <t>Shipped</t>
        </is>
      </c>
      <c r="F2317" s="16" t="inlineStr">
        <is>
          <t>LV54W25</t>
        </is>
      </c>
      <c r="G2317" s="16" t="inlineStr">
        <is>
          <t>TIANLAI Lámpara Ventilador E27 2 en 1, Silenciosa, LED Alta Luminosidad 180°, Instalación Rápida, Ahorro Energético para Dormitorio y Interiores Pequeños</t>
        </is>
      </c>
      <c r="H2317" s="16" t="inlineStr">
        <is>
          <t>1 Pieza</t>
        </is>
      </c>
      <c r="I2317" s="16" t="n">
        <v>1</v>
      </c>
      <c r="J2317" s="17" t="n">
        <v>74.3</v>
      </c>
      <c r="K2317" s="17" t="n">
        <v>85.98</v>
      </c>
      <c r="L2317" s="17" t="n">
        <v>25.86</v>
      </c>
      <c r="M2317" s="17" t="n">
        <v>0</v>
      </c>
      <c r="N2317" s="17">
        <f>K2317*0.08+L2317*0.08</f>
        <v/>
      </c>
      <c r="O2317" s="17">
        <f>-(K2317*0.025+L2317*0.025)</f>
        <v/>
      </c>
      <c r="P2317" s="17">
        <f>32</f>
        <v/>
      </c>
      <c r="Q2317" s="17">
        <f>J2317+L2317+N2317+O2317-P2317-M2317</f>
        <v/>
      </c>
    </row>
    <row r="2318">
      <c r="A2318" s="16" t="inlineStr">
        <is>
          <t>5.22-5.28</t>
        </is>
      </c>
      <c r="B2318" s="16" t="inlineStr">
        <is>
          <t>PO-128-11953403282553025</t>
        </is>
      </c>
      <c r="C2318" s="16" t="inlineStr">
        <is>
          <t>Shipped</t>
        </is>
      </c>
      <c r="D2318" s="16" t="inlineStr">
        <is>
          <t>128-11953413768313025</t>
        </is>
      </c>
      <c r="E2318" s="16" t="inlineStr">
        <is>
          <t>Shipped</t>
        </is>
      </c>
      <c r="F2318" s="16" t="inlineStr">
        <is>
          <t>LV54W25</t>
        </is>
      </c>
      <c r="G2318" s="16" t="inlineStr">
        <is>
          <t>TIANLAI Lámpara Ventilador E27 2 en 1, Silenciosa, LED Alta Luminosidad 180°, Instalación Rápida, Ahorro Energético para Dormitorio y Interiores Pequeños</t>
        </is>
      </c>
      <c r="H2318" s="16" t="inlineStr">
        <is>
          <t>1 Pieza</t>
        </is>
      </c>
      <c r="I2318" s="16" t="n">
        <v>1</v>
      </c>
      <c r="J2318" s="17" t="n">
        <v>74.3</v>
      </c>
      <c r="K2318" s="17" t="n">
        <v>77.39</v>
      </c>
      <c r="L2318" s="17" t="n">
        <v>25.86</v>
      </c>
      <c r="M2318" s="17" t="n">
        <v>0</v>
      </c>
      <c r="N2318" s="17">
        <f>K2318*0.08+L2318*0.08</f>
        <v/>
      </c>
      <c r="O2318" s="17">
        <f>-(K2318*0.025+L2318*0.025)</f>
        <v/>
      </c>
      <c r="P2318" s="17">
        <f>32</f>
        <v/>
      </c>
      <c r="Q2318" s="17">
        <f>J2318+L2318+N2318+O2318-P2318-M2318</f>
        <v/>
      </c>
    </row>
    <row r="2319">
      <c r="A2319" s="16" t="inlineStr">
        <is>
          <t>5.22-5.28</t>
        </is>
      </c>
      <c r="B2319" s="16" t="inlineStr">
        <is>
          <t>PO-128-11985481802872705</t>
        </is>
      </c>
      <c r="C2319" s="16" t="inlineStr">
        <is>
          <t>Shipped</t>
        </is>
      </c>
      <c r="D2319" s="16" t="inlineStr">
        <is>
          <t>128-11985497531512705</t>
        </is>
      </c>
      <c r="E2319" s="16" t="inlineStr">
        <is>
          <t>Shipped</t>
        </is>
      </c>
      <c r="F2319" s="16" t="inlineStr">
        <is>
          <t>KTS-2031</t>
        </is>
      </c>
      <c r="G2319" s="16" t="inlineStr">
        <is>
          <t>Bocina inalámbrica de 3 pulgadas con linterna multifuncional y panel solar integrado.Altavoz Portátil con Linterna LED 4 Modos, Radio FM, Bluetooth, Carga Solar, Ideal para Apagones, Emergencias, Campo y Exteriores</t>
        </is>
      </c>
      <c r="H2319" s="16" t="inlineStr">
        <is>
          <t>NEGRO</t>
        </is>
      </c>
      <c r="I2319" s="16" t="n">
        <v>3</v>
      </c>
      <c r="J2319" s="17" t="n">
        <v>255</v>
      </c>
      <c r="K2319" s="17" t="n">
        <v>226.14</v>
      </c>
      <c r="L2319" s="17" t="n">
        <v>0</v>
      </c>
      <c r="M2319" s="17" t="n">
        <v>0</v>
      </c>
      <c r="N2319" s="17">
        <f>K2319*0.08+L2319*0.08</f>
        <v/>
      </c>
      <c r="O2319" s="17">
        <f>-(K2319*0.025+L2319*0.025)</f>
        <v/>
      </c>
      <c r="P2319" s="17">
        <f>32</f>
        <v/>
      </c>
      <c r="Q2319" s="17">
        <f>J2319+L2319+N2319+O2319-P2319-M2319</f>
        <v/>
      </c>
    </row>
    <row r="2320">
      <c r="A2320" s="16" t="inlineStr">
        <is>
          <t>5.22-5.28</t>
        </is>
      </c>
      <c r="B2320" s="16" t="inlineStr">
        <is>
          <t>PO-128-11972763948152909</t>
        </is>
      </c>
      <c r="C2320" s="16" t="inlineStr">
        <is>
          <t>Shipped</t>
        </is>
      </c>
      <c r="D2320" s="16" t="inlineStr">
        <is>
          <t>128-11972742976632909</t>
        </is>
      </c>
      <c r="E2320" s="16" t="inlineStr">
        <is>
          <t>Shipped</t>
        </is>
      </c>
      <c r="F2320" s="16" t="inlineStr">
        <is>
          <t>LV54W25</t>
        </is>
      </c>
      <c r="G2320" s="16" t="inlineStr">
        <is>
          <t>TIANLAI Lámpara Ventilador E27 2 en 1, Silenciosa, LED Alta Luminosidad 180°, Instalación Rápida, Ahorro Energético para Dormitorio y Interiores Pequeños</t>
        </is>
      </c>
      <c r="H2320" s="16" t="inlineStr">
        <is>
          <t>1 Pieza</t>
        </is>
      </c>
      <c r="I2320" s="16" t="n">
        <v>1</v>
      </c>
      <c r="J2320" s="17" t="n">
        <v>74.3</v>
      </c>
      <c r="K2320" s="17" t="n">
        <v>79.11</v>
      </c>
      <c r="L2320" s="17" t="n">
        <v>25.86</v>
      </c>
      <c r="M2320" s="17" t="n">
        <v>0</v>
      </c>
      <c r="N2320" s="17">
        <f>K2320*0.08+L2320*0.08</f>
        <v/>
      </c>
      <c r="O2320" s="17">
        <f>-(K2320*0.025+L2320*0.025)</f>
        <v/>
      </c>
      <c r="P2320" s="17">
        <f>32</f>
        <v/>
      </c>
      <c r="Q2320" s="17">
        <f>J2320+L2320+N2320+O2320-P2320-M2320</f>
        <v/>
      </c>
    </row>
    <row r="2321">
      <c r="A2321" s="16" t="inlineStr">
        <is>
          <t>5.22-5.28</t>
        </is>
      </c>
      <c r="B2321" s="16" t="inlineStr">
        <is>
          <t>PO-128-12142181235831835</t>
        </is>
      </c>
      <c r="C2321" s="16" t="inlineStr">
        <is>
          <t>Shipped</t>
        </is>
      </c>
      <c r="D2321" s="16" t="inlineStr">
        <is>
          <t>128-12142196964471835</t>
        </is>
      </c>
      <c r="E2321" s="16" t="inlineStr">
        <is>
          <t>Shipped</t>
        </is>
      </c>
      <c r="F2321" s="16" t="inlineStr">
        <is>
          <t>LV54W25</t>
        </is>
      </c>
      <c r="G2321" s="16" t="inlineStr">
        <is>
          <t>TIANLAI Lámpara Ventilador E27 2 en 1, Silenciosa, LED Alta Luminosidad 180°, Instalación Rápida, Ahorro Energético para Dormitorio y Interiores Pequeños</t>
        </is>
      </c>
      <c r="H2321" s="16" t="inlineStr">
        <is>
          <t>1 Pieza</t>
        </is>
      </c>
      <c r="I2321" s="16" t="n">
        <v>2</v>
      </c>
      <c r="J2321" s="17" t="n">
        <v>148.6</v>
      </c>
      <c r="K2321" s="17" t="n">
        <v>154.78</v>
      </c>
      <c r="L2321" s="17" t="n">
        <v>25.86</v>
      </c>
      <c r="M2321" s="17" t="n">
        <v>0</v>
      </c>
      <c r="N2321" s="17">
        <f>K2321*0.08+L2321*0.08</f>
        <v/>
      </c>
      <c r="O2321" s="17">
        <f>-(K2321*0.025+L2321*0.025)</f>
        <v/>
      </c>
      <c r="P2321" s="17">
        <f>32</f>
        <v/>
      </c>
      <c r="Q2321" s="17">
        <f>J2321+L2321+N2321+O2321-P2321-M2321</f>
        <v/>
      </c>
    </row>
    <row r="2322">
      <c r="A2322" s="16" t="inlineStr">
        <is>
          <t>5.22-5.28</t>
        </is>
      </c>
      <c r="B2322" s="16" t="inlineStr">
        <is>
          <t>PO-128-11915661066872288</t>
        </is>
      </c>
      <c r="C2322" s="16" t="inlineStr">
        <is>
          <t>Shipped</t>
        </is>
      </c>
      <c r="D2322" s="16" t="inlineStr">
        <is>
          <t>128-11915671552632288</t>
        </is>
      </c>
      <c r="E2322" s="16" t="inlineStr">
        <is>
          <t>Shipped</t>
        </is>
      </c>
      <c r="F2322" s="16" t="inlineStr">
        <is>
          <t>KTS-2031</t>
        </is>
      </c>
      <c r="G2322" s="16" t="inlineStr">
        <is>
          <t>Bocina inalámbrica de 3 pulgadas con linterna multifuncional y panel solar integrado.Altavoz Portátil con Linterna LED 4 Modos, Radio FM, Bluetooth, Carga Solar, Ideal para Apagones, Emergencias, Campo y Exteriores</t>
        </is>
      </c>
      <c r="H2322" s="16" t="inlineStr">
        <is>
          <t>NEGRO</t>
        </is>
      </c>
      <c r="I2322" s="16" t="n">
        <v>1</v>
      </c>
      <c r="J2322" s="17" t="n">
        <v>85</v>
      </c>
      <c r="K2322" s="17" t="n">
        <v>92.95999999999999</v>
      </c>
      <c r="L2322" s="17" t="n">
        <v>25.86</v>
      </c>
      <c r="M2322" s="17" t="n">
        <v>0</v>
      </c>
      <c r="N2322" s="17">
        <f>K2322*0.08+L2322*0.08</f>
        <v/>
      </c>
      <c r="O2322" s="17">
        <f>-(K2322*0.025+L2322*0.025)</f>
        <v/>
      </c>
      <c r="P2322" s="17">
        <f>32</f>
        <v/>
      </c>
      <c r="Q2322" s="17">
        <f>J2322+L2322+N2322+O2322-P2322-M2322</f>
        <v/>
      </c>
    </row>
    <row r="2323">
      <c r="A2323" s="16" t="inlineStr">
        <is>
          <t>5.22-5.28</t>
        </is>
      </c>
      <c r="B2323" s="16" t="inlineStr">
        <is>
          <t>PO-128-12342956411510767</t>
        </is>
      </c>
      <c r="C2323" s="16" t="inlineStr">
        <is>
          <t>Shipped</t>
        </is>
      </c>
      <c r="D2323" s="16" t="inlineStr">
        <is>
          <t>128-12342914468470767</t>
        </is>
      </c>
      <c r="E2323" s="16" t="inlineStr">
        <is>
          <t>Shipped</t>
        </is>
      </c>
      <c r="F2323" s="16" t="inlineStr">
        <is>
          <t>VA371T</t>
        </is>
      </c>
      <c r="G2323" s="16" t="inlineStr">
        <is>
          <t>Linkbits Bocina Bluetooth Portátil 3" de Alta Gama，Hi-Res Audio y Graves Potentes，Luces LED + Soporte USB/TF/FM/TWS，Ideal para Hogar y Aire Libre</t>
        </is>
      </c>
      <c r="H2323" s="16" t="inlineStr">
        <is>
          <t>VA371T</t>
        </is>
      </c>
      <c r="I2323" s="16" t="n">
        <v>1</v>
      </c>
      <c r="J2323" s="17" t="n">
        <v>41.32</v>
      </c>
      <c r="K2323" s="17" t="n">
        <v>49.68</v>
      </c>
      <c r="L2323" s="17" t="n">
        <v>25.86</v>
      </c>
      <c r="M2323" s="17" t="n">
        <v>0</v>
      </c>
      <c r="N2323" s="17">
        <f>K2323*0.08+L2323*0.08</f>
        <v/>
      </c>
      <c r="O2323" s="17">
        <f>-(K2323*0.025+L2323*0.025)</f>
        <v/>
      </c>
      <c r="P2323" s="17">
        <f>32</f>
        <v/>
      </c>
      <c r="Q2323" s="17">
        <f>J2323+L2323+N2323+O2323-P2323-M2323</f>
        <v/>
      </c>
    </row>
    <row r="2324">
      <c r="A2324" s="16" t="inlineStr">
        <is>
          <t>5.22-5.28</t>
        </is>
      </c>
      <c r="B2324" s="16" t="inlineStr">
        <is>
          <t>PO-128-12016697313912647</t>
        </is>
      </c>
      <c r="C2324" s="16" t="inlineStr">
        <is>
          <t>Shipped</t>
        </is>
      </c>
      <c r="D2324" s="16" t="inlineStr">
        <is>
          <t>128-12016702556792647</t>
        </is>
      </c>
      <c r="E2324" s="16" t="inlineStr">
        <is>
          <t>Shipped</t>
        </is>
      </c>
      <c r="F2324" s="16" t="inlineStr">
        <is>
          <t>VB349T</t>
        </is>
      </c>
      <c r="G2324" s="16" t="inlineStr">
        <is>
          <t>LINKBITS Altavoz Portátil de Doble Altavoz - 3 Pulgadas, Sonido HD, Emparejamiento Rápido de Bluetooth, Conectividad TWS, Reproducción Multimodo (Micro SD/USB/Radio FM) - Perfecto para Oficina, Viajes y Espacios Pequeños</t>
        </is>
      </c>
      <c r="H2324" s="16" t="inlineStr">
        <is>
          <t>NEGRO</t>
        </is>
      </c>
      <c r="I2324" s="16" t="n">
        <v>3</v>
      </c>
      <c r="J2324" s="17" t="n">
        <v>237</v>
      </c>
      <c r="K2324" s="17" t="n">
        <v>212.71</v>
      </c>
      <c r="L2324" s="17" t="n">
        <v>0</v>
      </c>
      <c r="M2324" s="17" t="n">
        <v>0</v>
      </c>
      <c r="N2324" s="17">
        <f>K2324*0.08+L2324*0.08</f>
        <v/>
      </c>
      <c r="O2324" s="17">
        <f>-(K2324*0.025+L2324*0.025)</f>
        <v/>
      </c>
      <c r="P2324" s="17">
        <f>32</f>
        <v/>
      </c>
      <c r="Q2324" s="17">
        <f>J2324+L2324+N2324+O2324-P2324-M2324</f>
        <v/>
      </c>
    </row>
    <row r="2325">
      <c r="A2325" s="16" t="inlineStr">
        <is>
          <t>5.22-5.28</t>
        </is>
      </c>
      <c r="B2325" s="16" t="inlineStr">
        <is>
          <t>PO-128-11725114460793425</t>
        </is>
      </c>
      <c r="C2325" s="16" t="inlineStr">
        <is>
          <t>Shipped</t>
        </is>
      </c>
      <c r="D2325" s="16" t="inlineStr">
        <is>
          <t>128-11725219318393425</t>
        </is>
      </c>
      <c r="E2325" s="16" t="inlineStr">
        <is>
          <t>Shipped</t>
        </is>
      </c>
      <c r="F2325" s="16" t="inlineStr">
        <is>
          <t>TL2663N18C</t>
        </is>
      </c>
      <c r="G2325" s="16" t="inlineStr">
        <is>
          <t>Linkbits，Soporte de pared fijo para televisores de 26"-63", Ultra-Delgado Compatible con VESA 400x400mm, Capacidad de Peso Fuerte de 25KG, Instalación Fácil Sin Electricidad</t>
        </is>
      </c>
      <c r="H2325" s="16" t="inlineStr">
        <is>
          <t>NEGRO</t>
        </is>
      </c>
      <c r="I2325" s="16" t="n">
        <v>1</v>
      </c>
      <c r="J2325" s="17" t="n">
        <v>54</v>
      </c>
      <c r="K2325" s="17" t="n">
        <v>68.97</v>
      </c>
      <c r="L2325" s="17" t="n">
        <v>25.86</v>
      </c>
      <c r="M2325" s="17" t="n">
        <v>0</v>
      </c>
      <c r="N2325" s="17">
        <f>K2325*0.08+L2325*0.08</f>
        <v/>
      </c>
      <c r="O2325" s="17">
        <f>-(K2325*0.025+L2325*0.025)</f>
        <v/>
      </c>
      <c r="P2325" s="17">
        <f>32</f>
        <v/>
      </c>
      <c r="Q2325" s="17">
        <f>J2325+L2325+N2325+O2325-P2325-M2325</f>
        <v/>
      </c>
    </row>
    <row r="2326">
      <c r="A2326" s="16" t="inlineStr">
        <is>
          <t>5.22-5.28</t>
        </is>
      </c>
      <c r="B2326" s="16" t="inlineStr">
        <is>
          <t>PO-128-00812205819513959</t>
        </is>
      </c>
      <c r="C2326" s="16" t="inlineStr">
        <is>
          <t>Shipped</t>
        </is>
      </c>
      <c r="D2326" s="16" t="inlineStr">
        <is>
          <t>128-00812258248313959</t>
        </is>
      </c>
      <c r="E2326" s="16" t="inlineStr">
        <is>
          <t>Shipped</t>
        </is>
      </c>
      <c r="F2326" s="16" t="inlineStr">
        <is>
          <t>TLCD02-8P-N</t>
        </is>
      </c>
      <c r="G232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326" s="16" t="inlineStr">
        <is>
          <t>NEGRO/pantalla de 8.5 pulgadas</t>
        </is>
      </c>
      <c r="I2326" s="16" t="n">
        <v>1</v>
      </c>
      <c r="J2326" s="17" t="n">
        <v>24</v>
      </c>
      <c r="K2326" s="17" t="n">
        <v>32.98</v>
      </c>
      <c r="L2326" s="17" t="n">
        <v>25.86</v>
      </c>
      <c r="M2326" s="17" t="n">
        <v>0</v>
      </c>
      <c r="N2326" s="17">
        <f>K2326*0.08+L2326*0.08</f>
        <v/>
      </c>
      <c r="O2326" s="17">
        <f>-(K2326*0.025+L2326*0.025)</f>
        <v/>
      </c>
      <c r="P2326" s="17">
        <f>32</f>
        <v/>
      </c>
      <c r="Q2326" s="17">
        <f>J2326+L2326+N2326+O2326-P2326-M2326</f>
        <v/>
      </c>
    </row>
    <row r="2327">
      <c r="A2327" s="16" t="inlineStr">
        <is>
          <t>5.22-5.28</t>
        </is>
      </c>
      <c r="B2327" s="16" t="inlineStr">
        <is>
          <t>PO-128-00926228675192062</t>
        </is>
      </c>
      <c r="C2327" s="16" t="inlineStr">
        <is>
          <t>Shipped</t>
        </is>
      </c>
      <c r="D2327" s="16" t="inlineStr">
        <is>
          <t>128-00926269635192062</t>
        </is>
      </c>
      <c r="E2327" s="16" t="inlineStr">
        <is>
          <t>Shipped</t>
        </is>
      </c>
      <c r="F2327" s="16" t="inlineStr">
        <is>
          <t>LV64W25</t>
        </is>
      </c>
      <c r="G23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27" s="16" t="inlineStr">
        <is>
          <t>Blanco</t>
        </is>
      </c>
      <c r="I2327" s="16" t="n">
        <v>1</v>
      </c>
      <c r="J2327" s="17" t="n">
        <v>123.9</v>
      </c>
      <c r="K2327" s="17" t="n">
        <v>142.16</v>
      </c>
      <c r="L2327" s="17" t="n">
        <v>25.86</v>
      </c>
      <c r="M2327" s="17" t="n">
        <v>0</v>
      </c>
      <c r="N2327" s="17">
        <f>K2327*0.08+L2327*0.08</f>
        <v/>
      </c>
      <c r="O2327" s="17">
        <f>-(K2327*0.025+L2327*0.025)</f>
        <v/>
      </c>
      <c r="P2327" s="17">
        <f>32</f>
        <v/>
      </c>
      <c r="Q2327" s="17">
        <f>J2327+L2327+N2327+O2327-P2327-M2327</f>
        <v/>
      </c>
    </row>
    <row r="2328">
      <c r="A2328" s="16" t="inlineStr">
        <is>
          <t>5.22-5.28</t>
        </is>
      </c>
      <c r="B2328" s="16" t="inlineStr">
        <is>
          <t>PO-128-00999288310392778</t>
        </is>
      </c>
      <c r="C2328" s="16" t="inlineStr">
        <is>
          <t>Shipped</t>
        </is>
      </c>
      <c r="D2328" s="16" t="inlineStr">
        <is>
          <t>128-00999309281912778</t>
        </is>
      </c>
      <c r="E2328" s="16" t="inlineStr">
        <is>
          <t>Shipped</t>
        </is>
      </c>
      <c r="F2328" s="16" t="inlineStr">
        <is>
          <t>LV64W25</t>
        </is>
      </c>
      <c r="G23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28" s="16" t="inlineStr">
        <is>
          <t>Blanco</t>
        </is>
      </c>
      <c r="I2328" s="16" t="n">
        <v>1</v>
      </c>
      <c r="J2328" s="17" t="n">
        <v>123.9</v>
      </c>
      <c r="K2328" s="17" t="n">
        <v>142.16</v>
      </c>
      <c r="L2328" s="17" t="n">
        <v>25.86</v>
      </c>
      <c r="M2328" s="17" t="n">
        <v>0</v>
      </c>
      <c r="N2328" s="17">
        <f>K2328*0.08+L2328*0.08</f>
        <v/>
      </c>
      <c r="O2328" s="17">
        <f>-(K2328*0.025+L2328*0.025)</f>
        <v/>
      </c>
      <c r="P2328" s="17">
        <f>32</f>
        <v/>
      </c>
      <c r="Q2328" s="17">
        <f>J2328+L2328+N2328+O2328-P2328-M2328</f>
        <v/>
      </c>
    </row>
    <row r="2329">
      <c r="A2329" s="16" t="inlineStr">
        <is>
          <t>5.22-5.28</t>
        </is>
      </c>
      <c r="B2329" s="16" t="inlineStr">
        <is>
          <t>PO-128-00919744952952292</t>
        </is>
      </c>
      <c r="C2329" s="16" t="inlineStr">
        <is>
          <t>Shipped</t>
        </is>
      </c>
      <c r="D2329" s="16" t="inlineStr">
        <is>
          <t>128-00919881267832292</t>
        </is>
      </c>
      <c r="E2329" s="16" t="inlineStr">
        <is>
          <t>Shipped</t>
        </is>
      </c>
      <c r="F2329" s="16" t="inlineStr">
        <is>
          <t>KTS-2031</t>
        </is>
      </c>
      <c r="G2329" s="16" t="inlineStr">
        <is>
          <t>Bocina inalámbrica de 3 pulgadas con linterna multifuncional y panel solar integrado.Altavoz Portátil con Linterna LED 4 Modos, Radio FM, Bluetooth, Carga Solar, Ideal para Apagones, Emergencias, Campo y Exteriores</t>
        </is>
      </c>
      <c r="H2329" s="16" t="inlineStr">
        <is>
          <t>NEGRO</t>
        </is>
      </c>
      <c r="I2329" s="16" t="n">
        <v>3</v>
      </c>
      <c r="J2329" s="17" t="n">
        <v>255</v>
      </c>
      <c r="K2329" s="17" t="n">
        <v>282.66</v>
      </c>
      <c r="L2329" s="17" t="n">
        <v>0</v>
      </c>
      <c r="M2329" s="17" t="n">
        <v>0</v>
      </c>
      <c r="N2329" s="17">
        <f>K2329*0.08+L2329*0.08</f>
        <v/>
      </c>
      <c r="O2329" s="17">
        <f>-(K2329*0.025+L2329*0.025)</f>
        <v/>
      </c>
      <c r="P2329" s="17">
        <f>32</f>
        <v/>
      </c>
      <c r="Q2329" s="17">
        <f>J2329+L2329+N2329+O2329-P2329-M2329</f>
        <v/>
      </c>
    </row>
    <row r="2330">
      <c r="A2330" s="16" t="inlineStr">
        <is>
          <t>5.22-5.28</t>
        </is>
      </c>
      <c r="B2330" s="16" t="inlineStr">
        <is>
          <t>PO-128-01227445622390266</t>
        </is>
      </c>
      <c r="C2330" s="16" t="inlineStr">
        <is>
          <t>Shipped</t>
        </is>
      </c>
      <c r="D2330" s="16" t="inlineStr">
        <is>
          <t>128-01227458729590266</t>
        </is>
      </c>
      <c r="E2330" s="16" t="inlineStr">
        <is>
          <t>Shipped</t>
        </is>
      </c>
      <c r="F2330" s="16" t="inlineStr">
        <is>
          <t>LV64W25</t>
        </is>
      </c>
      <c r="G23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30" s="16" t="inlineStr">
        <is>
          <t>Blanco</t>
        </is>
      </c>
      <c r="I2330" s="16" t="n">
        <v>1</v>
      </c>
      <c r="J2330" s="17" t="n">
        <v>123.9</v>
      </c>
      <c r="K2330" s="17" t="n">
        <v>132.21</v>
      </c>
      <c r="L2330" s="17" t="n">
        <v>25.86</v>
      </c>
      <c r="M2330" s="17" t="n">
        <v>0</v>
      </c>
      <c r="N2330" s="17">
        <f>K2330*0.08+L2330*0.08</f>
        <v/>
      </c>
      <c r="O2330" s="17">
        <f>-(K2330*0.025+L2330*0.025)</f>
        <v/>
      </c>
      <c r="P2330" s="17">
        <f>32</f>
        <v/>
      </c>
      <c r="Q2330" s="17">
        <f>J2330+L2330+N2330+O2330-P2330-M2330</f>
        <v/>
      </c>
    </row>
    <row r="2331">
      <c r="A2331" s="16" t="inlineStr">
        <is>
          <t>5.22-5.28</t>
        </is>
      </c>
      <c r="B2331" s="16" t="inlineStr">
        <is>
          <t>PO-128-01285852211830110</t>
        </is>
      </c>
      <c r="C2331" s="16" t="inlineStr">
        <is>
          <t>Shipped</t>
        </is>
      </c>
      <c r="D2331" s="16" t="inlineStr">
        <is>
          <t>128-01285886290550110</t>
        </is>
      </c>
      <c r="E2331" s="16" t="inlineStr">
        <is>
          <t>Shipped</t>
        </is>
      </c>
      <c r="F2331" s="16" t="inlineStr">
        <is>
          <t>LV54W25</t>
        </is>
      </c>
      <c r="G2331" s="16" t="inlineStr">
        <is>
          <t>TIANLAI Lámpara Ventilador E27 2 en 1, Silenciosa, LED Alta Luminosidad 180°, Instalación Rápida, Ahorro Energético para Dormitorio y Interiores Pequeños</t>
        </is>
      </c>
      <c r="H2331" s="16" t="inlineStr">
        <is>
          <t>1 Pieza</t>
        </is>
      </c>
      <c r="I2331" s="16" t="n">
        <v>1</v>
      </c>
      <c r="J2331" s="17" t="n">
        <v>74.3</v>
      </c>
      <c r="K2331" s="17" t="n">
        <v>85.98</v>
      </c>
      <c r="L2331" s="17" t="n">
        <v>25.86</v>
      </c>
      <c r="M2331" s="17" t="n">
        <v>0</v>
      </c>
      <c r="N2331" s="17">
        <f>K2331*0.08+L2331*0.08</f>
        <v/>
      </c>
      <c r="O2331" s="17">
        <f>-(K2331*0.025+L2331*0.025)</f>
        <v/>
      </c>
      <c r="P2331" s="17">
        <f>32</f>
        <v/>
      </c>
      <c r="Q2331" s="17">
        <f>J2331+L2331+N2331+O2331-P2331-M2331</f>
        <v/>
      </c>
    </row>
    <row r="2332">
      <c r="A2332" s="16" t="inlineStr">
        <is>
          <t>5.22-5.28</t>
        </is>
      </c>
      <c r="B2332" s="16" t="inlineStr">
        <is>
          <t>PO-128-01067798533751346</t>
        </is>
      </c>
      <c r="C2332" s="16" t="inlineStr">
        <is>
          <t>Shipped</t>
        </is>
      </c>
      <c r="D2332" s="16" t="inlineStr">
        <is>
          <t>128-01067850962551346</t>
        </is>
      </c>
      <c r="E2332" s="16" t="inlineStr">
        <is>
          <t>Shipped</t>
        </is>
      </c>
      <c r="F2332" s="16" t="inlineStr">
        <is>
          <t>KTS-2031</t>
        </is>
      </c>
      <c r="G2332" s="16" t="inlineStr">
        <is>
          <t>Bocina inalámbrica de 3 pulgadas con linterna multifuncional y panel solar integrado.Altavoz Portátil con Linterna LED 4 Modos, Radio FM, Bluetooth, Carga Solar, Ideal para Apagones, Emergencias, Campo y Exteriores</t>
        </is>
      </c>
      <c r="H2332" s="16" t="inlineStr">
        <is>
          <t>NEGRO</t>
        </is>
      </c>
      <c r="I2332" s="16" t="n">
        <v>1</v>
      </c>
      <c r="J2332" s="17" t="n">
        <v>85</v>
      </c>
      <c r="K2332" s="17" t="n">
        <v>84.8</v>
      </c>
      <c r="L2332" s="17" t="n">
        <v>25.86</v>
      </c>
      <c r="M2332" s="17" t="n">
        <v>0</v>
      </c>
      <c r="N2332" s="17">
        <f>K2332*0.08+L2332*0.08</f>
        <v/>
      </c>
      <c r="O2332" s="17">
        <f>-(K2332*0.025+L2332*0.025)</f>
        <v/>
      </c>
      <c r="P2332" s="17">
        <f>32</f>
        <v/>
      </c>
      <c r="Q2332" s="17">
        <f>J2332+L2332+N2332+O2332-P2332-M2332</f>
        <v/>
      </c>
    </row>
    <row r="2333">
      <c r="A2333" s="16" t="inlineStr">
        <is>
          <t>5.22-5.28</t>
        </is>
      </c>
      <c r="B2333" s="16" t="inlineStr">
        <is>
          <t>PO-128-00952952018552990</t>
        </is>
      </c>
      <c r="C2333" s="16" t="inlineStr">
        <is>
          <t>Shipped</t>
        </is>
      </c>
      <c r="D2333" s="16" t="inlineStr">
        <is>
          <t>128-00952967747192990</t>
        </is>
      </c>
      <c r="E2333" s="16" t="inlineStr">
        <is>
          <t>Shipped</t>
        </is>
      </c>
      <c r="F2333" s="16" t="inlineStr">
        <is>
          <t>LV64W25</t>
        </is>
      </c>
      <c r="G23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33" s="16" t="inlineStr">
        <is>
          <t>Blanco</t>
        </is>
      </c>
      <c r="I2333" s="16" t="n">
        <v>1</v>
      </c>
      <c r="J2333" s="17" t="n">
        <v>123.9</v>
      </c>
      <c r="K2333" s="17" t="n">
        <v>132.21</v>
      </c>
      <c r="L2333" s="17" t="n">
        <v>25.86</v>
      </c>
      <c r="M2333" s="17" t="n">
        <v>0</v>
      </c>
      <c r="N2333" s="17">
        <f>K2333*0.08+L2333*0.08</f>
        <v/>
      </c>
      <c r="O2333" s="17">
        <f>-(K2333*0.025+L2333*0.025)</f>
        <v/>
      </c>
      <c r="P2333" s="17">
        <f>32</f>
        <v/>
      </c>
      <c r="Q2333" s="17">
        <f>J2333+L2333+N2333+O2333-P2333-M2333</f>
        <v/>
      </c>
    </row>
    <row r="2334">
      <c r="A2334" s="16" t="inlineStr">
        <is>
          <t>5.22-5.28</t>
        </is>
      </c>
      <c r="B2334" s="16" t="inlineStr">
        <is>
          <t>PO-128-01059576387191333</t>
        </is>
      </c>
      <c r="C2334" s="16" t="inlineStr">
        <is>
          <t>Shipped</t>
        </is>
      </c>
      <c r="D2334" s="16" t="inlineStr">
        <is>
          <t>128-01059628815991333</t>
        </is>
      </c>
      <c r="E2334" s="16" t="inlineStr">
        <is>
          <t>Shipped</t>
        </is>
      </c>
      <c r="F2334" s="16" t="inlineStr">
        <is>
          <t>VB349T</t>
        </is>
      </c>
      <c r="G2334" s="16" t="inlineStr">
        <is>
          <t>LINKBITS Altavoz Portátil de Doble Altavoz - 3 Pulgadas, Sonido HD, Emparejamiento Rápido de Bluetooth, Conectividad TWS, Reproducción Multimodo (Micro SD/USB/Radio FM) - Perfecto para Oficina, Viajes y Espacios Pequeños</t>
        </is>
      </c>
      <c r="H2334" s="16" t="inlineStr">
        <is>
          <t>NEGRO</t>
        </is>
      </c>
      <c r="I2334" s="16" t="n">
        <v>1</v>
      </c>
      <c r="J2334" s="17" t="n">
        <v>79</v>
      </c>
      <c r="K2334" s="17" t="n">
        <v>92.26000000000001</v>
      </c>
      <c r="L2334" s="17" t="n">
        <v>25.86</v>
      </c>
      <c r="M2334" s="17" t="n">
        <v>0</v>
      </c>
      <c r="N2334" s="17">
        <f>K2334*0.08+L2334*0.08</f>
        <v/>
      </c>
      <c r="O2334" s="17">
        <f>-(K2334*0.025+L2334*0.025)</f>
        <v/>
      </c>
      <c r="P2334" s="17">
        <f>32</f>
        <v/>
      </c>
      <c r="Q2334" s="17">
        <f>J2334+L2334+N2334+O2334-P2334-M2334</f>
        <v/>
      </c>
    </row>
    <row r="2335">
      <c r="A2335" s="16" t="inlineStr">
        <is>
          <t>5.22-5.28</t>
        </is>
      </c>
      <c r="B2335" s="16" t="inlineStr">
        <is>
          <t>PO-128-00989600364152708</t>
        </is>
      </c>
      <c r="C2335" s="16" t="inlineStr">
        <is>
          <t>Shipped</t>
        </is>
      </c>
      <c r="D2335" s="16" t="inlineStr">
        <is>
          <t>128-00989642307192708</t>
        </is>
      </c>
      <c r="E2335" s="16" t="inlineStr">
        <is>
          <t>Shipped</t>
        </is>
      </c>
      <c r="F2335" s="16" t="inlineStr">
        <is>
          <t>KTS-2031</t>
        </is>
      </c>
      <c r="G2335" s="16" t="inlineStr">
        <is>
          <t>Bocina inalámbrica de 3 pulgadas con linterna multifuncional y panel solar integrado.Altavoz Portátil con Linterna LED 4 Modos, Radio FM, Bluetooth, Carga Solar, Ideal para Apagones, Emergencias, Campo y Exteriores</t>
        </is>
      </c>
      <c r="H2335" s="16" t="inlineStr">
        <is>
          <t>NEGRO</t>
        </is>
      </c>
      <c r="I2335" s="16" t="n">
        <v>2</v>
      </c>
      <c r="J2335" s="17" t="n">
        <v>170</v>
      </c>
      <c r="K2335" s="17" t="n">
        <v>150.76</v>
      </c>
      <c r="L2335" s="17" t="n">
        <v>25.86</v>
      </c>
      <c r="M2335" s="17" t="n">
        <v>0</v>
      </c>
      <c r="N2335" s="17">
        <f>K2335*0.08+L2335*0.08</f>
        <v/>
      </c>
      <c r="O2335" s="17">
        <f>-(K2335*0.025+L2335*0.025)</f>
        <v/>
      </c>
      <c r="P2335" s="17">
        <f>32</f>
        <v/>
      </c>
      <c r="Q2335" s="17">
        <f>J2335+L2335+N2335+O2335-P2335-M2335</f>
        <v/>
      </c>
    </row>
    <row r="2336">
      <c r="A2336" s="16" t="inlineStr">
        <is>
          <t>5.22-5.28</t>
        </is>
      </c>
      <c r="B2336" s="16" t="inlineStr">
        <is>
          <t>PO-128-00789487058554095</t>
        </is>
      </c>
      <c r="C2336" s="16" t="inlineStr">
        <is>
          <t>Shipped</t>
        </is>
      </c>
      <c r="D2336" s="16" t="inlineStr">
        <is>
          <t>128-00789405793914095</t>
        </is>
      </c>
      <c r="E2336" s="16" t="inlineStr">
        <is>
          <t>Shipped</t>
        </is>
      </c>
      <c r="F2336" s="16" t="inlineStr">
        <is>
          <t>LV54W25</t>
        </is>
      </c>
      <c r="G2336" s="16" t="inlineStr">
        <is>
          <t>TIANLAI Lámpara Ventilador E27 2 en 1, Silenciosa, LED Alta Luminosidad 180°, Instalación Rápida, Ahorro Energético para Dormitorio y Interiores Pequeños</t>
        </is>
      </c>
      <c r="H2336" s="16" t="inlineStr">
        <is>
          <t>1 Pieza</t>
        </is>
      </c>
      <c r="I2336" s="16" t="n">
        <v>1</v>
      </c>
      <c r="J2336" s="17" t="n">
        <v>74.3</v>
      </c>
      <c r="K2336" s="17" t="n">
        <v>85.98</v>
      </c>
      <c r="L2336" s="17" t="n">
        <v>25.86</v>
      </c>
      <c r="M2336" s="17" t="n">
        <v>0</v>
      </c>
      <c r="N2336" s="17">
        <f>K2336*0.08+L2336*0.08</f>
        <v/>
      </c>
      <c r="O2336" s="17">
        <f>-(K2336*0.025+L2336*0.025)</f>
        <v/>
      </c>
      <c r="P2336" s="17">
        <f>32</f>
        <v/>
      </c>
      <c r="Q2336" s="17">
        <f>J2336+L2336+N2336+O2336-P2336-M2336</f>
        <v/>
      </c>
    </row>
    <row r="2337">
      <c r="A2337" s="16" t="inlineStr">
        <is>
          <t>5.22-5.28</t>
        </is>
      </c>
      <c r="B2337" s="16" t="inlineStr">
        <is>
          <t>PO-128-01122538199671980</t>
        </is>
      </c>
      <c r="C2337" s="16" t="inlineStr">
        <is>
          <t>Shipped</t>
        </is>
      </c>
      <c r="D2337" s="16" t="inlineStr">
        <is>
          <t>128-01122496256631980</t>
        </is>
      </c>
      <c r="E2337" s="16" t="inlineStr">
        <is>
          <t>Shipped</t>
        </is>
      </c>
      <c r="F2337" s="16" t="inlineStr">
        <is>
          <t>LV54W25</t>
        </is>
      </c>
      <c r="G2337" s="16" t="inlineStr">
        <is>
          <t>TIANLAI Lámpara Ventilador E27 2 en 1, Silenciosa, LED Alta Luminosidad 180°, Instalación Rápida, Ahorro Energético para Dormitorio y Interiores Pequeños</t>
        </is>
      </c>
      <c r="H2337" s="16" t="inlineStr">
        <is>
          <t>1 Pieza</t>
        </is>
      </c>
      <c r="I2337" s="16" t="n">
        <v>1</v>
      </c>
      <c r="J2337" s="17" t="n">
        <v>74</v>
      </c>
      <c r="K2337" s="17" t="n">
        <v>34.02</v>
      </c>
      <c r="L2337" s="17" t="n">
        <v>25.86</v>
      </c>
      <c r="M2337" s="17" t="n">
        <v>0</v>
      </c>
      <c r="N2337" s="17">
        <f>K2337*0.08+L2337*0.08</f>
        <v/>
      </c>
      <c r="O2337" s="17">
        <f>-(K2337*0.025+L2337*0.025)</f>
        <v/>
      </c>
      <c r="P2337" s="17">
        <f>32</f>
        <v/>
      </c>
      <c r="Q2337" s="17">
        <f>J2337+L2337+N2337+O2337-P2337-M2337</f>
        <v/>
      </c>
    </row>
    <row r="2338">
      <c r="A2338" s="16" t="inlineStr">
        <is>
          <t>5.22-5.28</t>
        </is>
      </c>
      <c r="B2338" s="16" t="inlineStr">
        <is>
          <t>PO-128-01317225656950821</t>
        </is>
      </c>
      <c r="C2338" s="16" t="inlineStr">
        <is>
          <t>Shipped</t>
        </is>
      </c>
      <c r="D2338" s="16" t="inlineStr">
        <is>
          <t>128-01317217792630821</t>
        </is>
      </c>
      <c r="E2338" s="16" t="inlineStr">
        <is>
          <t>Shipped</t>
        </is>
      </c>
      <c r="F2338" s="16" t="inlineStr">
        <is>
          <t>LV54W25</t>
        </is>
      </c>
      <c r="G2338" s="16" t="inlineStr">
        <is>
          <t>TIANLAI Lámpara Ventilador E27 2 en 1, Silenciosa, LED Alta Luminosidad 180°, Instalación Rápida, Ahorro Energético para Dormitorio y Interiores Pequeños</t>
        </is>
      </c>
      <c r="H2338" s="16" t="inlineStr">
        <is>
          <t>1 Pieza</t>
        </is>
      </c>
      <c r="I2338" s="16" t="n">
        <v>1</v>
      </c>
      <c r="J2338" s="17" t="n">
        <v>74</v>
      </c>
      <c r="K2338" s="17" t="n">
        <v>73.27</v>
      </c>
      <c r="L2338" s="17" t="n">
        <v>25.86</v>
      </c>
      <c r="M2338" s="17" t="n">
        <v>0</v>
      </c>
      <c r="N2338" s="17">
        <f>K2338*0.08+L2338*0.08</f>
        <v/>
      </c>
      <c r="O2338" s="17">
        <f>-(K2338*0.025+L2338*0.025)</f>
        <v/>
      </c>
      <c r="P2338" s="17">
        <f>32</f>
        <v/>
      </c>
      <c r="Q2338" s="17">
        <f>J2338+L2338+N2338+O2338-P2338-M2338</f>
        <v/>
      </c>
    </row>
    <row r="2339">
      <c r="A2339" s="16" t="inlineStr">
        <is>
          <t>5.22-5.28</t>
        </is>
      </c>
      <c r="B2339" s="16" t="inlineStr">
        <is>
          <t>PO-128-20557757696630827</t>
        </is>
      </c>
      <c r="C2339" s="16" t="inlineStr">
        <is>
          <t>Shipped</t>
        </is>
      </c>
      <c r="D2339" s="16" t="inlineStr">
        <is>
          <t>128-20557783911030827</t>
        </is>
      </c>
      <c r="E2339" s="16" t="inlineStr">
        <is>
          <t>Shipped</t>
        </is>
      </c>
      <c r="F2339" s="16" t="inlineStr">
        <is>
          <t>LV64W25</t>
        </is>
      </c>
      <c r="G23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39" s="16" t="inlineStr">
        <is>
          <t>Blanco</t>
        </is>
      </c>
      <c r="I2339" s="16" t="n">
        <v>1</v>
      </c>
      <c r="J2339" s="17" t="n">
        <v>125</v>
      </c>
      <c r="K2339" s="17" t="n">
        <v>133.23</v>
      </c>
      <c r="L2339" s="17" t="n">
        <v>25.86</v>
      </c>
      <c r="M2339" s="17" t="n">
        <v>0</v>
      </c>
      <c r="N2339" s="17">
        <f>K2339*0.08+L2339*0.08</f>
        <v/>
      </c>
      <c r="O2339" s="17">
        <f>-(K2339*0.025+L2339*0.025)</f>
        <v/>
      </c>
      <c r="P2339" s="17">
        <f>32</f>
        <v/>
      </c>
      <c r="Q2339" s="17">
        <f>J2339+L2339+N2339+O2339-P2339-M2339</f>
        <v/>
      </c>
    </row>
    <row r="2340">
      <c r="A2340" s="16" t="inlineStr">
        <is>
          <t>5.22-5.28</t>
        </is>
      </c>
      <c r="B2340" s="16" t="inlineStr">
        <is>
          <t>PO-128-20433528361591631</t>
        </is>
      </c>
      <c r="C2340" s="16" t="inlineStr">
        <is>
          <t>Shipped</t>
        </is>
      </c>
      <c r="D2340" s="16" t="inlineStr">
        <is>
          <t>128-20433570304631631</t>
        </is>
      </c>
      <c r="E2340" s="16" t="inlineStr">
        <is>
          <t>Shipped</t>
        </is>
      </c>
      <c r="F2340" s="16" t="inlineStr">
        <is>
          <t>LV54W25</t>
        </is>
      </c>
      <c r="G2340" s="16" t="inlineStr">
        <is>
          <t>TIANLAI Lámpara Ventilador E27 2 en 1, Silenciosa, LED Alta Luminosidad 180°, Instalación Rápida, Ahorro Energético para Dormitorio y Interiores Pequeños</t>
        </is>
      </c>
      <c r="H2340" s="16" t="inlineStr">
        <is>
          <t>1 Pieza</t>
        </is>
      </c>
      <c r="I2340" s="16" t="n">
        <v>2</v>
      </c>
      <c r="J2340" s="17" t="n">
        <v>148</v>
      </c>
      <c r="K2340" s="17" t="n">
        <v>154.24</v>
      </c>
      <c r="L2340" s="17" t="n">
        <v>25.86</v>
      </c>
      <c r="M2340" s="17" t="n">
        <v>0</v>
      </c>
      <c r="N2340" s="17">
        <f>K2340*0.08+L2340*0.08</f>
        <v/>
      </c>
      <c r="O2340" s="17">
        <f>-(K2340*0.025+L2340*0.025)</f>
        <v/>
      </c>
      <c r="P2340" s="17">
        <f>32</f>
        <v/>
      </c>
      <c r="Q2340" s="17">
        <f>J2340+L2340+N2340+O2340-P2340-M2340</f>
        <v/>
      </c>
    </row>
    <row r="2341">
      <c r="A2341" s="16" t="inlineStr">
        <is>
          <t>5.22-5.28</t>
        </is>
      </c>
      <c r="B2341" s="16" t="inlineStr">
        <is>
          <t>PO-128-20173735434872090</t>
        </is>
      </c>
      <c r="C2341" s="16" t="inlineStr">
        <is>
          <t>Shipped</t>
        </is>
      </c>
      <c r="D2341" s="16" t="inlineStr">
        <is>
          <t>128-20173745920632090</t>
        </is>
      </c>
      <c r="E2341" s="16" t="inlineStr">
        <is>
          <t>Shipped</t>
        </is>
      </c>
      <c r="F2341" s="16" t="inlineStr">
        <is>
          <t>TL1455N20B</t>
        </is>
      </c>
      <c r="G2341" s="16" t="inlineStr">
        <is>
          <t>LINK BITS Soporte para TV 14 A 55 Pulgadas, Base para TV Pantalla Articulado Inclinable y Giratorio, MAX VESA 400×400 mm, Soporta hasta 18kg, adaptarse a la mayoría de los televisores de 14 Pulgadas/20 Pulgadas/32 Pulgadas/42 Pulgadas/55 pulgadas</t>
        </is>
      </c>
      <c r="H2341" s="16" t="inlineStr">
        <is>
          <t>TL1455N20B</t>
        </is>
      </c>
      <c r="I2341" s="16" t="n">
        <v>1</v>
      </c>
      <c r="J2341" s="17" t="n">
        <v>71</v>
      </c>
      <c r="K2341" s="17" t="n">
        <v>92.06</v>
      </c>
      <c r="L2341" s="17" t="n">
        <v>25.86</v>
      </c>
      <c r="M2341" s="17" t="n">
        <v>0</v>
      </c>
      <c r="N2341" s="17">
        <f>K2341*0.08+L2341*0.08</f>
        <v/>
      </c>
      <c r="O2341" s="17">
        <f>-(K2341*0.025+L2341*0.025)</f>
        <v/>
      </c>
      <c r="P2341" s="17">
        <f>32</f>
        <v/>
      </c>
      <c r="Q2341" s="17">
        <f>J2341+L2341+N2341+O2341-P2341-M2341</f>
        <v/>
      </c>
    </row>
    <row r="2342">
      <c r="A2342" s="16" t="inlineStr">
        <is>
          <t>5.22-5.28</t>
        </is>
      </c>
      <c r="B2342" s="16" t="inlineStr">
        <is>
          <t>PO-128-20082495555193595</t>
        </is>
      </c>
      <c r="C2342" s="16" t="inlineStr">
        <is>
          <t>Shipped</t>
        </is>
      </c>
      <c r="D2342" s="16" t="inlineStr">
        <is>
          <t>128-20082578949753595</t>
        </is>
      </c>
      <c r="E2342" s="16" t="inlineStr">
        <is>
          <t>Shipped</t>
        </is>
      </c>
      <c r="F2342" s="16" t="inlineStr">
        <is>
          <t>KTS-2031</t>
        </is>
      </c>
      <c r="G2342" s="16" t="inlineStr">
        <is>
          <t>Bocina inalámbrica de 3 pulgadas con linterna multifuncional y panel solar integrado.Altavoz Portátil con Linterna LED 4 Modos, Radio FM, Bluetooth, Carga Solar, Ideal para Apagones, Emergencias, Campo y Exteriores</t>
        </is>
      </c>
      <c r="H2342" s="16" t="inlineStr">
        <is>
          <t>NEGRO</t>
        </is>
      </c>
      <c r="I2342" s="16" t="n">
        <v>1</v>
      </c>
      <c r="J2342" s="17" t="n">
        <v>90</v>
      </c>
      <c r="K2342" s="17" t="n">
        <v>92</v>
      </c>
      <c r="L2342" s="17" t="n">
        <v>25.86</v>
      </c>
      <c r="M2342" s="17" t="n">
        <v>0</v>
      </c>
      <c r="N2342" s="17">
        <f>K2342*0.08+L2342*0.08</f>
        <v/>
      </c>
      <c r="O2342" s="17">
        <f>-(K2342*0.025+L2342*0.025)</f>
        <v/>
      </c>
      <c r="P2342" s="17">
        <f>32</f>
        <v/>
      </c>
      <c r="Q2342" s="17">
        <f>J2342+L2342+N2342+O2342-P2342-M2342</f>
        <v/>
      </c>
    </row>
    <row r="2343">
      <c r="A2343" s="16" t="inlineStr">
        <is>
          <t>5.22-5.28</t>
        </is>
      </c>
      <c r="B2343" s="16" t="inlineStr">
        <is>
          <t>PO-128-09038874230394077</t>
        </is>
      </c>
      <c r="C2343" s="16" t="inlineStr">
        <is>
          <t>Shipped</t>
        </is>
      </c>
      <c r="D2343" s="16" t="inlineStr">
        <is>
          <t>128-09038832287354077</t>
        </is>
      </c>
      <c r="E2343" s="16" t="inlineStr">
        <is>
          <t>Shipped</t>
        </is>
      </c>
      <c r="F2343" s="16" t="inlineStr">
        <is>
          <t>LV54W25</t>
        </is>
      </c>
      <c r="G2343" s="16" t="inlineStr">
        <is>
          <t>TIANLAI Lámpara Ventilador E27 2 en 1, Silenciosa, LED Alta Luminosidad 180°, Instalación Rápida, Ahorro Energético para Dormitorio y Interiores Pequeños</t>
        </is>
      </c>
      <c r="H2343" s="16" t="inlineStr">
        <is>
          <t>1 Pieza</t>
        </is>
      </c>
      <c r="I2343" s="16" t="n">
        <v>3</v>
      </c>
      <c r="J2343" s="17" t="n">
        <v>222</v>
      </c>
      <c r="K2343" s="17" t="n">
        <v>231.36</v>
      </c>
      <c r="L2343" s="17" t="n">
        <v>25.86</v>
      </c>
      <c r="M2343" s="17" t="n">
        <v>0</v>
      </c>
      <c r="N2343" s="17">
        <f>K2343*0.08+L2343*0.08</f>
        <v/>
      </c>
      <c r="O2343" s="17">
        <f>-(K2343*0.025+L2343*0.025)</f>
        <v/>
      </c>
      <c r="P2343" s="17">
        <f>32</f>
        <v/>
      </c>
      <c r="Q2343" s="17">
        <f>J2343+L2343+N2343+O2343-P2343-M2343</f>
        <v/>
      </c>
    </row>
    <row r="2344">
      <c r="A2344" s="16" t="inlineStr">
        <is>
          <t>5.22-5.28</t>
        </is>
      </c>
      <c r="B2344" s="16" t="inlineStr">
        <is>
          <t>PO-128-16298579569271765</t>
        </is>
      </c>
      <c r="C2344" s="16" t="inlineStr">
        <is>
          <t>Delivered</t>
        </is>
      </c>
      <c r="D2344" s="16" t="inlineStr">
        <is>
          <t>128-16298584812151765</t>
        </is>
      </c>
      <c r="E2344" s="16" t="inlineStr">
        <is>
          <t>Delivered</t>
        </is>
      </c>
      <c r="F2344" s="16" t="inlineStr">
        <is>
          <t>LV54W25</t>
        </is>
      </c>
      <c r="G2344" s="16" t="inlineStr">
        <is>
          <t>TIANLAI Lámpara Ventilador E27 2 en 1, Silenciosa, LED Alta Luminosidad 180°, Instalación Rápida, Ahorro Energético para Dormitorio y Interiores Pequeños</t>
        </is>
      </c>
      <c r="H2344" s="16" t="inlineStr">
        <is>
          <t>1 Pieza</t>
        </is>
      </c>
      <c r="I2344" s="16" t="n">
        <v>1</v>
      </c>
      <c r="J2344" s="17" t="n">
        <v>74</v>
      </c>
      <c r="K2344" s="17" t="n">
        <v>76.26000000000001</v>
      </c>
      <c r="L2344" s="17" t="n">
        <v>25.86</v>
      </c>
      <c r="M2344" s="17" t="n">
        <v>0</v>
      </c>
      <c r="N2344" s="17">
        <f>K2344*0.08+L2344*0.08</f>
        <v/>
      </c>
      <c r="O2344" s="17">
        <f>-(K2344*0.025+L2344*0.025)</f>
        <v/>
      </c>
      <c r="P2344" s="17">
        <f>32</f>
        <v/>
      </c>
      <c r="Q2344" s="17">
        <f>J2344+L2344+N2344+O2344-P2344-M2344</f>
        <v/>
      </c>
    </row>
    <row r="2345">
      <c r="A2345" s="16" t="inlineStr">
        <is>
          <t>5.22-5.28</t>
        </is>
      </c>
      <c r="B2345" s="16" t="inlineStr">
        <is>
          <t>PO-128-15867276022393310</t>
        </is>
      </c>
      <c r="C2345" s="16" t="inlineStr">
        <is>
          <t>Delivered</t>
        </is>
      </c>
      <c r="D2345" s="16" t="inlineStr">
        <is>
          <t>128-15867286508153310</t>
        </is>
      </c>
      <c r="E2345" s="16" t="inlineStr">
        <is>
          <t>Delivered</t>
        </is>
      </c>
      <c r="F2345" s="16" t="inlineStr">
        <is>
          <t>TL1455N20B</t>
        </is>
      </c>
      <c r="G2345" s="16" t="inlineStr">
        <is>
          <t>LINK BITS Soporte para TV 14 A 55 Pulgadas, Base para TV Pantalla Articulado Inclinable y Giratorio, MAX VESA 400×400 mm, Soporta hasta 18kg, adaptarse a la mayoría de los televisores de 14 Pulgadas/20 Pulgadas/32 Pulgadas/42 Pulgadas/55 pulgadas</t>
        </is>
      </c>
      <c r="H2345" s="16" t="inlineStr">
        <is>
          <t>TL1455N20B</t>
        </is>
      </c>
      <c r="I2345" s="16" t="n">
        <v>3</v>
      </c>
      <c r="J2345" s="17" t="n">
        <v>225</v>
      </c>
      <c r="K2345" s="17" t="n">
        <v>288.18</v>
      </c>
      <c r="L2345" s="17" t="n">
        <v>0</v>
      </c>
      <c r="M2345" s="17" t="n">
        <v>0</v>
      </c>
      <c r="N2345" s="17">
        <f>K2345*0.08+L2345*0.08</f>
        <v/>
      </c>
      <c r="O2345" s="17">
        <f>-(K2345*0.025+L2345*0.025)</f>
        <v/>
      </c>
      <c r="P2345" s="17">
        <f>32</f>
        <v/>
      </c>
      <c r="Q2345" s="17">
        <f>J2345+L2345+N2345+O2345-P2345-M2345</f>
        <v/>
      </c>
    </row>
    <row r="2346">
      <c r="A2346" s="16" t="inlineStr">
        <is>
          <t>5.22-5.28</t>
        </is>
      </c>
      <c r="B2346" s="16" t="inlineStr">
        <is>
          <t>PO-128-16287661901431700</t>
        </is>
      </c>
      <c r="C2346" s="16" t="inlineStr">
        <is>
          <t>Delivered</t>
        </is>
      </c>
      <c r="D2346" s="16" t="inlineStr">
        <is>
          <t>128-16287675008631700</t>
        </is>
      </c>
      <c r="E2346" s="16" t="inlineStr">
        <is>
          <t>Delivered</t>
        </is>
      </c>
      <c r="F2346" s="16" t="inlineStr">
        <is>
          <t>TL1455N20B</t>
        </is>
      </c>
      <c r="G2346" s="16" t="inlineStr">
        <is>
          <t>LINK BITS Soporte para TV 14 A 55 Pulgadas, Base para TV Pantalla Articulado Inclinable y Giratorio, MAX VESA 400×400 mm, Soporta hasta 18kg, adaptarse a la mayoría de los televisores de 14 Pulgadas/20 Pulgadas/32 Pulgadas/42 Pulgadas/55 pulgadas</t>
        </is>
      </c>
      <c r="H2346" s="16" t="inlineStr">
        <is>
          <t>TL1455N20B</t>
        </is>
      </c>
      <c r="I2346" s="16" t="n">
        <v>1</v>
      </c>
      <c r="J2346" s="17" t="n">
        <v>75</v>
      </c>
      <c r="K2346" s="17" t="n">
        <v>96.06</v>
      </c>
      <c r="L2346" s="17" t="n">
        <v>25.86</v>
      </c>
      <c r="M2346" s="17" t="n">
        <v>0</v>
      </c>
      <c r="N2346" s="17">
        <f>K2346*0.08+L2346*0.08</f>
        <v/>
      </c>
      <c r="O2346" s="17">
        <f>-(K2346*0.025+L2346*0.025)</f>
        <v/>
      </c>
      <c r="P2346" s="17">
        <f>32</f>
        <v/>
      </c>
      <c r="Q2346" s="17">
        <f>J2346+L2346+N2346+O2346-P2346-M2346</f>
        <v/>
      </c>
    </row>
    <row r="2347">
      <c r="A2347" s="16" t="inlineStr">
        <is>
          <t>5.22-5.28</t>
        </is>
      </c>
      <c r="B2347" s="16" t="inlineStr">
        <is>
          <t>PO-128-15847273144953431</t>
        </is>
      </c>
      <c r="C2347" s="16" t="inlineStr">
        <is>
          <t>Delivered</t>
        </is>
      </c>
      <c r="D2347" s="16" t="inlineStr">
        <is>
          <t>128-15847325573753431</t>
        </is>
      </c>
      <c r="E2347" s="16" t="inlineStr">
        <is>
          <t>Delivered</t>
        </is>
      </c>
      <c r="F2347" s="16" t="inlineStr">
        <is>
          <t>LV54W25</t>
        </is>
      </c>
      <c r="G2347" s="16" t="inlineStr">
        <is>
          <t>TIANLAI Lámpara Ventilador E27 2 en 1, Silenciosa, LED Alta Luminosidad 180°, Instalación Rápida, Ahorro Energético para Dormitorio y Interiores Pequeños</t>
        </is>
      </c>
      <c r="H2347" s="16" t="inlineStr">
        <is>
          <t>1 Pieza</t>
        </is>
      </c>
      <c r="I2347" s="16" t="n">
        <v>4</v>
      </c>
      <c r="J2347" s="17" t="n">
        <v>296</v>
      </c>
      <c r="K2347" s="17" t="n">
        <v>305.04</v>
      </c>
      <c r="L2347" s="17" t="n">
        <v>0</v>
      </c>
      <c r="M2347" s="17" t="n">
        <v>0</v>
      </c>
      <c r="N2347" s="17">
        <f>K2347*0.08+L2347*0.08</f>
        <v/>
      </c>
      <c r="O2347" s="17">
        <f>-(K2347*0.025+L2347*0.025)</f>
        <v/>
      </c>
      <c r="P2347" s="17">
        <f>32</f>
        <v/>
      </c>
      <c r="Q2347" s="17">
        <f>J2347+L2347+N2347+O2347-P2347-M2347</f>
        <v/>
      </c>
    </row>
    <row r="2348">
      <c r="A2348" s="16" t="inlineStr">
        <is>
          <t>5.22-5.28</t>
        </is>
      </c>
      <c r="B2348" s="16" t="inlineStr">
        <is>
          <t>PO-128-16245544591991952</t>
        </is>
      </c>
      <c r="C2348" s="16" t="inlineStr">
        <is>
          <t>Delivered</t>
        </is>
      </c>
      <c r="D2348" s="16" t="inlineStr">
        <is>
          <t>128-16245523620471952</t>
        </is>
      </c>
      <c r="E2348" s="16" t="inlineStr">
        <is>
          <t>Delivered</t>
        </is>
      </c>
      <c r="F2348" s="16" t="inlineStr">
        <is>
          <t>B03W10-10PZS</t>
        </is>
      </c>
      <c r="G234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348" s="16" t="inlineStr">
        <is>
          <t>B03W10</t>
        </is>
      </c>
      <c r="I2348" s="16" t="n">
        <v>1</v>
      </c>
      <c r="J2348" s="17" t="n">
        <v>76</v>
      </c>
      <c r="K2348" s="17" t="n">
        <v>64.06999999999999</v>
      </c>
      <c r="L2348" s="17" t="n">
        <v>25.86</v>
      </c>
      <c r="M2348" s="17" t="n">
        <v>0</v>
      </c>
      <c r="N2348" s="17">
        <f>K2348*0.08+L2348*0.08</f>
        <v/>
      </c>
      <c r="O2348" s="17">
        <f>-(K2348*0.025+L2348*0.025)</f>
        <v/>
      </c>
      <c r="P2348" s="17">
        <f>32</f>
        <v/>
      </c>
      <c r="Q2348" s="17">
        <f>J2348+L2348+N2348+O2348-P2348-M2348</f>
        <v/>
      </c>
    </row>
    <row r="2349">
      <c r="A2349" s="16" t="inlineStr">
        <is>
          <t>5.22-5.28</t>
        </is>
      </c>
      <c r="B2349" s="16" t="inlineStr">
        <is>
          <t>PO-128-15884896092793143</t>
        </is>
      </c>
      <c r="C2349" s="16" t="inlineStr">
        <is>
          <t>Delivered</t>
        </is>
      </c>
      <c r="D2349" s="16" t="inlineStr">
        <is>
          <t>128-15884938035833143</t>
        </is>
      </c>
      <c r="E2349" s="16" t="inlineStr">
        <is>
          <t>Delivered</t>
        </is>
      </c>
      <c r="F2349" s="16" t="inlineStr">
        <is>
          <t>LV54W25</t>
        </is>
      </c>
      <c r="G2349" s="16" t="inlineStr">
        <is>
          <t>TIANLAI Lámpara Ventilador E27 2 en 1, Silenciosa, LED Alta Luminosidad 180°, Instalación Rápida, Ahorro Energético para Dormitorio y Interiores Pequeños</t>
        </is>
      </c>
      <c r="H2349" s="16" t="inlineStr">
        <is>
          <t>1 Pieza</t>
        </is>
      </c>
      <c r="I2349" s="16" t="n">
        <v>6</v>
      </c>
      <c r="J2349" s="17" t="n">
        <v>444</v>
      </c>
      <c r="K2349" s="17" t="n">
        <v>457.56</v>
      </c>
      <c r="L2349" s="17" t="n">
        <v>0</v>
      </c>
      <c r="M2349" s="17" t="n">
        <v>0</v>
      </c>
      <c r="N2349" s="17">
        <f>K2349*0.08+L2349*0.08</f>
        <v/>
      </c>
      <c r="O2349" s="17">
        <f>-(K2349*0.025+L2349*0.025)</f>
        <v/>
      </c>
      <c r="P2349" s="17">
        <f>32</f>
        <v/>
      </c>
      <c r="Q2349" s="17">
        <f>J2349+L2349+N2349+O2349-P2349-M2349</f>
        <v/>
      </c>
    </row>
    <row r="2350">
      <c r="A2350" s="16" t="inlineStr">
        <is>
          <t>5.22-5.28</t>
        </is>
      </c>
      <c r="B2350" s="16" t="inlineStr">
        <is>
          <t>PO-128-16162798730871487</t>
        </is>
      </c>
      <c r="C2350" s="16" t="inlineStr">
        <is>
          <t>Delivered</t>
        </is>
      </c>
      <c r="D2350" s="16" t="inlineStr">
        <is>
          <t>128-16162756787831487</t>
        </is>
      </c>
      <c r="E2350" s="16" t="inlineStr">
        <is>
          <t>Delivered</t>
        </is>
      </c>
      <c r="F2350" s="16" t="inlineStr">
        <is>
          <t>LV54W25</t>
        </is>
      </c>
      <c r="G2350" s="16" t="inlineStr">
        <is>
          <t>TIANLAI Lámpara Ventilador E27 2 en 1, Silenciosa, LED Alta Luminosidad 180°, Instalación Rápida, Ahorro Energético para Dormitorio y Interiores Pequeños</t>
        </is>
      </c>
      <c r="H2350" s="16" t="inlineStr">
        <is>
          <t>1 Pieza</t>
        </is>
      </c>
      <c r="I2350" s="16" t="n">
        <v>1</v>
      </c>
      <c r="J2350" s="17" t="n">
        <v>74</v>
      </c>
      <c r="K2350" s="17" t="n">
        <v>85.68000000000001</v>
      </c>
      <c r="L2350" s="17" t="n">
        <v>25.86</v>
      </c>
      <c r="M2350" s="17" t="n">
        <v>85.68000000000001</v>
      </c>
      <c r="N2350" s="17">
        <f>K2350*0.08+L2350*0.08</f>
        <v/>
      </c>
      <c r="O2350" s="17">
        <f>-(K2350*0.025+L2350*0.025)</f>
        <v/>
      </c>
      <c r="P2350" s="17">
        <f>32</f>
        <v/>
      </c>
      <c r="Q2350" s="17">
        <f>J2350+L2350+N2350+O2350-P2350-M2350</f>
        <v/>
      </c>
    </row>
    <row r="2351">
      <c r="A2351" s="16" t="inlineStr">
        <is>
          <t>5.22-5.28</t>
        </is>
      </c>
      <c r="B2351" s="16" t="inlineStr">
        <is>
          <t>PO-128-16030969918072270</t>
        </is>
      </c>
      <c r="C2351" s="16" t="inlineStr">
        <is>
          <t>Delivered</t>
        </is>
      </c>
      <c r="D2351" s="16" t="inlineStr">
        <is>
          <t>128-16031045939832270</t>
        </is>
      </c>
      <c r="E2351" s="16" t="inlineStr">
        <is>
          <t>Delivered</t>
        </is>
      </c>
      <c r="F2351" s="16" t="inlineStr">
        <is>
          <t>LV54W25</t>
        </is>
      </c>
      <c r="G2351" s="16" t="inlineStr">
        <is>
          <t>TIANLAI Lámpara Ventilador E27 2 en 1, Silenciosa, LED Alta Luminosidad 180°, Instalación Rápida, Ahorro Energético para Dormitorio y Interiores Pequeños</t>
        </is>
      </c>
      <c r="H2351" s="16" t="inlineStr">
        <is>
          <t>1 Pieza</t>
        </is>
      </c>
      <c r="I2351" s="16" t="n">
        <v>1</v>
      </c>
      <c r="J2351" s="17" t="n">
        <v>74</v>
      </c>
      <c r="K2351" s="17" t="n">
        <v>0.06</v>
      </c>
      <c r="L2351" s="17" t="n">
        <v>25.86</v>
      </c>
      <c r="M2351" s="17" t="n">
        <v>0</v>
      </c>
      <c r="N2351" s="17">
        <f>K2351*0.08+L2351*0.08</f>
        <v/>
      </c>
      <c r="O2351" s="17">
        <f>-(K2351*0.025+L2351*0.025)</f>
        <v/>
      </c>
      <c r="P2351" s="17">
        <f>32</f>
        <v/>
      </c>
      <c r="Q2351" s="17">
        <f>J2351+L2351+N2351+O2351-P2351-M2351</f>
        <v/>
      </c>
    </row>
    <row r="2352">
      <c r="A2352" s="16" t="inlineStr">
        <is>
          <t>5.22-5.28</t>
        </is>
      </c>
      <c r="B2352" s="16" t="inlineStr">
        <is>
          <t>PO-128-04950598879353805</t>
        </is>
      </c>
      <c r="C2352" s="16" t="inlineStr">
        <is>
          <t>Delivered</t>
        </is>
      </c>
      <c r="D2352" s="16" t="inlineStr">
        <is>
          <t>128-04950556936313805</t>
        </is>
      </c>
      <c r="E2352" s="16" t="inlineStr">
        <is>
          <t>Delivered</t>
        </is>
      </c>
      <c r="F2352" s="16" t="inlineStr">
        <is>
          <t>LV54W25</t>
        </is>
      </c>
      <c r="G2352" s="16" t="inlineStr">
        <is>
          <t>TIANLAI Lámpara Ventilador E27 2 en 1, Silenciosa, LED Alta Luminosidad 180°, Instalación Rápida, Ahorro Energético para Dormitorio y Interiores Pequeños</t>
        </is>
      </c>
      <c r="H2352" s="16" t="inlineStr">
        <is>
          <t>1 Pieza</t>
        </is>
      </c>
      <c r="I2352" s="16" t="n">
        <v>3</v>
      </c>
      <c r="J2352" s="17" t="n">
        <v>222</v>
      </c>
      <c r="K2352" s="17" t="n">
        <v>183.03</v>
      </c>
      <c r="L2352" s="17" t="n">
        <v>25.86</v>
      </c>
      <c r="M2352" s="17" t="n">
        <v>0</v>
      </c>
      <c r="N2352" s="17">
        <f>K2352*0.08+L2352*0.08</f>
        <v/>
      </c>
      <c r="O2352" s="17">
        <f>-(K2352*0.025+L2352*0.025)</f>
        <v/>
      </c>
      <c r="P2352" s="17">
        <f>32</f>
        <v/>
      </c>
      <c r="Q2352" s="17">
        <f>J2352+L2352+N2352+O2352-P2352-M2352</f>
        <v/>
      </c>
    </row>
    <row r="2353">
      <c r="A2353" s="16" t="inlineStr">
        <is>
          <t>5.22-5.28</t>
        </is>
      </c>
      <c r="B2353" s="16" t="inlineStr">
        <is>
          <t>PO-128-05349262190710274</t>
        </is>
      </c>
      <c r="C2353" s="16" t="inlineStr">
        <is>
          <t>Delivered</t>
        </is>
      </c>
      <c r="D2353" s="16" t="inlineStr">
        <is>
          <t>128-05349314619510274</t>
        </is>
      </c>
      <c r="E2353" s="16" t="inlineStr">
        <is>
          <t>Delivered</t>
        </is>
      </c>
      <c r="F2353" s="16" t="inlineStr">
        <is>
          <t>LV54W25</t>
        </is>
      </c>
      <c r="G2353" s="16" t="inlineStr">
        <is>
          <t>TIANLAI Lámpara Ventilador E27 2 en 1, Silenciosa, LED Alta Luminosidad 180°, Instalación Rápida, Ahorro Energético para Dormitorio y Interiores Pequeños</t>
        </is>
      </c>
      <c r="H2353" s="16" t="inlineStr">
        <is>
          <t>1 Pieza</t>
        </is>
      </c>
      <c r="I2353" s="16" t="n">
        <v>1</v>
      </c>
      <c r="J2353" s="17" t="n">
        <v>74</v>
      </c>
      <c r="K2353" s="17" t="n">
        <v>76.26000000000001</v>
      </c>
      <c r="L2353" s="17" t="n">
        <v>25.86</v>
      </c>
      <c r="M2353" s="17" t="n">
        <v>0</v>
      </c>
      <c r="N2353" s="17">
        <f>K2353*0.08+L2353*0.08</f>
        <v/>
      </c>
      <c r="O2353" s="17">
        <f>-(K2353*0.025+L2353*0.025)</f>
        <v/>
      </c>
      <c r="P2353" s="17">
        <f>32</f>
        <v/>
      </c>
      <c r="Q2353" s="17">
        <f>J2353+L2353+N2353+O2353-P2353-M2353</f>
        <v/>
      </c>
    </row>
    <row r="2354">
      <c r="A2354" s="16" t="inlineStr">
        <is>
          <t>5.22-5.28</t>
        </is>
      </c>
      <c r="B2354" s="16" t="inlineStr">
        <is>
          <t>PO-128-05348518843510281</t>
        </is>
      </c>
      <c r="C2354" s="16" t="inlineStr">
        <is>
          <t>Delivered</t>
        </is>
      </c>
      <c r="D2354" s="16" t="inlineStr">
        <is>
          <t>128-05348539815030281</t>
        </is>
      </c>
      <c r="E2354" s="16" t="inlineStr">
        <is>
          <t>Delivered</t>
        </is>
      </c>
      <c r="F2354" s="16" t="inlineStr">
        <is>
          <t>TLCD06-12P-N</t>
        </is>
      </c>
      <c r="G235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354" s="16" t="inlineStr">
        <is>
          <t>NEGRO/pantalla de 12 pulgadas</t>
        </is>
      </c>
      <c r="I2354" s="16" t="n">
        <v>1</v>
      </c>
      <c r="J2354" s="17" t="n">
        <v>31.8</v>
      </c>
      <c r="K2354" s="17" t="n">
        <v>43.81</v>
      </c>
      <c r="L2354" s="17" t="n">
        <v>25.86</v>
      </c>
      <c r="M2354" s="17" t="n">
        <v>0</v>
      </c>
      <c r="N2354" s="17">
        <f>K2354*0.08+L2354*0.08</f>
        <v/>
      </c>
      <c r="O2354" s="17">
        <f>-(K2354*0.025+L2354*0.025)</f>
        <v/>
      </c>
      <c r="P2354" s="17">
        <f>32</f>
        <v/>
      </c>
      <c r="Q2354" s="17">
        <f>J2354+L2354+N2354+O2354-P2354-M2354</f>
        <v/>
      </c>
    </row>
    <row r="2355">
      <c r="A2355" s="16" t="inlineStr">
        <is>
          <t>5.22-5.28</t>
        </is>
      </c>
      <c r="B2355" s="16" t="inlineStr">
        <is>
          <t>PO-128-05000508951672547</t>
        </is>
      </c>
      <c r="C2355" s="16" t="inlineStr">
        <is>
          <t>Delivered</t>
        </is>
      </c>
      <c r="D2355" s="16" t="inlineStr">
        <is>
          <t>128-05000519437432547</t>
        </is>
      </c>
      <c r="E2355" s="16" t="inlineStr">
        <is>
          <t>Delivered</t>
        </is>
      </c>
      <c r="F2355" s="16" t="inlineStr">
        <is>
          <t>LV54W25</t>
        </is>
      </c>
      <c r="G2355" s="16" t="inlineStr">
        <is>
          <t>TIANLAI Lámpara Ventilador E27 2 en 1, Silenciosa, LED Alta Luminosidad 180°, Instalación Rápida, Ahorro Energético para Dormitorio y Interiores Pequeños</t>
        </is>
      </c>
      <c r="H2355" s="16" t="inlineStr">
        <is>
          <t>1 Pieza</t>
        </is>
      </c>
      <c r="I2355" s="16" t="n">
        <v>1</v>
      </c>
      <c r="J2355" s="17" t="n">
        <v>74</v>
      </c>
      <c r="K2355" s="17" t="n">
        <v>76.26000000000001</v>
      </c>
      <c r="L2355" s="17" t="n">
        <v>25.86</v>
      </c>
      <c r="M2355" s="17" t="n">
        <v>0</v>
      </c>
      <c r="N2355" s="17">
        <f>K2355*0.08+L2355*0.08</f>
        <v/>
      </c>
      <c r="O2355" s="17">
        <f>-(K2355*0.025+L2355*0.025)</f>
        <v/>
      </c>
      <c r="P2355" s="17">
        <f>32</f>
        <v/>
      </c>
      <c r="Q2355" s="17">
        <f>J2355+L2355+N2355+O2355-P2355-M2355</f>
        <v/>
      </c>
    </row>
    <row r="2356">
      <c r="A2356" s="16" t="inlineStr">
        <is>
          <t>5.22-5.28</t>
        </is>
      </c>
      <c r="B2356" s="16" t="inlineStr">
        <is>
          <t>PO-128-04917895327353870</t>
        </is>
      </c>
      <c r="C2356" s="16" t="inlineStr">
        <is>
          <t>Delivered</t>
        </is>
      </c>
      <c r="D2356" s="16" t="inlineStr">
        <is>
          <t>128-04917874355833870</t>
        </is>
      </c>
      <c r="E2356" s="16" t="inlineStr">
        <is>
          <t>Delivered</t>
        </is>
      </c>
      <c r="F2356" s="16" t="inlineStr">
        <is>
          <t>LV64W25</t>
        </is>
      </c>
      <c r="G23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56" s="16" t="inlineStr">
        <is>
          <t>Blanco</t>
        </is>
      </c>
      <c r="I2356" s="16" t="n">
        <v>3</v>
      </c>
      <c r="J2356" s="17" t="n">
        <v>375</v>
      </c>
      <c r="K2356" s="17" t="n">
        <v>386.82</v>
      </c>
      <c r="L2356" s="17" t="n">
        <v>0</v>
      </c>
      <c r="M2356" s="17" t="n">
        <v>0</v>
      </c>
      <c r="N2356" s="17">
        <f>K2356*0.08+L2356*0.08</f>
        <v/>
      </c>
      <c r="O2356" s="17">
        <f>-(K2356*0.025+L2356*0.025)</f>
        <v/>
      </c>
      <c r="P2356" s="17">
        <f>32</f>
        <v/>
      </c>
      <c r="Q2356" s="17">
        <f>J2356+L2356+N2356+O2356-P2356-M2356</f>
        <v/>
      </c>
    </row>
    <row r="2357">
      <c r="A2357" s="16" t="inlineStr">
        <is>
          <t>5.22-5.28</t>
        </is>
      </c>
      <c r="B2357" s="16" t="inlineStr">
        <is>
          <t>PO-128-05181178355831340</t>
        </is>
      </c>
      <c r="C2357" s="16" t="inlineStr">
        <is>
          <t>Delivered</t>
        </is>
      </c>
      <c r="D2357" s="16" t="inlineStr">
        <is>
          <t>128-05181283213431340</t>
        </is>
      </c>
      <c r="E2357" s="16" t="inlineStr">
        <is>
          <t>Delivered</t>
        </is>
      </c>
      <c r="F2357" s="16" t="inlineStr">
        <is>
          <t>LV54W25</t>
        </is>
      </c>
      <c r="G2357" s="16" t="inlineStr">
        <is>
          <t>TIANLAI Lámpara Ventilador E27 2 en 1, Silenciosa, LED Alta Luminosidad 180°, Instalación Rápida, Ahorro Energético para Dormitorio y Interiores Pequeños</t>
        </is>
      </c>
      <c r="H2357" s="16" t="inlineStr">
        <is>
          <t>1 Pieza</t>
        </is>
      </c>
      <c r="I2357" s="16" t="n">
        <v>2</v>
      </c>
      <c r="J2357" s="17" t="n">
        <v>148</v>
      </c>
      <c r="K2357" s="17" t="n">
        <v>152.52</v>
      </c>
      <c r="L2357" s="17" t="n">
        <v>25.86</v>
      </c>
      <c r="M2357" s="17" t="n">
        <v>0</v>
      </c>
      <c r="N2357" s="17">
        <f>K2357*0.08+L2357*0.08</f>
        <v/>
      </c>
      <c r="O2357" s="17">
        <f>-(K2357*0.025+L2357*0.025)</f>
        <v/>
      </c>
      <c r="P2357" s="17">
        <f>32</f>
        <v/>
      </c>
      <c r="Q2357" s="17">
        <f>J2357+L2357+N2357+O2357-P2357-M2357</f>
        <v/>
      </c>
    </row>
    <row r="2358">
      <c r="A2358" s="16" t="inlineStr">
        <is>
          <t>5.22-5.28</t>
        </is>
      </c>
      <c r="B2358" s="16" t="inlineStr">
        <is>
          <t>PO-128-04900902761593973</t>
        </is>
      </c>
      <c r="C2358" s="16" t="inlineStr">
        <is>
          <t>Delivered</t>
        </is>
      </c>
      <c r="D2358" s="16" t="inlineStr">
        <is>
          <t>128-04900923733113973</t>
        </is>
      </c>
      <c r="E2358" s="16" t="inlineStr">
        <is>
          <t>Delivered</t>
        </is>
      </c>
      <c r="F2358" s="16" t="inlineStr">
        <is>
          <t>TL1455N20B</t>
        </is>
      </c>
      <c r="G2358" s="16" t="inlineStr">
        <is>
          <t>LINK BITS Soporte para TV 14 A 55 Pulgadas, Base para TV Pantalla Articulado Inclinable y Giratorio, MAX VESA 400×400 mm, Soporta hasta 18kg, adaptarse a la mayoría de los televisores de 14 Pulgadas/20 Pulgadas/32 Pulgadas/42 Pulgadas/55 pulgadas</t>
        </is>
      </c>
      <c r="H2358" s="16" t="inlineStr">
        <is>
          <t>TL1455N20B</t>
        </is>
      </c>
      <c r="I2358" s="16" t="n">
        <v>1</v>
      </c>
      <c r="J2358" s="17" t="n">
        <v>74</v>
      </c>
      <c r="K2358" s="17" t="n">
        <v>95.06</v>
      </c>
      <c r="L2358" s="17" t="n">
        <v>25.86</v>
      </c>
      <c r="M2358" s="17" t="n">
        <v>0</v>
      </c>
      <c r="N2358" s="17">
        <f>K2358*0.08+L2358*0.08</f>
        <v/>
      </c>
      <c r="O2358" s="17">
        <f>-(K2358*0.025+L2358*0.025)</f>
        <v/>
      </c>
      <c r="P2358" s="17">
        <f>32</f>
        <v/>
      </c>
      <c r="Q2358" s="17">
        <f>J2358+L2358+N2358+O2358-P2358-M2358</f>
        <v/>
      </c>
    </row>
    <row r="2359">
      <c r="A2359" s="16" t="inlineStr">
        <is>
          <t>5.22-5.28</t>
        </is>
      </c>
      <c r="B2359" s="16" t="inlineStr">
        <is>
          <t>PO-128-05425003172470977</t>
        </is>
      </c>
      <c r="C2359" s="16" t="inlineStr">
        <is>
          <t>Delivered</t>
        </is>
      </c>
      <c r="D2359" s="16" t="inlineStr">
        <is>
          <t>128-05425071329910977</t>
        </is>
      </c>
      <c r="E2359" s="16" t="inlineStr">
        <is>
          <t>Delivered</t>
        </is>
      </c>
      <c r="F2359" s="16" t="inlineStr">
        <is>
          <t>LV64W25</t>
        </is>
      </c>
      <c r="G23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59" s="16" t="inlineStr">
        <is>
          <t>Blanco</t>
        </is>
      </c>
      <c r="I2359" s="16" t="n">
        <v>1</v>
      </c>
      <c r="J2359" s="17" t="n">
        <v>125</v>
      </c>
      <c r="K2359" s="17" t="n">
        <v>46.18</v>
      </c>
      <c r="L2359" s="17" t="n">
        <v>25.86</v>
      </c>
      <c r="M2359" s="17" t="n">
        <v>0</v>
      </c>
      <c r="N2359" s="17">
        <f>K2359*0.08+L2359*0.08</f>
        <v/>
      </c>
      <c r="O2359" s="17">
        <f>-(K2359*0.025+L2359*0.025)</f>
        <v/>
      </c>
      <c r="P2359" s="17">
        <f>32</f>
        <v/>
      </c>
      <c r="Q2359" s="17">
        <f>J2359+L2359+N2359+O2359-P2359-M2359</f>
        <v/>
      </c>
    </row>
    <row r="2360">
      <c r="A2360" s="16" t="inlineStr">
        <is>
          <t>5.22-5.28</t>
        </is>
      </c>
      <c r="B2360" s="16" t="inlineStr">
        <is>
          <t>PO-128-05189024420471358</t>
        </is>
      </c>
      <c r="C2360" s="16" t="inlineStr">
        <is>
          <t>Delivered</t>
        </is>
      </c>
      <c r="D2360" s="16" t="inlineStr">
        <is>
          <t>128-05188982477431358</t>
        </is>
      </c>
      <c r="E2360" s="16" t="inlineStr">
        <is>
          <t>Delivered</t>
        </is>
      </c>
      <c r="F2360" s="16" t="inlineStr">
        <is>
          <t>TL1455N20B</t>
        </is>
      </c>
      <c r="G2360" s="16" t="inlineStr">
        <is>
          <t>LINK BITS Soporte para TV 14 A 55 Pulgadas, Base para TV Pantalla Articulado Inclinable y Giratorio, MAX VESA 400×400 mm, Soporta hasta 18kg, adaptarse a la mayoría de los televisores de 14 Pulgadas/20 Pulgadas/32 Pulgadas/42 Pulgadas/55 pulgadas</t>
        </is>
      </c>
      <c r="H2360" s="16" t="inlineStr">
        <is>
          <t>TL1455N20B</t>
        </is>
      </c>
      <c r="I2360" s="16" t="n">
        <v>1</v>
      </c>
      <c r="J2360" s="17" t="n">
        <v>74</v>
      </c>
      <c r="K2360" s="17" t="n">
        <v>95.06</v>
      </c>
      <c r="L2360" s="17" t="n">
        <v>25.86</v>
      </c>
      <c r="M2360" s="17" t="n">
        <v>0</v>
      </c>
      <c r="N2360" s="17">
        <f>K2360*0.08+L2360*0.08</f>
        <v/>
      </c>
      <c r="O2360" s="17">
        <f>-(K2360*0.025+L2360*0.025)</f>
        <v/>
      </c>
      <c r="P2360" s="17">
        <f>32</f>
        <v/>
      </c>
      <c r="Q2360" s="17">
        <f>J2360+L2360+N2360+O2360-P2360-M2360</f>
        <v/>
      </c>
    </row>
    <row r="2361">
      <c r="A2361" s="16" t="inlineStr">
        <is>
          <t>5.22-5.28</t>
        </is>
      </c>
      <c r="B2361" s="16" t="inlineStr">
        <is>
          <t>PO-128-05120691384952727</t>
        </is>
      </c>
      <c r="C2361" s="16" t="inlineStr">
        <is>
          <t>Delivered</t>
        </is>
      </c>
      <c r="D2361" s="16" t="inlineStr">
        <is>
          <t>128-05120712356472727</t>
        </is>
      </c>
      <c r="E2361" s="16" t="inlineStr">
        <is>
          <t>Delivered</t>
        </is>
      </c>
      <c r="F2361" s="16" t="inlineStr">
        <is>
          <t>TL2663N18C</t>
        </is>
      </c>
      <c r="G2361" s="16" t="inlineStr">
        <is>
          <t>Linkbits，Soporte de pared fijo para televisores de 26"-63", Ultra-Delgado Compatible con VESA 400x400mm, Capacidad de Peso Fuerte de 25KG, Instalación Fácil Sin Electricidad</t>
        </is>
      </c>
      <c r="H2361" s="16" t="inlineStr">
        <is>
          <t>NEGRO</t>
        </is>
      </c>
      <c r="I2361" s="16" t="n">
        <v>1</v>
      </c>
      <c r="J2361" s="17" t="n">
        <v>47</v>
      </c>
      <c r="K2361" s="17" t="n">
        <v>61.97</v>
      </c>
      <c r="L2361" s="17" t="n">
        <v>25.86</v>
      </c>
      <c r="M2361" s="17" t="n">
        <v>0</v>
      </c>
      <c r="N2361" s="17">
        <f>K2361*0.08+L2361*0.08</f>
        <v/>
      </c>
      <c r="O2361" s="17">
        <f>-(K2361*0.025+L2361*0.025)</f>
        <v/>
      </c>
      <c r="P2361" s="17">
        <f>32</f>
        <v/>
      </c>
      <c r="Q2361" s="17">
        <f>J2361+L2361+N2361+O2361-P2361-M2361</f>
        <v/>
      </c>
    </row>
    <row r="2362">
      <c r="A2362" s="16" t="inlineStr">
        <is>
          <t>5.22-5.28</t>
        </is>
      </c>
      <c r="B2362" s="16" t="inlineStr">
        <is>
          <t>PO-128-05075518730872994</t>
        </is>
      </c>
      <c r="C2362" s="16" t="inlineStr">
        <is>
          <t>Delivered</t>
        </is>
      </c>
      <c r="D2362" s="16" t="inlineStr">
        <is>
          <t>128-05075539702392994</t>
        </is>
      </c>
      <c r="E2362" s="16" t="inlineStr">
        <is>
          <t>Delivered</t>
        </is>
      </c>
      <c r="F2362" s="16" t="inlineStr">
        <is>
          <t>LV54W25</t>
        </is>
      </c>
      <c r="G2362" s="16" t="inlineStr">
        <is>
          <t>TIANLAI Lámpara Ventilador E27 2 en 1, Silenciosa, LED Alta Luminosidad 180°, Instalación Rápida, Ahorro Energético para Dormitorio y Interiores Pequeños</t>
        </is>
      </c>
      <c r="H2362" s="16" t="inlineStr">
        <is>
          <t>1 Pieza</t>
        </is>
      </c>
      <c r="I2362" s="16" t="n">
        <v>1</v>
      </c>
      <c r="J2362" s="17" t="n">
        <v>74</v>
      </c>
      <c r="K2362" s="17" t="n">
        <v>72.83</v>
      </c>
      <c r="L2362" s="17" t="n">
        <v>25.86</v>
      </c>
      <c r="M2362" s="17" t="n">
        <v>0</v>
      </c>
      <c r="N2362" s="17">
        <f>K2362*0.08+L2362*0.08</f>
        <v/>
      </c>
      <c r="O2362" s="17">
        <f>-(K2362*0.025+L2362*0.025)</f>
        <v/>
      </c>
      <c r="P2362" s="17">
        <f>32</f>
        <v/>
      </c>
      <c r="Q2362" s="17">
        <f>J2362+L2362+N2362+O2362-P2362-M2362</f>
        <v/>
      </c>
    </row>
    <row r="2363">
      <c r="A2363" s="16" t="inlineStr">
        <is>
          <t>5.22-5.28</t>
        </is>
      </c>
      <c r="B2363" s="16" t="inlineStr">
        <is>
          <t>PO-128-04933063660153909</t>
        </is>
      </c>
      <c r="C2363" s="16" t="inlineStr">
        <is>
          <t>Delivered</t>
        </is>
      </c>
      <c r="D2363" s="16" t="inlineStr">
        <is>
          <t>128-04933074145913909</t>
        </is>
      </c>
      <c r="E2363" s="16" t="inlineStr">
        <is>
          <t>Delivered</t>
        </is>
      </c>
      <c r="F2363" s="16" t="inlineStr">
        <is>
          <t>BG-115-B</t>
        </is>
      </c>
      <c r="G2363" s="16" t="inlineStr">
        <is>
          <t>LINK BITS Audífonos Inalámbricos con Luces Multicolor, Recargables y en Adorable Forma de Orejas de Gato - Conecta a Celulares y PCs, Tiene Radio FM, Tarjeta TF y AUX - 7 Horas de Reproducción, Plegables y Perfectos para Trabajo, Juegos y Estudio</t>
        </is>
      </c>
      <c r="H2363" s="16" t="inlineStr">
        <is>
          <t>blanco</t>
        </is>
      </c>
      <c r="I2363" s="16" t="n">
        <v>1</v>
      </c>
      <c r="J2363" s="17" t="n">
        <v>77.90000000000001</v>
      </c>
      <c r="K2363" s="17" t="n">
        <v>88.62</v>
      </c>
      <c r="L2363" s="17" t="n">
        <v>25.86</v>
      </c>
      <c r="M2363" s="17" t="n">
        <v>0</v>
      </c>
      <c r="N2363" s="17">
        <f>K2363*0.08+L2363*0.08</f>
        <v/>
      </c>
      <c r="O2363" s="17">
        <f>-(K2363*0.025+L2363*0.025)</f>
        <v/>
      </c>
      <c r="P2363" s="17">
        <f>32</f>
        <v/>
      </c>
      <c r="Q2363" s="17">
        <f>J2363+L2363+N2363+O2363-P2363-M2363</f>
        <v/>
      </c>
    </row>
    <row r="2364">
      <c r="A2364" s="16" t="inlineStr">
        <is>
          <t>5.22-5.28</t>
        </is>
      </c>
      <c r="B2364" s="16" t="inlineStr">
        <is>
          <t>PO-128-05312908687991581</t>
        </is>
      </c>
      <c r="C2364" s="16" t="inlineStr">
        <is>
          <t>Delivered</t>
        </is>
      </c>
      <c r="D2364" s="16" t="inlineStr">
        <is>
          <t>128-05312887716471581</t>
        </is>
      </c>
      <c r="E2364" s="16" t="inlineStr">
        <is>
          <t>Delivered</t>
        </is>
      </c>
      <c r="F2364" s="16" t="inlineStr">
        <is>
          <t>LV64W25</t>
        </is>
      </c>
      <c r="G23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64" s="16" t="inlineStr">
        <is>
          <t>Blanco</t>
        </is>
      </c>
      <c r="I2364" s="16" t="n">
        <v>1</v>
      </c>
      <c r="J2364" s="17" t="n">
        <v>125</v>
      </c>
      <c r="K2364" s="17" t="n">
        <v>143.26</v>
      </c>
      <c r="L2364" s="17" t="n">
        <v>25.86</v>
      </c>
      <c r="M2364" s="17" t="n">
        <v>0</v>
      </c>
      <c r="N2364" s="17">
        <f>K2364*0.08+L2364*0.08</f>
        <v/>
      </c>
      <c r="O2364" s="17">
        <f>-(K2364*0.025+L2364*0.025)</f>
        <v/>
      </c>
      <c r="P2364" s="17">
        <f>32</f>
        <v/>
      </c>
      <c r="Q2364" s="17">
        <f>J2364+L2364+N2364+O2364-P2364-M2364</f>
        <v/>
      </c>
    </row>
    <row r="2365">
      <c r="A2365" s="16" t="inlineStr">
        <is>
          <t>5.22-5.28</t>
        </is>
      </c>
      <c r="B2365" s="16" t="inlineStr">
        <is>
          <t>PO-128-05304320952951566</t>
        </is>
      </c>
      <c r="C2365" s="16" t="inlineStr">
        <is>
          <t>Delivered</t>
        </is>
      </c>
      <c r="D2365" s="16" t="inlineStr">
        <is>
          <t>128-05304341924471566</t>
        </is>
      </c>
      <c r="E2365" s="16" t="inlineStr">
        <is>
          <t>Delivered</t>
        </is>
      </c>
      <c r="F2365" s="16" t="inlineStr">
        <is>
          <t>KTS-1936</t>
        </is>
      </c>
      <c r="G2365" s="16" t="inlineStr">
        <is>
          <t>Espejo con Luz para Makeup，Espejo con Luz LED y Bocina Bluetooth，Espejo para Maquillaje con Aumentos y Luces LED de Intensidad Ajustable，Lente de Aumento 10X+Reproductor TF+ TWS，espejo de portátil y para estudiantes, oficina, dormitorio, mejor regalo</t>
        </is>
      </c>
      <c r="H2365" s="16" t="inlineStr">
        <is>
          <t>BLANCO</t>
        </is>
      </c>
      <c r="I2365" s="16" t="n">
        <v>1</v>
      </c>
      <c r="J2365" s="17" t="n">
        <v>220</v>
      </c>
      <c r="K2365" s="17" t="n">
        <v>247.84</v>
      </c>
      <c r="L2365" s="17" t="n">
        <v>25.86</v>
      </c>
      <c r="M2365" s="17" t="n">
        <v>0</v>
      </c>
      <c r="N2365" s="17">
        <f>K2365*0.08+L2365*0.08</f>
        <v/>
      </c>
      <c r="O2365" s="17">
        <f>-(K2365*0.025+L2365*0.025)</f>
        <v/>
      </c>
      <c r="P2365" s="17">
        <f>32</f>
        <v/>
      </c>
      <c r="Q2365" s="17">
        <f>J2365+L2365+N2365+O2365-P2365-M2365</f>
        <v/>
      </c>
    </row>
    <row r="2366">
      <c r="A2366" s="16" t="inlineStr">
        <is>
          <t>5.22-5.28</t>
        </is>
      </c>
      <c r="B2366" s="16" t="inlineStr">
        <is>
          <t>PO-128-05410391183990102</t>
        </is>
      </c>
      <c r="C2366" s="16" t="inlineStr">
        <is>
          <t>Delivered</t>
        </is>
      </c>
      <c r="D2366" s="16" t="inlineStr">
        <is>
          <t>128-05410370212470102</t>
        </is>
      </c>
      <c r="E2366" s="16" t="inlineStr">
        <is>
          <t>Delivered</t>
        </is>
      </c>
      <c r="F2366" s="16" t="inlineStr">
        <is>
          <t>LV54W25</t>
        </is>
      </c>
      <c r="G2366" s="16" t="inlineStr">
        <is>
          <t>TIANLAI Lámpara Ventilador E27 2 en 1, Silenciosa, LED Alta Luminosidad 180°, Instalación Rápida, Ahorro Energético para Dormitorio y Interiores Pequeños</t>
        </is>
      </c>
      <c r="H2366" s="16" t="inlineStr">
        <is>
          <t>1 Pieza</t>
        </is>
      </c>
      <c r="I2366" s="16" t="n">
        <v>1</v>
      </c>
      <c r="J2366" s="17" t="n">
        <v>74</v>
      </c>
      <c r="K2366" s="17" t="n">
        <v>68.55</v>
      </c>
      <c r="L2366" s="17" t="n">
        <v>25.86</v>
      </c>
      <c r="M2366" s="17" t="n">
        <v>0</v>
      </c>
      <c r="N2366" s="17">
        <f>K2366*0.08+L2366*0.08</f>
        <v/>
      </c>
      <c r="O2366" s="17">
        <f>-(K2366*0.025+L2366*0.025)</f>
        <v/>
      </c>
      <c r="P2366" s="17">
        <f>32</f>
        <v/>
      </c>
      <c r="Q2366" s="17">
        <f>J2366+L2366+N2366+O2366-P2366-M2366</f>
        <v/>
      </c>
    </row>
    <row r="2367">
      <c r="A2367" s="16" t="inlineStr">
        <is>
          <t>5.22-5.28</t>
        </is>
      </c>
      <c r="B2367" s="16" t="inlineStr">
        <is>
          <t>PO-128-05410275646070105</t>
        </is>
      </c>
      <c r="C2367" s="16" t="inlineStr">
        <is>
          <t>Delivered</t>
        </is>
      </c>
      <c r="D2367" s="16" t="inlineStr">
        <is>
          <t>128-05410233703030105</t>
        </is>
      </c>
      <c r="E2367" s="16" t="inlineStr">
        <is>
          <t>Delivered</t>
        </is>
      </c>
      <c r="F2367" s="16" t="inlineStr">
        <is>
          <t>LV54W25</t>
        </is>
      </c>
      <c r="G2367" s="16" t="inlineStr">
        <is>
          <t>TIANLAI Lámpara Ventilador E27 2 en 1, Silenciosa, LED Alta Luminosidad 180°, Instalación Rápida, Ahorro Energético para Dormitorio y Interiores Pequeños</t>
        </is>
      </c>
      <c r="H2367" s="16" t="inlineStr">
        <is>
          <t>1 Pieza</t>
        </is>
      </c>
      <c r="I2367" s="16" t="n">
        <v>5</v>
      </c>
      <c r="J2367" s="17" t="n">
        <v>370</v>
      </c>
      <c r="K2367" s="17" t="n">
        <v>381.3</v>
      </c>
      <c r="L2367" s="17" t="n">
        <v>0</v>
      </c>
      <c r="M2367" s="17" t="n">
        <v>0</v>
      </c>
      <c r="N2367" s="17">
        <f>K2367*0.08+L2367*0.08</f>
        <v/>
      </c>
      <c r="O2367" s="17">
        <f>-(K2367*0.025+L2367*0.025)</f>
        <v/>
      </c>
      <c r="P2367" s="17">
        <f>32</f>
        <v/>
      </c>
      <c r="Q2367" s="17">
        <f>J2367+L2367+N2367+O2367-P2367-M2367</f>
        <v/>
      </c>
    </row>
    <row r="2368">
      <c r="A2368" s="16" t="inlineStr">
        <is>
          <t>5.22-5.28</t>
        </is>
      </c>
      <c r="B2368" s="16" t="inlineStr">
        <is>
          <t>PO-128-04836956508793328</t>
        </is>
      </c>
      <c r="C2368" s="16" t="inlineStr">
        <is>
          <t>Delivered</t>
        </is>
      </c>
      <c r="D2368" s="16" t="inlineStr">
        <is>
          <t>128-04837038428793328</t>
        </is>
      </c>
      <c r="E2368" s="16" t="inlineStr">
        <is>
          <t>Delivered</t>
        </is>
      </c>
      <c r="F2368" s="16" t="inlineStr">
        <is>
          <t>i12-B</t>
        </is>
      </c>
      <c r="G2368" s="16" t="inlineStr">
        <is>
          <t>Auriculares Inalámbricos TWS - Ideales para Usuarios Android e iPhone, Entusiastas del Deporte &amp; Música, Controles Táctiles, Audífonos Para Correr y Jugar</t>
        </is>
      </c>
      <c r="H2368" s="16" t="inlineStr">
        <is>
          <t>Blanco</t>
        </is>
      </c>
      <c r="I2368" s="16" t="n">
        <v>1</v>
      </c>
      <c r="J2368" s="17" t="n">
        <v>45.8</v>
      </c>
      <c r="K2368" s="17" t="n">
        <v>53.14</v>
      </c>
      <c r="L2368" s="17" t="n">
        <v>25.86</v>
      </c>
      <c r="M2368" s="17" t="n">
        <v>0</v>
      </c>
      <c r="N2368" s="17">
        <f>K2368*0.08+L2368*0.08</f>
        <v/>
      </c>
      <c r="O2368" s="17">
        <f>-(K2368*0.025+L2368*0.025)</f>
        <v/>
      </c>
      <c r="P2368" s="17">
        <f>32</f>
        <v/>
      </c>
      <c r="Q2368" s="17">
        <f>J2368+L2368+N2368+O2368-P2368-M2368</f>
        <v/>
      </c>
    </row>
    <row r="2369">
      <c r="A2369" s="16" t="inlineStr">
        <is>
          <t>5.22-5.28</t>
        </is>
      </c>
      <c r="B2369" s="16" t="inlineStr">
        <is>
          <t>PO-128-05351405496950262</t>
        </is>
      </c>
      <c r="C2369" s="16" t="inlineStr">
        <is>
          <t>Delivered</t>
        </is>
      </c>
      <c r="D2369" s="16" t="inlineStr">
        <is>
          <t>128-05351363553910262</t>
        </is>
      </c>
      <c r="E2369" s="16" t="inlineStr">
        <is>
          <t>Delivered</t>
        </is>
      </c>
      <c r="F2369" s="16" t="inlineStr">
        <is>
          <t>LV64W25</t>
        </is>
      </c>
      <c r="G23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69" s="16" t="inlineStr">
        <is>
          <t>Blanco</t>
        </is>
      </c>
      <c r="I2369" s="16" t="n">
        <v>2</v>
      </c>
      <c r="J2369" s="17" t="n">
        <v>250</v>
      </c>
      <c r="K2369" s="17" t="n">
        <v>257.88</v>
      </c>
      <c r="L2369" s="17" t="n">
        <v>0</v>
      </c>
      <c r="M2369" s="17" t="n">
        <v>0</v>
      </c>
      <c r="N2369" s="17">
        <f>K2369*0.08+L2369*0.08</f>
        <v/>
      </c>
      <c r="O2369" s="17">
        <f>-(K2369*0.025+L2369*0.025)</f>
        <v/>
      </c>
      <c r="P2369" s="17">
        <f>32</f>
        <v/>
      </c>
      <c r="Q2369" s="17">
        <f>J2369+L2369+N2369+O2369-P2369-M2369</f>
        <v/>
      </c>
    </row>
    <row r="2370">
      <c r="A2370" s="16" t="inlineStr">
        <is>
          <t>5.22-5.28</t>
        </is>
      </c>
      <c r="B2370" s="16" t="inlineStr">
        <is>
          <t>PO-128-05358807680630346</t>
        </is>
      </c>
      <c r="C2370" s="16" t="inlineStr">
        <is>
          <t>Delivered</t>
        </is>
      </c>
      <c r="D2370" s="16" t="inlineStr">
        <is>
          <t>128-05358765737590346</t>
        </is>
      </c>
      <c r="E2370" s="16" t="inlineStr">
        <is>
          <t>Delivered</t>
        </is>
      </c>
      <c r="F2370" s="16" t="inlineStr">
        <is>
          <t>LV54W25</t>
        </is>
      </c>
      <c r="G2370" s="16" t="inlineStr">
        <is>
          <t>TIANLAI Lámpara Ventilador E27 2 en 1, Silenciosa, LED Alta Luminosidad 180°, Instalación Rápida, Ahorro Energético para Dormitorio y Interiores Pequeños</t>
        </is>
      </c>
      <c r="H2370" s="16" t="inlineStr">
        <is>
          <t>1 Pieza</t>
        </is>
      </c>
      <c r="I2370" s="16" t="n">
        <v>1</v>
      </c>
      <c r="J2370" s="17" t="n">
        <v>74</v>
      </c>
      <c r="K2370" s="17" t="n">
        <v>85.68000000000001</v>
      </c>
      <c r="L2370" s="17" t="n">
        <v>25.86</v>
      </c>
      <c r="M2370" s="17" t="n">
        <v>0</v>
      </c>
      <c r="N2370" s="17">
        <f>K2370*0.08+L2370*0.08</f>
        <v/>
      </c>
      <c r="O2370" s="17">
        <f>-(K2370*0.025+L2370*0.025)</f>
        <v/>
      </c>
      <c r="P2370" s="17">
        <f>32</f>
        <v/>
      </c>
      <c r="Q2370" s="17">
        <f>J2370+L2370+N2370+O2370-P2370-M2370</f>
        <v/>
      </c>
    </row>
    <row r="2371">
      <c r="A2371" s="16" t="inlineStr">
        <is>
          <t>5.22-5.28</t>
        </is>
      </c>
      <c r="B2371" s="16" t="inlineStr">
        <is>
          <t>PO-128-05489525827190590</t>
        </is>
      </c>
      <c r="C2371" s="16" t="inlineStr">
        <is>
          <t>Delivered</t>
        </is>
      </c>
      <c r="D2371" s="16" t="inlineStr">
        <is>
          <t>128-05489578255990590</t>
        </is>
      </c>
      <c r="E2371" s="16" t="inlineStr">
        <is>
          <t>Delivered</t>
        </is>
      </c>
      <c r="F2371" s="16" t="inlineStr">
        <is>
          <t>LV54W25</t>
        </is>
      </c>
      <c r="G2371" s="16" t="inlineStr">
        <is>
          <t>TIANLAI Lámpara Ventilador E27 2 en 1, Silenciosa, LED Alta Luminosidad 180°, Instalación Rápida, Ahorro Energético para Dormitorio y Interiores Pequeños</t>
        </is>
      </c>
      <c r="H2371" s="16" t="inlineStr">
        <is>
          <t>1 Pieza</t>
        </is>
      </c>
      <c r="I2371" s="16" t="n">
        <v>1</v>
      </c>
      <c r="J2371" s="17" t="n">
        <v>78.5</v>
      </c>
      <c r="K2371" s="17" t="n">
        <v>72.15000000000001</v>
      </c>
      <c r="L2371" s="17" t="n">
        <v>25.86</v>
      </c>
      <c r="M2371" s="17" t="n">
        <v>0</v>
      </c>
      <c r="N2371" s="17">
        <f>K2371*0.08+L2371*0.08</f>
        <v/>
      </c>
      <c r="O2371" s="17">
        <f>-(K2371*0.025+L2371*0.025)</f>
        <v/>
      </c>
      <c r="P2371" s="17">
        <f>32</f>
        <v/>
      </c>
      <c r="Q2371" s="17">
        <f>J2371+L2371+N2371+O2371-P2371-M2371</f>
        <v/>
      </c>
    </row>
    <row r="2372">
      <c r="A2372" s="16" t="inlineStr">
        <is>
          <t>5.22-5.28</t>
        </is>
      </c>
      <c r="B2372" s="16" t="inlineStr">
        <is>
          <t>PO-128-05244795172471923</t>
        </is>
      </c>
      <c r="C2372" s="16" t="inlineStr">
        <is>
          <t>Delivered</t>
        </is>
      </c>
      <c r="D2372" s="16" t="inlineStr">
        <is>
          <t>128-05244753229431923</t>
        </is>
      </c>
      <c r="E2372" s="16" t="inlineStr">
        <is>
          <t>Delivered</t>
        </is>
      </c>
      <c r="F2372" s="16" t="inlineStr">
        <is>
          <t>LV54W25</t>
        </is>
      </c>
      <c r="G2372" s="16" t="inlineStr">
        <is>
          <t>TIANLAI Lámpara Ventilador E27 2 en 1, Silenciosa, LED Alta Luminosidad 180°, Instalación Rápida, Ahorro Energético para Dormitorio y Interiores Pequeños</t>
        </is>
      </c>
      <c r="H2372" s="16" t="inlineStr">
        <is>
          <t>1 Pieza</t>
        </is>
      </c>
      <c r="I2372" s="16" t="n">
        <v>2</v>
      </c>
      <c r="J2372" s="17" t="n">
        <v>157</v>
      </c>
      <c r="K2372" s="17" t="n">
        <v>162.32</v>
      </c>
      <c r="L2372" s="17" t="n">
        <v>25.86</v>
      </c>
      <c r="M2372" s="17" t="n">
        <v>0</v>
      </c>
      <c r="N2372" s="17">
        <f>K2372*0.08+L2372*0.08</f>
        <v/>
      </c>
      <c r="O2372" s="17">
        <f>-(K2372*0.025+L2372*0.025)</f>
        <v/>
      </c>
      <c r="P2372" s="17">
        <f>32</f>
        <v/>
      </c>
      <c r="Q2372" s="17">
        <f>J2372+L2372+N2372+O2372-P2372-M2372</f>
        <v/>
      </c>
    </row>
    <row r="2373">
      <c r="A2373" s="16" t="inlineStr">
        <is>
          <t>5.22-5.28</t>
        </is>
      </c>
      <c r="B2373" s="16" t="inlineStr">
        <is>
          <t>PO-128-05193335951991396</t>
        </is>
      </c>
      <c r="C2373" s="16" t="inlineStr">
        <is>
          <t>Delivered</t>
        </is>
      </c>
      <c r="D2373" s="16" t="inlineStr">
        <is>
          <t>128-05193356923511396</t>
        </is>
      </c>
      <c r="E2373" s="16" t="inlineStr">
        <is>
          <t>Delivered</t>
        </is>
      </c>
      <c r="F2373" s="16" t="inlineStr">
        <is>
          <t>LV64W25</t>
        </is>
      </c>
      <c r="G23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73" s="16" t="inlineStr">
        <is>
          <t>Blanco</t>
        </is>
      </c>
      <c r="I2373" s="16" t="n">
        <v>2</v>
      </c>
      <c r="J2373" s="17" t="n">
        <v>250</v>
      </c>
      <c r="K2373" s="17" t="n">
        <v>229.21</v>
      </c>
      <c r="L2373" s="17" t="n">
        <v>0</v>
      </c>
      <c r="M2373" s="17" t="n">
        <v>0</v>
      </c>
      <c r="N2373" s="17">
        <f>K2373*0.08+L2373*0.08</f>
        <v/>
      </c>
      <c r="O2373" s="17">
        <f>-(K2373*0.025+L2373*0.025)</f>
        <v/>
      </c>
      <c r="P2373" s="17">
        <f>32</f>
        <v/>
      </c>
      <c r="Q2373" s="17">
        <f>J2373+L2373+N2373+O2373-P2373-M2373</f>
        <v/>
      </c>
    </row>
    <row r="2374">
      <c r="A2374" s="16" t="inlineStr">
        <is>
          <t>5.22-5.28</t>
        </is>
      </c>
      <c r="B2374" s="16" t="inlineStr">
        <is>
          <t>PO-128-05464789422710674</t>
        </is>
      </c>
      <c r="C2374" s="16" t="inlineStr">
        <is>
          <t>Delivered</t>
        </is>
      </c>
      <c r="D2374" s="16" t="inlineStr">
        <is>
          <t>128-05464810394230674</t>
        </is>
      </c>
      <c r="E2374" s="16" t="inlineStr">
        <is>
          <t>Delivered</t>
        </is>
      </c>
      <c r="F2374" s="16" t="inlineStr">
        <is>
          <t>LV64W25</t>
        </is>
      </c>
      <c r="G23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74" s="16" t="inlineStr">
        <is>
          <t>Blanco</t>
        </is>
      </c>
      <c r="I2374" s="16" t="n">
        <v>4</v>
      </c>
      <c r="J2374" s="17" t="n">
        <v>500</v>
      </c>
      <c r="K2374" s="17" t="n">
        <v>515.76</v>
      </c>
      <c r="L2374" s="17" t="n">
        <v>0</v>
      </c>
      <c r="M2374" s="17" t="n">
        <v>0</v>
      </c>
      <c r="N2374" s="17">
        <f>K2374*0.08+L2374*0.08</f>
        <v/>
      </c>
      <c r="O2374" s="17">
        <f>-(K2374*0.025+L2374*0.025)</f>
        <v/>
      </c>
      <c r="P2374" s="17">
        <f>32</f>
        <v/>
      </c>
      <c r="Q2374" s="17">
        <f>J2374+L2374+N2374+O2374-P2374-M2374</f>
        <v/>
      </c>
    </row>
    <row r="2375">
      <c r="A2375" s="16" t="inlineStr">
        <is>
          <t>5.22-5.28</t>
        </is>
      </c>
      <c r="B2375" s="16" t="inlineStr">
        <is>
          <t>PO-128-05329590851190392</t>
        </is>
      </c>
      <c r="C2375" s="16" t="inlineStr">
        <is>
          <t>Delivered</t>
        </is>
      </c>
      <c r="D2375" s="16" t="inlineStr">
        <is>
          <t>128-05329548908150392</t>
        </is>
      </c>
      <c r="E2375" s="16" t="inlineStr">
        <is>
          <t>Delivered</t>
        </is>
      </c>
      <c r="F2375" s="16" t="inlineStr">
        <is>
          <t>LV54W25</t>
        </is>
      </c>
      <c r="G2375" s="16" t="inlineStr">
        <is>
          <t>TIANLAI Lámpara Ventilador E27 2 en 1, Silenciosa, LED Alta Luminosidad 180°, Instalación Rápida, Ahorro Energético para Dormitorio y Interiores Pequeños</t>
        </is>
      </c>
      <c r="H2375" s="16" t="inlineStr">
        <is>
          <t>1 Pieza</t>
        </is>
      </c>
      <c r="I2375" s="16" t="n">
        <v>1</v>
      </c>
      <c r="J2375" s="17" t="n">
        <v>78.5</v>
      </c>
      <c r="K2375" s="17" t="n">
        <v>3.97</v>
      </c>
      <c r="L2375" s="17" t="n">
        <v>25.86</v>
      </c>
      <c r="M2375" s="17" t="n">
        <v>0</v>
      </c>
      <c r="N2375" s="17">
        <f>K2375*0.08+L2375*0.08</f>
        <v/>
      </c>
      <c r="O2375" s="17">
        <f>-(K2375*0.025+L2375*0.025)</f>
        <v/>
      </c>
      <c r="P2375" s="17">
        <f>32</f>
        <v/>
      </c>
      <c r="Q2375" s="17">
        <f>J2375+L2375+N2375+O2375-P2375-M2375</f>
        <v/>
      </c>
    </row>
    <row r="2376">
      <c r="A2376" s="16" t="inlineStr">
        <is>
          <t>5.22-5.28</t>
        </is>
      </c>
      <c r="B2376" s="16" t="inlineStr">
        <is>
          <t>PO-128-17859052168310590</t>
        </is>
      </c>
      <c r="C2376" s="16" t="inlineStr">
        <is>
          <t>Delivered</t>
        </is>
      </c>
      <c r="D2376" s="16" t="inlineStr">
        <is>
          <t>128-17859041682550590</t>
        </is>
      </c>
      <c r="E2376" s="16" t="inlineStr">
        <is>
          <t>Delivered</t>
        </is>
      </c>
      <c r="F2376" s="16" t="inlineStr">
        <is>
          <t>TL2663N18C</t>
        </is>
      </c>
      <c r="G2376" s="16" t="inlineStr">
        <is>
          <t>Linkbits，Soporte de pared fijo para televisores de 26"-63", Ultra-Delgado Compatible con VESA 400x400mm, Capacidad de Peso Fuerte de 25KG, Instalación Fácil Sin Electricidad</t>
        </is>
      </c>
      <c r="H2376" s="16" t="inlineStr">
        <is>
          <t>NEGRO</t>
        </is>
      </c>
      <c r="I2376" s="16" t="n">
        <v>1</v>
      </c>
      <c r="J2376" s="17" t="n">
        <v>53.6</v>
      </c>
      <c r="K2376" s="17" t="n">
        <v>68.56999999999999</v>
      </c>
      <c r="L2376" s="17" t="n">
        <v>25.86</v>
      </c>
      <c r="M2376" s="17" t="n">
        <v>0</v>
      </c>
      <c r="N2376" s="17">
        <f>K2376*0.08+L2376*0.08</f>
        <v/>
      </c>
      <c r="O2376" s="17">
        <f>-(K2376*0.025+L2376*0.025)</f>
        <v/>
      </c>
      <c r="P2376" s="17">
        <f>32</f>
        <v/>
      </c>
      <c r="Q2376" s="17">
        <f>J2376+L2376+N2376+O2376-P2376-M2376</f>
        <v/>
      </c>
    </row>
    <row r="2377">
      <c r="A2377" s="16" t="inlineStr">
        <is>
          <t>5.22-5.28</t>
        </is>
      </c>
      <c r="B2377" s="16" t="inlineStr">
        <is>
          <t>PO-128-17391115359352421</t>
        </is>
      </c>
      <c r="C2377" s="16" t="inlineStr">
        <is>
          <t>Delivered</t>
        </is>
      </c>
      <c r="D2377" s="16" t="inlineStr">
        <is>
          <t>128-17391136330872421</t>
        </is>
      </c>
      <c r="E2377" s="16" t="inlineStr">
        <is>
          <t>Delivered</t>
        </is>
      </c>
      <c r="F2377" s="16" t="inlineStr">
        <is>
          <t>TL1455N20B</t>
        </is>
      </c>
      <c r="G2377" s="16" t="inlineStr">
        <is>
          <t>LINK BITS Soporte para TV 14 A 55 Pulgadas, Base para TV Pantalla Articulado Inclinable y Giratorio, MAX VESA 400×400 mm, Soporta hasta 18kg, adaptarse a la mayoría de los televisores de 14 Pulgadas/20 Pulgadas/32 Pulgadas/42 Pulgadas/55 pulgadas</t>
        </is>
      </c>
      <c r="H2377" s="16" t="inlineStr">
        <is>
          <t>TL1455N20B</t>
        </is>
      </c>
      <c r="I2377" s="16" t="n">
        <v>1</v>
      </c>
      <c r="J2377" s="17" t="n">
        <v>74</v>
      </c>
      <c r="K2377" s="17" t="n">
        <v>76.05</v>
      </c>
      <c r="L2377" s="17" t="n">
        <v>25.86</v>
      </c>
      <c r="M2377" s="17" t="n">
        <v>0</v>
      </c>
      <c r="N2377" s="17">
        <f>K2377*0.08+L2377*0.08</f>
        <v/>
      </c>
      <c r="O2377" s="17">
        <f>-(K2377*0.025+L2377*0.025)</f>
        <v/>
      </c>
      <c r="P2377" s="17">
        <f>32</f>
        <v/>
      </c>
      <c r="Q2377" s="17">
        <f>J2377+L2377+N2377+O2377-P2377-M2377</f>
        <v/>
      </c>
    </row>
    <row r="2378">
      <c r="A2378" s="16" t="inlineStr">
        <is>
          <t>5.22-5.28</t>
        </is>
      </c>
      <c r="B2378" s="16" t="inlineStr">
        <is>
          <t>PO-128-17534698432631500</t>
        </is>
      </c>
      <c r="C2378" s="16" t="inlineStr">
        <is>
          <t>Delivered</t>
        </is>
      </c>
      <c r="D2378" s="16" t="inlineStr">
        <is>
          <t>128-17534656489591500</t>
        </is>
      </c>
      <c r="E2378" s="16" t="inlineStr">
        <is>
          <t>Delivered</t>
        </is>
      </c>
      <c r="F2378" s="16" t="inlineStr">
        <is>
          <t>LV54W25</t>
        </is>
      </c>
      <c r="G2378" s="16" t="inlineStr">
        <is>
          <t>TIANLAI Lámpara Ventilador E27 2 en 1, Silenciosa, LED Alta Luminosidad 180°, Instalación Rápida, Ahorro Energético para Dormitorio y Interiores Pequeños</t>
        </is>
      </c>
      <c r="H2378" s="16" t="inlineStr">
        <is>
          <t>1 Pieza</t>
        </is>
      </c>
      <c r="I2378" s="16" t="n">
        <v>1</v>
      </c>
      <c r="J2378" s="17" t="n">
        <v>78.5</v>
      </c>
      <c r="K2378" s="17" t="n">
        <v>47.08</v>
      </c>
      <c r="L2378" s="17" t="n">
        <v>25.86</v>
      </c>
      <c r="M2378" s="17" t="n">
        <v>0</v>
      </c>
      <c r="N2378" s="17">
        <f>K2378*0.08+L2378*0.08</f>
        <v/>
      </c>
      <c r="O2378" s="17">
        <f>-(K2378*0.025+L2378*0.025)</f>
        <v/>
      </c>
      <c r="P2378" s="17">
        <f>32</f>
        <v/>
      </c>
      <c r="Q2378" s="17">
        <f>J2378+L2378+N2378+O2378-P2378-M2378</f>
        <v/>
      </c>
    </row>
    <row r="2379">
      <c r="A2379" s="16" t="inlineStr">
        <is>
          <t>5.22-5.28</t>
        </is>
      </c>
      <c r="B2379" s="16" t="inlineStr">
        <is>
          <t>PO-128-17701422600310442</t>
        </is>
      </c>
      <c r="C2379" s="16" t="inlineStr">
        <is>
          <t>Delivered</t>
        </is>
      </c>
      <c r="D2379" s="16" t="inlineStr">
        <is>
          <t>128-17701443571830442</t>
        </is>
      </c>
      <c r="E2379" s="16" t="inlineStr">
        <is>
          <t>Delivered</t>
        </is>
      </c>
      <c r="F2379" s="16" t="inlineStr">
        <is>
          <t>LV64W25</t>
        </is>
      </c>
      <c r="G23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79" s="16" t="inlineStr">
        <is>
          <t>Blanco</t>
        </is>
      </c>
      <c r="I2379" s="16" t="n">
        <v>4</v>
      </c>
      <c r="J2379" s="17" t="n">
        <v>500</v>
      </c>
      <c r="K2379" s="17" t="n">
        <v>515.76</v>
      </c>
      <c r="L2379" s="17" t="n">
        <v>0</v>
      </c>
      <c r="M2379" s="17" t="n">
        <v>0</v>
      </c>
      <c r="N2379" s="17">
        <f>K2379*0.08+L2379*0.08</f>
        <v/>
      </c>
      <c r="O2379" s="17">
        <f>-(K2379*0.025+L2379*0.025)</f>
        <v/>
      </c>
      <c r="P2379" s="17">
        <f>32</f>
        <v/>
      </c>
      <c r="Q2379" s="17">
        <f>J2379+L2379+N2379+O2379-P2379-M2379</f>
        <v/>
      </c>
    </row>
    <row r="2380">
      <c r="A2380" s="16" t="inlineStr">
        <is>
          <t>5.22-5.28</t>
        </is>
      </c>
      <c r="B2380" s="16" t="inlineStr">
        <is>
          <t>PO-128-17284568886394078</t>
        </is>
      </c>
      <c r="C2380" s="16" t="inlineStr">
        <is>
          <t>Delivered</t>
        </is>
      </c>
      <c r="D2380" s="16" t="inlineStr">
        <is>
          <t>128-17284595100794078</t>
        </is>
      </c>
      <c r="E2380" s="16" t="inlineStr">
        <is>
          <t>Delivered</t>
        </is>
      </c>
      <c r="F2380" s="16" t="inlineStr">
        <is>
          <t>LV54W25</t>
        </is>
      </c>
      <c r="G2380" s="16" t="inlineStr">
        <is>
          <t>TIANLAI Lámpara Ventilador E27 2 en 1, Silenciosa, LED Alta Luminosidad 180°, Instalación Rápida, Ahorro Energético para Dormitorio y Interiores Pequeños</t>
        </is>
      </c>
      <c r="H2380" s="16" t="inlineStr">
        <is>
          <t>1 Pieza</t>
        </is>
      </c>
      <c r="I2380" s="16" t="n">
        <v>1</v>
      </c>
      <c r="J2380" s="17" t="n">
        <v>78.5</v>
      </c>
      <c r="K2380" s="17" t="n">
        <v>72.15000000000001</v>
      </c>
      <c r="L2380" s="17" t="n">
        <v>25.86</v>
      </c>
      <c r="M2380" s="17" t="n">
        <v>0</v>
      </c>
      <c r="N2380" s="17">
        <f>K2380*0.08+L2380*0.08</f>
        <v/>
      </c>
      <c r="O2380" s="17">
        <f>-(K2380*0.025+L2380*0.025)</f>
        <v/>
      </c>
      <c r="P2380" s="17">
        <f>32</f>
        <v/>
      </c>
      <c r="Q2380" s="17">
        <f>J2380+L2380+N2380+O2380-P2380-M2380</f>
        <v/>
      </c>
    </row>
    <row r="2381">
      <c r="A2381" s="16" t="inlineStr">
        <is>
          <t>5.22-5.28</t>
        </is>
      </c>
      <c r="B2381" s="16" t="inlineStr">
        <is>
          <t>PO-128-17360033431672479</t>
        </is>
      </c>
      <c r="C2381" s="16" t="inlineStr">
        <is>
          <t>Delivered</t>
        </is>
      </c>
      <c r="D2381" s="16" t="inlineStr">
        <is>
          <t>128-17359991488632479</t>
        </is>
      </c>
      <c r="E2381" s="16" t="inlineStr">
        <is>
          <t>Delivered</t>
        </is>
      </c>
      <c r="F2381" s="16" t="inlineStr">
        <is>
          <t>LV54W25</t>
        </is>
      </c>
      <c r="G2381" s="16" t="inlineStr">
        <is>
          <t>TIANLAI Lámpara Ventilador E27 2 en 1, Silenciosa, LED Alta Luminosidad 180°, Instalación Rápida, Ahorro Energético para Dormitorio y Interiores Pequeños</t>
        </is>
      </c>
      <c r="H2381" s="16" t="inlineStr">
        <is>
          <t>1 Pieza</t>
        </is>
      </c>
      <c r="I2381" s="16" t="n">
        <v>1</v>
      </c>
      <c r="J2381" s="17" t="n">
        <v>78.5</v>
      </c>
      <c r="K2381" s="17" t="n">
        <v>80.27</v>
      </c>
      <c r="L2381" s="17" t="n">
        <v>25.86</v>
      </c>
      <c r="M2381" s="17" t="n">
        <v>0</v>
      </c>
      <c r="N2381" s="17">
        <f>K2381*0.08+L2381*0.08</f>
        <v/>
      </c>
      <c r="O2381" s="17">
        <f>-(K2381*0.025+L2381*0.025)</f>
        <v/>
      </c>
      <c r="P2381" s="17">
        <f>32</f>
        <v/>
      </c>
      <c r="Q2381" s="17">
        <f>J2381+L2381+N2381+O2381-P2381-M2381</f>
        <v/>
      </c>
    </row>
    <row r="2382">
      <c r="A2382" s="16" t="inlineStr">
        <is>
          <t>5.22-5.28</t>
        </is>
      </c>
      <c r="B2382" s="16" t="inlineStr">
        <is>
          <t>PO-128-17489204969592733</t>
        </is>
      </c>
      <c r="C2382" s="16" t="inlineStr">
        <is>
          <t>Delivered</t>
        </is>
      </c>
      <c r="D2382" s="16" t="inlineStr">
        <is>
          <t>128-17489231183992733</t>
        </is>
      </c>
      <c r="E2382" s="16" t="inlineStr">
        <is>
          <t>Delivered</t>
        </is>
      </c>
      <c r="F2382" s="16" t="inlineStr">
        <is>
          <t>TL1455N20B</t>
        </is>
      </c>
      <c r="G2382" s="16" t="inlineStr">
        <is>
          <t>LINK BITS Soporte para TV 14 A 55 Pulgadas, Base para TV Pantalla Articulado Inclinable y Giratorio, MAX VESA 400×400 mm, Soporta hasta 18kg, adaptarse a la mayoría de los televisores de 14 Pulgadas/20 Pulgadas/32 Pulgadas/42 Pulgadas/55 pulgadas</t>
        </is>
      </c>
      <c r="H2382" s="16" t="inlineStr">
        <is>
          <t>TL1455N20B</t>
        </is>
      </c>
      <c r="I2382" s="16" t="n">
        <v>1</v>
      </c>
      <c r="J2382" s="17" t="n">
        <v>74</v>
      </c>
      <c r="K2382" s="17" t="n">
        <v>95.06</v>
      </c>
      <c r="L2382" s="17" t="n">
        <v>25.86</v>
      </c>
      <c r="M2382" s="17" t="n">
        <v>0</v>
      </c>
      <c r="N2382" s="17">
        <f>K2382*0.08+L2382*0.08</f>
        <v/>
      </c>
      <c r="O2382" s="17">
        <f>-(K2382*0.025+L2382*0.025)</f>
        <v/>
      </c>
      <c r="P2382" s="17">
        <f>32</f>
        <v/>
      </c>
      <c r="Q2382" s="17">
        <f>J2382+L2382+N2382+O2382-P2382-M2382</f>
        <v/>
      </c>
    </row>
    <row r="2383">
      <c r="A2383" s="16" t="inlineStr">
        <is>
          <t>5.22-5.28</t>
        </is>
      </c>
      <c r="B2383" s="16" t="inlineStr">
        <is>
          <t>PO-128-17502781407352586</t>
        </is>
      </c>
      <c r="C2383" s="16" t="inlineStr">
        <is>
          <t>Delivered</t>
        </is>
      </c>
      <c r="D2383" s="16" t="inlineStr">
        <is>
          <t>128-17502802378872586</t>
        </is>
      </c>
      <c r="E2383" s="16" t="inlineStr">
        <is>
          <t>Delivered</t>
        </is>
      </c>
      <c r="F2383" s="16" t="inlineStr">
        <is>
          <t>LV64W25</t>
        </is>
      </c>
      <c r="G23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83" s="16" t="inlineStr">
        <is>
          <t>Blanco</t>
        </is>
      </c>
      <c r="I2383" s="16" t="n">
        <v>1</v>
      </c>
      <c r="J2383" s="17" t="n">
        <v>125</v>
      </c>
      <c r="K2383" s="17" t="n">
        <v>143.26</v>
      </c>
      <c r="L2383" s="17" t="n">
        <v>25.86</v>
      </c>
      <c r="M2383" s="17" t="n">
        <v>0</v>
      </c>
      <c r="N2383" s="17">
        <f>K2383*0.08+L2383*0.08</f>
        <v/>
      </c>
      <c r="O2383" s="17">
        <f>-(K2383*0.025+L2383*0.025)</f>
        <v/>
      </c>
      <c r="P2383" s="17">
        <f>32</f>
        <v/>
      </c>
      <c r="Q2383" s="17">
        <f>J2383+L2383+N2383+O2383-P2383-M2383</f>
        <v/>
      </c>
    </row>
    <row r="2384">
      <c r="A2384" s="16" t="inlineStr">
        <is>
          <t>5.22-5.28</t>
        </is>
      </c>
      <c r="B2384" s="16" t="inlineStr">
        <is>
          <t>PO-128-17668591767671791</t>
        </is>
      </c>
      <c r="C2384" s="16" t="inlineStr">
        <is>
          <t>Delivered</t>
        </is>
      </c>
      <c r="D2384" s="16" t="inlineStr">
        <is>
          <t>128-17668619292791791</t>
        </is>
      </c>
      <c r="E2384" s="16" t="inlineStr">
        <is>
          <t>Delivered</t>
        </is>
      </c>
      <c r="F2384" s="16" t="inlineStr">
        <is>
          <t>LV54W25</t>
        </is>
      </c>
      <c r="G2384" s="16" t="inlineStr">
        <is>
          <t>TIANLAI Lámpara Ventilador E27 2 en 1, Silenciosa, LED Alta Luminosidad 180°, Instalación Rápida, Ahorro Energético para Dormitorio y Interiores Pequeños</t>
        </is>
      </c>
      <c r="H2384" s="16" t="inlineStr">
        <is>
          <t>1 Pieza</t>
        </is>
      </c>
      <c r="I2384" s="16" t="n">
        <v>2</v>
      </c>
      <c r="J2384" s="17" t="n">
        <v>157</v>
      </c>
      <c r="K2384" s="17" t="n">
        <v>162.32</v>
      </c>
      <c r="L2384" s="17" t="n">
        <v>25.86</v>
      </c>
      <c r="M2384" s="17" t="n">
        <v>0</v>
      </c>
      <c r="N2384" s="17">
        <f>K2384*0.08+L2384*0.08</f>
        <v/>
      </c>
      <c r="O2384" s="17">
        <f>-(K2384*0.025+L2384*0.025)</f>
        <v/>
      </c>
      <c r="P2384" s="17">
        <f>32</f>
        <v/>
      </c>
      <c r="Q2384" s="17">
        <f>J2384+L2384+N2384+O2384-P2384-M2384</f>
        <v/>
      </c>
    </row>
    <row r="2385">
      <c r="A2385" s="16" t="inlineStr">
        <is>
          <t>5.22-5.28</t>
        </is>
      </c>
      <c r="B2385" s="16" t="inlineStr">
        <is>
          <t>PO-128-17586402153591257</t>
        </is>
      </c>
      <c r="C2385" s="16" t="inlineStr">
        <is>
          <t>Delivered</t>
        </is>
      </c>
      <c r="D2385" s="16" t="inlineStr">
        <is>
          <t>128-17586507011191257</t>
        </is>
      </c>
      <c r="E2385" s="16" t="inlineStr">
        <is>
          <t>Delivered</t>
        </is>
      </c>
      <c r="F2385" s="16" t="inlineStr">
        <is>
          <t>TL1455N20B</t>
        </is>
      </c>
      <c r="G2385" s="16" t="inlineStr">
        <is>
          <t>LINK BITS Soporte para TV 14 A 55 Pulgadas, Base para TV Pantalla Articulado Inclinable y Giratorio, MAX VESA 400×400 mm, Soporta hasta 18kg, adaptarse a la mayoría de los televisores de 14 Pulgadas/20 Pulgadas/32 Pulgadas/42 Pulgadas/55 pulgadas</t>
        </is>
      </c>
      <c r="H2385" s="16" t="inlineStr">
        <is>
          <t>TL1455N20B</t>
        </is>
      </c>
      <c r="I2385" s="16" t="n">
        <v>1</v>
      </c>
      <c r="J2385" s="17" t="n">
        <v>74</v>
      </c>
      <c r="K2385" s="17" t="n">
        <v>95.06</v>
      </c>
      <c r="L2385" s="17" t="n">
        <v>25.86</v>
      </c>
      <c r="M2385" s="17" t="n">
        <v>0</v>
      </c>
      <c r="N2385" s="17">
        <f>K2385*0.08+L2385*0.08</f>
        <v/>
      </c>
      <c r="O2385" s="17">
        <f>-(K2385*0.025+L2385*0.025)</f>
        <v/>
      </c>
      <c r="P2385" s="17">
        <f>32</f>
        <v/>
      </c>
      <c r="Q2385" s="17">
        <f>J2385+L2385+N2385+O2385-P2385-M2385</f>
        <v/>
      </c>
    </row>
    <row r="2386">
      <c r="A2386" s="16" t="inlineStr">
        <is>
          <t>5.22-5.28</t>
        </is>
      </c>
      <c r="B2386" s="16" t="inlineStr">
        <is>
          <t>PO-128-17783844001910913</t>
        </is>
      </c>
      <c r="C2386" s="16" t="inlineStr">
        <is>
          <t>Delivered</t>
        </is>
      </c>
      <c r="D2386" s="16" t="inlineStr">
        <is>
          <t>128-17783823030390913</t>
        </is>
      </c>
      <c r="E2386" s="16" t="inlineStr">
        <is>
          <t>Delivered</t>
        </is>
      </c>
      <c r="F2386" s="16" t="inlineStr">
        <is>
          <t>LV54W25</t>
        </is>
      </c>
      <c r="G2386" s="16" t="inlineStr">
        <is>
          <t>TIANLAI Lámpara Ventilador E27 2 en 1, Silenciosa, LED Alta Luminosidad 180°, Instalación Rápida, Ahorro Energético para Dormitorio y Interiores Pequeños</t>
        </is>
      </c>
      <c r="H2386" s="16" t="inlineStr">
        <is>
          <t>1 Pieza</t>
        </is>
      </c>
      <c r="I2386" s="16" t="n">
        <v>1</v>
      </c>
      <c r="J2386" s="17" t="n">
        <v>78.5</v>
      </c>
      <c r="K2386" s="17" t="n">
        <v>81.16</v>
      </c>
      <c r="L2386" s="17" t="n">
        <v>25.86</v>
      </c>
      <c r="M2386" s="17" t="n">
        <v>0</v>
      </c>
      <c r="N2386" s="17">
        <f>K2386*0.08+L2386*0.08</f>
        <v/>
      </c>
      <c r="O2386" s="17">
        <f>-(K2386*0.025+L2386*0.025)</f>
        <v/>
      </c>
      <c r="P2386" s="17">
        <f>32</f>
        <v/>
      </c>
      <c r="Q2386" s="17">
        <f>J2386+L2386+N2386+O2386-P2386-M2386</f>
        <v/>
      </c>
    </row>
    <row r="2387">
      <c r="A2387" s="16" t="inlineStr">
        <is>
          <t>5.22-5.28</t>
        </is>
      </c>
      <c r="B2387" s="16" t="inlineStr">
        <is>
          <t>PO-128-17250195735673133</t>
        </is>
      </c>
      <c r="C2387" s="16" t="inlineStr">
        <is>
          <t>Delivered</t>
        </is>
      </c>
      <c r="D2387" s="16" t="inlineStr">
        <is>
          <t>128-17250300593273133</t>
        </is>
      </c>
      <c r="E2387" s="16" t="inlineStr">
        <is>
          <t>Delivered</t>
        </is>
      </c>
      <c r="F2387" s="16" t="inlineStr">
        <is>
          <t>TL1455N20B</t>
        </is>
      </c>
      <c r="G2387" s="16" t="inlineStr">
        <is>
          <t>LINK BITS Soporte para TV 14 A 55 Pulgadas, Base para TV Pantalla Articulado Inclinable y Giratorio, MAX VESA 400×400 mm, Soporta hasta 18kg, adaptarse a la mayoría de los televisores de 14 Pulgadas/20 Pulgadas/32 Pulgadas/42 Pulgadas/55 pulgadas</t>
        </is>
      </c>
      <c r="H2387" s="16" t="inlineStr">
        <is>
          <t>TL1455N20B</t>
        </is>
      </c>
      <c r="I2387" s="16" t="n">
        <v>1</v>
      </c>
      <c r="J2387" s="17" t="n">
        <v>74</v>
      </c>
      <c r="K2387" s="17" t="n">
        <v>95.06</v>
      </c>
      <c r="L2387" s="17" t="n">
        <v>25.86</v>
      </c>
      <c r="M2387" s="17" t="n">
        <v>0</v>
      </c>
      <c r="N2387" s="17">
        <f>K2387*0.08+L2387*0.08</f>
        <v/>
      </c>
      <c r="O2387" s="17">
        <f>-(K2387*0.025+L2387*0.025)</f>
        <v/>
      </c>
      <c r="P2387" s="17">
        <f>32</f>
        <v/>
      </c>
      <c r="Q2387" s="17">
        <f>J2387+L2387+N2387+O2387-P2387-M2387</f>
        <v/>
      </c>
    </row>
    <row r="2388">
      <c r="A2388" s="16" t="inlineStr">
        <is>
          <t>5.22-5.28</t>
        </is>
      </c>
      <c r="B2388" s="16" t="inlineStr">
        <is>
          <t>PO-128-17482846190712707</t>
        </is>
      </c>
      <c r="C2388" s="16" t="inlineStr">
        <is>
          <t>Delivered</t>
        </is>
      </c>
      <c r="D2388" s="16" t="inlineStr">
        <is>
          <t>128-17482825219192707</t>
        </is>
      </c>
      <c r="E2388" s="16" t="inlineStr">
        <is>
          <t>Delivered</t>
        </is>
      </c>
      <c r="F2388" s="16" t="inlineStr">
        <is>
          <t>LV64W25</t>
        </is>
      </c>
      <c r="G23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88" s="16" t="inlineStr">
        <is>
          <t>Blanco</t>
        </is>
      </c>
      <c r="I2388" s="16" t="n">
        <v>1</v>
      </c>
      <c r="J2388" s="17" t="n">
        <v>125</v>
      </c>
      <c r="K2388" s="17" t="n">
        <v>128.94</v>
      </c>
      <c r="L2388" s="17" t="n">
        <v>25.86</v>
      </c>
      <c r="M2388" s="17" t="n">
        <v>0</v>
      </c>
      <c r="N2388" s="17">
        <f>K2388*0.08+L2388*0.08</f>
        <v/>
      </c>
      <c r="O2388" s="17">
        <f>-(K2388*0.025+L2388*0.025)</f>
        <v/>
      </c>
      <c r="P2388" s="17">
        <f>32</f>
        <v/>
      </c>
      <c r="Q2388" s="17">
        <f>J2388+L2388+N2388+O2388-P2388-M2388</f>
        <v/>
      </c>
    </row>
    <row r="2389">
      <c r="A2389" s="16" t="inlineStr">
        <is>
          <t>5.22-5.28</t>
        </is>
      </c>
      <c r="B2389" s="16" t="inlineStr">
        <is>
          <t>PO-128-17853282660470563</t>
        </is>
      </c>
      <c r="C2389" s="16" t="inlineStr">
        <is>
          <t>Delivered</t>
        </is>
      </c>
      <c r="D2389" s="16" t="inlineStr">
        <is>
          <t>128-17853240717430563</t>
        </is>
      </c>
      <c r="E2389" s="16" t="inlineStr">
        <is>
          <t>Delivered</t>
        </is>
      </c>
      <c r="F2389" s="16" t="inlineStr">
        <is>
          <t>LV54W25</t>
        </is>
      </c>
      <c r="G2389" s="16" t="inlineStr">
        <is>
          <t>TIANLAI Lámpara Ventilador E27 2 en 1, Silenciosa, LED Alta Luminosidad 180°, Instalación Rápida, Ahorro Energético para Dormitorio y Interiores Pequeños</t>
        </is>
      </c>
      <c r="H2389" s="16" t="inlineStr">
        <is>
          <t>1 Pieza</t>
        </is>
      </c>
      <c r="I2389" s="16" t="n">
        <v>2</v>
      </c>
      <c r="J2389" s="17" t="n">
        <v>157</v>
      </c>
      <c r="K2389" s="17" t="n">
        <v>160.54</v>
      </c>
      <c r="L2389" s="17" t="n">
        <v>25.86</v>
      </c>
      <c r="M2389" s="17" t="n">
        <v>0</v>
      </c>
      <c r="N2389" s="17">
        <f>K2389*0.08+L2389*0.08</f>
        <v/>
      </c>
      <c r="O2389" s="17">
        <f>-(K2389*0.025+L2389*0.025)</f>
        <v/>
      </c>
      <c r="P2389" s="17">
        <f>32</f>
        <v/>
      </c>
      <c r="Q2389" s="17">
        <f>J2389+L2389+N2389+O2389-P2389-M2389</f>
        <v/>
      </c>
    </row>
    <row r="2390">
      <c r="A2390" s="16" t="inlineStr">
        <is>
          <t>5.22-5.28</t>
        </is>
      </c>
      <c r="B2390" s="16" t="inlineStr">
        <is>
          <t>PO-128-17819042573430895</t>
        </is>
      </c>
      <c r="C2390" s="16" t="inlineStr">
        <is>
          <t>Delivered</t>
        </is>
      </c>
      <c r="D2390" s="16" t="inlineStr">
        <is>
          <t>128-17819000630390895</t>
        </is>
      </c>
      <c r="E2390" s="16" t="inlineStr">
        <is>
          <t>Delivered</t>
        </is>
      </c>
      <c r="F2390" s="16" t="inlineStr">
        <is>
          <t>LV54W25</t>
        </is>
      </c>
      <c r="G2390" s="16" t="inlineStr">
        <is>
          <t>TIANLAI Lámpara Ventilador E27 2 en 1, Silenciosa, LED Alta Luminosidad 180°, Instalación Rápida, Ahorro Energético para Dormitorio y Interiores Pequeños</t>
        </is>
      </c>
      <c r="H2390" s="16" t="inlineStr">
        <is>
          <t>1 Pieza</t>
        </is>
      </c>
      <c r="I2390" s="16" t="n">
        <v>1</v>
      </c>
      <c r="J2390" s="17" t="n">
        <v>78.5</v>
      </c>
      <c r="K2390" s="17" t="n">
        <v>38.06</v>
      </c>
      <c r="L2390" s="17" t="n">
        <v>25.86</v>
      </c>
      <c r="M2390" s="17" t="n">
        <v>0</v>
      </c>
      <c r="N2390" s="17">
        <f>K2390*0.08+L2390*0.08</f>
        <v/>
      </c>
      <c r="O2390" s="17">
        <f>-(K2390*0.025+L2390*0.025)</f>
        <v/>
      </c>
      <c r="P2390" s="17">
        <f>32</f>
        <v/>
      </c>
      <c r="Q2390" s="17">
        <f>J2390+L2390+N2390+O2390-P2390-M2390</f>
        <v/>
      </c>
    </row>
    <row r="2391">
      <c r="A2391" s="16" t="inlineStr">
        <is>
          <t>5.22-5.28</t>
        </is>
      </c>
      <c r="B2391" s="16" t="inlineStr">
        <is>
          <t>PO-128-17556484785271370</t>
        </is>
      </c>
      <c r="C2391" s="16" t="inlineStr">
        <is>
          <t>Delivered</t>
        </is>
      </c>
      <c r="D2391" s="16" t="inlineStr">
        <is>
          <t>128-17556442842231370</t>
        </is>
      </c>
      <c r="E2391" s="16" t="inlineStr">
        <is>
          <t>Delivered</t>
        </is>
      </c>
      <c r="F2391" s="16" t="inlineStr">
        <is>
          <t>LV54W25</t>
        </is>
      </c>
      <c r="G2391" s="16" t="inlineStr">
        <is>
          <t>TIANLAI Lámpara Ventilador E27 2 en 1, Silenciosa, LED Alta Luminosidad 180°, Instalación Rápida, Ahorro Energético para Dormitorio y Interiores Pequeños</t>
        </is>
      </c>
      <c r="H2391" s="16" t="inlineStr">
        <is>
          <t>1 Pieza</t>
        </is>
      </c>
      <c r="I2391" s="16" t="n">
        <v>3</v>
      </c>
      <c r="J2391" s="17" t="n">
        <v>235.5</v>
      </c>
      <c r="K2391" s="17" t="n">
        <v>240.81</v>
      </c>
      <c r="L2391" s="17" t="n">
        <v>0</v>
      </c>
      <c r="M2391" s="17" t="n">
        <v>0</v>
      </c>
      <c r="N2391" s="17">
        <f>K2391*0.08+L2391*0.08</f>
        <v/>
      </c>
      <c r="O2391" s="17">
        <f>-(K2391*0.025+L2391*0.025)</f>
        <v/>
      </c>
      <c r="P2391" s="17">
        <f>32</f>
        <v/>
      </c>
      <c r="Q2391" s="17">
        <f>J2391+L2391+N2391+O2391-P2391-M2391</f>
        <v/>
      </c>
    </row>
    <row r="2392">
      <c r="A2392" s="16" t="inlineStr">
        <is>
          <t>5.22-5.28</t>
        </is>
      </c>
      <c r="B2392" s="16" t="inlineStr">
        <is>
          <t>PO-128-17507492350072622</t>
        </is>
      </c>
      <c r="C2392" s="16" t="inlineStr">
        <is>
          <t>Delivered</t>
        </is>
      </c>
      <c r="D2392" s="16" t="inlineStr">
        <is>
          <t>128-17507450407032622</t>
        </is>
      </c>
      <c r="E2392" s="16" t="inlineStr">
        <is>
          <t>Delivered</t>
        </is>
      </c>
      <c r="F2392" s="16" t="inlineStr">
        <is>
          <t>TL1455N20B</t>
        </is>
      </c>
      <c r="G2392" s="16" t="inlineStr">
        <is>
          <t>LINK BITS Soporte para TV 14 A 55 Pulgadas, Base para TV Pantalla Articulado Inclinable y Giratorio, MAX VESA 400×400 mm, Soporta hasta 18kg, adaptarse a la mayoría de los televisores de 14 Pulgadas/20 Pulgadas/32 Pulgadas/42 Pulgadas/55 pulgadas</t>
        </is>
      </c>
      <c r="H2392" s="16" t="inlineStr">
        <is>
          <t>TL1455N20B</t>
        </is>
      </c>
      <c r="I2392" s="16" t="n">
        <v>2</v>
      </c>
      <c r="J2392" s="17" t="n">
        <v>148</v>
      </c>
      <c r="K2392" s="17" t="n">
        <v>156.85</v>
      </c>
      <c r="L2392" s="17" t="n">
        <v>25.86</v>
      </c>
      <c r="M2392" s="17" t="n">
        <v>0</v>
      </c>
      <c r="N2392" s="17">
        <f>K2392*0.08+L2392*0.08</f>
        <v/>
      </c>
      <c r="O2392" s="17">
        <f>-(K2392*0.025+L2392*0.025)</f>
        <v/>
      </c>
      <c r="P2392" s="17">
        <f>32</f>
        <v/>
      </c>
      <c r="Q2392" s="17">
        <f>J2392+L2392+N2392+O2392-P2392-M2392</f>
        <v/>
      </c>
    </row>
    <row r="2393">
      <c r="A2393" s="16" t="inlineStr">
        <is>
          <t>5.22-5.28</t>
        </is>
      </c>
      <c r="B2393" s="16" t="inlineStr">
        <is>
          <t>PO-128-17323046884473787</t>
        </is>
      </c>
      <c r="C2393" s="16" t="inlineStr">
        <is>
          <t>Delivered</t>
        </is>
      </c>
      <c r="D2393" s="16" t="inlineStr">
        <is>
          <t>128-17323025912953787</t>
        </is>
      </c>
      <c r="E2393" s="16" t="inlineStr">
        <is>
          <t>Delivered</t>
        </is>
      </c>
      <c r="F2393" s="16" t="inlineStr">
        <is>
          <t>LV64W25</t>
        </is>
      </c>
      <c r="G23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93" s="16" t="inlineStr">
        <is>
          <t>Blanco</t>
        </is>
      </c>
      <c r="I2393" s="16" t="n">
        <v>1</v>
      </c>
      <c r="J2393" s="17" t="n">
        <v>125</v>
      </c>
      <c r="K2393" s="17" t="n">
        <v>143.26</v>
      </c>
      <c r="L2393" s="17" t="n">
        <v>25.86</v>
      </c>
      <c r="M2393" s="17" t="n">
        <v>0</v>
      </c>
      <c r="N2393" s="17">
        <f>K2393*0.08+L2393*0.08</f>
        <v/>
      </c>
      <c r="O2393" s="17">
        <f>-(K2393*0.025+L2393*0.025)</f>
        <v/>
      </c>
      <c r="P2393" s="17">
        <f>32</f>
        <v/>
      </c>
      <c r="Q2393" s="17">
        <f>J2393+L2393+N2393+O2393-P2393-M2393</f>
        <v/>
      </c>
    </row>
    <row r="2394">
      <c r="A2394" s="16" t="inlineStr">
        <is>
          <t>5.22-5.28</t>
        </is>
      </c>
      <c r="B2394" s="16" t="inlineStr">
        <is>
          <t>PO-128-17484275930232696</t>
        </is>
      </c>
      <c r="C2394" s="16" t="inlineStr">
        <is>
          <t>Delivered</t>
        </is>
      </c>
      <c r="D2394" s="16" t="inlineStr">
        <is>
          <t>128-17484254958712696</t>
        </is>
      </c>
      <c r="E2394" s="16" t="inlineStr">
        <is>
          <t>Delivered</t>
        </is>
      </c>
      <c r="F2394" s="16" t="inlineStr">
        <is>
          <t>LV64W25</t>
        </is>
      </c>
      <c r="G23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94" s="16" t="inlineStr">
        <is>
          <t>Blanco</t>
        </is>
      </c>
      <c r="I2394" s="16" t="n">
        <v>1</v>
      </c>
      <c r="J2394" s="17" t="n">
        <v>125</v>
      </c>
      <c r="K2394" s="17" t="n">
        <v>143.26</v>
      </c>
      <c r="L2394" s="17" t="n">
        <v>25.86</v>
      </c>
      <c r="M2394" s="17" t="n">
        <v>0</v>
      </c>
      <c r="N2394" s="17">
        <f>K2394*0.08+L2394*0.08</f>
        <v/>
      </c>
      <c r="O2394" s="17">
        <f>-(K2394*0.025+L2394*0.025)</f>
        <v/>
      </c>
      <c r="P2394" s="17">
        <f>32</f>
        <v/>
      </c>
      <c r="Q2394" s="17">
        <f>J2394+L2394+N2394+O2394-P2394-M2394</f>
        <v/>
      </c>
    </row>
    <row r="2395">
      <c r="A2395" s="16" t="inlineStr">
        <is>
          <t>5.22-5.28</t>
        </is>
      </c>
      <c r="B2395" s="16" t="inlineStr">
        <is>
          <t>PO-128-17705593080950419</t>
        </is>
      </c>
      <c r="C2395" s="16" t="inlineStr">
        <is>
          <t>Delivered</t>
        </is>
      </c>
      <c r="D2395" s="16" t="inlineStr">
        <is>
          <t>128-17705661238390419</t>
        </is>
      </c>
      <c r="E2395" s="16" t="inlineStr">
        <is>
          <t>Delivered</t>
        </is>
      </c>
      <c r="F2395" s="16" t="inlineStr">
        <is>
          <t>LV64W25</t>
        </is>
      </c>
      <c r="G23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95" s="16" t="inlineStr">
        <is>
          <t>Blanco</t>
        </is>
      </c>
      <c r="I2395" s="16" t="n">
        <v>2</v>
      </c>
      <c r="J2395" s="17" t="n">
        <v>250</v>
      </c>
      <c r="K2395" s="17" t="n">
        <v>206.32</v>
      </c>
      <c r="L2395" s="17" t="n">
        <v>0</v>
      </c>
      <c r="M2395" s="17" t="n">
        <v>0</v>
      </c>
      <c r="N2395" s="17">
        <f>K2395*0.08+L2395*0.08</f>
        <v/>
      </c>
      <c r="O2395" s="17">
        <f>-(K2395*0.025+L2395*0.025)</f>
        <v/>
      </c>
      <c r="P2395" s="17">
        <f>32</f>
        <v/>
      </c>
      <c r="Q2395" s="17">
        <f>J2395+L2395+N2395+O2395-P2395-M2395</f>
        <v/>
      </c>
    </row>
    <row r="2396">
      <c r="A2396" s="16" t="inlineStr">
        <is>
          <t>5.22-5.28</t>
        </is>
      </c>
      <c r="B2396" s="16" t="inlineStr">
        <is>
          <t>PO-128-17432262884472174</t>
        </is>
      </c>
      <c r="C2396" s="16" t="inlineStr">
        <is>
          <t>Delivered</t>
        </is>
      </c>
      <c r="D2396" s="16" t="inlineStr">
        <is>
          <t>128-17432241912952174</t>
        </is>
      </c>
      <c r="E2396" s="16" t="inlineStr">
        <is>
          <t>Delivered</t>
        </is>
      </c>
      <c r="F2396" s="16" t="inlineStr">
        <is>
          <t>LV64W25</t>
        </is>
      </c>
      <c r="G23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396" s="16" t="inlineStr">
        <is>
          <t>Blanco</t>
        </is>
      </c>
      <c r="I2396" s="16" t="n">
        <v>1</v>
      </c>
      <c r="J2396" s="17" t="n">
        <v>125</v>
      </c>
      <c r="K2396" s="17" t="n">
        <v>143.26</v>
      </c>
      <c r="L2396" s="17" t="n">
        <v>25.86</v>
      </c>
      <c r="M2396" s="17" t="n">
        <v>0</v>
      </c>
      <c r="N2396" s="17">
        <f>K2396*0.08+L2396*0.08</f>
        <v/>
      </c>
      <c r="O2396" s="17">
        <f>-(K2396*0.025+L2396*0.025)</f>
        <v/>
      </c>
      <c r="P2396" s="17">
        <f>32</f>
        <v/>
      </c>
      <c r="Q2396" s="17">
        <f>J2396+L2396+N2396+O2396-P2396-M2396</f>
        <v/>
      </c>
    </row>
    <row r="2397">
      <c r="A2397" s="16" t="inlineStr">
        <is>
          <t>5.22-5.28</t>
        </is>
      </c>
      <c r="B2397" s="16" t="inlineStr">
        <is>
          <t>PO-128-17533839145591443</t>
        </is>
      </c>
      <c r="C2397" s="16" t="inlineStr">
        <is>
          <t>Delivered</t>
        </is>
      </c>
      <c r="D2397" s="16" t="inlineStr">
        <is>
          <t>128-17533797202551443</t>
        </is>
      </c>
      <c r="E2397" s="16" t="inlineStr">
        <is>
          <t>Delivered</t>
        </is>
      </c>
      <c r="F2397" s="16" t="inlineStr">
        <is>
          <t>LV54W25</t>
        </is>
      </c>
      <c r="G2397" s="16" t="inlineStr">
        <is>
          <t>TIANLAI Lámpara Ventilador E27 2 en 1, Silenciosa, LED Alta Luminosidad 180°, Instalación Rápida, Ahorro Energético para Dormitorio y Interiores Pequeños</t>
        </is>
      </c>
      <c r="H2397" s="16" t="inlineStr">
        <is>
          <t>1 Pieza</t>
        </is>
      </c>
      <c r="I2397" s="16" t="n">
        <v>3</v>
      </c>
      <c r="J2397" s="17" t="n">
        <v>223.5</v>
      </c>
      <c r="K2397" s="17" t="n">
        <v>186.17</v>
      </c>
      <c r="L2397" s="17" t="n">
        <v>0</v>
      </c>
      <c r="M2397" s="17" t="n">
        <v>0</v>
      </c>
      <c r="N2397" s="17">
        <f>K2397*0.08+L2397*0.08</f>
        <v/>
      </c>
      <c r="O2397" s="17">
        <f>-(K2397*0.025+L2397*0.025)</f>
        <v/>
      </c>
      <c r="P2397" s="17">
        <f>32</f>
        <v/>
      </c>
      <c r="Q2397" s="17">
        <f>J2397+L2397+N2397+O2397-P2397-M2397</f>
        <v/>
      </c>
    </row>
    <row r="2398">
      <c r="A2398" s="16" t="inlineStr">
        <is>
          <t>5.22-5.28</t>
        </is>
      </c>
      <c r="B2398" s="16" t="inlineStr">
        <is>
          <t>PO-128-17380054431352359</t>
        </is>
      </c>
      <c r="C2398" s="16" t="inlineStr">
        <is>
          <t>Delivered</t>
        </is>
      </c>
      <c r="D2398" s="16" t="inlineStr">
        <is>
          <t>128-17380060984952359</t>
        </is>
      </c>
      <c r="E2398" s="16" t="inlineStr">
        <is>
          <t>Delivered</t>
        </is>
      </c>
      <c r="F2398" s="16" t="inlineStr">
        <is>
          <t>KTS-2031</t>
        </is>
      </c>
      <c r="G2398" s="16" t="inlineStr">
        <is>
          <t>Bocina inalámbrica de 3 pulgadas con linterna multifuncional y panel solar integrado.Altavoz Portátil con Linterna LED 4 Modos, Radio FM, Bluetooth, Carga Solar, Ideal para Apagones, Emergencias, Campo y Exteriores</t>
        </is>
      </c>
      <c r="H2398" s="16" t="inlineStr">
        <is>
          <t>NEGRO</t>
        </is>
      </c>
      <c r="I2398" s="16" t="n">
        <v>1</v>
      </c>
      <c r="J2398" s="17" t="n">
        <v>90</v>
      </c>
      <c r="K2398" s="17" t="n">
        <v>99.22</v>
      </c>
      <c r="L2398" s="17" t="n">
        <v>25.86</v>
      </c>
      <c r="M2398" s="17" t="n">
        <v>0</v>
      </c>
      <c r="N2398" s="17">
        <f>K2398*0.08+L2398*0.08</f>
        <v/>
      </c>
      <c r="O2398" s="17">
        <f>-(K2398*0.025+L2398*0.025)</f>
        <v/>
      </c>
      <c r="P2398" s="17">
        <f>32</f>
        <v/>
      </c>
      <c r="Q2398" s="17">
        <f>J2398+L2398+N2398+O2398-P2398-M2398</f>
        <v/>
      </c>
    </row>
    <row r="2399">
      <c r="A2399" s="16" t="inlineStr">
        <is>
          <t>5.22-5.28</t>
        </is>
      </c>
      <c r="B2399" s="16" t="inlineStr">
        <is>
          <t>PO-128-17493175598712773</t>
        </is>
      </c>
      <c r="C2399" s="16" t="inlineStr">
        <is>
          <t>Delivered</t>
        </is>
      </c>
      <c r="D2399" s="16" t="inlineStr">
        <is>
          <t>128-17493113994872773</t>
        </is>
      </c>
      <c r="E2399" s="16" t="inlineStr">
        <is>
          <t>Delivered</t>
        </is>
      </c>
      <c r="F2399" s="16" t="inlineStr">
        <is>
          <t>LV54W25</t>
        </is>
      </c>
      <c r="G2399" s="16" t="inlineStr">
        <is>
          <t>TIANLAI Lámpara Ventilador E27 2 en 1, Silenciosa, LED Alta Luminosidad 180°, Instalación Rápida, Ahorro Energético para Dormitorio y Interiores Pequeños</t>
        </is>
      </c>
      <c r="H2399" s="16" t="inlineStr">
        <is>
          <t>1 Pieza</t>
        </is>
      </c>
      <c r="I2399" s="16" t="n">
        <v>2</v>
      </c>
      <c r="J2399" s="17" t="n">
        <v>149</v>
      </c>
      <c r="K2399" s="17" t="n">
        <v>155.14</v>
      </c>
      <c r="L2399" s="17" t="n">
        <v>25.86</v>
      </c>
      <c r="M2399" s="17" t="n">
        <v>0</v>
      </c>
      <c r="N2399" s="17">
        <f>K2399*0.08+L2399*0.08</f>
        <v/>
      </c>
      <c r="O2399" s="17">
        <f>-(K2399*0.025+L2399*0.025)</f>
        <v/>
      </c>
      <c r="P2399" s="17">
        <f>32</f>
        <v/>
      </c>
      <c r="Q2399" s="17">
        <f>J2399+L2399+N2399+O2399-P2399-M2399</f>
        <v/>
      </c>
    </row>
    <row r="2400">
      <c r="A2400" s="16" t="inlineStr">
        <is>
          <t>5.22-5.28</t>
        </is>
      </c>
      <c r="B2400" s="16" t="inlineStr">
        <is>
          <t>PO-128-17622419333752003</t>
        </is>
      </c>
      <c r="C2400" s="16" t="inlineStr">
        <is>
          <t>Delivered</t>
        </is>
      </c>
      <c r="D2400" s="16" t="inlineStr">
        <is>
          <t>128-17622445548152003</t>
        </is>
      </c>
      <c r="E2400" s="16" t="inlineStr">
        <is>
          <t>Delivered</t>
        </is>
      </c>
      <c r="F2400" s="16" t="inlineStr">
        <is>
          <t>LV54W25</t>
        </is>
      </c>
      <c r="G2400" s="16" t="inlineStr">
        <is>
          <t>TIANLAI Lámpara Ventilador E27 2 en 1, Silenciosa, LED Alta Luminosidad 180°, Instalación Rápida, Ahorro Energético para Dormitorio y Interiores Pequeños</t>
        </is>
      </c>
      <c r="H2400" s="16" t="inlineStr">
        <is>
          <t>1 Pieza</t>
        </is>
      </c>
      <c r="I2400" s="16" t="n">
        <v>2</v>
      </c>
      <c r="J2400" s="17" t="n">
        <v>149</v>
      </c>
      <c r="K2400" s="17" t="n">
        <v>172.36</v>
      </c>
      <c r="L2400" s="17" t="n">
        <v>25.86</v>
      </c>
      <c r="M2400" s="17" t="n">
        <v>0</v>
      </c>
      <c r="N2400" s="17">
        <f>K2400*0.08+L2400*0.08</f>
        <v/>
      </c>
      <c r="O2400" s="17">
        <f>-(K2400*0.025+L2400*0.025)</f>
        <v/>
      </c>
      <c r="P2400" s="17">
        <f>32</f>
        <v/>
      </c>
      <c r="Q2400" s="17">
        <f>J2400+L2400+N2400+O2400-P2400-M2400</f>
        <v/>
      </c>
    </row>
    <row r="2401">
      <c r="A2401" s="16" t="inlineStr">
        <is>
          <t>5.22-5.28</t>
        </is>
      </c>
      <c r="B2401" s="16" t="inlineStr">
        <is>
          <t>PO-128-17822855230070870</t>
        </is>
      </c>
      <c r="C2401" s="16" t="inlineStr">
        <is>
          <t>Delivered</t>
        </is>
      </c>
      <c r="D2401" s="16" t="inlineStr">
        <is>
          <t>128-17822802801270870</t>
        </is>
      </c>
      <c r="E2401" s="16" t="inlineStr">
        <is>
          <t>Delivered</t>
        </is>
      </c>
      <c r="F2401" s="16" t="inlineStr">
        <is>
          <t>LV54W25</t>
        </is>
      </c>
      <c r="G2401" s="16" t="inlineStr">
        <is>
          <t>TIANLAI Lámpara Ventilador E27 2 en 1, Silenciosa, LED Alta Luminosidad 180°, Instalación Rápida, Ahorro Energético para Dormitorio y Interiores Pequeños</t>
        </is>
      </c>
      <c r="H2401" s="16" t="inlineStr">
        <is>
          <t>1 Pieza</t>
        </is>
      </c>
      <c r="I2401" s="16" t="n">
        <v>2</v>
      </c>
      <c r="J2401" s="17" t="n">
        <v>149</v>
      </c>
      <c r="K2401" s="17" t="n">
        <v>124.11</v>
      </c>
      <c r="L2401" s="17" t="n">
        <v>25.86</v>
      </c>
      <c r="M2401" s="17" t="n">
        <v>0</v>
      </c>
      <c r="N2401" s="17">
        <f>K2401*0.08+L2401*0.08</f>
        <v/>
      </c>
      <c r="O2401" s="17">
        <f>-(K2401*0.025+L2401*0.025)</f>
        <v/>
      </c>
      <c r="P2401" s="17">
        <f>32</f>
        <v/>
      </c>
      <c r="Q2401" s="17">
        <f>J2401+L2401+N2401+O2401-P2401-M2401</f>
        <v/>
      </c>
    </row>
    <row r="2402">
      <c r="A2402" s="16" t="inlineStr">
        <is>
          <t>5.22-5.28</t>
        </is>
      </c>
      <c r="B2402" s="16" t="inlineStr">
        <is>
          <t>PO-128-17554755717751316</t>
        </is>
      </c>
      <c r="C2402" s="16" t="inlineStr">
        <is>
          <t>Delivered</t>
        </is>
      </c>
      <c r="D2402" s="16" t="inlineStr">
        <is>
          <t>128-17554797660791316</t>
        </is>
      </c>
      <c r="E2402" s="16" t="inlineStr">
        <is>
          <t>Delivered</t>
        </is>
      </c>
      <c r="F2402" s="16" t="inlineStr">
        <is>
          <t>LV54W25</t>
        </is>
      </c>
      <c r="G2402" s="16" t="inlineStr">
        <is>
          <t>TIANLAI Lámpara Ventilador E27 2 en 1, Silenciosa, LED Alta Luminosidad 180°, Instalación Rápida, Ahorro Energético para Dormitorio y Interiores Pequeños</t>
        </is>
      </c>
      <c r="H2402" s="16" t="inlineStr">
        <is>
          <t>1 Pieza</t>
        </is>
      </c>
      <c r="I2402" s="16" t="n">
        <v>1</v>
      </c>
      <c r="J2402" s="17" t="n">
        <v>74.5</v>
      </c>
      <c r="K2402" s="17" t="n">
        <v>76.70999999999999</v>
      </c>
      <c r="L2402" s="17" t="n">
        <v>25.86</v>
      </c>
      <c r="M2402" s="17" t="n">
        <v>0</v>
      </c>
      <c r="N2402" s="17">
        <f>K2402*0.08+L2402*0.08</f>
        <v/>
      </c>
      <c r="O2402" s="17">
        <f>-(K2402*0.025+L2402*0.025)</f>
        <v/>
      </c>
      <c r="P2402" s="17">
        <f>32</f>
        <v/>
      </c>
      <c r="Q2402" s="17">
        <f>J2402+L2402+N2402+O2402-P2402-M2402</f>
        <v/>
      </c>
    </row>
    <row r="2403">
      <c r="A2403" s="16" t="inlineStr">
        <is>
          <t>5.22-5.28</t>
        </is>
      </c>
      <c r="B2403" s="16" t="inlineStr">
        <is>
          <t>PO-128-17733633695350378</t>
        </is>
      </c>
      <c r="C2403" s="16" t="inlineStr">
        <is>
          <t>Delivered</t>
        </is>
      </c>
      <c r="D2403" s="16" t="inlineStr">
        <is>
          <t>128-17733558328950378</t>
        </is>
      </c>
      <c r="E2403" s="16" t="inlineStr">
        <is>
          <t>Delivered</t>
        </is>
      </c>
      <c r="F2403" s="16" t="inlineStr">
        <is>
          <t>TL2663N18C</t>
        </is>
      </c>
      <c r="G2403" s="16" t="inlineStr">
        <is>
          <t>Linkbits，Soporte de pared fijo para televisores de 26"-63", Ultra-Delgado Compatible con VESA 400x400mm, Capacidad de Peso Fuerte de 25KG, Instalación Fácil Sin Electricidad</t>
        </is>
      </c>
      <c r="H2403" s="16" t="inlineStr">
        <is>
          <t>NEGRO</t>
        </is>
      </c>
      <c r="I2403" s="16" t="n">
        <v>1</v>
      </c>
      <c r="J2403" s="17" t="n">
        <v>53.6</v>
      </c>
      <c r="K2403" s="17" t="n">
        <v>68.56999999999999</v>
      </c>
      <c r="L2403" s="17" t="n">
        <v>25.86</v>
      </c>
      <c r="M2403" s="17" t="n">
        <v>0</v>
      </c>
      <c r="N2403" s="17">
        <f>K2403*0.08+L2403*0.08</f>
        <v/>
      </c>
      <c r="O2403" s="17">
        <f>-(K2403*0.025+L2403*0.025)</f>
        <v/>
      </c>
      <c r="P2403" s="17">
        <f>32</f>
        <v/>
      </c>
      <c r="Q2403" s="17">
        <f>J2403+L2403+N2403+O2403-P2403-M2403</f>
        <v/>
      </c>
    </row>
    <row r="2404">
      <c r="A2404" s="16" t="inlineStr">
        <is>
          <t>5.22-5.28</t>
        </is>
      </c>
      <c r="B2404" s="16" t="inlineStr">
        <is>
          <t>PO-128-17748829333110161</t>
        </is>
      </c>
      <c r="C2404" s="16" t="inlineStr">
        <is>
          <t>Delivered</t>
        </is>
      </c>
      <c r="D2404" s="16" t="inlineStr">
        <is>
          <t>128-17748871276150161</t>
        </is>
      </c>
      <c r="E2404" s="16" t="inlineStr">
        <is>
          <t>Delivered</t>
        </is>
      </c>
      <c r="F2404" s="16" t="inlineStr">
        <is>
          <t>TL1455N20B</t>
        </is>
      </c>
      <c r="G2404" s="16" t="inlineStr">
        <is>
          <t>LINK BITS Soporte para TV 14 A 55 Pulgadas, Base para TV Pantalla Articulado Inclinable y Giratorio, MAX VESA 400×400 mm, Soporta hasta 18kg, adaptarse a la mayoría de los televisores de 14 Pulgadas/20 Pulgadas/32 Pulgadas/42 Pulgadas/55 pulgadas</t>
        </is>
      </c>
      <c r="H2404" s="16" t="inlineStr">
        <is>
          <t>TL1455N20B</t>
        </is>
      </c>
      <c r="I2404" s="16" t="n">
        <v>1</v>
      </c>
      <c r="J2404" s="17" t="n">
        <v>74</v>
      </c>
      <c r="K2404" s="17" t="n">
        <v>95.06</v>
      </c>
      <c r="L2404" s="17" t="n">
        <v>25.86</v>
      </c>
      <c r="M2404" s="17" t="n">
        <v>0</v>
      </c>
      <c r="N2404" s="17">
        <f>K2404*0.08+L2404*0.08</f>
        <v/>
      </c>
      <c r="O2404" s="17">
        <f>-(K2404*0.025+L2404*0.025)</f>
        <v/>
      </c>
      <c r="P2404" s="17">
        <f>32</f>
        <v/>
      </c>
      <c r="Q2404" s="17">
        <f>J2404+L2404+N2404+O2404-P2404-M2404</f>
        <v/>
      </c>
    </row>
    <row r="2405">
      <c r="A2405" s="16" t="inlineStr">
        <is>
          <t>5.22-5.28</t>
        </is>
      </c>
      <c r="B2405" s="16" t="inlineStr">
        <is>
          <t>PO-128-17840750761590765</t>
        </is>
      </c>
      <c r="C2405" s="16" t="inlineStr">
        <is>
          <t>Delivered</t>
        </is>
      </c>
      <c r="D2405" s="16" t="inlineStr">
        <is>
          <t>128-17840771733110765</t>
        </is>
      </c>
      <c r="E2405" s="16" t="inlineStr">
        <is>
          <t>Delivered</t>
        </is>
      </c>
      <c r="F2405" s="16" t="inlineStr">
        <is>
          <t>LV54W25</t>
        </is>
      </c>
      <c r="G2405" s="16" t="inlineStr">
        <is>
          <t>TIANLAI Lámpara Ventilador E27 2 en 1, Silenciosa, LED Alta Luminosidad 180°, Instalación Rápida, Ahorro Energético para Dormitorio y Interiores Pequeños</t>
        </is>
      </c>
      <c r="H2405" s="16" t="inlineStr">
        <is>
          <t>1 Pieza</t>
        </is>
      </c>
      <c r="I2405" s="16" t="n">
        <v>1</v>
      </c>
      <c r="J2405" s="17" t="n">
        <v>74.5</v>
      </c>
      <c r="K2405" s="17" t="n">
        <v>76.70999999999999</v>
      </c>
      <c r="L2405" s="17" t="n">
        <v>25.86</v>
      </c>
      <c r="M2405" s="17" t="n">
        <v>0</v>
      </c>
      <c r="N2405" s="17">
        <f>K2405*0.08+L2405*0.08</f>
        <v/>
      </c>
      <c r="O2405" s="17">
        <f>-(K2405*0.025+L2405*0.025)</f>
        <v/>
      </c>
      <c r="P2405" s="17">
        <f>32</f>
        <v/>
      </c>
      <c r="Q2405" s="17">
        <f>J2405+L2405+N2405+O2405-P2405-M2405</f>
        <v/>
      </c>
    </row>
    <row r="2406">
      <c r="A2406" s="16" t="inlineStr">
        <is>
          <t>5.22-5.28</t>
        </is>
      </c>
      <c r="B2406" s="16" t="inlineStr">
        <is>
          <t>PO-128-17232051446393241</t>
        </is>
      </c>
      <c r="C2406" s="16" t="inlineStr">
        <is>
          <t>Delivered</t>
        </is>
      </c>
      <c r="D2406" s="16" t="inlineStr">
        <is>
          <t>128-17232106496633241</t>
        </is>
      </c>
      <c r="E2406" s="16" t="inlineStr">
        <is>
          <t>Delivered</t>
        </is>
      </c>
      <c r="F2406" s="16" t="inlineStr">
        <is>
          <t>LV54W25</t>
        </is>
      </c>
      <c r="G2406" s="16" t="inlineStr">
        <is>
          <t>TIANLAI Lámpara Ventilador E27 2 en 1, Silenciosa, LED Alta Luminosidad 180°, Instalación Rápida, Ahorro Energético para Dormitorio y Interiores Pequeños</t>
        </is>
      </c>
      <c r="H2406" s="16" t="inlineStr">
        <is>
          <t>1 Pieza</t>
        </is>
      </c>
      <c r="I2406" s="16" t="n">
        <v>1</v>
      </c>
      <c r="J2406" s="17" t="n">
        <v>74.5</v>
      </c>
      <c r="K2406" s="17" t="n">
        <v>76.70999999999999</v>
      </c>
      <c r="L2406" s="17" t="n">
        <v>25.86</v>
      </c>
      <c r="M2406" s="17" t="n">
        <v>0</v>
      </c>
      <c r="N2406" s="17">
        <f>K2406*0.08+L2406*0.08</f>
        <v/>
      </c>
      <c r="O2406" s="17">
        <f>-(K2406*0.025+L2406*0.025)</f>
        <v/>
      </c>
      <c r="P2406" s="17">
        <f>32</f>
        <v/>
      </c>
      <c r="Q2406" s="17">
        <f>J2406+L2406+N2406+O2406-P2406-M2406</f>
        <v/>
      </c>
    </row>
    <row r="2407">
      <c r="A2407" s="16" t="inlineStr">
        <is>
          <t>5.22-5.28</t>
        </is>
      </c>
      <c r="B2407" s="16" t="inlineStr">
        <is>
          <t>PO-128-17462127534712828</t>
        </is>
      </c>
      <c r="C2407" s="16" t="inlineStr">
        <is>
          <t>Delivered</t>
        </is>
      </c>
      <c r="D2407" s="16" t="inlineStr">
        <is>
          <t>128-17462072361592828</t>
        </is>
      </c>
      <c r="E2407" s="16" t="inlineStr">
        <is>
          <t>Delivered</t>
        </is>
      </c>
      <c r="F2407" s="16" t="inlineStr">
        <is>
          <t>LV64W25</t>
        </is>
      </c>
      <c r="G24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07" s="16" t="inlineStr">
        <is>
          <t>Blanco</t>
        </is>
      </c>
      <c r="I2407" s="16" t="n">
        <v>5</v>
      </c>
      <c r="J2407" s="17" t="n">
        <v>625</v>
      </c>
      <c r="K2407" s="17" t="n">
        <v>552.5</v>
      </c>
      <c r="L2407" s="17" t="n">
        <v>0</v>
      </c>
      <c r="M2407" s="17" t="n">
        <v>0</v>
      </c>
      <c r="N2407" s="17">
        <f>K2407*0.08+L2407*0.08</f>
        <v/>
      </c>
      <c r="O2407" s="17">
        <f>-(K2407*0.025+L2407*0.025)</f>
        <v/>
      </c>
      <c r="P2407" s="17">
        <f>32</f>
        <v/>
      </c>
      <c r="Q2407" s="17">
        <f>J2407+L2407+N2407+O2407-P2407-M2407</f>
        <v/>
      </c>
    </row>
    <row r="2408">
      <c r="A2408" s="16" t="inlineStr">
        <is>
          <t>5.22-5.28</t>
        </is>
      </c>
      <c r="B2408" s="16" t="inlineStr">
        <is>
          <t>PO-128-17351121183353682</t>
        </is>
      </c>
      <c r="C2408" s="16" t="inlineStr">
        <is>
          <t>Delivered</t>
        </is>
      </c>
      <c r="D2408" s="16" t="inlineStr">
        <is>
          <t>128-17351142154873682</t>
        </is>
      </c>
      <c r="E2408" s="16" t="inlineStr">
        <is>
          <t>Delivered</t>
        </is>
      </c>
      <c r="F2408" s="16" t="inlineStr">
        <is>
          <t>LV64W25</t>
        </is>
      </c>
      <c r="G24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08" s="16" t="inlineStr">
        <is>
          <t>Blanco</t>
        </is>
      </c>
      <c r="I2408" s="16" t="n">
        <v>10</v>
      </c>
      <c r="J2408" s="17" t="n">
        <v>1250</v>
      </c>
      <c r="K2408" s="17" t="n">
        <v>1096</v>
      </c>
      <c r="L2408" s="17" t="n">
        <v>0</v>
      </c>
      <c r="M2408" s="17" t="n">
        <v>0</v>
      </c>
      <c r="N2408" s="17">
        <f>K2408*0.08+L2408*0.08</f>
        <v/>
      </c>
      <c r="O2408" s="17">
        <f>-(K2408*0.025+L2408*0.025)</f>
        <v/>
      </c>
      <c r="P2408" s="17">
        <f>32</f>
        <v/>
      </c>
      <c r="Q2408" s="17">
        <f>J2408+L2408+N2408+O2408-P2408-M2408</f>
        <v/>
      </c>
    </row>
    <row r="2409">
      <c r="A2409" s="16" t="inlineStr">
        <is>
          <t>5.22-5.28</t>
        </is>
      </c>
      <c r="B2409" s="16" t="inlineStr">
        <is>
          <t>PO-128-17433899704952164</t>
        </is>
      </c>
      <c r="C2409" s="16" t="inlineStr">
        <is>
          <t>Delivered</t>
        </is>
      </c>
      <c r="D2409" s="16" t="inlineStr">
        <is>
          <t>128-17434004562552164</t>
        </is>
      </c>
      <c r="E2409" s="16" t="inlineStr">
        <is>
          <t>Delivered</t>
        </is>
      </c>
      <c r="F2409" s="16" t="inlineStr">
        <is>
          <t>LV54W25</t>
        </is>
      </c>
      <c r="G2409" s="16" t="inlineStr">
        <is>
          <t>TIANLAI Lámpara Ventilador E27 2 en 1, Silenciosa, LED Alta Luminosidad 180°, Instalación Rápida, Ahorro Energético para Dormitorio y Interiores Pequeños</t>
        </is>
      </c>
      <c r="H2409" s="16" t="inlineStr">
        <is>
          <t>1 Pieza</t>
        </is>
      </c>
      <c r="I2409" s="16" t="n">
        <v>1</v>
      </c>
      <c r="J2409" s="17" t="n">
        <v>74.5</v>
      </c>
      <c r="K2409" s="17" t="n">
        <v>76.70999999999999</v>
      </c>
      <c r="L2409" s="17" t="n">
        <v>25.86</v>
      </c>
      <c r="M2409" s="17" t="n">
        <v>0</v>
      </c>
      <c r="N2409" s="17">
        <f>K2409*0.08+L2409*0.08</f>
        <v/>
      </c>
      <c r="O2409" s="17">
        <f>-(K2409*0.025+L2409*0.025)</f>
        <v/>
      </c>
      <c r="P2409" s="17">
        <f>32</f>
        <v/>
      </c>
      <c r="Q2409" s="17">
        <f>J2409+L2409+N2409+O2409-P2409-M2409</f>
        <v/>
      </c>
    </row>
    <row r="2410">
      <c r="A2410" s="16" t="inlineStr">
        <is>
          <t>5.22-5.28</t>
        </is>
      </c>
      <c r="B2410" s="16" t="inlineStr">
        <is>
          <t>PO-128-17481810263672713</t>
        </is>
      </c>
      <c r="C2410" s="16" t="inlineStr">
        <is>
          <t>Delivered</t>
        </is>
      </c>
      <c r="D2410" s="16" t="inlineStr">
        <is>
          <t>128-17481831235192713</t>
        </is>
      </c>
      <c r="E2410" s="16" t="inlineStr">
        <is>
          <t>Delivered</t>
        </is>
      </c>
      <c r="F2410" s="16" t="inlineStr">
        <is>
          <t>LV54W25</t>
        </is>
      </c>
      <c r="G2410" s="16" t="inlineStr">
        <is>
          <t>TIANLAI Lámpara Ventilador E27 2 en 1, Silenciosa, LED Alta Luminosidad 180°, Instalación Rápida, Ahorro Energético para Dormitorio y Interiores Pequeños</t>
        </is>
      </c>
      <c r="H2410" s="16" t="inlineStr">
        <is>
          <t>1 Pieza</t>
        </is>
      </c>
      <c r="I2410" s="16" t="n">
        <v>3</v>
      </c>
      <c r="J2410" s="17" t="n">
        <v>223.5</v>
      </c>
      <c r="K2410" s="17" t="n">
        <v>230.13</v>
      </c>
      <c r="L2410" s="17" t="n">
        <v>0</v>
      </c>
      <c r="M2410" s="17" t="n">
        <v>0</v>
      </c>
      <c r="N2410" s="17">
        <f>K2410*0.08+L2410*0.08</f>
        <v/>
      </c>
      <c r="O2410" s="17">
        <f>-(K2410*0.025+L2410*0.025)</f>
        <v/>
      </c>
      <c r="P2410" s="17">
        <f>32</f>
        <v/>
      </c>
      <c r="Q2410" s="17">
        <f>J2410+L2410+N2410+O2410-P2410-M2410</f>
        <v/>
      </c>
    </row>
    <row r="2411">
      <c r="A2411" s="16" t="inlineStr">
        <is>
          <t>5.22-5.28</t>
        </is>
      </c>
      <c r="B2411" s="16" t="inlineStr">
        <is>
          <t>PO-128-17373211694712334</t>
        </is>
      </c>
      <c r="C2411" s="16" t="inlineStr">
        <is>
          <t>Delivered</t>
        </is>
      </c>
      <c r="D2411" s="16" t="inlineStr">
        <is>
          <t>128-17373183514232334</t>
        </is>
      </c>
      <c r="E2411" s="16" t="inlineStr">
        <is>
          <t>Delivered</t>
        </is>
      </c>
      <c r="F2411" s="16" t="inlineStr">
        <is>
          <t>LV54W25</t>
        </is>
      </c>
      <c r="G2411" s="16" t="inlineStr">
        <is>
          <t>TIANLAI Lámpara Ventilador E27 2 en 1, Silenciosa, LED Alta Luminosidad 180°, Instalación Rápida, Ahorro Energético para Dormitorio y Interiores Pequeños</t>
        </is>
      </c>
      <c r="H2411" s="16" t="inlineStr">
        <is>
          <t>1 Pieza</t>
        </is>
      </c>
      <c r="I2411" s="16" t="n">
        <v>1</v>
      </c>
      <c r="J2411" s="17" t="n">
        <v>74.5</v>
      </c>
      <c r="K2411" s="17" t="n">
        <v>75.14</v>
      </c>
      <c r="L2411" s="17" t="n">
        <v>25.86</v>
      </c>
      <c r="M2411" s="17" t="n">
        <v>0</v>
      </c>
      <c r="N2411" s="17">
        <f>K2411*0.08+L2411*0.08</f>
        <v/>
      </c>
      <c r="O2411" s="17">
        <f>-(K2411*0.025+L2411*0.025)</f>
        <v/>
      </c>
      <c r="P2411" s="17">
        <f>32</f>
        <v/>
      </c>
      <c r="Q2411" s="17">
        <f>J2411+L2411+N2411+O2411-P2411-M2411</f>
        <v/>
      </c>
    </row>
    <row r="2412">
      <c r="A2412" s="16" t="inlineStr">
        <is>
          <t>5.22-5.28</t>
        </is>
      </c>
      <c r="B2412" s="16" t="inlineStr">
        <is>
          <t>PO-128-17774796949110068</t>
        </is>
      </c>
      <c r="C2412" s="16" t="inlineStr">
        <is>
          <t>Delivered</t>
        </is>
      </c>
      <c r="D2412" s="16" t="inlineStr">
        <is>
          <t>128-17774823163510068</t>
        </is>
      </c>
      <c r="E2412" s="16" t="inlineStr">
        <is>
          <t>Delivered</t>
        </is>
      </c>
      <c r="F2412" s="16" t="inlineStr">
        <is>
          <t>TL1455N20B</t>
        </is>
      </c>
      <c r="G2412" s="16" t="inlineStr">
        <is>
          <t>LINK BITS Soporte para TV 14 A 55 Pulgadas, Base para TV Pantalla Articulado Inclinable y Giratorio, MAX VESA 400×400 mm, Soporta hasta 18kg, adaptarse a la mayoría de los televisores de 14 Pulgadas/20 Pulgadas/32 Pulgadas/42 Pulgadas/55 pulgadas</t>
        </is>
      </c>
      <c r="H2412" s="16" t="inlineStr">
        <is>
          <t>TL1455N20B</t>
        </is>
      </c>
      <c r="I2412" s="16" t="n">
        <v>1</v>
      </c>
      <c r="J2412" s="17" t="n">
        <v>74</v>
      </c>
      <c r="K2412" s="17" t="n">
        <v>95.06</v>
      </c>
      <c r="L2412" s="17" t="n">
        <v>25.86</v>
      </c>
      <c r="M2412" s="17" t="n">
        <v>0</v>
      </c>
      <c r="N2412" s="17">
        <f>K2412*0.08+L2412*0.08</f>
        <v/>
      </c>
      <c r="O2412" s="17">
        <f>-(K2412*0.025+L2412*0.025)</f>
        <v/>
      </c>
      <c r="P2412" s="17">
        <f>32</f>
        <v/>
      </c>
      <c r="Q2412" s="17">
        <f>J2412+L2412+N2412+O2412-P2412-M2412</f>
        <v/>
      </c>
    </row>
    <row r="2413">
      <c r="A2413" s="16" t="inlineStr">
        <is>
          <t>5.22-5.28</t>
        </is>
      </c>
      <c r="B2413" s="16" t="inlineStr">
        <is>
          <t>PO-128-17265063050873173</t>
        </is>
      </c>
      <c r="C2413" s="16" t="inlineStr">
        <is>
          <t>Delivered</t>
        </is>
      </c>
      <c r="D2413" s="16" t="inlineStr">
        <is>
          <t>128-17265015864953173</t>
        </is>
      </c>
      <c r="E2413" s="16" t="inlineStr">
        <is>
          <t>Delivered</t>
        </is>
      </c>
      <c r="F2413" s="16" t="inlineStr">
        <is>
          <t>LV54W25</t>
        </is>
      </c>
      <c r="G2413" s="16" t="inlineStr">
        <is>
          <t>TIANLAI Lámpara Ventilador E27 2 en 1, Silenciosa, LED Alta Luminosidad 180°, Instalación Rápida, Ahorro Energético para Dormitorio y Interiores Pequeños</t>
        </is>
      </c>
      <c r="H2413" s="16" t="inlineStr">
        <is>
          <t>1 Pieza</t>
        </is>
      </c>
      <c r="I2413" s="16" t="n">
        <v>1</v>
      </c>
      <c r="J2413" s="17" t="n">
        <v>74.5</v>
      </c>
      <c r="K2413" s="17" t="n">
        <v>58.29</v>
      </c>
      <c r="L2413" s="17" t="n">
        <v>25.86</v>
      </c>
      <c r="M2413" s="17" t="n">
        <v>0</v>
      </c>
      <c r="N2413" s="17">
        <f>K2413*0.08+L2413*0.08</f>
        <v/>
      </c>
      <c r="O2413" s="17">
        <f>-(K2413*0.025+L2413*0.025)</f>
        <v/>
      </c>
      <c r="P2413" s="17">
        <f>32</f>
        <v/>
      </c>
      <c r="Q2413" s="17">
        <f>J2413+L2413+N2413+O2413-P2413-M2413</f>
        <v/>
      </c>
    </row>
    <row r="2414">
      <c r="A2414" s="16" t="inlineStr">
        <is>
          <t>5.22-5.28</t>
        </is>
      </c>
      <c r="B2414" s="16" t="inlineStr">
        <is>
          <t>PO-128-17837299763830720</t>
        </is>
      </c>
      <c r="C2414" s="16" t="inlineStr">
        <is>
          <t>Delivered</t>
        </is>
      </c>
      <c r="D2414" s="16" t="inlineStr">
        <is>
          <t>128-17837352192630720</t>
        </is>
      </c>
      <c r="E2414" s="16" t="inlineStr">
        <is>
          <t>Delivered</t>
        </is>
      </c>
      <c r="F2414" s="16" t="inlineStr">
        <is>
          <t>LV54W25</t>
        </is>
      </c>
      <c r="G2414" s="16" t="inlineStr">
        <is>
          <t>TIANLAI Lámpara Ventilador E27 2 en 1, Silenciosa, LED Alta Luminosidad 180°, Instalación Rápida, Ahorro Energético para Dormitorio y Interiores Pequeños</t>
        </is>
      </c>
      <c r="H2414" s="16" t="inlineStr">
        <is>
          <t>1 Pieza</t>
        </is>
      </c>
      <c r="I2414" s="16" t="n">
        <v>1</v>
      </c>
      <c r="J2414" s="17" t="n">
        <v>74.5</v>
      </c>
      <c r="K2414" s="17" t="n">
        <v>86.18000000000001</v>
      </c>
      <c r="L2414" s="17" t="n">
        <v>25.86</v>
      </c>
      <c r="M2414" s="17" t="n">
        <v>0</v>
      </c>
      <c r="N2414" s="17">
        <f>K2414*0.08+L2414*0.08</f>
        <v/>
      </c>
      <c r="O2414" s="17">
        <f>-(K2414*0.025+L2414*0.025)</f>
        <v/>
      </c>
      <c r="P2414" s="17">
        <f>32</f>
        <v/>
      </c>
      <c r="Q2414" s="17">
        <f>J2414+L2414+N2414+O2414-P2414-M2414</f>
        <v/>
      </c>
    </row>
    <row r="2415">
      <c r="A2415" s="16" t="inlineStr">
        <is>
          <t>5.22-5.28</t>
        </is>
      </c>
      <c r="B2415" s="16" t="inlineStr">
        <is>
          <t>PO-128-17401724150392228</t>
        </is>
      </c>
      <c r="C2415" s="16" t="inlineStr">
        <is>
          <t>Delivered</t>
        </is>
      </c>
      <c r="D2415" s="16" t="inlineStr">
        <is>
          <t>128-17401766093432228</t>
        </is>
      </c>
      <c r="E2415" s="16" t="inlineStr">
        <is>
          <t>Delivered</t>
        </is>
      </c>
      <c r="F2415" s="16" t="inlineStr">
        <is>
          <t>LV54W25</t>
        </is>
      </c>
      <c r="G2415" s="16" t="inlineStr">
        <is>
          <t>TIANLAI Lámpara Ventilador E27 2 en 1, Silenciosa, LED Alta Luminosidad 180°, Instalación Rápida, Ahorro Energético para Dormitorio y Interiores Pequeños</t>
        </is>
      </c>
      <c r="H2415" s="16" t="inlineStr">
        <is>
          <t>1 Pieza</t>
        </is>
      </c>
      <c r="I2415" s="16" t="n">
        <v>2</v>
      </c>
      <c r="J2415" s="17" t="n">
        <v>149</v>
      </c>
      <c r="K2415" s="17" t="n">
        <v>155.13</v>
      </c>
      <c r="L2415" s="17" t="n">
        <v>25.86</v>
      </c>
      <c r="M2415" s="17" t="n">
        <v>0</v>
      </c>
      <c r="N2415" s="17">
        <f>K2415*0.08+L2415*0.08</f>
        <v/>
      </c>
      <c r="O2415" s="17">
        <f>-(K2415*0.025+L2415*0.025)</f>
        <v/>
      </c>
      <c r="P2415" s="17">
        <f>32</f>
        <v/>
      </c>
      <c r="Q2415" s="17">
        <f>J2415+L2415+N2415+O2415-P2415-M2415</f>
        <v/>
      </c>
    </row>
    <row r="2416">
      <c r="A2416" s="16" t="inlineStr">
        <is>
          <t>5.22-5.28</t>
        </is>
      </c>
      <c r="B2416" s="16" t="inlineStr">
        <is>
          <t>PO-128-17411681500792299</t>
        </is>
      </c>
      <c r="C2416" s="16" t="inlineStr">
        <is>
          <t>Delivered</t>
        </is>
      </c>
      <c r="D2416" s="16" t="inlineStr">
        <is>
          <t>128-17411702472312299</t>
        </is>
      </c>
      <c r="E2416" s="16" t="inlineStr">
        <is>
          <t>Delivered</t>
        </is>
      </c>
      <c r="F2416" s="16" t="inlineStr">
        <is>
          <t>LV64W25</t>
        </is>
      </c>
      <c r="G24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16" s="16" t="inlineStr">
        <is>
          <t>Blanco</t>
        </is>
      </c>
      <c r="I2416" s="16" t="n">
        <v>2</v>
      </c>
      <c r="J2416" s="17" t="n">
        <v>250</v>
      </c>
      <c r="K2416" s="17" t="n">
        <v>286.52</v>
      </c>
      <c r="L2416" s="17" t="n">
        <v>0</v>
      </c>
      <c r="M2416" s="17" t="n">
        <v>0</v>
      </c>
      <c r="N2416" s="17">
        <f>K2416*0.08+L2416*0.08</f>
        <v/>
      </c>
      <c r="O2416" s="17">
        <f>-(K2416*0.025+L2416*0.025)</f>
        <v/>
      </c>
      <c r="P2416" s="17">
        <f>32</f>
        <v/>
      </c>
      <c r="Q2416" s="17">
        <f>J2416+L2416+N2416+O2416-P2416-M2416</f>
        <v/>
      </c>
    </row>
    <row r="2417">
      <c r="A2417" s="16" t="inlineStr">
        <is>
          <t>5.22-5.28</t>
        </is>
      </c>
      <c r="B2417" s="16" t="inlineStr">
        <is>
          <t>PO-128-17636068091511793</t>
        </is>
      </c>
      <c r="C2417" s="16" t="inlineStr">
        <is>
          <t>Delivered</t>
        </is>
      </c>
      <c r="D2417" s="16" t="inlineStr">
        <is>
          <t>128-17636172949111793</t>
        </is>
      </c>
      <c r="E2417" s="16" t="inlineStr">
        <is>
          <t>Delivered</t>
        </is>
      </c>
      <c r="F2417" s="16" t="inlineStr">
        <is>
          <t>BG-115-B</t>
        </is>
      </c>
      <c r="G2417" s="16" t="inlineStr">
        <is>
          <t>LINK BITS Audífonos Inalámbricos con Luces Multicolor, Recargables y en Adorable Forma de Orejas de Gato - Conecta a Celulares y PCs, Tiene Radio FM, Tarjeta TF y AUX - 7 Horas de Reproducción, Plegables y Perfectos para Trabajo, Juegos y Estudio</t>
        </is>
      </c>
      <c r="H2417" s="16" t="inlineStr">
        <is>
          <t>blanco</t>
        </is>
      </c>
      <c r="I2417" s="16" t="n">
        <v>1</v>
      </c>
      <c r="J2417" s="17" t="n">
        <v>78</v>
      </c>
      <c r="K2417" s="17" t="n">
        <v>88.72</v>
      </c>
      <c r="L2417" s="17" t="n">
        <v>25.86</v>
      </c>
      <c r="M2417" s="17" t="n">
        <v>0</v>
      </c>
      <c r="N2417" s="17">
        <f>K2417*0.08+L2417*0.08</f>
        <v/>
      </c>
      <c r="O2417" s="17">
        <f>-(K2417*0.025+L2417*0.025)</f>
        <v/>
      </c>
      <c r="P2417" s="17">
        <f>32</f>
        <v/>
      </c>
      <c r="Q2417" s="17">
        <f>J2417+L2417+N2417+O2417-P2417-M2417</f>
        <v/>
      </c>
    </row>
    <row r="2418">
      <c r="A2418" s="16" t="inlineStr">
        <is>
          <t>5.22-5.28</t>
        </is>
      </c>
      <c r="B2418" s="16" t="inlineStr">
        <is>
          <t>PO-128-17805104420470784</t>
        </is>
      </c>
      <c r="C2418" s="16" t="inlineStr">
        <is>
          <t>Delivered</t>
        </is>
      </c>
      <c r="D2418" s="16" t="inlineStr">
        <is>
          <t>128-17805010048630784</t>
        </is>
      </c>
      <c r="E2418" s="16" t="inlineStr">
        <is>
          <t>Delivered</t>
        </is>
      </c>
      <c r="F2418" s="16" t="inlineStr">
        <is>
          <t>TL1455N20B</t>
        </is>
      </c>
      <c r="G2418" s="16" t="inlineStr">
        <is>
          <t>LINK BITS Soporte para TV 14 A 55 Pulgadas, Base para TV Pantalla Articulado Inclinable y Giratorio, MAX VESA 400×400 mm, Soporta hasta 18kg, adaptarse a la mayoría de los televisores de 14 Pulgadas/20 Pulgadas/32 Pulgadas/42 Pulgadas/55 pulgadas</t>
        </is>
      </c>
      <c r="H2418" s="16" t="inlineStr">
        <is>
          <t>TL1455N20B</t>
        </is>
      </c>
      <c r="I2418" s="16" t="n">
        <v>3</v>
      </c>
      <c r="J2418" s="17" t="n">
        <v>225</v>
      </c>
      <c r="K2418" s="17" t="n">
        <v>288.18</v>
      </c>
      <c r="L2418" s="17" t="n">
        <v>0</v>
      </c>
      <c r="M2418" s="17" t="n">
        <v>0</v>
      </c>
      <c r="N2418" s="17">
        <f>K2418*0.08+L2418*0.08</f>
        <v/>
      </c>
      <c r="O2418" s="17">
        <f>-(K2418*0.025+L2418*0.025)</f>
        <v/>
      </c>
      <c r="P2418" s="17">
        <f>32</f>
        <v/>
      </c>
      <c r="Q2418" s="17">
        <f>J2418+L2418+N2418+O2418-P2418-M2418</f>
        <v/>
      </c>
    </row>
    <row r="2419">
      <c r="A2419" s="16" t="inlineStr">
        <is>
          <t>5.22-5.28</t>
        </is>
      </c>
      <c r="B2419" s="16" t="inlineStr">
        <is>
          <t>PO-128-17193716798073532</t>
        </is>
      </c>
      <c r="C2419" s="16" t="inlineStr">
        <is>
          <t>Delivered</t>
        </is>
      </c>
      <c r="D2419" s="16" t="inlineStr">
        <is>
          <t>128-17193784955513532</t>
        </is>
      </c>
      <c r="E2419" s="16" t="inlineStr">
        <is>
          <t>Delivered</t>
        </is>
      </c>
      <c r="F2419" s="16" t="inlineStr">
        <is>
          <t>TL2663N18C</t>
        </is>
      </c>
      <c r="G2419" s="16" t="inlineStr">
        <is>
          <t>Linkbits，Soporte de pared fijo para televisores de 26"-63", Ultra-Delgado Compatible con VESA 400x400mm, Capacidad de Peso Fuerte de 25KG, Instalación Fácil Sin Electricidad</t>
        </is>
      </c>
      <c r="H2419" s="16" t="inlineStr">
        <is>
          <t>NEGRO</t>
        </is>
      </c>
      <c r="I2419" s="16" t="n">
        <v>1</v>
      </c>
      <c r="J2419" s="17" t="n">
        <v>53.8</v>
      </c>
      <c r="K2419" s="17" t="n">
        <v>55.02</v>
      </c>
      <c r="L2419" s="17" t="n">
        <v>25.86</v>
      </c>
      <c r="M2419" s="17" t="n">
        <v>0</v>
      </c>
      <c r="N2419" s="17">
        <f>K2419*0.08+L2419*0.08</f>
        <v/>
      </c>
      <c r="O2419" s="17">
        <f>-(K2419*0.025+L2419*0.025)</f>
        <v/>
      </c>
      <c r="P2419" s="17">
        <f>32</f>
        <v/>
      </c>
      <c r="Q2419" s="17">
        <f>J2419+L2419+N2419+O2419-P2419-M2419</f>
        <v/>
      </c>
    </row>
    <row r="2420">
      <c r="A2420" s="16" t="inlineStr">
        <is>
          <t>5.22-5.28</t>
        </is>
      </c>
      <c r="B2420" s="16" t="inlineStr">
        <is>
          <t>PO-128-17674993485431561</t>
        </is>
      </c>
      <c r="C2420" s="16" t="inlineStr">
        <is>
          <t>Delivered</t>
        </is>
      </c>
      <c r="D2420" s="16" t="inlineStr">
        <is>
          <t>128-17674977756791561</t>
        </is>
      </c>
      <c r="E2420" s="16" t="inlineStr">
        <is>
          <t>Delivered</t>
        </is>
      </c>
      <c r="F2420" s="16" t="inlineStr">
        <is>
          <t>VB349T</t>
        </is>
      </c>
      <c r="G2420" s="16" t="inlineStr">
        <is>
          <t>LINKBITS Altavoz Portátil de Doble Altavoz - 3 Pulgadas, Sonido HD, Emparejamiento Rápido de Bluetooth, Conectividad TWS, Reproducción Multimodo (Micro SD/USB/Radio FM) - Perfecto para Oficina, Viajes y Espacios Pequeños</t>
        </is>
      </c>
      <c r="H2420" s="16" t="inlineStr">
        <is>
          <t>NEGRO</t>
        </is>
      </c>
      <c r="I2420" s="16" t="n">
        <v>1</v>
      </c>
      <c r="J2420" s="17" t="n">
        <v>81</v>
      </c>
      <c r="K2420" s="17" t="n">
        <v>94.26000000000001</v>
      </c>
      <c r="L2420" s="17" t="n">
        <v>25.86</v>
      </c>
      <c r="M2420" s="17" t="n">
        <v>0</v>
      </c>
      <c r="N2420" s="17">
        <f>K2420*0.08+L2420*0.08</f>
        <v/>
      </c>
      <c r="O2420" s="17">
        <f>-(K2420*0.025+L2420*0.025)</f>
        <v/>
      </c>
      <c r="P2420" s="17">
        <f>32</f>
        <v/>
      </c>
      <c r="Q2420" s="17">
        <f>J2420+L2420+N2420+O2420-P2420-M2420</f>
        <v/>
      </c>
    </row>
    <row r="2421">
      <c r="A2421" s="16" t="inlineStr">
        <is>
          <t>5.22-5.28</t>
        </is>
      </c>
      <c r="B2421" s="16" t="inlineStr">
        <is>
          <t>PO-128-17645738686071862</t>
        </is>
      </c>
      <c r="C2421" s="16" t="inlineStr">
        <is>
          <t>Delivered</t>
        </is>
      </c>
      <c r="D2421" s="16" t="inlineStr">
        <is>
          <t>128-17645764900471862</t>
        </is>
      </c>
      <c r="E2421" s="16" t="inlineStr">
        <is>
          <t>Delivered</t>
        </is>
      </c>
      <c r="F2421" s="16" t="inlineStr">
        <is>
          <t>KTS-2031</t>
        </is>
      </c>
      <c r="G2421" s="16" t="inlineStr">
        <is>
          <t>Bocina inalámbrica de 3 pulgadas con linterna multifuncional y panel solar integrado.Altavoz Portátil con Linterna LED 4 Modos, Radio FM, Bluetooth, Carga Solar, Ideal para Apagones, Emergencias, Campo y Exteriores</t>
        </is>
      </c>
      <c r="H2421" s="16" t="inlineStr">
        <is>
          <t>NEGRO</t>
        </is>
      </c>
      <c r="I2421" s="16" t="n">
        <v>1</v>
      </c>
      <c r="J2421" s="17" t="n">
        <v>90</v>
      </c>
      <c r="K2421" s="17" t="n">
        <v>44.65</v>
      </c>
      <c r="L2421" s="17" t="n">
        <v>25.86</v>
      </c>
      <c r="M2421" s="17" t="n">
        <v>0</v>
      </c>
      <c r="N2421" s="17">
        <f>K2421*0.08+L2421*0.08</f>
        <v/>
      </c>
      <c r="O2421" s="17">
        <f>-(K2421*0.025+L2421*0.025)</f>
        <v/>
      </c>
      <c r="P2421" s="17">
        <f>32</f>
        <v/>
      </c>
      <c r="Q2421" s="17">
        <f>J2421+L2421+N2421+O2421-P2421-M2421</f>
        <v/>
      </c>
    </row>
    <row r="2422">
      <c r="A2422" s="16" t="inlineStr">
        <is>
          <t>5.22-5.28</t>
        </is>
      </c>
      <c r="B2422" s="16" t="inlineStr">
        <is>
          <t>PO-128-17307669407353943</t>
        </is>
      </c>
      <c r="C2422" s="16" t="inlineStr">
        <is>
          <t>Delivered</t>
        </is>
      </c>
      <c r="D2422" s="16" t="inlineStr">
        <is>
          <t>128-17307658921593943</t>
        </is>
      </c>
      <c r="E2422" s="16" t="inlineStr">
        <is>
          <t>Delivered</t>
        </is>
      </c>
      <c r="F2422" s="16" t="inlineStr">
        <is>
          <t>KTS-2031</t>
        </is>
      </c>
      <c r="G2422" s="16" t="inlineStr">
        <is>
          <t>Bocina inalámbrica de 3 pulgadas con linterna multifuncional y panel solar integrado.Altavoz Portátil con Linterna LED 4 Modos, Radio FM, Bluetooth, Carga Solar, Ideal para Apagones, Emergencias, Campo y Exteriores</t>
        </is>
      </c>
      <c r="H2422" s="16" t="inlineStr">
        <is>
          <t>NEGRO</t>
        </is>
      </c>
      <c r="I2422" s="16" t="n">
        <v>1</v>
      </c>
      <c r="J2422" s="17" t="n">
        <v>90</v>
      </c>
      <c r="K2422" s="17" t="n">
        <v>99.22</v>
      </c>
      <c r="L2422" s="17" t="n">
        <v>25.86</v>
      </c>
      <c r="M2422" s="17" t="n">
        <v>0</v>
      </c>
      <c r="N2422" s="17">
        <f>K2422*0.08+L2422*0.08</f>
        <v/>
      </c>
      <c r="O2422" s="17">
        <f>-(K2422*0.025+L2422*0.025)</f>
        <v/>
      </c>
      <c r="P2422" s="17">
        <f>32</f>
        <v/>
      </c>
      <c r="Q2422" s="17">
        <f>J2422+L2422+N2422+O2422-P2422-M2422</f>
        <v/>
      </c>
    </row>
    <row r="2423">
      <c r="A2423" s="16" t="inlineStr">
        <is>
          <t>5.22-5.28</t>
        </is>
      </c>
      <c r="B2423" s="16" t="inlineStr">
        <is>
          <t>PO-128-17504455168632576</t>
        </is>
      </c>
      <c r="C2423" s="16" t="inlineStr">
        <is>
          <t>Delivered</t>
        </is>
      </c>
      <c r="D2423" s="16" t="inlineStr">
        <is>
          <t>128-17504476140152576</t>
        </is>
      </c>
      <c r="E2423" s="16" t="inlineStr">
        <is>
          <t>Delivered</t>
        </is>
      </c>
      <c r="F2423" s="16" t="inlineStr">
        <is>
          <t>LV64W25</t>
        </is>
      </c>
      <c r="G24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23" s="16" t="inlineStr">
        <is>
          <t>Blanco</t>
        </is>
      </c>
      <c r="I2423" s="16" t="n">
        <v>1</v>
      </c>
      <c r="J2423" s="17" t="n">
        <v>125</v>
      </c>
      <c r="K2423" s="17" t="n">
        <v>114.6</v>
      </c>
      <c r="L2423" s="17" t="n">
        <v>25.86</v>
      </c>
      <c r="M2423" s="17" t="n">
        <v>0</v>
      </c>
      <c r="N2423" s="17">
        <f>K2423*0.08+L2423*0.08</f>
        <v/>
      </c>
      <c r="O2423" s="17">
        <f>-(K2423*0.025+L2423*0.025)</f>
        <v/>
      </c>
      <c r="P2423" s="17">
        <f>32</f>
        <v/>
      </c>
      <c r="Q2423" s="17">
        <f>J2423+L2423+N2423+O2423-P2423-M2423</f>
        <v/>
      </c>
    </row>
    <row r="2424">
      <c r="A2424" s="16" t="inlineStr">
        <is>
          <t>5.22-5.28</t>
        </is>
      </c>
      <c r="B2424" s="16" t="inlineStr">
        <is>
          <t>PO-128-17674541046391562</t>
        </is>
      </c>
      <c r="C2424" s="16" t="inlineStr">
        <is>
          <t>Delivered</t>
        </is>
      </c>
      <c r="D2424" s="16" t="inlineStr">
        <is>
          <t>128-17674520074871562</t>
        </is>
      </c>
      <c r="E2424" s="16" t="inlineStr">
        <is>
          <t>Delivered</t>
        </is>
      </c>
      <c r="F2424" s="16" t="inlineStr">
        <is>
          <t>LV54W25</t>
        </is>
      </c>
      <c r="G2424" s="16" t="inlineStr">
        <is>
          <t>TIANLAI Lámpara Ventilador E27 2 en 1, Silenciosa, LED Alta Luminosidad 180°, Instalación Rápida, Ahorro Energético para Dormitorio y Interiores Pequeños</t>
        </is>
      </c>
      <c r="H2424" s="16" t="inlineStr">
        <is>
          <t>1 Pieza</t>
        </is>
      </c>
      <c r="I2424" s="16" t="n">
        <v>1</v>
      </c>
      <c r="J2424" s="17" t="n">
        <v>74.5</v>
      </c>
      <c r="K2424" s="17" t="n">
        <v>86.18000000000001</v>
      </c>
      <c r="L2424" s="17" t="n">
        <v>25.86</v>
      </c>
      <c r="M2424" s="17" t="n">
        <v>0</v>
      </c>
      <c r="N2424" s="17">
        <f>K2424*0.08+L2424*0.08</f>
        <v/>
      </c>
      <c r="O2424" s="17">
        <f>-(K2424*0.025+L2424*0.025)</f>
        <v/>
      </c>
      <c r="P2424" s="17">
        <f>32</f>
        <v/>
      </c>
      <c r="Q2424" s="17">
        <f>J2424+L2424+N2424+O2424-P2424-M2424</f>
        <v/>
      </c>
    </row>
    <row r="2425">
      <c r="A2425" s="16" t="inlineStr">
        <is>
          <t>5.22-5.28</t>
        </is>
      </c>
      <c r="B2425" s="16" t="inlineStr">
        <is>
          <t>PO-128-17202546586233353</t>
        </is>
      </c>
      <c r="C2425" s="16" t="inlineStr">
        <is>
          <t>Delivered</t>
        </is>
      </c>
      <c r="D2425" s="16" t="inlineStr">
        <is>
          <t>128-17202551829113353</t>
        </is>
      </c>
      <c r="E2425" s="16" t="inlineStr">
        <is>
          <t>Delivered</t>
        </is>
      </c>
      <c r="F2425" s="16" t="inlineStr">
        <is>
          <t>LV54W25</t>
        </is>
      </c>
      <c r="G2425" s="16" t="inlineStr">
        <is>
          <t>TIANLAI Lámpara Ventilador E27 2 en 1, Silenciosa, LED Alta Luminosidad 180°, Instalación Rápida, Ahorro Energético para Dormitorio y Interiores Pequeños</t>
        </is>
      </c>
      <c r="H2425" s="16" t="inlineStr">
        <is>
          <t>1 Pieza</t>
        </is>
      </c>
      <c r="I2425" s="16" t="n">
        <v>3</v>
      </c>
      <c r="J2425" s="17" t="n">
        <v>223.5</v>
      </c>
      <c r="K2425" s="17" t="n">
        <v>232.71</v>
      </c>
      <c r="L2425" s="17" t="n">
        <v>0</v>
      </c>
      <c r="M2425" s="17" t="n">
        <v>0</v>
      </c>
      <c r="N2425" s="17">
        <f>K2425*0.08+L2425*0.08</f>
        <v/>
      </c>
      <c r="O2425" s="17">
        <f>-(K2425*0.025+L2425*0.025)</f>
        <v/>
      </c>
      <c r="P2425" s="17">
        <f>32</f>
        <v/>
      </c>
      <c r="Q2425" s="17">
        <f>J2425+L2425+N2425+O2425-P2425-M2425</f>
        <v/>
      </c>
    </row>
    <row r="2426">
      <c r="A2426" s="16" t="inlineStr">
        <is>
          <t>5.22-5.28</t>
        </is>
      </c>
      <c r="B2426" s="16" t="inlineStr">
        <is>
          <t>PO-128-17754094264950192</t>
        </is>
      </c>
      <c r="C2426" s="16" t="inlineStr">
        <is>
          <t>Delivered</t>
        </is>
      </c>
      <c r="D2426" s="16" t="inlineStr">
        <is>
          <t>128-17754115236470192</t>
        </is>
      </c>
      <c r="E2426" s="16" t="inlineStr">
        <is>
          <t>Delivered</t>
        </is>
      </c>
      <c r="F2426" s="16" t="inlineStr">
        <is>
          <t>LV54W25</t>
        </is>
      </c>
      <c r="G2426" s="16" t="inlineStr">
        <is>
          <t>TIANLAI Lámpara Ventilador E27 2 en 1, Silenciosa, LED Alta Luminosidad 180°, Instalación Rápida, Ahorro Energético para Dormitorio y Interiores Pequeños</t>
        </is>
      </c>
      <c r="H2426" s="16" t="inlineStr">
        <is>
          <t>1 Pieza</t>
        </is>
      </c>
      <c r="I2426" s="16" t="n">
        <v>2</v>
      </c>
      <c r="J2426" s="17" t="n">
        <v>149</v>
      </c>
      <c r="K2426" s="17" t="n">
        <v>153.42</v>
      </c>
      <c r="L2426" s="17" t="n">
        <v>25.86</v>
      </c>
      <c r="M2426" s="17" t="n">
        <v>0</v>
      </c>
      <c r="N2426" s="17">
        <f>K2426*0.08+L2426*0.08</f>
        <v/>
      </c>
      <c r="O2426" s="17">
        <f>-(K2426*0.025+L2426*0.025)</f>
        <v/>
      </c>
      <c r="P2426" s="17">
        <f>32</f>
        <v/>
      </c>
      <c r="Q2426" s="17">
        <f>J2426+L2426+N2426+O2426-P2426-M2426</f>
        <v/>
      </c>
    </row>
    <row r="2427">
      <c r="A2427" s="16" t="inlineStr">
        <is>
          <t>5.22-5.28</t>
        </is>
      </c>
      <c r="B2427" s="16" t="inlineStr">
        <is>
          <t>PO-128-17699959998070389</t>
        </is>
      </c>
      <c r="C2427" s="16" t="inlineStr">
        <is>
          <t>Delivered</t>
        </is>
      </c>
      <c r="D2427" s="16" t="inlineStr">
        <is>
          <t>128-17699918055030389</t>
        </is>
      </c>
      <c r="E2427" s="16" t="inlineStr">
        <is>
          <t>Delivered</t>
        </is>
      </c>
      <c r="F2427" s="16" t="inlineStr">
        <is>
          <t>KTS-2031</t>
        </is>
      </c>
      <c r="G2427" s="16" t="inlineStr">
        <is>
          <t>Bocina inalámbrica de 3 pulgadas con linterna multifuncional y panel solar integrado.Altavoz Portátil con Linterna LED 4 Modos, Radio FM, Bluetooth, Carga Solar, Ideal para Apagones, Emergencias, Campo y Exteriores</t>
        </is>
      </c>
      <c r="H2427" s="16" t="inlineStr">
        <is>
          <t>NEGRO</t>
        </is>
      </c>
      <c r="I2427" s="16" t="n">
        <v>4</v>
      </c>
      <c r="J2427" s="17" t="n">
        <v>360</v>
      </c>
      <c r="K2427" s="17" t="n">
        <v>314.12</v>
      </c>
      <c r="L2427" s="17" t="n">
        <v>0</v>
      </c>
      <c r="M2427" s="17" t="n">
        <v>0</v>
      </c>
      <c r="N2427" s="17">
        <f>K2427*0.08+L2427*0.08</f>
        <v/>
      </c>
      <c r="O2427" s="17">
        <f>-(K2427*0.025+L2427*0.025)</f>
        <v/>
      </c>
      <c r="P2427" s="17">
        <f>32</f>
        <v/>
      </c>
      <c r="Q2427" s="17">
        <f>J2427+L2427+N2427+O2427-P2427-M2427</f>
        <v/>
      </c>
    </row>
    <row r="2428">
      <c r="A2428" s="16" t="inlineStr">
        <is>
          <t>5.22-5.28</t>
        </is>
      </c>
      <c r="B2428" s="16" t="inlineStr">
        <is>
          <t>PO-128-17850069658230516</t>
        </is>
      </c>
      <c r="C2428" s="16" t="inlineStr">
        <is>
          <t>Delivered</t>
        </is>
      </c>
      <c r="D2428" s="16" t="inlineStr">
        <is>
          <t>128-17850090629750516</t>
        </is>
      </c>
      <c r="E2428" s="16" t="inlineStr">
        <is>
          <t>Delivered</t>
        </is>
      </c>
      <c r="F2428" s="16" t="inlineStr">
        <is>
          <t>LV64W25</t>
        </is>
      </c>
      <c r="G24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28" s="16" t="inlineStr">
        <is>
          <t>Blanco</t>
        </is>
      </c>
      <c r="I2428" s="16" t="n">
        <v>1</v>
      </c>
      <c r="J2428" s="17" t="n">
        <v>125</v>
      </c>
      <c r="K2428" s="17" t="n">
        <v>107.45</v>
      </c>
      <c r="L2428" s="17" t="n">
        <v>25.86</v>
      </c>
      <c r="M2428" s="17" t="n">
        <v>0</v>
      </c>
      <c r="N2428" s="17">
        <f>K2428*0.08+L2428*0.08</f>
        <v/>
      </c>
      <c r="O2428" s="17">
        <f>-(K2428*0.025+L2428*0.025)</f>
        <v/>
      </c>
      <c r="P2428" s="17">
        <f>32</f>
        <v/>
      </c>
      <c r="Q2428" s="17">
        <f>J2428+L2428+N2428+O2428-P2428-M2428</f>
        <v/>
      </c>
    </row>
    <row r="2429">
      <c r="A2429" s="16" t="inlineStr">
        <is>
          <t>5.22-5.28</t>
        </is>
      </c>
      <c r="B2429" s="16" t="inlineStr">
        <is>
          <t>PO-128-17702381409910436</t>
        </is>
      </c>
      <c r="C2429" s="16" t="inlineStr">
        <is>
          <t>Delivered</t>
        </is>
      </c>
      <c r="D2429" s="16" t="inlineStr">
        <is>
          <t>128-17702360438390436</t>
        </is>
      </c>
      <c r="E2429" s="16" t="inlineStr">
        <is>
          <t>Delivered</t>
        </is>
      </c>
      <c r="F2429" s="16" t="inlineStr">
        <is>
          <t>LV54W25</t>
        </is>
      </c>
      <c r="G2429" s="16" t="inlineStr">
        <is>
          <t>TIANLAI Lámpara Ventilador E27 2 en 1, Silenciosa, LED Alta Luminosidad 180°, Instalación Rápida, Ahorro Energético para Dormitorio y Interiores Pequeños</t>
        </is>
      </c>
      <c r="H2429" s="16" t="inlineStr">
        <is>
          <t>1 Pieza</t>
        </is>
      </c>
      <c r="I2429" s="16" t="n">
        <v>3</v>
      </c>
      <c r="J2429" s="17" t="n">
        <v>223.5</v>
      </c>
      <c r="K2429" s="17" t="n">
        <v>224.64</v>
      </c>
      <c r="L2429" s="17" t="n">
        <v>0</v>
      </c>
      <c r="M2429" s="17" t="n">
        <v>0</v>
      </c>
      <c r="N2429" s="17">
        <f>K2429*0.08+L2429*0.08</f>
        <v/>
      </c>
      <c r="O2429" s="17">
        <f>-(K2429*0.025+L2429*0.025)</f>
        <v/>
      </c>
      <c r="P2429" s="17">
        <f>32</f>
        <v/>
      </c>
      <c r="Q2429" s="17">
        <f>J2429+L2429+N2429+O2429-P2429-M2429</f>
        <v/>
      </c>
    </row>
    <row r="2430">
      <c r="A2430" s="16" t="inlineStr">
        <is>
          <t>5.22-5.28</t>
        </is>
      </c>
      <c r="B2430" s="16" t="inlineStr">
        <is>
          <t>PO-128-17313057874553719</t>
        </is>
      </c>
      <c r="C2430" s="16" t="inlineStr">
        <is>
          <t>Delivered</t>
        </is>
      </c>
      <c r="D2430" s="16" t="inlineStr">
        <is>
          <t>128-17313015931513719</t>
        </is>
      </c>
      <c r="E2430" s="16" t="inlineStr">
        <is>
          <t>Delivered</t>
        </is>
      </c>
      <c r="F2430" s="16" t="inlineStr">
        <is>
          <t>LV54W25</t>
        </is>
      </c>
      <c r="G2430" s="16" t="inlineStr">
        <is>
          <t>TIANLAI Lámpara Ventilador E27 2 en 1, Silenciosa, LED Alta Luminosidad 180°, Instalación Rápida, Ahorro Energético para Dormitorio y Interiores Pequeños</t>
        </is>
      </c>
      <c r="H2430" s="16" t="inlineStr">
        <is>
          <t>1 Pieza</t>
        </is>
      </c>
      <c r="I2430" s="16" t="n">
        <v>1</v>
      </c>
      <c r="J2430" s="17" t="n">
        <v>74.5</v>
      </c>
      <c r="K2430" s="17" t="n">
        <v>34.47</v>
      </c>
      <c r="L2430" s="17" t="n">
        <v>25.86</v>
      </c>
      <c r="M2430" s="17" t="n">
        <v>0</v>
      </c>
      <c r="N2430" s="17">
        <f>K2430*0.08+L2430*0.08</f>
        <v/>
      </c>
      <c r="O2430" s="17">
        <f>-(K2430*0.025+L2430*0.025)</f>
        <v/>
      </c>
      <c r="P2430" s="17">
        <f>32</f>
        <v/>
      </c>
      <c r="Q2430" s="17">
        <f>J2430+L2430+N2430+O2430-P2430-M2430</f>
        <v/>
      </c>
    </row>
    <row r="2431">
      <c r="A2431" s="16" t="inlineStr">
        <is>
          <t>5.22-5.28</t>
        </is>
      </c>
      <c r="B2431" s="16" t="inlineStr">
        <is>
          <t>PO-128-17238734807673264</t>
        </is>
      </c>
      <c r="C2431" s="16" t="inlineStr">
        <is>
          <t>Delivered</t>
        </is>
      </c>
      <c r="D2431" s="16" t="inlineStr">
        <is>
          <t>128-17238692864633264</t>
        </is>
      </c>
      <c r="E2431" s="16" t="inlineStr">
        <is>
          <t>Delivered</t>
        </is>
      </c>
      <c r="F2431" s="16" t="inlineStr">
        <is>
          <t>LV54W25</t>
        </is>
      </c>
      <c r="G2431" s="16" t="inlineStr">
        <is>
          <t>TIANLAI Lámpara Ventilador E27 2 en 1, Silenciosa, LED Alta Luminosidad 180°, Instalación Rápida, Ahorro Energético para Dormitorio y Interiores Pequeños</t>
        </is>
      </c>
      <c r="H2431" s="16" t="inlineStr">
        <is>
          <t>1 Pieza</t>
        </is>
      </c>
      <c r="I2431" s="16" t="n">
        <v>1</v>
      </c>
      <c r="J2431" s="17" t="n">
        <v>74.5</v>
      </c>
      <c r="K2431" s="17" t="n">
        <v>76.70999999999999</v>
      </c>
      <c r="L2431" s="17" t="n">
        <v>25.86</v>
      </c>
      <c r="M2431" s="17" t="n">
        <v>0</v>
      </c>
      <c r="N2431" s="17">
        <f>K2431*0.08+L2431*0.08</f>
        <v/>
      </c>
      <c r="O2431" s="17">
        <f>-(K2431*0.025+L2431*0.025)</f>
        <v/>
      </c>
      <c r="P2431" s="17">
        <f>32</f>
        <v/>
      </c>
      <c r="Q2431" s="17">
        <f>J2431+L2431+N2431+O2431-P2431-M2431</f>
        <v/>
      </c>
    </row>
    <row r="2432">
      <c r="A2432" s="16" t="inlineStr">
        <is>
          <t>5.22-5.28</t>
        </is>
      </c>
      <c r="B2432" s="16" t="inlineStr">
        <is>
          <t>PO-128-17801435740790998</t>
        </is>
      </c>
      <c r="C2432" s="16" t="inlineStr">
        <is>
          <t>Delivered</t>
        </is>
      </c>
      <c r="D2432" s="16" t="inlineStr">
        <is>
          <t>128-17801393797750998</t>
        </is>
      </c>
      <c r="E2432" s="16" t="inlineStr">
        <is>
          <t>Delivered</t>
        </is>
      </c>
      <c r="F2432" s="16" t="inlineStr">
        <is>
          <t>BSC07</t>
        </is>
      </c>
      <c r="G2432" s="16" t="inlineStr">
        <is>
          <t>TIANLAI Báscula Digital BSC04/BSC07, Alta Precisión, Fácil Operación, Ligera y Portátil, Función Tara, Unidad Dual oz/g, Ideal para Cocina, Control de Porciones, Sellos y Objetos Pequeños, Uso en Hogar y Viaje</t>
        </is>
      </c>
      <c r="H2432" s="16" t="inlineStr">
        <is>
          <t>1g/White</t>
        </is>
      </c>
      <c r="I2432" s="16" t="n">
        <v>1</v>
      </c>
      <c r="J2432" s="17" t="n">
        <v>38</v>
      </c>
      <c r="K2432" s="17" t="n">
        <v>7.12</v>
      </c>
      <c r="L2432" s="17" t="n">
        <v>25.86</v>
      </c>
      <c r="M2432" s="17" t="n">
        <v>0</v>
      </c>
      <c r="N2432" s="17">
        <f>K2432*0.08+L2432*0.08</f>
        <v/>
      </c>
      <c r="O2432" s="17">
        <f>-(K2432*0.025+L2432*0.025)</f>
        <v/>
      </c>
      <c r="P2432" s="17">
        <f>32</f>
        <v/>
      </c>
      <c r="Q2432" s="17">
        <f>J2432+L2432+N2432+O2432-P2432-M2432</f>
        <v/>
      </c>
    </row>
    <row r="2433">
      <c r="A2433" s="16" t="inlineStr">
        <is>
          <t>5.22-5.28</t>
        </is>
      </c>
      <c r="B2433" s="16" t="inlineStr">
        <is>
          <t>PO-128-06818413783670862</t>
        </is>
      </c>
      <c r="C2433" s="16" t="inlineStr">
        <is>
          <t>Delivered</t>
        </is>
      </c>
      <c r="D2433" s="16" t="inlineStr">
        <is>
          <t>128-06818371840630862</t>
        </is>
      </c>
      <c r="E2433" s="16" t="inlineStr">
        <is>
          <t>Delivered</t>
        </is>
      </c>
      <c r="F2433" s="16" t="inlineStr">
        <is>
          <t>LV54W25</t>
        </is>
      </c>
      <c r="G2433" s="16" t="inlineStr">
        <is>
          <t>TIANLAI Lámpara Ventilador E27 2 en 1, Silenciosa, LED Alta Luminosidad 180°, Instalación Rápida, Ahorro Energético para Dormitorio y Interiores Pequeños</t>
        </is>
      </c>
      <c r="H2433" s="16" t="inlineStr">
        <is>
          <t>1 Pieza</t>
        </is>
      </c>
      <c r="I2433" s="16" t="n">
        <v>3</v>
      </c>
      <c r="J2433" s="17" t="n">
        <v>223.5</v>
      </c>
      <c r="K2433" s="17" t="n">
        <v>258.54</v>
      </c>
      <c r="L2433" s="17" t="n">
        <v>0</v>
      </c>
      <c r="M2433" s="17" t="n">
        <v>0</v>
      </c>
      <c r="N2433" s="17">
        <f>K2433*0.08+L2433*0.08</f>
        <v/>
      </c>
      <c r="O2433" s="17">
        <f>-(K2433*0.025+L2433*0.025)</f>
        <v/>
      </c>
      <c r="P2433" s="17">
        <f>32</f>
        <v/>
      </c>
      <c r="Q2433" s="17">
        <f>J2433+L2433+N2433+O2433-P2433-M2433</f>
        <v/>
      </c>
    </row>
    <row r="2434">
      <c r="A2434" s="16" t="inlineStr">
        <is>
          <t>5.22-5.28</t>
        </is>
      </c>
      <c r="B2434" s="16" t="inlineStr">
        <is>
          <t>PO-128-06600942787191070</t>
        </is>
      </c>
      <c r="C2434" s="16" t="inlineStr">
        <is>
          <t>Delivered</t>
        </is>
      </c>
      <c r="D2434" s="16" t="inlineStr">
        <is>
          <t>128-06600963758711070</t>
        </is>
      </c>
      <c r="E2434" s="16" t="inlineStr">
        <is>
          <t>Delivered</t>
        </is>
      </c>
      <c r="F2434" s="16" t="inlineStr">
        <is>
          <t>VB349T</t>
        </is>
      </c>
      <c r="G2434" s="16" t="inlineStr">
        <is>
          <t>LINKBITS Altavoz Portátil de Doble Altavoz - 3 Pulgadas, Sonido HD, Emparejamiento Rápido de Bluetooth, Conectividad TWS, Reproducción Multimodo (Micro SD/USB/Radio FM) - Perfecto para Oficina, Viajes y Espacios Pequeños</t>
        </is>
      </c>
      <c r="H2434" s="16" t="inlineStr">
        <is>
          <t>NEGRO</t>
        </is>
      </c>
      <c r="I2434" s="16" t="n">
        <v>1</v>
      </c>
      <c r="J2434" s="17" t="n">
        <v>81</v>
      </c>
      <c r="K2434" s="17" t="n">
        <v>94.26000000000001</v>
      </c>
      <c r="L2434" s="17" t="n">
        <v>25.86</v>
      </c>
      <c r="M2434" s="17" t="n">
        <v>0</v>
      </c>
      <c r="N2434" s="17">
        <f>K2434*0.08+L2434*0.08</f>
        <v/>
      </c>
      <c r="O2434" s="17">
        <f>-(K2434*0.025+L2434*0.025)</f>
        <v/>
      </c>
      <c r="P2434" s="17">
        <f>32</f>
        <v/>
      </c>
      <c r="Q2434" s="17">
        <f>J2434+L2434+N2434+O2434-P2434-M2434</f>
        <v/>
      </c>
    </row>
    <row r="2435">
      <c r="A2435" s="16" t="inlineStr">
        <is>
          <t>5.22-5.28</t>
        </is>
      </c>
      <c r="B2435" s="16" t="inlineStr">
        <is>
          <t>PO-128-06704086206070393</t>
        </is>
      </c>
      <c r="C2435" s="16" t="inlineStr">
        <is>
          <t>Delivered</t>
        </is>
      </c>
      <c r="D2435" s="16" t="inlineStr">
        <is>
          <t>128-06704033777270393</t>
        </is>
      </c>
      <c r="E2435" s="16" t="inlineStr">
        <is>
          <t>Delivered</t>
        </is>
      </c>
      <c r="F2435" s="16" t="inlineStr">
        <is>
          <t>LV54W25</t>
        </is>
      </c>
      <c r="G2435" s="16" t="inlineStr">
        <is>
          <t>TIANLAI Lámpara Ventilador E27 2 en 1, Silenciosa, LED Alta Luminosidad 180°, Instalación Rápida, Ahorro Energético para Dormitorio y Interiores Pequeños</t>
        </is>
      </c>
      <c r="H2435" s="16" t="inlineStr">
        <is>
          <t>1 Pieza</t>
        </is>
      </c>
      <c r="I2435" s="16" t="n">
        <v>1</v>
      </c>
      <c r="J2435" s="17" t="n">
        <v>74.5</v>
      </c>
      <c r="K2435" s="17" t="n">
        <v>61.37</v>
      </c>
      <c r="L2435" s="17" t="n">
        <v>25.86</v>
      </c>
      <c r="M2435" s="17" t="n">
        <v>0.36</v>
      </c>
      <c r="N2435" s="17">
        <f>K2435*0.08+L2435*0.08</f>
        <v/>
      </c>
      <c r="O2435" s="17">
        <f>-(K2435*0.025+L2435*0.025)</f>
        <v/>
      </c>
      <c r="P2435" s="17">
        <f>32</f>
        <v/>
      </c>
      <c r="Q2435" s="17">
        <f>J2435+L2435+N2435+O2435-P2435-M2435</f>
        <v/>
      </c>
    </row>
    <row r="2436">
      <c r="A2436" s="16" t="inlineStr">
        <is>
          <t>5.22-5.28</t>
        </is>
      </c>
      <c r="B2436" s="16" t="inlineStr">
        <is>
          <t>PO-128-06710746517110417</t>
        </is>
      </c>
      <c r="C2436" s="16" t="inlineStr">
        <is>
          <t>Delivered</t>
        </is>
      </c>
      <c r="D2436" s="16" t="inlineStr">
        <is>
          <t>128-06710751759990417</t>
        </is>
      </c>
      <c r="E2436" s="16" t="inlineStr">
        <is>
          <t>Delivered</t>
        </is>
      </c>
      <c r="F2436" s="16" t="inlineStr">
        <is>
          <t>LV54W25</t>
        </is>
      </c>
      <c r="G2436" s="16" t="inlineStr">
        <is>
          <t>TIANLAI Lámpara Ventilador E27 2 en 1, Silenciosa, LED Alta Luminosidad 180°, Instalación Rápida, Ahorro Energético para Dormitorio y Interiores Pequeños</t>
        </is>
      </c>
      <c r="H2436" s="16" t="inlineStr">
        <is>
          <t>1 Pieza</t>
        </is>
      </c>
      <c r="I2436" s="16" t="n">
        <v>1</v>
      </c>
      <c r="J2436" s="17" t="n">
        <v>74.5</v>
      </c>
      <c r="K2436" s="17" t="n">
        <v>77.56999999999999</v>
      </c>
      <c r="L2436" s="17" t="n">
        <v>25.86</v>
      </c>
      <c r="M2436" s="17" t="n">
        <v>0</v>
      </c>
      <c r="N2436" s="17">
        <f>K2436*0.08+L2436*0.08</f>
        <v/>
      </c>
      <c r="O2436" s="17">
        <f>-(K2436*0.025+L2436*0.025)</f>
        <v/>
      </c>
      <c r="P2436" s="17">
        <f>32</f>
        <v/>
      </c>
      <c r="Q2436" s="17">
        <f>J2436+L2436+N2436+O2436-P2436-M2436</f>
        <v/>
      </c>
    </row>
    <row r="2437">
      <c r="A2437" s="16" t="inlineStr">
        <is>
          <t>5.22-5.28</t>
        </is>
      </c>
      <c r="B2437" s="16" t="inlineStr">
        <is>
          <t>PO-128-06404691579512176</t>
        </is>
      </c>
      <c r="C2437" s="16" t="inlineStr">
        <is>
          <t>Delivered</t>
        </is>
      </c>
      <c r="D2437" s="16" t="inlineStr">
        <is>
          <t>128-06404696822392176</t>
        </is>
      </c>
      <c r="E2437" s="16" t="inlineStr">
        <is>
          <t>Delivered</t>
        </is>
      </c>
      <c r="F2437" s="16" t="inlineStr">
        <is>
          <t>LV64W25</t>
        </is>
      </c>
      <c r="G24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37" s="16" t="inlineStr">
        <is>
          <t>Blanco</t>
        </is>
      </c>
      <c r="I2437" s="16" t="n">
        <v>2</v>
      </c>
      <c r="J2437" s="17" t="n">
        <v>250</v>
      </c>
      <c r="K2437" s="17" t="n">
        <v>286.52</v>
      </c>
      <c r="L2437" s="17" t="n">
        <v>0</v>
      </c>
      <c r="M2437" s="17" t="n">
        <v>0</v>
      </c>
      <c r="N2437" s="17">
        <f>K2437*0.08+L2437*0.08</f>
        <v/>
      </c>
      <c r="O2437" s="17">
        <f>-(K2437*0.025+L2437*0.025)</f>
        <v/>
      </c>
      <c r="P2437" s="17">
        <f>32</f>
        <v/>
      </c>
      <c r="Q2437" s="17">
        <f>J2437+L2437+N2437+O2437-P2437-M2437</f>
        <v/>
      </c>
    </row>
    <row r="2438">
      <c r="A2438" s="16" t="inlineStr">
        <is>
          <t>5.22-5.28</t>
        </is>
      </c>
      <c r="B2438" s="16" t="inlineStr">
        <is>
          <t>PO-128-06219413816953408</t>
        </is>
      </c>
      <c r="C2438" s="16" t="inlineStr">
        <is>
          <t>Delivered</t>
        </is>
      </c>
      <c r="D2438" s="16" t="inlineStr">
        <is>
          <t>128-06219466245753408</t>
        </is>
      </c>
      <c r="E2438" s="16" t="inlineStr">
        <is>
          <t>Delivered</t>
        </is>
      </c>
      <c r="F2438" s="16" t="inlineStr">
        <is>
          <t>BSC07</t>
        </is>
      </c>
      <c r="G2438" s="16" t="inlineStr">
        <is>
          <t>TIANLAI Báscula Digital BSC04/BSC07, Alta Precisión, Fácil Operación, Ligera y Portátil, Función Tara, Unidad Dual oz/g, Ideal para Cocina, Control de Porciones, Sellos y Objetos Pequeños, Uso en Hogar y Viaje</t>
        </is>
      </c>
      <c r="H2438" s="16" t="inlineStr">
        <is>
          <t>1g/White</t>
        </is>
      </c>
      <c r="I2438" s="16" t="n">
        <v>1</v>
      </c>
      <c r="J2438" s="17" t="n">
        <v>38</v>
      </c>
      <c r="K2438" s="17" t="n">
        <v>7.12</v>
      </c>
      <c r="L2438" s="17" t="n">
        <v>25.86</v>
      </c>
      <c r="M2438" s="17" t="n">
        <v>0</v>
      </c>
      <c r="N2438" s="17">
        <f>K2438*0.08+L2438*0.08</f>
        <v/>
      </c>
      <c r="O2438" s="17">
        <f>-(K2438*0.025+L2438*0.025)</f>
        <v/>
      </c>
      <c r="P2438" s="17">
        <f>32</f>
        <v/>
      </c>
      <c r="Q2438" s="17">
        <f>J2438+L2438+N2438+O2438-P2438-M2438</f>
        <v/>
      </c>
    </row>
    <row r="2439">
      <c r="A2439" s="16" t="inlineStr">
        <is>
          <t>5.22-5.28</t>
        </is>
      </c>
      <c r="B2439" s="16" t="inlineStr">
        <is>
          <t>PO-128-06589779318391264</t>
        </is>
      </c>
      <c r="C2439" s="16" t="inlineStr">
        <is>
          <t>Delivered</t>
        </is>
      </c>
      <c r="D2439" s="16" t="inlineStr">
        <is>
          <t>128-06589760968311264</t>
        </is>
      </c>
      <c r="E2439" s="16" t="inlineStr">
        <is>
          <t>Delivered</t>
        </is>
      </c>
      <c r="F2439" s="16" t="inlineStr">
        <is>
          <t>LV54W25</t>
        </is>
      </c>
      <c r="G2439" s="16" t="inlineStr">
        <is>
          <t>TIANLAI Lámpara Ventilador E27 2 en 1, Silenciosa, LED Alta Luminosidad 180°, Instalación Rápida, Ahorro Energético para Dormitorio y Interiores Pequeños</t>
        </is>
      </c>
      <c r="H2439" s="16" t="inlineStr">
        <is>
          <t>1 Pieza</t>
        </is>
      </c>
      <c r="I2439" s="16" t="n">
        <v>1</v>
      </c>
      <c r="J2439" s="17" t="n">
        <v>74.5</v>
      </c>
      <c r="K2439" s="17" t="n">
        <v>76.70999999999999</v>
      </c>
      <c r="L2439" s="17" t="n">
        <v>25.86</v>
      </c>
      <c r="M2439" s="17" t="n">
        <v>0</v>
      </c>
      <c r="N2439" s="17">
        <f>K2439*0.08+L2439*0.08</f>
        <v/>
      </c>
      <c r="O2439" s="17">
        <f>-(K2439*0.025+L2439*0.025)</f>
        <v/>
      </c>
      <c r="P2439" s="17">
        <f>32</f>
        <v/>
      </c>
      <c r="Q2439" s="17">
        <f>J2439+L2439+N2439+O2439-P2439-M2439</f>
        <v/>
      </c>
    </row>
    <row r="2440">
      <c r="A2440" s="16" t="inlineStr">
        <is>
          <t>5.22-5.28</t>
        </is>
      </c>
      <c r="B2440" s="16" t="inlineStr">
        <is>
          <t>PO-128-06405814011512235</t>
        </is>
      </c>
      <c r="C2440" s="16" t="inlineStr">
        <is>
          <t>Delivered</t>
        </is>
      </c>
      <c r="D2440" s="16" t="inlineStr">
        <is>
          <t>128-06405834983032235</t>
        </is>
      </c>
      <c r="E2440" s="16" t="inlineStr">
        <is>
          <t>Delivered</t>
        </is>
      </c>
      <c r="F2440" s="16" t="inlineStr">
        <is>
          <t>TLCD02-8P-R</t>
        </is>
      </c>
      <c r="G244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440" s="16" t="inlineStr">
        <is>
          <t>ROJO/pantalla de 8.5 pulgadas</t>
        </is>
      </c>
      <c r="I2440" s="16" t="n">
        <v>1</v>
      </c>
      <c r="J2440" s="17" t="n">
        <v>25</v>
      </c>
      <c r="K2440" s="17" t="n">
        <v>25.06</v>
      </c>
      <c r="L2440" s="17" t="n">
        <v>25.86</v>
      </c>
      <c r="M2440" s="17" t="n">
        <v>0</v>
      </c>
      <c r="N2440" s="17">
        <f>K2440*0.08+L2440*0.08</f>
        <v/>
      </c>
      <c r="O2440" s="17">
        <f>-(K2440*0.025+L2440*0.025)</f>
        <v/>
      </c>
      <c r="P2440" s="17">
        <f>32</f>
        <v/>
      </c>
      <c r="Q2440" s="17">
        <f>J2440+L2440+N2440+O2440-P2440-M2440</f>
        <v/>
      </c>
    </row>
    <row r="2441">
      <c r="A2441" s="16" t="inlineStr">
        <is>
          <t>5.22-5.28</t>
        </is>
      </c>
      <c r="B2441" s="16" t="inlineStr">
        <is>
          <t>PO-128-06330679025273835</t>
        </is>
      </c>
      <c r="C2441" s="16" t="inlineStr">
        <is>
          <t>Delivered</t>
        </is>
      </c>
      <c r="D2441" s="16" t="inlineStr">
        <is>
          <t>128-06330637082233835</t>
        </is>
      </c>
      <c r="E2441" s="16" t="inlineStr">
        <is>
          <t>Delivered</t>
        </is>
      </c>
      <c r="F2441" s="16" t="inlineStr">
        <is>
          <t>LV64W25</t>
        </is>
      </c>
      <c r="G24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41" s="16" t="inlineStr">
        <is>
          <t>Blanco</t>
        </is>
      </c>
      <c r="I2441" s="16" t="n">
        <v>15</v>
      </c>
      <c r="J2441" s="17" t="n">
        <v>1875</v>
      </c>
      <c r="K2441" s="17" t="n">
        <v>2148.9</v>
      </c>
      <c r="L2441" s="17" t="n">
        <v>0</v>
      </c>
      <c r="M2441" s="17" t="n">
        <v>0</v>
      </c>
      <c r="N2441" s="17">
        <f>K2441*0.08+L2441*0.08</f>
        <v/>
      </c>
      <c r="O2441" s="17">
        <f>-(K2441*0.025+L2441*0.025)</f>
        <v/>
      </c>
      <c r="P2441" s="17">
        <f>32</f>
        <v/>
      </c>
      <c r="Q2441" s="17">
        <f>J2441+L2441+N2441+O2441-P2441-M2441</f>
        <v/>
      </c>
    </row>
    <row r="2442">
      <c r="A2442" s="16" t="inlineStr">
        <is>
          <t>5.22-5.28</t>
        </is>
      </c>
      <c r="B2442" s="16" t="inlineStr">
        <is>
          <t>PO-128-06441715881592149</t>
        </is>
      </c>
      <c r="C2442" s="16" t="inlineStr">
        <is>
          <t>Delivered</t>
        </is>
      </c>
      <c r="D2442" s="16" t="inlineStr">
        <is>
          <t>128-06441663452792149</t>
        </is>
      </c>
      <c r="E2442" s="16" t="inlineStr">
        <is>
          <t>Delivered</t>
        </is>
      </c>
      <c r="F2442" s="16" t="inlineStr">
        <is>
          <t>KTS-2031</t>
        </is>
      </c>
      <c r="G2442" s="16" t="inlineStr">
        <is>
          <t>Bocina inalámbrica de 3 pulgadas con linterna multifuncional y panel solar integrado.Altavoz Portátil con Linterna LED 4 Modos, Radio FM, Bluetooth, Carga Solar, Ideal para Apagones, Emergencias, Campo y Exteriores</t>
        </is>
      </c>
      <c r="H2442" s="16" t="inlineStr">
        <is>
          <t>NEGRO</t>
        </is>
      </c>
      <c r="I2442" s="16" t="n">
        <v>1</v>
      </c>
      <c r="J2442" s="17" t="n">
        <v>90</v>
      </c>
      <c r="K2442" s="17" t="n">
        <v>99.22</v>
      </c>
      <c r="L2442" s="17" t="n">
        <v>25.86</v>
      </c>
      <c r="M2442" s="17" t="n">
        <v>0</v>
      </c>
      <c r="N2442" s="17">
        <f>K2442*0.08+L2442*0.08</f>
        <v/>
      </c>
      <c r="O2442" s="17">
        <f>-(K2442*0.025+L2442*0.025)</f>
        <v/>
      </c>
      <c r="P2442" s="17">
        <f>32</f>
        <v/>
      </c>
      <c r="Q2442" s="17">
        <f>J2442+L2442+N2442+O2442-P2442-M2442</f>
        <v/>
      </c>
    </row>
    <row r="2443">
      <c r="A2443" s="16" t="inlineStr">
        <is>
          <t>5.22-5.28</t>
        </is>
      </c>
      <c r="B2443" s="16" t="inlineStr">
        <is>
          <t>PO-128-06841185347190726</t>
        </is>
      </c>
      <c r="C2443" s="16" t="inlineStr">
        <is>
          <t>Delivered</t>
        </is>
      </c>
      <c r="D2443" s="16" t="inlineStr">
        <is>
          <t>128-06841206318710726</t>
        </is>
      </c>
      <c r="E2443" s="16" t="inlineStr">
        <is>
          <t>Delivered</t>
        </is>
      </c>
      <c r="F2443" s="16" t="inlineStr">
        <is>
          <t>TLCD02-8P-N</t>
        </is>
      </c>
      <c r="G244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443" s="16" t="inlineStr">
        <is>
          <t>NEGRO/pantalla de 8.5 pulgadas</t>
        </is>
      </c>
      <c r="I2443" s="16" t="n">
        <v>1</v>
      </c>
      <c r="J2443" s="17" t="n">
        <v>25</v>
      </c>
      <c r="K2443" s="17" t="n">
        <v>30.17</v>
      </c>
      <c r="L2443" s="17" t="n">
        <v>25.86</v>
      </c>
      <c r="M2443" s="17" t="n">
        <v>0</v>
      </c>
      <c r="N2443" s="17">
        <f>K2443*0.08+L2443*0.08</f>
        <v/>
      </c>
      <c r="O2443" s="17">
        <f>-(K2443*0.025+L2443*0.025)</f>
        <v/>
      </c>
      <c r="P2443" s="17">
        <f>32</f>
        <v/>
      </c>
      <c r="Q2443" s="17">
        <f>J2443+L2443+N2443+O2443-P2443-M2443</f>
        <v/>
      </c>
    </row>
    <row r="2444">
      <c r="A2444" s="16" t="inlineStr">
        <is>
          <t>5.22-5.28</t>
        </is>
      </c>
      <c r="B2444" s="16" t="inlineStr">
        <is>
          <t>PO-128-06690748186231625</t>
        </is>
      </c>
      <c r="C2444" s="16" t="inlineStr">
        <is>
          <t>Delivered</t>
        </is>
      </c>
      <c r="D2444" s="16" t="inlineStr">
        <is>
          <t>128-06690750807671625</t>
        </is>
      </c>
      <c r="E2444" s="16" t="inlineStr">
        <is>
          <t>Delivered</t>
        </is>
      </c>
      <c r="F2444" s="16" t="inlineStr">
        <is>
          <t>LV54W25</t>
        </is>
      </c>
      <c r="G2444" s="16" t="inlineStr">
        <is>
          <t>TIANLAI Lámpara Ventilador E27 2 en 1, Silenciosa, LED Alta Luminosidad 180°, Instalación Rápida, Ahorro Energético para Dormitorio y Interiores Pequeños</t>
        </is>
      </c>
      <c r="H2444" s="16" t="inlineStr">
        <is>
          <t>1 Pieza</t>
        </is>
      </c>
      <c r="I2444" s="16" t="n">
        <v>3</v>
      </c>
      <c r="J2444" s="17" t="n">
        <v>223.5</v>
      </c>
      <c r="K2444" s="17" t="n">
        <v>232.71</v>
      </c>
      <c r="L2444" s="17" t="n">
        <v>0</v>
      </c>
      <c r="M2444" s="17" t="n">
        <v>0</v>
      </c>
      <c r="N2444" s="17">
        <f>K2444*0.08+L2444*0.08</f>
        <v/>
      </c>
      <c r="O2444" s="17">
        <f>-(K2444*0.025+L2444*0.025)</f>
        <v/>
      </c>
      <c r="P2444" s="17">
        <f>32</f>
        <v/>
      </c>
      <c r="Q2444" s="17">
        <f>J2444+L2444+N2444+O2444-P2444-M2444</f>
        <v/>
      </c>
    </row>
    <row r="2445">
      <c r="A2445" s="16" t="inlineStr">
        <is>
          <t>5.22-5.28</t>
        </is>
      </c>
      <c r="B2445" s="16" t="inlineStr">
        <is>
          <t>PO-128-06373046671992556</t>
        </is>
      </c>
      <c r="C2445" s="16" t="inlineStr">
        <is>
          <t>Delivered</t>
        </is>
      </c>
      <c r="D2445" s="16" t="inlineStr">
        <is>
          <t>128-06373057157752556</t>
        </is>
      </c>
      <c r="E2445" s="16" t="inlineStr">
        <is>
          <t>Delivered</t>
        </is>
      </c>
      <c r="F2445" s="16" t="inlineStr">
        <is>
          <t>KTS-2031</t>
        </is>
      </c>
      <c r="G2445" s="16" t="inlineStr">
        <is>
          <t>Bocina inalámbrica de 3 pulgadas con linterna multifuncional y panel solar integrado.Altavoz Portátil con Linterna LED 4 Modos, Radio FM, Bluetooth, Carga Solar, Ideal para Apagones, Emergencias, Campo y Exteriores</t>
        </is>
      </c>
      <c r="H2445" s="16" t="inlineStr">
        <is>
          <t>NEGRO</t>
        </is>
      </c>
      <c r="I2445" s="16" t="n">
        <v>1</v>
      </c>
      <c r="J2445" s="17" t="n">
        <v>90</v>
      </c>
      <c r="K2445" s="17" t="n">
        <v>99.22</v>
      </c>
      <c r="L2445" s="17" t="n">
        <v>25.86</v>
      </c>
      <c r="M2445" s="17" t="n">
        <v>0</v>
      </c>
      <c r="N2445" s="17">
        <f>K2445*0.08+L2445*0.08</f>
        <v/>
      </c>
      <c r="O2445" s="17">
        <f>-(K2445*0.025+L2445*0.025)</f>
        <v/>
      </c>
      <c r="P2445" s="17">
        <f>32</f>
        <v/>
      </c>
      <c r="Q2445" s="17">
        <f>J2445+L2445+N2445+O2445-P2445-M2445</f>
        <v/>
      </c>
    </row>
    <row r="2446">
      <c r="A2446" s="16" t="inlineStr">
        <is>
          <t>5.22-5.28</t>
        </is>
      </c>
      <c r="B2446" s="16" t="inlineStr">
        <is>
          <t>PO-128-06746494940790138</t>
        </is>
      </c>
      <c r="C2446" s="16" t="inlineStr">
        <is>
          <t>Delivered</t>
        </is>
      </c>
      <c r="D2446" s="16" t="inlineStr">
        <is>
          <t>128-06746473969270138</t>
        </is>
      </c>
      <c r="E2446" s="16" t="inlineStr">
        <is>
          <t>Delivered</t>
        </is>
      </c>
      <c r="F2446" s="16" t="inlineStr">
        <is>
          <t>LV54W25</t>
        </is>
      </c>
      <c r="G2446" s="16" t="inlineStr">
        <is>
          <t>TIANLAI Lámpara Ventilador E27 2 en 1, Silenciosa, LED Alta Luminosidad 180°, Instalación Rápida, Ahorro Energético para Dormitorio y Interiores Pequeños</t>
        </is>
      </c>
      <c r="H2446" s="16" t="inlineStr">
        <is>
          <t>1 Pieza</t>
        </is>
      </c>
      <c r="I2446" s="16" t="n">
        <v>3</v>
      </c>
      <c r="J2446" s="17" t="n">
        <v>223.5</v>
      </c>
      <c r="K2446" s="17" t="n">
        <v>232.71</v>
      </c>
      <c r="L2446" s="17" t="n">
        <v>0</v>
      </c>
      <c r="M2446" s="17" t="n">
        <v>0</v>
      </c>
      <c r="N2446" s="17">
        <f>K2446*0.08+L2446*0.08</f>
        <v/>
      </c>
      <c r="O2446" s="17">
        <f>-(K2446*0.025+L2446*0.025)</f>
        <v/>
      </c>
      <c r="P2446" s="17">
        <f>32</f>
        <v/>
      </c>
      <c r="Q2446" s="17">
        <f>J2446+L2446+N2446+O2446-P2446-M2446</f>
        <v/>
      </c>
    </row>
    <row r="2447">
      <c r="A2447" s="16" t="inlineStr">
        <is>
          <t>5.22-5.28</t>
        </is>
      </c>
      <c r="B2447" s="16" t="inlineStr">
        <is>
          <t>PO-128-06568538568311393</t>
        </is>
      </c>
      <c r="C2447" s="16" t="inlineStr">
        <is>
          <t>Delivered</t>
        </is>
      </c>
      <c r="D2447" s="16" t="inlineStr">
        <is>
          <t>128-06568606725751393</t>
        </is>
      </c>
      <c r="E2447" s="16" t="inlineStr">
        <is>
          <t>Delivered</t>
        </is>
      </c>
      <c r="F2447" s="16" t="inlineStr">
        <is>
          <t>TL1412N17C</t>
        </is>
      </c>
      <c r="G2447" s="16" t="inlineStr">
        <is>
          <t>Linkbits, Soporte de Pared Fijo para TV y Monitor de 14"-43", Ultra Delgado 2.3cm, Fuerte Capacidad de Peso de 25KG, Fácil Instalación con Accesorios Completos</t>
        </is>
      </c>
      <c r="H2447" s="16" t="inlineStr">
        <is>
          <t>NEGRO</t>
        </is>
      </c>
      <c r="I2447" s="16" t="n">
        <v>1</v>
      </c>
      <c r="J2447" s="17" t="n">
        <v>37</v>
      </c>
      <c r="K2447" s="17" t="n">
        <v>48.71</v>
      </c>
      <c r="L2447" s="17" t="n">
        <v>25.86</v>
      </c>
      <c r="M2447" s="17" t="n">
        <v>0</v>
      </c>
      <c r="N2447" s="17">
        <f>K2447*0.08+L2447*0.08</f>
        <v/>
      </c>
      <c r="O2447" s="17">
        <f>-(K2447*0.025+L2447*0.025)</f>
        <v/>
      </c>
      <c r="P2447" s="17">
        <f>32</f>
        <v/>
      </c>
      <c r="Q2447" s="17">
        <f>J2447+L2447+N2447+O2447-P2447-M2447</f>
        <v/>
      </c>
    </row>
    <row r="2448">
      <c r="A2448" s="16" t="inlineStr">
        <is>
          <t>5.22-5.28</t>
        </is>
      </c>
      <c r="B2448" s="16" t="inlineStr">
        <is>
          <t>PO-128-06522440719992626</t>
        </is>
      </c>
      <c r="C2448" s="16" t="inlineStr">
        <is>
          <t>Delivered</t>
        </is>
      </c>
      <c r="D2448" s="16" t="inlineStr">
        <is>
          <t>128-06522398776952626</t>
        </is>
      </c>
      <c r="E2448" s="16" t="inlineStr">
        <is>
          <t>Delivered</t>
        </is>
      </c>
      <c r="F2448" s="16" t="inlineStr">
        <is>
          <t>LV54W25</t>
        </is>
      </c>
      <c r="G2448" s="16" t="inlineStr">
        <is>
          <t>TIANLAI Lámpara Ventilador E27 2 en 1, Silenciosa, LED Alta Luminosidad 180°, Instalación Rápida, Ahorro Energético para Dormitorio y Interiores Pequeños</t>
        </is>
      </c>
      <c r="H2448" s="16" t="inlineStr">
        <is>
          <t>1 Pieza</t>
        </is>
      </c>
      <c r="I2448" s="16" t="n">
        <v>1</v>
      </c>
      <c r="J2448" s="17" t="n">
        <v>74.5</v>
      </c>
      <c r="K2448" s="17" t="n">
        <v>77.56999999999999</v>
      </c>
      <c r="L2448" s="17" t="n">
        <v>25.86</v>
      </c>
      <c r="M2448" s="17" t="n">
        <v>0</v>
      </c>
      <c r="N2448" s="17">
        <f>K2448*0.08+L2448*0.08</f>
        <v/>
      </c>
      <c r="O2448" s="17">
        <f>-(K2448*0.025+L2448*0.025)</f>
        <v/>
      </c>
      <c r="P2448" s="17">
        <f>32</f>
        <v/>
      </c>
      <c r="Q2448" s="17">
        <f>J2448+L2448+N2448+O2448-P2448-M2448</f>
        <v/>
      </c>
    </row>
    <row r="2449">
      <c r="A2449" s="16" t="inlineStr">
        <is>
          <t>5.22-5.28</t>
        </is>
      </c>
      <c r="B2449" s="16" t="inlineStr">
        <is>
          <t>PO-128-06829246858870671</t>
        </is>
      </c>
      <c r="C2449" s="16" t="inlineStr">
        <is>
          <t>Delivered</t>
        </is>
      </c>
      <c r="D2449" s="16" t="inlineStr">
        <is>
          <t>128-06829288801910671</t>
        </is>
      </c>
      <c r="E2449" s="16" t="inlineStr">
        <is>
          <t>Delivered</t>
        </is>
      </c>
      <c r="F2449" s="16" t="inlineStr">
        <is>
          <t>LV54W25</t>
        </is>
      </c>
      <c r="G2449" s="16" t="inlineStr">
        <is>
          <t>TIANLAI Lámpara Ventilador E27 2 en 1, Silenciosa, LED Alta Luminosidad 180°, Instalación Rápida, Ahorro Energético para Dormitorio y Interiores Pequeños</t>
        </is>
      </c>
      <c r="H2449" s="16" t="inlineStr">
        <is>
          <t>1 Pieza</t>
        </is>
      </c>
      <c r="I2449" s="16" t="n">
        <v>1</v>
      </c>
      <c r="J2449" s="17" t="n">
        <v>74.5</v>
      </c>
      <c r="K2449" s="17" t="n">
        <v>33.61</v>
      </c>
      <c r="L2449" s="17" t="n">
        <v>25.86</v>
      </c>
      <c r="M2449" s="17" t="n">
        <v>0</v>
      </c>
      <c r="N2449" s="17">
        <f>K2449*0.08+L2449*0.08</f>
        <v/>
      </c>
      <c r="O2449" s="17">
        <f>-(K2449*0.025+L2449*0.025)</f>
        <v/>
      </c>
      <c r="P2449" s="17">
        <f>32</f>
        <v/>
      </c>
      <c r="Q2449" s="17">
        <f>J2449+L2449+N2449+O2449-P2449-M2449</f>
        <v/>
      </c>
    </row>
    <row r="2450">
      <c r="A2450" s="16" t="inlineStr">
        <is>
          <t>5.22-5.28</t>
        </is>
      </c>
      <c r="B2450" s="16" t="inlineStr">
        <is>
          <t>PO-128-06492968714872739</t>
        </is>
      </c>
      <c r="C2450" s="16" t="inlineStr">
        <is>
          <t>Delivered</t>
        </is>
      </c>
      <c r="D2450" s="16" t="inlineStr">
        <is>
          <t>128-06493105029752739</t>
        </is>
      </c>
      <c r="E2450" s="16" t="inlineStr">
        <is>
          <t>Delivered</t>
        </is>
      </c>
      <c r="F2450" s="16" t="inlineStr">
        <is>
          <t>LV54W25</t>
        </is>
      </c>
      <c r="G2450" s="16" t="inlineStr">
        <is>
          <t>TIANLAI Lámpara Ventilador E27 2 en 1, Silenciosa, LED Alta Luminosidad 180°, Instalación Rápida, Ahorro Energético para Dormitorio y Interiores Pequeños</t>
        </is>
      </c>
      <c r="H2450" s="16" t="inlineStr">
        <is>
          <t>1 Pieza</t>
        </is>
      </c>
      <c r="I2450" s="16" t="n">
        <v>3</v>
      </c>
      <c r="J2450" s="17" t="n">
        <v>223.5</v>
      </c>
      <c r="K2450" s="17" t="n">
        <v>232.71</v>
      </c>
      <c r="L2450" s="17" t="n">
        <v>0</v>
      </c>
      <c r="M2450" s="17" t="n">
        <v>0</v>
      </c>
      <c r="N2450" s="17">
        <f>K2450*0.08+L2450*0.08</f>
        <v/>
      </c>
      <c r="O2450" s="17">
        <f>-(K2450*0.025+L2450*0.025)</f>
        <v/>
      </c>
      <c r="P2450" s="17">
        <f>32</f>
        <v/>
      </c>
      <c r="Q2450" s="17">
        <f>J2450+L2450+N2450+O2450-P2450-M2450</f>
        <v/>
      </c>
    </row>
    <row r="2451">
      <c r="A2451" s="16" t="inlineStr">
        <is>
          <t>5.22-5.28</t>
        </is>
      </c>
      <c r="B2451" s="16" t="inlineStr">
        <is>
          <t>PO-128-06465527143032839</t>
        </is>
      </c>
      <c r="C2451" s="16" t="inlineStr">
        <is>
          <t>Delivered</t>
        </is>
      </c>
      <c r="D2451" s="16" t="inlineStr">
        <is>
          <t>128-06465469471352839</t>
        </is>
      </c>
      <c r="E2451" s="16" t="inlineStr">
        <is>
          <t>Delivered</t>
        </is>
      </c>
      <c r="F2451" s="16" t="inlineStr">
        <is>
          <t>LV54W25</t>
        </is>
      </c>
      <c r="G2451" s="16" t="inlineStr">
        <is>
          <t>TIANLAI Lámpara Ventilador E27 2 en 1, Silenciosa, LED Alta Luminosidad 180°, Instalación Rápida, Ahorro Energético para Dormitorio y Interiores Pequeños</t>
        </is>
      </c>
      <c r="H2451" s="16" t="inlineStr">
        <is>
          <t>1 Pieza</t>
        </is>
      </c>
      <c r="I2451" s="16" t="n">
        <v>3</v>
      </c>
      <c r="J2451" s="17" t="n">
        <v>223.5</v>
      </c>
      <c r="K2451" s="17" t="n">
        <v>218.85</v>
      </c>
      <c r="L2451" s="17" t="n">
        <v>0</v>
      </c>
      <c r="M2451" s="17" t="n">
        <v>0</v>
      </c>
      <c r="N2451" s="17">
        <f>K2451*0.08+L2451*0.08</f>
        <v/>
      </c>
      <c r="O2451" s="17">
        <f>-(K2451*0.025+L2451*0.025)</f>
        <v/>
      </c>
      <c r="P2451" s="17">
        <f>32</f>
        <v/>
      </c>
      <c r="Q2451" s="17">
        <f>J2451+L2451+N2451+O2451-P2451-M2451</f>
        <v/>
      </c>
    </row>
    <row r="2452">
      <c r="A2452" s="16" t="inlineStr">
        <is>
          <t>5.22-5.28</t>
        </is>
      </c>
      <c r="B2452" s="16" t="inlineStr">
        <is>
          <t>PO-128-06718292009590498</t>
        </is>
      </c>
      <c r="C2452" s="16" t="inlineStr">
        <is>
          <t>Delivered</t>
        </is>
      </c>
      <c r="D2452" s="16" t="inlineStr">
        <is>
          <t>128-06718396867190498</t>
        </is>
      </c>
      <c r="E2452" s="16" t="inlineStr">
        <is>
          <t>Delivered</t>
        </is>
      </c>
      <c r="F2452" s="16" t="inlineStr">
        <is>
          <t>KTS-2031</t>
        </is>
      </c>
      <c r="G2452" s="16" t="inlineStr">
        <is>
          <t>Bocina inalámbrica de 3 pulgadas con linterna multifuncional y panel solar integrado.Altavoz Portátil con Linterna LED 4 Modos, Radio FM, Bluetooth, Carga Solar, Ideal para Apagones, Emergencias, Campo y Exteriores</t>
        </is>
      </c>
      <c r="H2452" s="16" t="inlineStr">
        <is>
          <t>NEGRO</t>
        </is>
      </c>
      <c r="I2452" s="16" t="n">
        <v>3</v>
      </c>
      <c r="J2452" s="17" t="n">
        <v>270</v>
      </c>
      <c r="K2452" s="17" t="n">
        <v>297.66</v>
      </c>
      <c r="L2452" s="17" t="n">
        <v>0</v>
      </c>
      <c r="M2452" s="17" t="n">
        <v>0</v>
      </c>
      <c r="N2452" s="17">
        <f>K2452*0.08+L2452*0.08</f>
        <v/>
      </c>
      <c r="O2452" s="17">
        <f>-(K2452*0.025+L2452*0.025)</f>
        <v/>
      </c>
      <c r="P2452" s="17">
        <f>32</f>
        <v/>
      </c>
      <c r="Q2452" s="17">
        <f>J2452+L2452+N2452+O2452-P2452-M2452</f>
        <v/>
      </c>
    </row>
    <row r="2453">
      <c r="A2453" s="16" t="inlineStr">
        <is>
          <t>5.22-5.28</t>
        </is>
      </c>
      <c r="B2453" s="16" t="inlineStr">
        <is>
          <t>PO-128-06198940058233530</t>
        </is>
      </c>
      <c r="C2453" s="16" t="inlineStr">
        <is>
          <t>Delivered</t>
        </is>
      </c>
      <c r="D2453" s="16" t="inlineStr">
        <is>
          <t>128-06199008215673530</t>
        </is>
      </c>
      <c r="E2453" s="16" t="inlineStr">
        <is>
          <t>Delivered</t>
        </is>
      </c>
      <c r="F2453" s="16" t="inlineStr">
        <is>
          <t>LV54W25</t>
        </is>
      </c>
      <c r="G2453" s="16" t="inlineStr">
        <is>
          <t>TIANLAI Lámpara Ventilador E27 2 en 1, Silenciosa, LED Alta Luminosidad 180°, Instalación Rápida, Ahorro Energético para Dormitorio y Interiores Pequeños</t>
        </is>
      </c>
      <c r="H2453" s="16" t="inlineStr">
        <is>
          <t>1 Pieza</t>
        </is>
      </c>
      <c r="I2453" s="16" t="n">
        <v>1</v>
      </c>
      <c r="J2453" s="17" t="n">
        <v>74.5</v>
      </c>
      <c r="K2453" s="17" t="n">
        <v>53.17</v>
      </c>
      <c r="L2453" s="17" t="n">
        <v>25.86</v>
      </c>
      <c r="M2453" s="17" t="n">
        <v>0.31</v>
      </c>
      <c r="N2453" s="17">
        <f>K2453*0.08+L2453*0.08</f>
        <v/>
      </c>
      <c r="O2453" s="17">
        <f>-(K2453*0.025+L2453*0.025)</f>
        <v/>
      </c>
      <c r="P2453" s="17">
        <f>32</f>
        <v/>
      </c>
      <c r="Q2453" s="17">
        <f>J2453+L2453+N2453+O2453-P2453-M2453</f>
        <v/>
      </c>
    </row>
    <row r="2454">
      <c r="A2454" s="16" t="inlineStr">
        <is>
          <t>5.22-5.28</t>
        </is>
      </c>
      <c r="B2454" s="16" t="inlineStr">
        <is>
          <t>PO-128-06432387318392138</t>
        </is>
      </c>
      <c r="C2454" s="16" t="inlineStr">
        <is>
          <t>Delivered</t>
        </is>
      </c>
      <c r="D2454" s="16" t="inlineStr">
        <is>
          <t>128-06432400425592138</t>
        </is>
      </c>
      <c r="E2454" s="16" t="inlineStr">
        <is>
          <t>Delivered</t>
        </is>
      </c>
      <c r="F2454" s="16" t="inlineStr">
        <is>
          <t>LV54W25</t>
        </is>
      </c>
      <c r="G2454" s="16" t="inlineStr">
        <is>
          <t>TIANLAI Lámpara Ventilador E27 2 en 1, Silenciosa, LED Alta Luminosidad 180°, Instalación Rápida, Ahorro Energético para Dormitorio y Interiores Pequeños</t>
        </is>
      </c>
      <c r="H2454" s="16" t="inlineStr">
        <is>
          <t>1 Pieza</t>
        </is>
      </c>
      <c r="I2454" s="16" t="n">
        <v>1</v>
      </c>
      <c r="J2454" s="17" t="n">
        <v>74.5</v>
      </c>
      <c r="K2454" s="17" t="n">
        <v>59.56</v>
      </c>
      <c r="L2454" s="17" t="n">
        <v>25.86</v>
      </c>
      <c r="M2454" s="17" t="n">
        <v>0.35</v>
      </c>
      <c r="N2454" s="17">
        <f>K2454*0.08+L2454*0.08</f>
        <v/>
      </c>
      <c r="O2454" s="17">
        <f>-(K2454*0.025+L2454*0.025)</f>
        <v/>
      </c>
      <c r="P2454" s="17">
        <f>32</f>
        <v/>
      </c>
      <c r="Q2454" s="17">
        <f>J2454+L2454+N2454+O2454-P2454-M2454</f>
        <v/>
      </c>
    </row>
    <row r="2455">
      <c r="A2455" s="16" t="inlineStr">
        <is>
          <t>5.22-5.28</t>
        </is>
      </c>
      <c r="B2455" s="16" t="inlineStr">
        <is>
          <t>PO-128-06838394281590678</t>
        </is>
      </c>
      <c r="C2455" s="16" t="inlineStr">
        <is>
          <t>Delivered</t>
        </is>
      </c>
      <c r="D2455" s="16" t="inlineStr">
        <is>
          <t>128-06838455230070678</t>
        </is>
      </c>
      <c r="E2455" s="16" t="inlineStr">
        <is>
          <t>Delivered</t>
        </is>
      </c>
      <c r="F2455" s="16" t="inlineStr">
        <is>
          <t>LV54W25</t>
        </is>
      </c>
      <c r="G2455" s="16" t="inlineStr">
        <is>
          <t>TIANLAI Lámpara Ventilador E27 2 en 1, Silenciosa, LED Alta Luminosidad 180°, Instalación Rápida, Ahorro Energético para Dormitorio y Interiores Pequeños</t>
        </is>
      </c>
      <c r="H2455" s="16" t="inlineStr">
        <is>
          <t>1 Pieza</t>
        </is>
      </c>
      <c r="I2455" s="16" t="n">
        <v>1</v>
      </c>
      <c r="J2455" s="17" t="n">
        <v>74.5</v>
      </c>
      <c r="K2455" s="17" t="n">
        <v>86.18000000000001</v>
      </c>
      <c r="L2455" s="17" t="n">
        <v>25.86</v>
      </c>
      <c r="M2455" s="17" t="n">
        <v>0</v>
      </c>
      <c r="N2455" s="17">
        <f>K2455*0.08+L2455*0.08</f>
        <v/>
      </c>
      <c r="O2455" s="17">
        <f>-(K2455*0.025+L2455*0.025)</f>
        <v/>
      </c>
      <c r="P2455" s="17">
        <f>32</f>
        <v/>
      </c>
      <c r="Q2455" s="17">
        <f>J2455+L2455+N2455+O2455-P2455-M2455</f>
        <v/>
      </c>
    </row>
    <row r="2456">
      <c r="A2456" s="16" t="inlineStr">
        <is>
          <t>5.22-5.28</t>
        </is>
      </c>
      <c r="B2456" s="16" t="inlineStr">
        <is>
          <t>PO-128-06305506959993921</t>
        </is>
      </c>
      <c r="C2456" s="16" t="inlineStr">
        <is>
          <t>Delivered</t>
        </is>
      </c>
      <c r="D2456" s="16" t="inlineStr">
        <is>
          <t>128-06305548780153921</t>
        </is>
      </c>
      <c r="E2456" s="16" t="inlineStr">
        <is>
          <t>Delivered</t>
        </is>
      </c>
      <c r="F2456" s="16" t="inlineStr">
        <is>
          <t>KTS-2031</t>
        </is>
      </c>
      <c r="G2456" s="16" t="inlineStr">
        <is>
          <t>Bocina inalámbrica de 3 pulgadas con linterna multifuncional y panel solar integrado.Altavoz Portátil con Linterna LED 4 Modos, Radio FM, Bluetooth, Carga Solar, Ideal para Apagones, Emergencias, Campo y Exteriores</t>
        </is>
      </c>
      <c r="H2456" s="16" t="inlineStr">
        <is>
          <t>NEGRO</t>
        </is>
      </c>
      <c r="I2456" s="16" t="n">
        <v>3</v>
      </c>
      <c r="J2456" s="17" t="n">
        <v>270</v>
      </c>
      <c r="K2456" s="17" t="n">
        <v>213.18</v>
      </c>
      <c r="L2456" s="17" t="n">
        <v>0</v>
      </c>
      <c r="M2456" s="17" t="n">
        <v>0</v>
      </c>
      <c r="N2456" s="17">
        <f>K2456*0.08+L2456*0.08</f>
        <v/>
      </c>
      <c r="O2456" s="17">
        <f>-(K2456*0.025+L2456*0.025)</f>
        <v/>
      </c>
      <c r="P2456" s="17">
        <f>32</f>
        <v/>
      </c>
      <c r="Q2456" s="17">
        <f>J2456+L2456+N2456+O2456-P2456-M2456</f>
        <v/>
      </c>
    </row>
    <row r="2457">
      <c r="A2457" s="16" t="inlineStr">
        <is>
          <t>5.22-5.28</t>
        </is>
      </c>
      <c r="B2457" s="16" t="inlineStr">
        <is>
          <t>PO-128-06800022415990973</t>
        </is>
      </c>
      <c r="C2457" s="16" t="inlineStr">
        <is>
          <t>Delivered</t>
        </is>
      </c>
      <c r="D2457" s="16" t="inlineStr">
        <is>
          <t>128-06800048630390973</t>
        </is>
      </c>
      <c r="E2457" s="16" t="inlineStr">
        <is>
          <t>Delivered</t>
        </is>
      </c>
      <c r="F2457" s="16" t="inlineStr">
        <is>
          <t>LV54W25</t>
        </is>
      </c>
      <c r="G2457" s="16" t="inlineStr">
        <is>
          <t>TIANLAI Lámpara Ventilador E27 2 en 1, Silenciosa, LED Alta Luminosidad 180°, Instalación Rápida, Ahorro Energético para Dormitorio y Interiores Pequeños</t>
        </is>
      </c>
      <c r="H2457" s="16" t="inlineStr">
        <is>
          <t>1 Pieza</t>
        </is>
      </c>
      <c r="I2457" s="16" t="n">
        <v>1</v>
      </c>
      <c r="J2457" s="17" t="n">
        <v>74.5</v>
      </c>
      <c r="K2457" s="17" t="n">
        <v>76.70999999999999</v>
      </c>
      <c r="L2457" s="17" t="n">
        <v>25.86</v>
      </c>
      <c r="M2457" s="17" t="n">
        <v>0</v>
      </c>
      <c r="N2457" s="17">
        <f>K2457*0.08+L2457*0.08</f>
        <v/>
      </c>
      <c r="O2457" s="17">
        <f>-(K2457*0.025+L2457*0.025)</f>
        <v/>
      </c>
      <c r="P2457" s="17">
        <f>32</f>
        <v/>
      </c>
      <c r="Q2457" s="17">
        <f>J2457+L2457+N2457+O2457-P2457-M2457</f>
        <v/>
      </c>
    </row>
    <row r="2458">
      <c r="A2458" s="16" t="inlineStr">
        <is>
          <t>5.22-5.28</t>
        </is>
      </c>
      <c r="B2458" s="16" t="inlineStr">
        <is>
          <t>PO-128-06362813199992491</t>
        </is>
      </c>
      <c r="C2458" s="16" t="inlineStr">
        <is>
          <t>Delivered</t>
        </is>
      </c>
      <c r="D2458" s="16" t="inlineStr">
        <is>
          <t>128-06362781742712491</t>
        </is>
      </c>
      <c r="E2458" s="16" t="inlineStr">
        <is>
          <t>Delivered</t>
        </is>
      </c>
      <c r="F2458" s="16" t="inlineStr">
        <is>
          <t>KTS-1936</t>
        </is>
      </c>
      <c r="G2458" s="16" t="inlineStr">
        <is>
          <t>Espejo con Luz para Makeup，Espejo con Luz LED y Bocina Bluetooth，Espejo para Maquillaje con Aumentos y Luces LED de Intensidad Ajustable，Lente de Aumento 10X+Reproductor TF+ TWS，espejo de portátil y para estudiantes, oficina, dormitorio, mejor regalo</t>
        </is>
      </c>
      <c r="H2458" s="16" t="inlineStr">
        <is>
          <t>BLANCO</t>
        </is>
      </c>
      <c r="I2458" s="16" t="n">
        <v>1</v>
      </c>
      <c r="J2458" s="17" t="n">
        <v>225</v>
      </c>
      <c r="K2458" s="17" t="n">
        <v>252.84</v>
      </c>
      <c r="L2458" s="17" t="n">
        <v>25.86</v>
      </c>
      <c r="M2458" s="17" t="n">
        <v>0</v>
      </c>
      <c r="N2458" s="17">
        <f>K2458*0.08+L2458*0.08</f>
        <v/>
      </c>
      <c r="O2458" s="17">
        <f>-(K2458*0.025+L2458*0.025)</f>
        <v/>
      </c>
      <c r="P2458" s="17">
        <f>32</f>
        <v/>
      </c>
      <c r="Q2458" s="17">
        <f>J2458+L2458+N2458+O2458-P2458-M2458</f>
        <v/>
      </c>
    </row>
    <row r="2459">
      <c r="A2459" s="16" t="inlineStr">
        <is>
          <t>5.22-5.28</t>
        </is>
      </c>
      <c r="B2459" s="16" t="inlineStr">
        <is>
          <t>PO-128-06557472758391331</t>
        </is>
      </c>
      <c r="C2459" s="16" t="inlineStr">
        <is>
          <t>Delivered</t>
        </is>
      </c>
      <c r="D2459" s="16" t="inlineStr">
        <is>
          <t>128-06557525187191331</t>
        </is>
      </c>
      <c r="E2459" s="16" t="inlineStr">
        <is>
          <t>Delivered</t>
        </is>
      </c>
      <c r="F2459" s="16" t="inlineStr">
        <is>
          <t>TL1455N20B</t>
        </is>
      </c>
      <c r="G2459" s="16" t="inlineStr">
        <is>
          <t>LINK BITS Soporte para TV 14 A 55 Pulgadas, Base para TV Pantalla Articulado Inclinable y Giratorio, MAX VESA 400×400 mm, Soporta hasta 18kg, adaptarse a la mayoría de los televisores de 14 Pulgadas/20 Pulgadas/32 Pulgadas/42 Pulgadas/55 pulgadas</t>
        </is>
      </c>
      <c r="H2459" s="16" t="inlineStr">
        <is>
          <t>TL1455N20B</t>
        </is>
      </c>
      <c r="I2459" s="16" t="n">
        <v>1</v>
      </c>
      <c r="J2459" s="17" t="n">
        <v>75</v>
      </c>
      <c r="K2459" s="17" t="n">
        <v>76.84999999999999</v>
      </c>
      <c r="L2459" s="17" t="n">
        <v>25.86</v>
      </c>
      <c r="M2459" s="17" t="n">
        <v>0.8</v>
      </c>
      <c r="N2459" s="17">
        <f>K2459*0.08+L2459*0.08</f>
        <v/>
      </c>
      <c r="O2459" s="17">
        <f>-(K2459*0.025+L2459*0.025)</f>
        <v/>
      </c>
      <c r="P2459" s="17">
        <f>32</f>
        <v/>
      </c>
      <c r="Q2459" s="17">
        <f>J2459+L2459+N2459+O2459-P2459-M2459</f>
        <v/>
      </c>
    </row>
    <row r="2460">
      <c r="A2460" s="16" t="inlineStr">
        <is>
          <t>5.22-5.28</t>
        </is>
      </c>
      <c r="B2460" s="16" t="inlineStr">
        <is>
          <t>PO-128-06606566277751100</t>
        </is>
      </c>
      <c r="C2460" s="16" t="inlineStr">
        <is>
          <t>Delivered</t>
        </is>
      </c>
      <c r="D2460" s="16" t="inlineStr">
        <is>
          <t>128-06606587249271100</t>
        </is>
      </c>
      <c r="E2460" s="16" t="inlineStr">
        <is>
          <t>Delivered</t>
        </is>
      </c>
      <c r="F2460" s="16" t="inlineStr">
        <is>
          <t>TL1455N20B</t>
        </is>
      </c>
      <c r="G2460" s="16" t="inlineStr">
        <is>
          <t>LINK BITS Soporte para TV 14 A 55 Pulgadas, Base para TV Pantalla Articulado Inclinable y Giratorio, MAX VESA 400×400 mm, Soporta hasta 18kg, adaptarse a la mayoría de los televisores de 14 Pulgadas/20 Pulgadas/32 Pulgadas/42 Pulgadas/55 pulgadas</t>
        </is>
      </c>
      <c r="H2460" s="16" t="inlineStr">
        <is>
          <t>TL1455N20B</t>
        </is>
      </c>
      <c r="I2460" s="16" t="n">
        <v>1</v>
      </c>
      <c r="J2460" s="17" t="n">
        <v>75</v>
      </c>
      <c r="K2460" s="17" t="n">
        <v>96.06</v>
      </c>
      <c r="L2460" s="17" t="n">
        <v>25.86</v>
      </c>
      <c r="M2460" s="17" t="n">
        <v>0</v>
      </c>
      <c r="N2460" s="17">
        <f>K2460*0.08+L2460*0.08</f>
        <v/>
      </c>
      <c r="O2460" s="17">
        <f>-(K2460*0.025+L2460*0.025)</f>
        <v/>
      </c>
      <c r="P2460" s="17">
        <f>32</f>
        <v/>
      </c>
      <c r="Q2460" s="17">
        <f>J2460+L2460+N2460+O2460-P2460-M2460</f>
        <v/>
      </c>
    </row>
    <row r="2461">
      <c r="A2461" s="16" t="inlineStr">
        <is>
          <t>5.22-5.28</t>
        </is>
      </c>
      <c r="B2461" s="16" t="inlineStr">
        <is>
          <t>PO-128-06700040484471633</t>
        </is>
      </c>
      <c r="C2461" s="16" t="inlineStr">
        <is>
          <t>Delivered</t>
        </is>
      </c>
      <c r="D2461" s="16" t="inlineStr">
        <is>
          <t>128-06700092913271633</t>
        </is>
      </c>
      <c r="E2461" s="16" t="inlineStr">
        <is>
          <t>Delivered</t>
        </is>
      </c>
      <c r="F2461" s="16" t="inlineStr">
        <is>
          <t>LV54W25</t>
        </is>
      </c>
      <c r="G2461" s="16" t="inlineStr">
        <is>
          <t>TIANLAI Lámpara Ventilador E27 2 en 1, Silenciosa, LED Alta Luminosidad 180°, Instalación Rápida, Ahorro Energético para Dormitorio y Interiores Pequeños</t>
        </is>
      </c>
      <c r="H2461" s="16" t="inlineStr">
        <is>
          <t>1 Pieza</t>
        </is>
      </c>
      <c r="I2461" s="16" t="n">
        <v>1</v>
      </c>
      <c r="J2461" s="17" t="n">
        <v>74.5</v>
      </c>
      <c r="K2461" s="17" t="n">
        <v>75.23</v>
      </c>
      <c r="L2461" s="17" t="n">
        <v>25.86</v>
      </c>
      <c r="M2461" s="17" t="n">
        <v>0</v>
      </c>
      <c r="N2461" s="17">
        <f>K2461*0.08+L2461*0.08</f>
        <v/>
      </c>
      <c r="O2461" s="17">
        <f>-(K2461*0.025+L2461*0.025)</f>
        <v/>
      </c>
      <c r="P2461" s="17">
        <f>32</f>
        <v/>
      </c>
      <c r="Q2461" s="17">
        <f>J2461+L2461+N2461+O2461-P2461-M2461</f>
        <v/>
      </c>
    </row>
    <row r="2462">
      <c r="A2462" s="16" t="inlineStr">
        <is>
          <t>5.22-5.28</t>
        </is>
      </c>
      <c r="B2462" s="16" t="inlineStr">
        <is>
          <t>PO-128-06585888277111224</t>
        </is>
      </c>
      <c r="C2462" s="16" t="inlineStr">
        <is>
          <t>Delivered</t>
        </is>
      </c>
      <c r="D2462" s="16" t="inlineStr">
        <is>
          <t>128-06585867305591224</t>
        </is>
      </c>
      <c r="E2462" s="16" t="inlineStr">
        <is>
          <t>Delivered</t>
        </is>
      </c>
      <c r="F2462" s="16" t="inlineStr">
        <is>
          <t>LV54W25</t>
        </is>
      </c>
      <c r="G2462" s="16" t="inlineStr">
        <is>
          <t>TIANLAI Lámpara Ventilador E27 2 en 1, Silenciosa, LED Alta Luminosidad 180°, Instalación Rápida, Ahorro Energético para Dormitorio y Interiores Pequeños</t>
        </is>
      </c>
      <c r="H2462" s="16" t="inlineStr">
        <is>
          <t>1 Pieza</t>
        </is>
      </c>
      <c r="I2462" s="16" t="n">
        <v>2</v>
      </c>
      <c r="J2462" s="17" t="n">
        <v>149</v>
      </c>
      <c r="K2462" s="17" t="n">
        <v>155.14</v>
      </c>
      <c r="L2462" s="17" t="n">
        <v>25.86</v>
      </c>
      <c r="M2462" s="17" t="n">
        <v>0</v>
      </c>
      <c r="N2462" s="17">
        <f>K2462*0.08+L2462*0.08</f>
        <v/>
      </c>
      <c r="O2462" s="17">
        <f>-(K2462*0.025+L2462*0.025)</f>
        <v/>
      </c>
      <c r="P2462" s="17">
        <f>32</f>
        <v/>
      </c>
      <c r="Q2462" s="17">
        <f>J2462+L2462+N2462+O2462-P2462-M2462</f>
        <v/>
      </c>
    </row>
    <row r="2463">
      <c r="A2463" s="16" t="inlineStr">
        <is>
          <t>5.22-5.28</t>
        </is>
      </c>
      <c r="B2463" s="16" t="inlineStr">
        <is>
          <t>PO-128-06513353324152616</t>
        </is>
      </c>
      <c r="C2463" s="16" t="inlineStr">
        <is>
          <t>Delivered</t>
        </is>
      </c>
      <c r="D2463" s="16" t="inlineStr">
        <is>
          <t>128-06513405752952616</t>
        </is>
      </c>
      <c r="E2463" s="16" t="inlineStr">
        <is>
          <t>Delivered</t>
        </is>
      </c>
      <c r="F2463" s="16" t="inlineStr">
        <is>
          <t>LV64W25</t>
        </is>
      </c>
      <c r="G24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63" s="16" t="inlineStr">
        <is>
          <t>Blanco</t>
        </is>
      </c>
      <c r="I2463" s="16" t="n">
        <v>2</v>
      </c>
      <c r="J2463" s="17" t="n">
        <v>250</v>
      </c>
      <c r="K2463" s="17" t="n">
        <v>286.52</v>
      </c>
      <c r="L2463" s="17" t="n">
        <v>0</v>
      </c>
      <c r="M2463" s="17" t="n">
        <v>0</v>
      </c>
      <c r="N2463" s="17">
        <f>K2463*0.08+L2463*0.08</f>
        <v/>
      </c>
      <c r="O2463" s="17">
        <f>-(K2463*0.025+L2463*0.025)</f>
        <v/>
      </c>
      <c r="P2463" s="17">
        <f>32</f>
        <v/>
      </c>
      <c r="Q2463" s="17">
        <f>J2463+L2463+N2463+O2463-P2463-M2463</f>
        <v/>
      </c>
    </row>
    <row r="2464">
      <c r="A2464" s="16" t="inlineStr">
        <is>
          <t>5.22-5.28</t>
        </is>
      </c>
      <c r="B2464" s="16" t="inlineStr">
        <is>
          <t>PO-128-06613029627511126</t>
        </is>
      </c>
      <c r="C2464" s="16" t="inlineStr">
        <is>
          <t>Delivered</t>
        </is>
      </c>
      <c r="D2464" s="16" t="inlineStr">
        <is>
          <t>128-06613050599031126</t>
        </is>
      </c>
      <c r="E2464" s="16" t="inlineStr">
        <is>
          <t>Delivered</t>
        </is>
      </c>
      <c r="F2464" s="16" t="inlineStr">
        <is>
          <t>LV64W25</t>
        </is>
      </c>
      <c r="G24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64" s="16" t="inlineStr">
        <is>
          <t>Blanco</t>
        </is>
      </c>
      <c r="I2464" s="16" t="n">
        <v>2</v>
      </c>
      <c r="J2464" s="17" t="n">
        <v>250</v>
      </c>
      <c r="K2464" s="17" t="n">
        <v>286.52</v>
      </c>
      <c r="L2464" s="17" t="n">
        <v>0</v>
      </c>
      <c r="M2464" s="17" t="n">
        <v>0</v>
      </c>
      <c r="N2464" s="17">
        <f>K2464*0.08+L2464*0.08</f>
        <v/>
      </c>
      <c r="O2464" s="17">
        <f>-(K2464*0.025+L2464*0.025)</f>
        <v/>
      </c>
      <c r="P2464" s="17">
        <f>32</f>
        <v/>
      </c>
      <c r="Q2464" s="17">
        <f>J2464+L2464+N2464+O2464-P2464-M2464</f>
        <v/>
      </c>
    </row>
    <row r="2465">
      <c r="A2465" s="16" t="inlineStr">
        <is>
          <t>5.22-5.28</t>
        </is>
      </c>
      <c r="B2465" s="16" t="inlineStr">
        <is>
          <t>PO-128-06389134725752396</t>
        </is>
      </c>
      <c r="C2465" s="16" t="inlineStr">
        <is>
          <t>Delivered</t>
        </is>
      </c>
      <c r="D2465" s="16" t="inlineStr">
        <is>
          <t>128-06389113754232396</t>
        </is>
      </c>
      <c r="E2465" s="16" t="inlineStr">
        <is>
          <t>Delivered</t>
        </is>
      </c>
      <c r="F2465" s="16" t="inlineStr">
        <is>
          <t>LV64W25</t>
        </is>
      </c>
      <c r="G24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65" s="16" t="inlineStr">
        <is>
          <t>Blanco</t>
        </is>
      </c>
      <c r="I2465" s="16" t="n">
        <v>2</v>
      </c>
      <c r="J2465" s="17" t="n">
        <v>250</v>
      </c>
      <c r="K2465" s="17" t="n">
        <v>257.88</v>
      </c>
      <c r="L2465" s="17" t="n">
        <v>0</v>
      </c>
      <c r="M2465" s="17" t="n">
        <v>0</v>
      </c>
      <c r="N2465" s="17">
        <f>K2465*0.08+L2465*0.08</f>
        <v/>
      </c>
      <c r="O2465" s="17">
        <f>-(K2465*0.025+L2465*0.025)</f>
        <v/>
      </c>
      <c r="P2465" s="17">
        <f>32</f>
        <v/>
      </c>
      <c r="Q2465" s="17">
        <f>J2465+L2465+N2465+O2465-P2465-M2465</f>
        <v/>
      </c>
    </row>
    <row r="2466">
      <c r="A2466" s="16" t="inlineStr">
        <is>
          <t>5.22-5.28</t>
        </is>
      </c>
      <c r="B2466" s="16" t="inlineStr">
        <is>
          <t>PO-128-06767313439350014</t>
        </is>
      </c>
      <c r="C2466" s="16" t="inlineStr">
        <is>
          <t>Delivered</t>
        </is>
      </c>
      <c r="D2466" s="16" t="inlineStr">
        <is>
          <t>128-06767355382390014</t>
        </is>
      </c>
      <c r="E2466" s="16" t="inlineStr">
        <is>
          <t>Delivered</t>
        </is>
      </c>
      <c r="F2466" s="16" t="inlineStr">
        <is>
          <t>LV54W25</t>
        </is>
      </c>
      <c r="G2466" s="16" t="inlineStr">
        <is>
          <t>TIANLAI Lámpara Ventilador E27 2 en 1, Silenciosa, LED Alta Luminosidad 180°, Instalación Rápida, Ahorro Energético para Dormitorio y Interiores Pequeños</t>
        </is>
      </c>
      <c r="H2466" s="16" t="inlineStr">
        <is>
          <t>1 Pieza</t>
        </is>
      </c>
      <c r="I2466" s="16" t="n">
        <v>1</v>
      </c>
      <c r="J2466" s="17" t="n">
        <v>74.5</v>
      </c>
      <c r="K2466" s="17" t="n">
        <v>76.70999999999999</v>
      </c>
      <c r="L2466" s="17" t="n">
        <v>25.86</v>
      </c>
      <c r="M2466" s="17" t="n">
        <v>0</v>
      </c>
      <c r="N2466" s="17">
        <f>K2466*0.08+L2466*0.08</f>
        <v/>
      </c>
      <c r="O2466" s="17">
        <f>-(K2466*0.025+L2466*0.025)</f>
        <v/>
      </c>
      <c r="P2466" s="17">
        <f>32</f>
        <v/>
      </c>
      <c r="Q2466" s="17">
        <f>J2466+L2466+N2466+O2466-P2466-M2466</f>
        <v/>
      </c>
    </row>
    <row r="2467">
      <c r="A2467" s="16" t="inlineStr">
        <is>
          <t>5.22-5.28</t>
        </is>
      </c>
      <c r="B2467" s="16" t="inlineStr">
        <is>
          <t>PO-128-06420573379192275</t>
        </is>
      </c>
      <c r="C2467" s="16" t="inlineStr">
        <is>
          <t>Delivered</t>
        </is>
      </c>
      <c r="D2467" s="16" t="inlineStr">
        <is>
          <t>128-06420625807992275</t>
        </is>
      </c>
      <c r="E2467" s="16" t="inlineStr">
        <is>
          <t>Delivered</t>
        </is>
      </c>
      <c r="F2467" s="16" t="inlineStr">
        <is>
          <t>TL1455N20B</t>
        </is>
      </c>
      <c r="G2467" s="16" t="inlineStr">
        <is>
          <t>LINK BITS Soporte para TV 14 A 55 Pulgadas, Base para TV Pantalla Articulado Inclinable y Giratorio, MAX VESA 400×400 mm, Soporta hasta 18kg, adaptarse a la mayoría de los televisores de 14 Pulgadas/20 Pulgadas/32 Pulgadas/42 Pulgadas/55 pulgadas</t>
        </is>
      </c>
      <c r="H2467" s="16" t="inlineStr">
        <is>
          <t>TL1455N20B</t>
        </is>
      </c>
      <c r="I2467" s="16" t="n">
        <v>1</v>
      </c>
      <c r="J2467" s="17" t="n">
        <v>75</v>
      </c>
      <c r="K2467" s="17" t="n">
        <v>96.06</v>
      </c>
      <c r="L2467" s="17" t="n">
        <v>25.86</v>
      </c>
      <c r="M2467" s="17" t="n">
        <v>0</v>
      </c>
      <c r="N2467" s="17">
        <f>K2467*0.08+L2467*0.08</f>
        <v/>
      </c>
      <c r="O2467" s="17">
        <f>-(K2467*0.025+L2467*0.025)</f>
        <v/>
      </c>
      <c r="P2467" s="17">
        <f>32</f>
        <v/>
      </c>
      <c r="Q2467" s="17">
        <f>J2467+L2467+N2467+O2467-P2467-M2467</f>
        <v/>
      </c>
    </row>
    <row r="2468">
      <c r="A2468" s="16" t="inlineStr">
        <is>
          <t>5.22-5.28</t>
        </is>
      </c>
      <c r="B2468" s="16" t="inlineStr">
        <is>
          <t>PO-128-06337011072633605</t>
        </is>
      </c>
      <c r="C2468" s="16" t="inlineStr">
        <is>
          <t>Delivered</t>
        </is>
      </c>
      <c r="D2468" s="16" t="inlineStr">
        <is>
          <t>128-06337045151353605</t>
        </is>
      </c>
      <c r="E2468" s="16" t="inlineStr">
        <is>
          <t>Delivered</t>
        </is>
      </c>
      <c r="F2468" s="16" t="inlineStr">
        <is>
          <t>TL1455N20B</t>
        </is>
      </c>
      <c r="G2468" s="16" t="inlineStr">
        <is>
          <t>LINK BITS Soporte para TV 14 A 55 Pulgadas, Base para TV Pantalla Articulado Inclinable y Giratorio, MAX VESA 400×400 mm, Soporta hasta 18kg, adaptarse a la mayoría de los televisores de 14 Pulgadas/20 Pulgadas/32 Pulgadas/42 Pulgadas/55 pulgadas</t>
        </is>
      </c>
      <c r="H2468" s="16" t="inlineStr">
        <is>
          <t>TL1455N20B</t>
        </is>
      </c>
      <c r="I2468" s="16" t="n">
        <v>1</v>
      </c>
      <c r="J2468" s="17" t="n">
        <v>75</v>
      </c>
      <c r="K2468" s="17" t="n">
        <v>96.06</v>
      </c>
      <c r="L2468" s="17" t="n">
        <v>25.86</v>
      </c>
      <c r="M2468" s="17" t="n">
        <v>0</v>
      </c>
      <c r="N2468" s="17">
        <f>K2468*0.08+L2468*0.08</f>
        <v/>
      </c>
      <c r="O2468" s="17">
        <f>-(K2468*0.025+L2468*0.025)</f>
        <v/>
      </c>
      <c r="P2468" s="17">
        <f>32</f>
        <v/>
      </c>
      <c r="Q2468" s="17">
        <f>J2468+L2468+N2468+O2468-P2468-M2468</f>
        <v/>
      </c>
    </row>
    <row r="2469">
      <c r="A2469" s="16" t="inlineStr">
        <is>
          <t>5.22-5.28</t>
        </is>
      </c>
      <c r="B2469" s="16" t="inlineStr">
        <is>
          <t>PO-128-06685903739511589</t>
        </is>
      </c>
      <c r="C2469" s="16" t="inlineStr">
        <is>
          <t>Delivered</t>
        </is>
      </c>
      <c r="D2469" s="16" t="inlineStr">
        <is>
          <t>128-06685906360951589</t>
        </is>
      </c>
      <c r="E2469" s="16" t="inlineStr">
        <is>
          <t>Delivered</t>
        </is>
      </c>
      <c r="F2469" s="16" t="inlineStr">
        <is>
          <t>LV54W25</t>
        </is>
      </c>
      <c r="G2469" s="16" t="inlineStr">
        <is>
          <t>TIANLAI Lámpara Ventilador E27 2 en 1, Silenciosa, LED Alta Luminosidad 180°, Instalación Rápida, Ahorro Energético para Dormitorio y Interiores Pequeños</t>
        </is>
      </c>
      <c r="H2469" s="16" t="inlineStr">
        <is>
          <t>1 Pieza</t>
        </is>
      </c>
      <c r="I2469" s="16" t="n">
        <v>1</v>
      </c>
      <c r="J2469" s="17" t="n">
        <v>74.5</v>
      </c>
      <c r="K2469" s="17" t="n">
        <v>86.18000000000001</v>
      </c>
      <c r="L2469" s="17" t="n">
        <v>25.86</v>
      </c>
      <c r="M2469" s="17" t="n">
        <v>0</v>
      </c>
      <c r="N2469" s="17">
        <f>K2469*0.08+L2469*0.08</f>
        <v/>
      </c>
      <c r="O2469" s="17">
        <f>-(K2469*0.025+L2469*0.025)</f>
        <v/>
      </c>
      <c r="P2469" s="17">
        <f>32</f>
        <v/>
      </c>
      <c r="Q2469" s="17">
        <f>J2469+L2469+N2469+O2469-P2469-M2469</f>
        <v/>
      </c>
    </row>
    <row r="2470">
      <c r="A2470" s="16" t="inlineStr">
        <is>
          <t>5.22-5.28</t>
        </is>
      </c>
      <c r="B2470" s="16" t="inlineStr">
        <is>
          <t>PO-128-06343814062713626</t>
        </is>
      </c>
      <c r="C2470" s="16" t="inlineStr">
        <is>
          <t>Delivered</t>
        </is>
      </c>
      <c r="D2470" s="16" t="inlineStr">
        <is>
          <t>128-06343824548473626</t>
        </is>
      </c>
      <c r="E2470" s="16" t="inlineStr">
        <is>
          <t>Delivered</t>
        </is>
      </c>
      <c r="F2470" s="16" t="inlineStr">
        <is>
          <t>LV54W25</t>
        </is>
      </c>
      <c r="G2470" s="16" t="inlineStr">
        <is>
          <t>TIANLAI Lámpara Ventilador E27 2 en 1, Silenciosa, LED Alta Luminosidad 180°, Instalación Rápida, Ahorro Energético para Dormitorio y Interiores Pequeños</t>
        </is>
      </c>
      <c r="H2470" s="16" t="inlineStr">
        <is>
          <t>1 Pieza</t>
        </is>
      </c>
      <c r="I2470" s="16" t="n">
        <v>4</v>
      </c>
      <c r="J2470" s="17" t="n">
        <v>298</v>
      </c>
      <c r="K2470" s="17" t="n">
        <v>310.28</v>
      </c>
      <c r="L2470" s="17" t="n">
        <v>0</v>
      </c>
      <c r="M2470" s="17" t="n">
        <v>0</v>
      </c>
      <c r="N2470" s="17">
        <f>K2470*0.08+L2470*0.08</f>
        <v/>
      </c>
      <c r="O2470" s="17">
        <f>-(K2470*0.025+L2470*0.025)</f>
        <v/>
      </c>
      <c r="P2470" s="17">
        <f>32</f>
        <v/>
      </c>
      <c r="Q2470" s="17">
        <f>J2470+L2470+N2470+O2470-P2470-M2470</f>
        <v/>
      </c>
    </row>
    <row r="2471">
      <c r="A2471" s="16" t="inlineStr">
        <is>
          <t>5.22-5.28</t>
        </is>
      </c>
      <c r="B2471" s="16" t="inlineStr">
        <is>
          <t>PO-128-06530981115511425</t>
        </is>
      </c>
      <c r="C2471" s="16" t="inlineStr">
        <is>
          <t>Delivered</t>
        </is>
      </c>
      <c r="D2471" s="16" t="inlineStr">
        <is>
          <t>128-06531002087031425</t>
        </is>
      </c>
      <c r="E2471" s="16" t="inlineStr">
        <is>
          <t>Delivered</t>
        </is>
      </c>
      <c r="F2471" s="16" t="inlineStr">
        <is>
          <t>TL1455N20B</t>
        </is>
      </c>
      <c r="G2471" s="16" t="inlineStr">
        <is>
          <t>LINK BITS Soporte para TV 14 A 55 Pulgadas, Base para TV Pantalla Articulado Inclinable y Giratorio, MAX VESA 400×400 mm, Soporta hasta 18kg, adaptarse a la mayoría de los televisores de 14 Pulgadas/20 Pulgadas/32 Pulgadas/42 Pulgadas/55 pulgadas</t>
        </is>
      </c>
      <c r="H2471" s="16" t="inlineStr">
        <is>
          <t>TL1455N20B</t>
        </is>
      </c>
      <c r="I2471" s="16" t="n">
        <v>1</v>
      </c>
      <c r="J2471" s="17" t="n">
        <v>75</v>
      </c>
      <c r="K2471" s="17" t="n">
        <v>52.96</v>
      </c>
      <c r="L2471" s="17" t="n">
        <v>25.86</v>
      </c>
      <c r="M2471" s="17" t="n">
        <v>0</v>
      </c>
      <c r="N2471" s="17">
        <f>K2471*0.08+L2471*0.08</f>
        <v/>
      </c>
      <c r="O2471" s="17">
        <f>-(K2471*0.025+L2471*0.025)</f>
        <v/>
      </c>
      <c r="P2471" s="17">
        <f>32</f>
        <v/>
      </c>
      <c r="Q2471" s="17">
        <f>J2471+L2471+N2471+O2471-P2471-M2471</f>
        <v/>
      </c>
    </row>
    <row r="2472">
      <c r="A2472" s="16" t="inlineStr">
        <is>
          <t>5.22-5.28</t>
        </is>
      </c>
      <c r="B2472" s="16" t="inlineStr">
        <is>
          <t>PO-128-06791747963510959</t>
        </is>
      </c>
      <c r="C2472" s="16" t="inlineStr">
        <is>
          <t>Delivered</t>
        </is>
      </c>
      <c r="D2472" s="16" t="inlineStr">
        <is>
          <t>128-06791706020470959</t>
        </is>
      </c>
      <c r="E2472" s="16" t="inlineStr">
        <is>
          <t>Delivered</t>
        </is>
      </c>
      <c r="F2472" s="16" t="inlineStr">
        <is>
          <t>LV64W25</t>
        </is>
      </c>
      <c r="G24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72" s="16" t="inlineStr">
        <is>
          <t>Blanco</t>
        </is>
      </c>
      <c r="I2472" s="16" t="n">
        <v>2</v>
      </c>
      <c r="J2472" s="17" t="n">
        <v>250</v>
      </c>
      <c r="K2472" s="17" t="n">
        <v>214.78</v>
      </c>
      <c r="L2472" s="17" t="n">
        <v>0</v>
      </c>
      <c r="M2472" s="17" t="n">
        <v>0</v>
      </c>
      <c r="N2472" s="17">
        <f>K2472*0.08+L2472*0.08</f>
        <v/>
      </c>
      <c r="O2472" s="17">
        <f>-(K2472*0.025+L2472*0.025)</f>
        <v/>
      </c>
      <c r="P2472" s="17">
        <f>32</f>
        <v/>
      </c>
      <c r="Q2472" s="17">
        <f>J2472+L2472+N2472+O2472-P2472-M2472</f>
        <v/>
      </c>
    </row>
    <row r="2473">
      <c r="A2473" s="16" t="inlineStr">
        <is>
          <t>5.22-5.28</t>
        </is>
      </c>
      <c r="B2473" s="16" t="inlineStr">
        <is>
          <t>PO-128-06430565294712087</t>
        </is>
      </c>
      <c r="C2473" s="16" t="inlineStr">
        <is>
          <t>Delivered</t>
        </is>
      </c>
      <c r="D2473" s="16" t="inlineStr">
        <is>
          <t>128-06430586266232087</t>
        </is>
      </c>
      <c r="E2473" s="16" t="inlineStr">
        <is>
          <t>Delivered</t>
        </is>
      </c>
      <c r="F2473" s="16" t="inlineStr">
        <is>
          <t>LV64W25</t>
        </is>
      </c>
      <c r="G24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73" s="16" t="inlineStr">
        <is>
          <t>Blanco</t>
        </is>
      </c>
      <c r="I2473" s="16" t="n">
        <v>2</v>
      </c>
      <c r="J2473" s="17" t="n">
        <v>250</v>
      </c>
      <c r="K2473" s="17" t="n">
        <v>257.88</v>
      </c>
      <c r="L2473" s="17" t="n">
        <v>0</v>
      </c>
      <c r="M2473" s="17" t="n">
        <v>0</v>
      </c>
      <c r="N2473" s="17">
        <f>K2473*0.08+L2473*0.08</f>
        <v/>
      </c>
      <c r="O2473" s="17">
        <f>-(K2473*0.025+L2473*0.025)</f>
        <v/>
      </c>
      <c r="P2473" s="17">
        <f>32</f>
        <v/>
      </c>
      <c r="Q2473" s="17">
        <f>J2473+L2473+N2473+O2473-P2473-M2473</f>
        <v/>
      </c>
    </row>
    <row r="2474">
      <c r="A2474" s="16" t="inlineStr">
        <is>
          <t>5.22-5.28</t>
        </is>
      </c>
      <c r="B2474" s="16" t="inlineStr">
        <is>
          <t>PO-128-06368790764152518</t>
        </is>
      </c>
      <c r="C2474" s="16" t="inlineStr">
        <is>
          <t>Delivered</t>
        </is>
      </c>
      <c r="D2474" s="16" t="inlineStr">
        <is>
          <t>128-06368797317752518</t>
        </is>
      </c>
      <c r="E2474" s="16" t="inlineStr">
        <is>
          <t>Delivered</t>
        </is>
      </c>
      <c r="F2474" s="16" t="inlineStr">
        <is>
          <t>TL1455N20B</t>
        </is>
      </c>
      <c r="G2474" s="16" t="inlineStr">
        <is>
          <t>LINK BITS Soporte para TV 14 A 55 Pulgadas, Base para TV Pantalla Articulado Inclinable y Giratorio, MAX VESA 400×400 mm, Soporta hasta 18kg, adaptarse a la mayoría de los televisores de 14 Pulgadas/20 Pulgadas/32 Pulgadas/42 Pulgadas/55 pulgadas</t>
        </is>
      </c>
      <c r="H2474" s="16" t="inlineStr">
        <is>
          <t>TL1455N20B</t>
        </is>
      </c>
      <c r="I2474" s="16" t="n">
        <v>1</v>
      </c>
      <c r="J2474" s="17" t="n">
        <v>75</v>
      </c>
      <c r="K2474" s="17" t="n">
        <v>96.06</v>
      </c>
      <c r="L2474" s="17" t="n">
        <v>25.86</v>
      </c>
      <c r="M2474" s="17" t="n">
        <v>0</v>
      </c>
      <c r="N2474" s="17">
        <f>K2474*0.08+L2474*0.08</f>
        <v/>
      </c>
      <c r="O2474" s="17">
        <f>-(K2474*0.025+L2474*0.025)</f>
        <v/>
      </c>
      <c r="P2474" s="17">
        <f>32</f>
        <v/>
      </c>
      <c r="Q2474" s="17">
        <f>J2474+L2474+N2474+O2474-P2474-M2474</f>
        <v/>
      </c>
    </row>
    <row r="2475">
      <c r="A2475" s="16" t="inlineStr">
        <is>
          <t>5.22-5.28</t>
        </is>
      </c>
      <c r="B2475" s="16" t="inlineStr">
        <is>
          <t>PO-128-06227943491193231</t>
        </is>
      </c>
      <c r="C2475" s="16" t="inlineStr">
        <is>
          <t>Delivered</t>
        </is>
      </c>
      <c r="D2475" s="16" t="inlineStr">
        <is>
          <t>128-06227901548153231</t>
        </is>
      </c>
      <c r="E2475" s="16" t="inlineStr">
        <is>
          <t>Delivered</t>
        </is>
      </c>
      <c r="F2475" s="16" t="inlineStr">
        <is>
          <t>LV54W25</t>
        </is>
      </c>
      <c r="G2475" s="16" t="inlineStr">
        <is>
          <t>TIANLAI Lámpara Ventilador E27 2 en 1, Silenciosa, LED Alta Luminosidad 180°, Instalación Rápida, Ahorro Energético para Dormitorio y Interiores Pequeños</t>
        </is>
      </c>
      <c r="H2475" s="16" t="inlineStr">
        <is>
          <t>1 Pieza</t>
        </is>
      </c>
      <c r="I2475" s="16" t="n">
        <v>1</v>
      </c>
      <c r="J2475" s="17" t="n">
        <v>74.5</v>
      </c>
      <c r="K2475" s="17" t="n">
        <v>77.56999999999999</v>
      </c>
      <c r="L2475" s="17" t="n">
        <v>25.86</v>
      </c>
      <c r="M2475" s="17" t="n">
        <v>0</v>
      </c>
      <c r="N2475" s="17">
        <f>K2475*0.08+L2475*0.08</f>
        <v/>
      </c>
      <c r="O2475" s="17">
        <f>-(K2475*0.025+L2475*0.025)</f>
        <v/>
      </c>
      <c r="P2475" s="17">
        <f>32</f>
        <v/>
      </c>
      <c r="Q2475" s="17">
        <f>J2475+L2475+N2475+O2475-P2475-M2475</f>
        <v/>
      </c>
    </row>
    <row r="2476">
      <c r="A2476" s="16" t="inlineStr">
        <is>
          <t>5.22-5.28</t>
        </is>
      </c>
      <c r="B2476" s="16" t="inlineStr">
        <is>
          <t>PO-128-06569503155831387</t>
        </is>
      </c>
      <c r="C2476" s="16" t="inlineStr">
        <is>
          <t>Delivered</t>
        </is>
      </c>
      <c r="D2476" s="16" t="inlineStr">
        <is>
          <t>128-06569529370231387</t>
        </is>
      </c>
      <c r="E2476" s="16" t="inlineStr">
        <is>
          <t>Delivered</t>
        </is>
      </c>
      <c r="F2476" s="16" t="inlineStr">
        <is>
          <t>KTS-2031</t>
        </is>
      </c>
      <c r="G2476" s="16" t="inlineStr">
        <is>
          <t>Bocina inalámbrica de 3 pulgadas con linterna multifuncional y panel solar integrado.Altavoz Portátil con Linterna LED 4 Modos, Radio FM, Bluetooth, Carga Solar, Ideal para Apagones, Emergencias, Campo y Exteriores</t>
        </is>
      </c>
      <c r="H2476" s="16" t="inlineStr">
        <is>
          <t>NEGRO</t>
        </is>
      </c>
      <c r="I2476" s="16" t="n">
        <v>1</v>
      </c>
      <c r="J2476" s="17" t="n">
        <v>90</v>
      </c>
      <c r="K2476" s="17" t="n">
        <v>99.22</v>
      </c>
      <c r="L2476" s="17" t="n">
        <v>25.86</v>
      </c>
      <c r="M2476" s="17" t="n">
        <v>0</v>
      </c>
      <c r="N2476" s="17">
        <f>K2476*0.08+L2476*0.08</f>
        <v/>
      </c>
      <c r="O2476" s="17">
        <f>-(K2476*0.025+L2476*0.025)</f>
        <v/>
      </c>
      <c r="P2476" s="17">
        <f>32</f>
        <v/>
      </c>
      <c r="Q2476" s="17">
        <f>J2476+L2476+N2476+O2476-P2476-M2476</f>
        <v/>
      </c>
    </row>
    <row r="2477">
      <c r="A2477" s="16" t="inlineStr">
        <is>
          <t>5.22-5.28</t>
        </is>
      </c>
      <c r="B2477" s="16" t="inlineStr">
        <is>
          <t>PO-128-06851560591990536</t>
        </is>
      </c>
      <c r="C2477" s="16" t="inlineStr">
        <is>
          <t>Delivered</t>
        </is>
      </c>
      <c r="D2477" s="16" t="inlineStr">
        <is>
          <t>128-06851581563510536</t>
        </is>
      </c>
      <c r="E2477" s="16" t="inlineStr">
        <is>
          <t>Delivered</t>
        </is>
      </c>
      <c r="F2477" s="16" t="inlineStr">
        <is>
          <t>BSC07</t>
        </is>
      </c>
      <c r="G2477" s="16" t="inlineStr">
        <is>
          <t>TIANLAI Báscula Digital BSC04/BSC07, Alta Precisión, Fácil Operación, Ligera y Portátil, Función Tara, Unidad Dual oz/g, Ideal para Cocina, Control de Porciones, Sellos y Objetos Pequeños, Uso en Hogar y Viaje</t>
        </is>
      </c>
      <c r="H2477" s="16" t="inlineStr">
        <is>
          <t>1g/White</t>
        </is>
      </c>
      <c r="I2477" s="16" t="n">
        <v>1</v>
      </c>
      <c r="J2477" s="17" t="n">
        <v>38</v>
      </c>
      <c r="K2477" s="17" t="n">
        <v>50.22</v>
      </c>
      <c r="L2477" s="17" t="n">
        <v>25.86</v>
      </c>
      <c r="M2477" s="17" t="n">
        <v>0</v>
      </c>
      <c r="N2477" s="17">
        <f>K2477*0.08+L2477*0.08</f>
        <v/>
      </c>
      <c r="O2477" s="17">
        <f>-(K2477*0.025+L2477*0.025)</f>
        <v/>
      </c>
      <c r="P2477" s="17">
        <f>32</f>
        <v/>
      </c>
      <c r="Q2477" s="17">
        <f>J2477+L2477+N2477+O2477-P2477-M2477</f>
        <v/>
      </c>
    </row>
    <row r="2478">
      <c r="A2478" s="16" t="inlineStr">
        <is>
          <t>5.22-5.28</t>
        </is>
      </c>
      <c r="B2478" s="16" t="inlineStr">
        <is>
          <t>PO-128-06486598129272713</t>
        </is>
      </c>
      <c r="C2478" s="16" t="inlineStr">
        <is>
          <t>Delivered</t>
        </is>
      </c>
      <c r="D2478" s="16" t="inlineStr">
        <is>
          <t>128-06486702986872713</t>
        </is>
      </c>
      <c r="E2478" s="16" t="inlineStr">
        <is>
          <t>Delivered</t>
        </is>
      </c>
      <c r="F2478" s="16" t="inlineStr">
        <is>
          <t>LV64W25</t>
        </is>
      </c>
      <c r="G24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78" s="16" t="inlineStr">
        <is>
          <t>Blanco</t>
        </is>
      </c>
      <c r="I2478" s="16" t="n">
        <v>5</v>
      </c>
      <c r="J2478" s="17" t="n">
        <v>625</v>
      </c>
      <c r="K2478" s="17" t="n">
        <v>644.7</v>
      </c>
      <c r="L2478" s="17" t="n">
        <v>0</v>
      </c>
      <c r="M2478" s="17" t="n">
        <v>0</v>
      </c>
      <c r="N2478" s="17">
        <f>K2478*0.08+L2478*0.08</f>
        <v/>
      </c>
      <c r="O2478" s="17">
        <f>-(K2478*0.025+L2478*0.025)</f>
        <v/>
      </c>
      <c r="P2478" s="17">
        <f>32</f>
        <v/>
      </c>
      <c r="Q2478" s="17">
        <f>J2478+L2478+N2478+O2478-P2478-M2478</f>
        <v/>
      </c>
    </row>
    <row r="2479">
      <c r="A2479" s="16" t="inlineStr">
        <is>
          <t>5.22-5.28</t>
        </is>
      </c>
      <c r="B2479" s="16" t="inlineStr">
        <is>
          <t>PO-128-06814443305590823</t>
        </is>
      </c>
      <c r="C2479" s="16" t="inlineStr">
        <is>
          <t>Delivered</t>
        </is>
      </c>
      <c r="D2479" s="16" t="inlineStr">
        <is>
          <t>128-06814422334070823</t>
        </is>
      </c>
      <c r="E2479" s="16" t="inlineStr">
        <is>
          <t>Delivered</t>
        </is>
      </c>
      <c r="F2479" s="16" t="inlineStr">
        <is>
          <t>TL2663N18C</t>
        </is>
      </c>
      <c r="G2479" s="16" t="inlineStr">
        <is>
          <t>Linkbits，Soporte de pared fijo para televisores de 26"-63", Ultra-Delgado Compatible con VESA 400x400mm, Capacidad de Peso Fuerte de 25KG, Instalación Fácil Sin Electricidad</t>
        </is>
      </c>
      <c r="H2479" s="16" t="inlineStr">
        <is>
          <t>NEGRO</t>
        </is>
      </c>
      <c r="I2479" s="16" t="n">
        <v>1</v>
      </c>
      <c r="J2479" s="17" t="n">
        <v>55.5</v>
      </c>
      <c r="K2479" s="17" t="n">
        <v>70.47</v>
      </c>
      <c r="L2479" s="17" t="n">
        <v>25.86</v>
      </c>
      <c r="M2479" s="17" t="n">
        <v>0</v>
      </c>
      <c r="N2479" s="17">
        <f>K2479*0.08+L2479*0.08</f>
        <v/>
      </c>
      <c r="O2479" s="17">
        <f>-(K2479*0.025+L2479*0.025)</f>
        <v/>
      </c>
      <c r="P2479" s="17">
        <f>32</f>
        <v/>
      </c>
      <c r="Q2479" s="17">
        <f>J2479+L2479+N2479+O2479-P2479-M2479</f>
        <v/>
      </c>
    </row>
    <row r="2480">
      <c r="A2480" s="16" t="inlineStr">
        <is>
          <t>5.22-5.28</t>
        </is>
      </c>
      <c r="B2480" s="16" t="inlineStr">
        <is>
          <t>PO-128-06599436462711081</t>
        </is>
      </c>
      <c r="C2480" s="16" t="inlineStr">
        <is>
          <t>Delivered</t>
        </is>
      </c>
      <c r="D2480" s="16" t="inlineStr">
        <is>
          <t>128-06599355198071081</t>
        </is>
      </c>
      <c r="E2480" s="16" t="inlineStr">
        <is>
          <t>Delivered</t>
        </is>
      </c>
      <c r="F2480" s="16" t="inlineStr">
        <is>
          <t>KTS-2031</t>
        </is>
      </c>
      <c r="G2480" s="16" t="inlineStr">
        <is>
          <t>Bocina inalámbrica de 3 pulgadas con linterna multifuncional y panel solar integrado.Altavoz Portátil con Linterna LED 4 Modos, Radio FM, Bluetooth, Carga Solar, Ideal para Apagones, Emergencias, Campo y Exteriores</t>
        </is>
      </c>
      <c r="H2480" s="16" t="inlineStr">
        <is>
          <t>NEGRO</t>
        </is>
      </c>
      <c r="I2480" s="16" t="n">
        <v>1</v>
      </c>
      <c r="J2480" s="17" t="n">
        <v>90</v>
      </c>
      <c r="K2480" s="17" t="n">
        <v>99.22</v>
      </c>
      <c r="L2480" s="17" t="n">
        <v>25.86</v>
      </c>
      <c r="M2480" s="17" t="n">
        <v>0</v>
      </c>
      <c r="N2480" s="17">
        <f>K2480*0.08+L2480*0.08</f>
        <v/>
      </c>
      <c r="O2480" s="17">
        <f>-(K2480*0.025+L2480*0.025)</f>
        <v/>
      </c>
      <c r="P2480" s="17">
        <f>32</f>
        <v/>
      </c>
      <c r="Q2480" s="17">
        <f>J2480+L2480+N2480+O2480-P2480-M2480</f>
        <v/>
      </c>
    </row>
    <row r="2481">
      <c r="A2481" s="16" t="inlineStr">
        <is>
          <t>5.22-5.28</t>
        </is>
      </c>
      <c r="B2481" s="16" t="inlineStr">
        <is>
          <t>PO-128-06582297175671247</t>
        </is>
      </c>
      <c r="C2481" s="16" t="inlineStr">
        <is>
          <t>Delivered</t>
        </is>
      </c>
      <c r="D2481" s="16" t="inlineStr">
        <is>
          <t>128-06582365333111247</t>
        </is>
      </c>
      <c r="E2481" s="16" t="inlineStr">
        <is>
          <t>Delivered</t>
        </is>
      </c>
      <c r="F2481" s="16" t="inlineStr">
        <is>
          <t>KTS-2031</t>
        </is>
      </c>
      <c r="G2481" s="16" t="inlineStr">
        <is>
          <t>Bocina inalámbrica de 3 pulgadas con linterna multifuncional y panel solar integrado.Altavoz Portátil con Linterna LED 4 Modos, Radio FM, Bluetooth, Carga Solar, Ideal para Apagones, Emergencias, Campo y Exteriores</t>
        </is>
      </c>
      <c r="H2481" s="16" t="inlineStr">
        <is>
          <t>NEGRO</t>
        </is>
      </c>
      <c r="I2481" s="16" t="n">
        <v>2</v>
      </c>
      <c r="J2481" s="17" t="n">
        <v>180</v>
      </c>
      <c r="K2481" s="17" t="n">
        <v>198.44</v>
      </c>
      <c r="L2481" s="17" t="n">
        <v>25.86</v>
      </c>
      <c r="M2481" s="17" t="n">
        <v>0</v>
      </c>
      <c r="N2481" s="17">
        <f>K2481*0.08+L2481*0.08</f>
        <v/>
      </c>
      <c r="O2481" s="17">
        <f>-(K2481*0.025+L2481*0.025)</f>
        <v/>
      </c>
      <c r="P2481" s="17">
        <f>32</f>
        <v/>
      </c>
      <c r="Q2481" s="17">
        <f>J2481+L2481+N2481+O2481-P2481-M2481</f>
        <v/>
      </c>
    </row>
    <row r="2482">
      <c r="A2482" s="16" t="inlineStr">
        <is>
          <t>5.22-5.28</t>
        </is>
      </c>
      <c r="B2482" s="16" t="inlineStr">
        <is>
          <t>PO-128-06216854938233361</t>
        </is>
      </c>
      <c r="C2482" s="16" t="inlineStr">
        <is>
          <t>Delivered</t>
        </is>
      </c>
      <c r="D2482" s="16" t="inlineStr">
        <is>
          <t>128-06216865423993361</t>
        </is>
      </c>
      <c r="E2482" s="16" t="inlineStr">
        <is>
          <t>Delivered</t>
        </is>
      </c>
      <c r="F2482" s="16" t="inlineStr">
        <is>
          <t>KTS-2031</t>
        </is>
      </c>
      <c r="G2482" s="16" t="inlineStr">
        <is>
          <t>Bocina inalámbrica de 3 pulgadas con linterna multifuncional y panel solar integrado.Altavoz Portátil con Linterna LED 4 Modos, Radio FM, Bluetooth, Carga Solar, Ideal para Apagones, Emergencias, Campo y Exteriores</t>
        </is>
      </c>
      <c r="H2482" s="16" t="inlineStr">
        <is>
          <t>NEGRO</t>
        </is>
      </c>
      <c r="I2482" s="16" t="n">
        <v>1</v>
      </c>
      <c r="J2482" s="17" t="n">
        <v>90</v>
      </c>
      <c r="K2482" s="17" t="n">
        <v>99.22</v>
      </c>
      <c r="L2482" s="17" t="n">
        <v>25.86</v>
      </c>
      <c r="M2482" s="17" t="n">
        <v>0</v>
      </c>
      <c r="N2482" s="17">
        <f>K2482*0.08+L2482*0.08</f>
        <v/>
      </c>
      <c r="O2482" s="17">
        <f>-(K2482*0.025+L2482*0.025)</f>
        <v/>
      </c>
      <c r="P2482" s="17">
        <f>32</f>
        <v/>
      </c>
      <c r="Q2482" s="17">
        <f>J2482+L2482+N2482+O2482-P2482-M2482</f>
        <v/>
      </c>
    </row>
    <row r="2483">
      <c r="A2483" s="16" t="inlineStr">
        <is>
          <t>5.22-5.28</t>
        </is>
      </c>
      <c r="B2483" s="16" t="inlineStr">
        <is>
          <t>PO-128-06204004542073564</t>
        </is>
      </c>
      <c r="C2483" s="16" t="inlineStr">
        <is>
          <t>Delivered</t>
        </is>
      </c>
      <c r="D2483" s="16" t="inlineStr">
        <is>
          <t>128-06204035999353564</t>
        </is>
      </c>
      <c r="E2483" s="16" t="inlineStr">
        <is>
          <t>Delivered</t>
        </is>
      </c>
      <c r="F2483" s="16" t="inlineStr">
        <is>
          <t>KTS-2031</t>
        </is>
      </c>
      <c r="G2483" s="16" t="inlineStr">
        <is>
          <t>Bocina inalámbrica de 3 pulgadas con linterna multifuncional y panel solar integrado.Altavoz Portátil con Linterna LED 4 Modos, Radio FM, Bluetooth, Carga Solar, Ideal para Apagones, Emergencias, Campo y Exteriores</t>
        </is>
      </c>
      <c r="H2483" s="16" t="inlineStr">
        <is>
          <t>NEGRO</t>
        </is>
      </c>
      <c r="I2483" s="16" t="n">
        <v>1</v>
      </c>
      <c r="J2483" s="17" t="n">
        <v>90</v>
      </c>
      <c r="K2483" s="17" t="n">
        <v>99.22</v>
      </c>
      <c r="L2483" s="17" t="n">
        <v>25.86</v>
      </c>
      <c r="M2483" s="17" t="n">
        <v>0</v>
      </c>
      <c r="N2483" s="17">
        <f>K2483*0.08+L2483*0.08</f>
        <v/>
      </c>
      <c r="O2483" s="17">
        <f>-(K2483*0.025+L2483*0.025)</f>
        <v/>
      </c>
      <c r="P2483" s="17">
        <f>32</f>
        <v/>
      </c>
      <c r="Q2483" s="17">
        <f>J2483+L2483+N2483+O2483-P2483-M2483</f>
        <v/>
      </c>
    </row>
    <row r="2484">
      <c r="A2484" s="16" t="inlineStr">
        <is>
          <t>5.22-5.28</t>
        </is>
      </c>
      <c r="B2484" s="16" t="inlineStr">
        <is>
          <t>PO-128-06651011569271861</t>
        </is>
      </c>
      <c r="C2484" s="16" t="inlineStr">
        <is>
          <t>Delivered</t>
        </is>
      </c>
      <c r="D2484" s="16" t="inlineStr">
        <is>
          <t>128-06651147884151861</t>
        </is>
      </c>
      <c r="E2484" s="16" t="inlineStr">
        <is>
          <t>Delivered</t>
        </is>
      </c>
      <c r="F2484" s="16" t="inlineStr">
        <is>
          <t>LV64W25</t>
        </is>
      </c>
      <c r="G24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484" s="16" t="inlineStr">
        <is>
          <t>Blanco</t>
        </is>
      </c>
      <c r="I2484" s="16" t="n">
        <v>1</v>
      </c>
      <c r="J2484" s="17" t="n">
        <v>125</v>
      </c>
      <c r="K2484" s="17" t="n">
        <v>85.84</v>
      </c>
      <c r="L2484" s="17" t="n">
        <v>25.86</v>
      </c>
      <c r="M2484" s="17" t="n">
        <v>0</v>
      </c>
      <c r="N2484" s="17">
        <f>K2484*0.08+L2484*0.08</f>
        <v/>
      </c>
      <c r="O2484" s="17">
        <f>-(K2484*0.025+L2484*0.025)</f>
        <v/>
      </c>
      <c r="P2484" s="17">
        <f>32</f>
        <v/>
      </c>
      <c r="Q2484" s="17">
        <f>J2484+L2484+N2484+O2484-P2484-M2484</f>
        <v/>
      </c>
    </row>
    <row r="2485">
      <c r="A2485" s="16" t="inlineStr">
        <is>
          <t>5.22-5.28</t>
        </is>
      </c>
      <c r="B2485" s="16" t="inlineStr">
        <is>
          <t>PO-128-06706815222390441</t>
        </is>
      </c>
      <c r="C2485" s="16" t="inlineStr">
        <is>
          <t>Delivered</t>
        </is>
      </c>
      <c r="D2485" s="16" t="inlineStr">
        <is>
          <t>128-06706836193910441</t>
        </is>
      </c>
      <c r="E2485" s="16" t="inlineStr">
        <is>
          <t>Delivered</t>
        </is>
      </c>
      <c r="F2485" s="16" t="inlineStr">
        <is>
          <t>BG-115-B</t>
        </is>
      </c>
      <c r="G2485" s="16" t="inlineStr">
        <is>
          <t>LINK BITS Audífonos Inalámbricos con Luces Multicolor, Recargables y en Adorable Forma de Orejas de Gato - Conecta a Celulares y PCs, Tiene Radio FM, Tarjeta TF y AUX - 7 Horas de Reproducción, Plegables y Perfectos para Trabajo, Juegos y Estudio</t>
        </is>
      </c>
      <c r="H2485" s="16" t="inlineStr">
        <is>
          <t>blanco</t>
        </is>
      </c>
      <c r="I2485" s="16" t="n">
        <v>1</v>
      </c>
      <c r="J2485" s="17" t="n">
        <v>78</v>
      </c>
      <c r="K2485" s="17" t="n">
        <v>5.96</v>
      </c>
      <c r="L2485" s="17" t="n">
        <v>25.86</v>
      </c>
      <c r="M2485" s="17" t="n">
        <v>0</v>
      </c>
      <c r="N2485" s="17">
        <f>K2485*0.08+L2485*0.08</f>
        <v/>
      </c>
      <c r="O2485" s="17">
        <f>-(K2485*0.025+L2485*0.025)</f>
        <v/>
      </c>
      <c r="P2485" s="17">
        <f>32</f>
        <v/>
      </c>
      <c r="Q2485" s="17">
        <f>J2485+L2485+N2485+O2485-P2485-M2485</f>
        <v/>
      </c>
    </row>
    <row r="2486">
      <c r="A2486" s="16" t="inlineStr">
        <is>
          <t>5.22-5.28</t>
        </is>
      </c>
      <c r="B2486" s="16" t="inlineStr">
        <is>
          <t>PO-128-06650293294711864</t>
        </is>
      </c>
      <c r="C2486" s="16" t="inlineStr">
        <is>
          <t>Delivered</t>
        </is>
      </c>
      <c r="D2486" s="16" t="inlineStr">
        <is>
          <t>128-06650251351671864</t>
        </is>
      </c>
      <c r="E2486" s="16" t="inlineStr">
        <is>
          <t>Delivered</t>
        </is>
      </c>
      <c r="F2486" s="16" t="inlineStr">
        <is>
          <t>TL1455N20B</t>
        </is>
      </c>
      <c r="G2486" s="16" t="inlineStr">
        <is>
          <t>LINK BITS Soporte para TV 14 A 55 Pulgadas, Base para TV Pantalla Articulado Inclinable y Giratorio, MAX VESA 400×400 mm, Soporta hasta 18kg, adaptarse a la mayoría de los televisores de 14 Pulgadas/20 Pulgadas/32 Pulgadas/42 Pulgadas/55 pulgadas</t>
        </is>
      </c>
      <c r="H2486" s="16" t="inlineStr">
        <is>
          <t>TL1455N20B</t>
        </is>
      </c>
      <c r="I2486" s="16" t="n">
        <v>1</v>
      </c>
      <c r="J2486" s="17" t="n">
        <v>75</v>
      </c>
      <c r="K2486" s="17" t="n">
        <v>96.06</v>
      </c>
      <c r="L2486" s="17" t="n">
        <v>25.86</v>
      </c>
      <c r="M2486" s="17" t="n">
        <v>0</v>
      </c>
      <c r="N2486" s="17">
        <f>K2486*0.08+L2486*0.08</f>
        <v/>
      </c>
      <c r="O2486" s="17">
        <f>-(K2486*0.025+L2486*0.025)</f>
        <v/>
      </c>
      <c r="P2486" s="17">
        <f>32</f>
        <v/>
      </c>
      <c r="Q2486" s="17">
        <f>J2486+L2486+N2486+O2486-P2486-M2486</f>
        <v/>
      </c>
    </row>
    <row r="2487">
      <c r="A2487" s="16" t="inlineStr">
        <is>
          <t>5.22-5.28</t>
        </is>
      </c>
      <c r="B2487" s="16" t="inlineStr">
        <is>
          <t>PO-128-06722965775990281</t>
        </is>
      </c>
      <c r="C2487" s="16" t="inlineStr">
        <is>
          <t>Delivered</t>
        </is>
      </c>
      <c r="D2487" s="16" t="inlineStr">
        <is>
          <t>128-06722923832950281</t>
        </is>
      </c>
      <c r="E2487" s="16" t="inlineStr">
        <is>
          <t>Delivered</t>
        </is>
      </c>
      <c r="F2487" s="16" t="inlineStr">
        <is>
          <t>LV54W25</t>
        </is>
      </c>
      <c r="G2487" s="16" t="inlineStr">
        <is>
          <t>TIANLAI Lámpara Ventilador E27 2 en 1, Silenciosa, LED Alta Luminosidad 180°, Instalación Rápida, Ahorro Energético para Dormitorio y Interiores Pequeños</t>
        </is>
      </c>
      <c r="H2487" s="16" t="inlineStr">
        <is>
          <t>1 Pieza</t>
        </is>
      </c>
      <c r="I2487" s="16" t="n">
        <v>4</v>
      </c>
      <c r="J2487" s="17" t="n">
        <v>298</v>
      </c>
      <c r="K2487" s="17" t="n">
        <v>344.72</v>
      </c>
      <c r="L2487" s="17" t="n">
        <v>0</v>
      </c>
      <c r="M2487" s="17" t="n">
        <v>0</v>
      </c>
      <c r="N2487" s="17">
        <f>K2487*0.08+L2487*0.08</f>
        <v/>
      </c>
      <c r="O2487" s="17">
        <f>-(K2487*0.025+L2487*0.025)</f>
        <v/>
      </c>
      <c r="P2487" s="17">
        <f>32</f>
        <v/>
      </c>
      <c r="Q2487" s="17">
        <f>J2487+L2487+N2487+O2487-P2487-M2487</f>
        <v/>
      </c>
    </row>
    <row r="2488">
      <c r="A2488" s="16" t="inlineStr">
        <is>
          <t>5.22-5.28</t>
        </is>
      </c>
      <c r="B2488" s="16" t="inlineStr">
        <is>
          <t>PO-128-06250765829753095</t>
        </is>
      </c>
      <c r="C2488" s="16" t="inlineStr">
        <is>
          <t>Delivered</t>
        </is>
      </c>
      <c r="D2488" s="16" t="inlineStr">
        <is>
          <t>128-06250807772793095</t>
        </is>
      </c>
      <c r="E2488" s="16" t="inlineStr">
        <is>
          <t>Delivered</t>
        </is>
      </c>
      <c r="F2488" s="16" t="inlineStr">
        <is>
          <t>VB349T</t>
        </is>
      </c>
      <c r="G2488" s="16" t="inlineStr">
        <is>
          <t>LINKBITS Altavoz Portátil de Doble Altavoz - 3 Pulgadas, Sonido HD, Emparejamiento Rápido de Bluetooth, Conectividad TWS, Reproducción Multimodo (Micro SD/USB/Radio FM) - Perfecto para Oficina, Viajes y Espacios Pequeños</t>
        </is>
      </c>
      <c r="H2488" s="16" t="inlineStr">
        <is>
          <t>NEGRO</t>
        </is>
      </c>
      <c r="I2488" s="16" t="n">
        <v>1</v>
      </c>
      <c r="J2488" s="17" t="n">
        <v>81</v>
      </c>
      <c r="K2488" s="17" t="n">
        <v>8.050000000000001</v>
      </c>
      <c r="L2488" s="17" t="n">
        <v>25.86</v>
      </c>
      <c r="M2488" s="17" t="n">
        <v>0</v>
      </c>
      <c r="N2488" s="17">
        <f>K2488*0.08+L2488*0.08</f>
        <v/>
      </c>
      <c r="O2488" s="17">
        <f>-(K2488*0.025+L2488*0.025)</f>
        <v/>
      </c>
      <c r="P2488" s="17">
        <f>32</f>
        <v/>
      </c>
      <c r="Q2488" s="17">
        <f>J2488+L2488+N2488+O2488-P2488-M2488</f>
        <v/>
      </c>
    </row>
    <row r="2489">
      <c r="A2489" s="16" t="inlineStr">
        <is>
          <t>5.22-5.28</t>
        </is>
      </c>
      <c r="B2489" s="16" t="inlineStr">
        <is>
          <t>PO-128-06200115794553525</t>
        </is>
      </c>
      <c r="C2489" s="16" t="inlineStr">
        <is>
          <t>Delivered</t>
        </is>
      </c>
      <c r="D2489" s="16" t="inlineStr">
        <is>
          <t>128-06200168223353525</t>
        </is>
      </c>
      <c r="E2489" s="16" t="inlineStr">
        <is>
          <t>Delivered</t>
        </is>
      </c>
      <c r="F2489" s="16" t="inlineStr">
        <is>
          <t>LV54W25</t>
        </is>
      </c>
      <c r="G2489" s="16" t="inlineStr">
        <is>
          <t>TIANLAI Lámpara Ventilador E27 2 en 1, Silenciosa, LED Alta Luminosidad 180°, Instalación Rápida, Ahorro Energético para Dormitorio y Interiores Pequeños</t>
        </is>
      </c>
      <c r="H2489" s="16" t="inlineStr">
        <is>
          <t>1 Pieza</t>
        </is>
      </c>
      <c r="I2489" s="16" t="n">
        <v>1</v>
      </c>
      <c r="J2489" s="17" t="n">
        <v>78</v>
      </c>
      <c r="K2489" s="17" t="n">
        <v>82.51000000000001</v>
      </c>
      <c r="L2489" s="17" t="n">
        <v>25.86</v>
      </c>
      <c r="M2489" s="17" t="n">
        <v>0</v>
      </c>
      <c r="N2489" s="17">
        <f>K2489*0.08+L2489*0.08</f>
        <v/>
      </c>
      <c r="O2489" s="17">
        <f>-(K2489*0.025+L2489*0.025)</f>
        <v/>
      </c>
      <c r="P2489" s="17">
        <f>32</f>
        <v/>
      </c>
      <c r="Q2489" s="17">
        <f>J2489+L2489+N2489+O2489-P2489-M2489</f>
        <v/>
      </c>
    </row>
    <row r="2490">
      <c r="A2490" s="16" t="inlineStr">
        <is>
          <t>5.22-5.28</t>
        </is>
      </c>
      <c r="B2490" s="16" t="inlineStr">
        <is>
          <t>PO-128-06624426337911954</t>
        </is>
      </c>
      <c r="C2490" s="16" t="inlineStr">
        <is>
          <t>Delivered</t>
        </is>
      </c>
      <c r="D2490" s="16" t="inlineStr">
        <is>
          <t>128-06624447309431954</t>
        </is>
      </c>
      <c r="E2490" s="16" t="inlineStr">
        <is>
          <t>Delivered</t>
        </is>
      </c>
      <c r="F2490" s="16" t="inlineStr">
        <is>
          <t>LV54W25</t>
        </is>
      </c>
      <c r="G2490" s="16" t="inlineStr">
        <is>
          <t>TIANLAI Lámpara Ventilador E27 2 en 1, Silenciosa, LED Alta Luminosidad 180°, Instalación Rápida, Ahorro Energético para Dormitorio y Interiores Pequeños</t>
        </is>
      </c>
      <c r="H2490" s="16" t="inlineStr">
        <is>
          <t>1 Pieza</t>
        </is>
      </c>
      <c r="I2490" s="16" t="n">
        <v>1</v>
      </c>
      <c r="J2490" s="17" t="n">
        <v>78</v>
      </c>
      <c r="K2490" s="17" t="n">
        <v>80.70999999999999</v>
      </c>
      <c r="L2490" s="17" t="n">
        <v>25.86</v>
      </c>
      <c r="M2490" s="17" t="n">
        <v>0</v>
      </c>
      <c r="N2490" s="17">
        <f>K2490*0.08+L2490*0.08</f>
        <v/>
      </c>
      <c r="O2490" s="17">
        <f>-(K2490*0.025+L2490*0.025)</f>
        <v/>
      </c>
      <c r="P2490" s="17">
        <f>32</f>
        <v/>
      </c>
      <c r="Q2490" s="17">
        <f>J2490+L2490+N2490+O2490-P2490-M2490</f>
        <v/>
      </c>
    </row>
    <row r="2491">
      <c r="A2491" s="16" t="inlineStr">
        <is>
          <t>5.22-5.28</t>
        </is>
      </c>
      <c r="B2491" s="16" t="inlineStr">
        <is>
          <t>PO-128-06654990705271900</t>
        </is>
      </c>
      <c r="C2491" s="16" t="inlineStr">
        <is>
          <t>Delivered</t>
        </is>
      </c>
      <c r="D2491" s="16" t="inlineStr">
        <is>
          <t>128-06654948762231900</t>
        </is>
      </c>
      <c r="E2491" s="16" t="inlineStr">
        <is>
          <t>Delivered</t>
        </is>
      </c>
      <c r="F2491" s="16" t="inlineStr">
        <is>
          <t>KTS-2031</t>
        </is>
      </c>
      <c r="G2491" s="16" t="inlineStr">
        <is>
          <t>Bocina inalámbrica de 3 pulgadas con linterna multifuncional y panel solar integrado.Altavoz Portátil con Linterna LED 4 Modos, Radio FM, Bluetooth, Carga Solar, Ideal para Apagones, Emergencias, Campo y Exteriores</t>
        </is>
      </c>
      <c r="H2491" s="16" t="inlineStr">
        <is>
          <t>NEGRO</t>
        </is>
      </c>
      <c r="I2491" s="16" t="n">
        <v>1</v>
      </c>
      <c r="J2491" s="17" t="n">
        <v>90</v>
      </c>
      <c r="K2491" s="17" t="n">
        <v>13.01</v>
      </c>
      <c r="L2491" s="17" t="n">
        <v>25.86</v>
      </c>
      <c r="M2491" s="17" t="n">
        <v>0</v>
      </c>
      <c r="N2491" s="17">
        <f>K2491*0.08+L2491*0.08</f>
        <v/>
      </c>
      <c r="O2491" s="17">
        <f>-(K2491*0.025+L2491*0.025)</f>
        <v/>
      </c>
      <c r="P2491" s="17">
        <f>32</f>
        <v/>
      </c>
      <c r="Q2491" s="17">
        <f>J2491+L2491+N2491+O2491-P2491-M2491</f>
        <v/>
      </c>
    </row>
    <row r="2492">
      <c r="A2492" s="16" t="inlineStr">
        <is>
          <t>5.22-5.28</t>
        </is>
      </c>
      <c r="B2492" s="16" t="inlineStr">
        <is>
          <t>PO-128-06229969357433219</t>
        </is>
      </c>
      <c r="C2492" s="16" t="inlineStr">
        <is>
          <t>Delivered</t>
        </is>
      </c>
      <c r="D2492" s="16" t="inlineStr">
        <is>
          <t>128-06230007368313219</t>
        </is>
      </c>
      <c r="E2492" s="16" t="inlineStr">
        <is>
          <t>Delivered</t>
        </is>
      </c>
      <c r="F2492" s="16" t="inlineStr">
        <is>
          <t>KTS-2031</t>
        </is>
      </c>
      <c r="G2492" s="16" t="inlineStr">
        <is>
          <t>Bocina inalámbrica de 3 pulgadas con linterna multifuncional y panel solar integrado.Altavoz Portátil con Linterna LED 4 Modos, Radio FM, Bluetooth, Carga Solar, Ideal para Apagones, Emergencias, Campo y Exteriores</t>
        </is>
      </c>
      <c r="H2492" s="16" t="inlineStr">
        <is>
          <t>NEGRO</t>
        </is>
      </c>
      <c r="I2492" s="16" t="n">
        <v>1</v>
      </c>
      <c r="J2492" s="17" t="n">
        <v>90</v>
      </c>
      <c r="K2492" s="17" t="n">
        <v>90.73</v>
      </c>
      <c r="L2492" s="17" t="n">
        <v>25.86</v>
      </c>
      <c r="M2492" s="17" t="n">
        <v>0</v>
      </c>
      <c r="N2492" s="17">
        <f>K2492*0.08+L2492*0.08</f>
        <v/>
      </c>
      <c r="O2492" s="17">
        <f>-(K2492*0.025+L2492*0.025)</f>
        <v/>
      </c>
      <c r="P2492" s="17">
        <f>32</f>
        <v/>
      </c>
      <c r="Q2492" s="17">
        <f>J2492+L2492+N2492+O2492-P2492-M2492</f>
        <v/>
      </c>
    </row>
    <row r="2493">
      <c r="A2493" s="16" t="inlineStr">
        <is>
          <t>5.22-5.28</t>
        </is>
      </c>
      <c r="B2493" s="16" t="inlineStr">
        <is>
          <t>PO-128-06428119352952100</t>
        </is>
      </c>
      <c r="C2493" s="16" t="inlineStr">
        <is>
          <t>Delivered</t>
        </is>
      </c>
      <c r="D2493" s="16" t="inlineStr">
        <is>
          <t>128-06428171781752100</t>
        </is>
      </c>
      <c r="E2493" s="16" t="inlineStr">
        <is>
          <t>Delivered</t>
        </is>
      </c>
      <c r="F2493" s="16" t="inlineStr">
        <is>
          <t>LV54W25</t>
        </is>
      </c>
      <c r="G2493" s="16" t="inlineStr">
        <is>
          <t>TIANLAI Lámpara Ventilador E27 2 en 1, Silenciosa, LED Alta Luminosidad 180°, Instalación Rápida, Ahorro Energético para Dormitorio y Interiores Pequeños</t>
        </is>
      </c>
      <c r="H2493" s="16" t="inlineStr">
        <is>
          <t>1 Pieza</t>
        </is>
      </c>
      <c r="I2493" s="16" t="n">
        <v>2</v>
      </c>
      <c r="J2493" s="17" t="n">
        <v>156</v>
      </c>
      <c r="K2493" s="17" t="n">
        <v>161.42</v>
      </c>
      <c r="L2493" s="17" t="n">
        <v>25.86</v>
      </c>
      <c r="M2493" s="17" t="n">
        <v>0</v>
      </c>
      <c r="N2493" s="17">
        <f>K2493*0.08+L2493*0.08</f>
        <v/>
      </c>
      <c r="O2493" s="17">
        <f>-(K2493*0.025+L2493*0.025)</f>
        <v/>
      </c>
      <c r="P2493" s="17">
        <f>32</f>
        <v/>
      </c>
      <c r="Q2493" s="17">
        <f>J2493+L2493+N2493+O2493-P2493-M2493</f>
        <v/>
      </c>
    </row>
    <row r="2494">
      <c r="A2494" s="16" t="inlineStr">
        <is>
          <t>5.22-5.28</t>
        </is>
      </c>
      <c r="B2494" s="16" t="inlineStr">
        <is>
          <t>PO-128-06720811090550485</t>
        </is>
      </c>
      <c r="C2494" s="16" t="inlineStr">
        <is>
          <t>Delivered</t>
        </is>
      </c>
      <c r="D2494" s="16" t="inlineStr">
        <is>
          <t>128-06720824197750485</t>
        </is>
      </c>
      <c r="E2494" s="16" t="inlineStr">
        <is>
          <t>Delivered</t>
        </is>
      </c>
      <c r="F2494" s="16" t="inlineStr">
        <is>
          <t>B03W10-10PZS</t>
        </is>
      </c>
      <c r="G249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494" s="16" t="inlineStr">
        <is>
          <t>B03W10</t>
        </is>
      </c>
      <c r="I2494" s="16" t="n">
        <v>1</v>
      </c>
      <c r="J2494" s="17" t="n">
        <v>77</v>
      </c>
      <c r="K2494" s="17" t="n">
        <v>89.94</v>
      </c>
      <c r="L2494" s="17" t="n">
        <v>25.86</v>
      </c>
      <c r="M2494" s="17" t="n">
        <v>0</v>
      </c>
      <c r="N2494" s="17">
        <f>K2494*0.08+L2494*0.08</f>
        <v/>
      </c>
      <c r="O2494" s="17">
        <f>-(K2494*0.025+L2494*0.025)</f>
        <v/>
      </c>
      <c r="P2494" s="17">
        <f>32</f>
        <v/>
      </c>
      <c r="Q2494" s="17">
        <f>J2494+L2494+N2494+O2494-P2494-M2494</f>
        <v/>
      </c>
    </row>
    <row r="2495">
      <c r="A2495" s="16" t="inlineStr">
        <is>
          <t>5.22-5.28</t>
        </is>
      </c>
      <c r="B2495" s="16" t="inlineStr">
        <is>
          <t>PO-128-06545546261111528</t>
        </is>
      </c>
      <c r="C2495" s="16" t="inlineStr">
        <is>
          <t>Delivered</t>
        </is>
      </c>
      <c r="D2495" s="16" t="inlineStr">
        <is>
          <t>128-06545541018231528</t>
        </is>
      </c>
      <c r="E2495" s="16" t="inlineStr">
        <is>
          <t>Delivered</t>
        </is>
      </c>
      <c r="F2495" s="16" t="inlineStr">
        <is>
          <t>i12-V</t>
        </is>
      </c>
      <c r="G2495" s="16" t="inlineStr">
        <is>
          <t>Auriculares Inalámbricos TWS - Ideales para Usuarios Android e iPhone, Entusiastas del Deporte &amp; Música, Controles Táctiles, Audífonos Para Correr y Jugar</t>
        </is>
      </c>
      <c r="H2495" s="16" t="inlineStr">
        <is>
          <t>VERDE</t>
        </is>
      </c>
      <c r="I2495" s="16" t="n">
        <v>2</v>
      </c>
      <c r="J2495" s="17" t="n">
        <v>84</v>
      </c>
      <c r="K2495" s="17" t="n">
        <v>65.48</v>
      </c>
      <c r="L2495" s="17" t="n">
        <v>0</v>
      </c>
      <c r="M2495" s="17" t="n">
        <v>0</v>
      </c>
      <c r="N2495" s="17">
        <f>K2495*0.08+L2495*0.08</f>
        <v/>
      </c>
      <c r="O2495" s="17">
        <f>-(K2495*0.025+L2495*0.025)</f>
        <v/>
      </c>
      <c r="P2495" s="17">
        <f>32</f>
        <v/>
      </c>
      <c r="Q2495" s="17">
        <f>J2495+L2495+N2495+O2495-P2495-M2495</f>
        <v/>
      </c>
    </row>
    <row r="2496">
      <c r="A2496" s="16" t="inlineStr">
        <is>
          <t>5.22-5.28</t>
        </is>
      </c>
      <c r="B2496" s="16" t="inlineStr">
        <is>
          <t>PO-128-06545546261111528</t>
        </is>
      </c>
      <c r="C2496" s="16" t="inlineStr">
        <is>
          <t>Delivered</t>
        </is>
      </c>
      <c r="D2496" s="16" t="inlineStr">
        <is>
          <t>128-06545535775351528</t>
        </is>
      </c>
      <c r="E2496" s="16" t="inlineStr">
        <is>
          <t>Delivered</t>
        </is>
      </c>
      <c r="F2496" s="16" t="inlineStr">
        <is>
          <t>SA428T</t>
        </is>
      </c>
      <c r="G2496"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2496" s="16" t="inlineStr">
        <is>
          <t>SA428T</t>
        </is>
      </c>
      <c r="I2496" s="16" t="n">
        <v>2</v>
      </c>
      <c r="J2496" s="17" t="n">
        <v>159.18</v>
      </c>
      <c r="K2496" s="17" t="n">
        <v>124.82</v>
      </c>
      <c r="L2496" s="17" t="n">
        <v>0</v>
      </c>
      <c r="M2496" s="17" t="n">
        <v>0</v>
      </c>
      <c r="N2496" s="17">
        <f>K2496*0.08+L2496*0.08</f>
        <v/>
      </c>
      <c r="O2496" s="17">
        <f>-(K2496*0.025+L2496*0.025)</f>
        <v/>
      </c>
      <c r="P2496" s="17">
        <f>32</f>
        <v/>
      </c>
      <c r="Q2496" s="17">
        <f>J2496+L2496+N2496+O2496-P2496-M2496</f>
        <v/>
      </c>
    </row>
    <row r="2497">
      <c r="A2497" s="16" t="inlineStr">
        <is>
          <t>5.22-5.28</t>
        </is>
      </c>
      <c r="B2497" s="16" t="inlineStr">
        <is>
          <t>PO-128-06423906616952063</t>
        </is>
      </c>
      <c r="C2497" s="16" t="inlineStr">
        <is>
          <t>Delivered</t>
        </is>
      </c>
      <c r="D2497" s="16" t="inlineStr">
        <is>
          <t>128-06423864673912063</t>
        </is>
      </c>
      <c r="E2497" s="16" t="inlineStr">
        <is>
          <t>Delivered</t>
        </is>
      </c>
      <c r="F2497" s="16" t="inlineStr">
        <is>
          <t>TLCD01-4P-nN</t>
        </is>
      </c>
      <c r="G249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497" s="16" t="inlineStr">
        <is>
          <t>NEGRO/pantalla de 4.5 pulgadas</t>
        </is>
      </c>
      <c r="I2497" s="16" t="n">
        <v>4</v>
      </c>
      <c r="J2497" s="17" t="n">
        <v>78</v>
      </c>
      <c r="K2497" s="17" t="n">
        <v>92.52</v>
      </c>
      <c r="L2497" s="17" t="n">
        <v>17.53</v>
      </c>
      <c r="M2497" s="17" t="n">
        <v>0</v>
      </c>
      <c r="N2497" s="17">
        <f>K2497*0.08+L2497*0.08</f>
        <v/>
      </c>
      <c r="O2497" s="17">
        <f>-(K2497*0.025+L2497*0.025)</f>
        <v/>
      </c>
      <c r="P2497" s="17">
        <f>32</f>
        <v/>
      </c>
      <c r="Q2497" s="17">
        <f>J2497+L2497+N2497+O2497-P2497-M2497</f>
        <v/>
      </c>
    </row>
    <row r="2498">
      <c r="A2498" s="16" t="inlineStr">
        <is>
          <t>5.22-5.28</t>
        </is>
      </c>
      <c r="B2498" s="16" t="inlineStr">
        <is>
          <t>PO-128-06423906616952063</t>
        </is>
      </c>
      <c r="C2498" s="16" t="inlineStr">
        <is>
          <t>Delivered</t>
        </is>
      </c>
      <c r="D2498" s="16" t="inlineStr">
        <is>
          <t>128-06423885645432063</t>
        </is>
      </c>
      <c r="E2498" s="16" t="inlineStr">
        <is>
          <t>Delivered</t>
        </is>
      </c>
      <c r="F2498" s="16" t="inlineStr">
        <is>
          <t>TLCD06-12P-V</t>
        </is>
      </c>
      <c r="G249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498" s="16" t="inlineStr">
        <is>
          <t>VERDE/pantalla de 12 pulgadas</t>
        </is>
      </c>
      <c r="I2498" s="16" t="n">
        <v>1</v>
      </c>
      <c r="J2498" s="17" t="n">
        <v>32</v>
      </c>
      <c r="K2498" s="17" t="n">
        <v>44.01</v>
      </c>
      <c r="L2498" s="17" t="n">
        <v>8.34</v>
      </c>
      <c r="M2498" s="17" t="n">
        <v>0</v>
      </c>
      <c r="N2498" s="17">
        <f>K2498*0.08+L2498*0.08</f>
        <v/>
      </c>
      <c r="O2498" s="17">
        <f>-(K2498*0.025+L2498*0.025)</f>
        <v/>
      </c>
      <c r="P2498" s="17">
        <f>32</f>
        <v/>
      </c>
      <c r="Q2498" s="17">
        <f>J2498+L2498+N2498+O2498-P2498-M2498</f>
        <v/>
      </c>
    </row>
    <row r="2499">
      <c r="A2499" s="16" t="inlineStr">
        <is>
          <t>5.22-5.28</t>
        </is>
      </c>
      <c r="B2499" s="16" t="inlineStr">
        <is>
          <t>PO-128-06314317199993738</t>
        </is>
      </c>
      <c r="C2499" s="16" t="inlineStr">
        <is>
          <t>Delivered</t>
        </is>
      </c>
      <c r="D2499" s="16" t="inlineStr">
        <is>
          <t>128-06314355210873738</t>
        </is>
      </c>
      <c r="E2499" s="16" t="inlineStr">
        <is>
          <t>Delivered</t>
        </is>
      </c>
      <c r="F2499" s="16" t="inlineStr">
        <is>
          <t>LV54W25</t>
        </is>
      </c>
      <c r="G2499" s="16" t="inlineStr">
        <is>
          <t>TIANLAI Lámpara Ventilador E27 2 en 1, Silenciosa, LED Alta Luminosidad 180°, Instalación Rápida, Ahorro Energético para Dormitorio y Interiores Pequeños</t>
        </is>
      </c>
      <c r="H2499" s="16" t="inlineStr">
        <is>
          <t>1 Pieza</t>
        </is>
      </c>
      <c r="I2499" s="16" t="n">
        <v>1</v>
      </c>
      <c r="J2499" s="17" t="n">
        <v>74.3</v>
      </c>
      <c r="K2499" s="17" t="n">
        <v>79.11</v>
      </c>
      <c r="L2499" s="17" t="n">
        <v>25.86</v>
      </c>
      <c r="M2499" s="17" t="n">
        <v>0</v>
      </c>
      <c r="N2499" s="17">
        <f>K2499*0.08+L2499*0.08</f>
        <v/>
      </c>
      <c r="O2499" s="17">
        <f>-(K2499*0.025+L2499*0.025)</f>
        <v/>
      </c>
      <c r="P2499" s="17">
        <f>32</f>
        <v/>
      </c>
      <c r="Q2499" s="17">
        <f>J2499+L2499+N2499+O2499-P2499-M2499</f>
        <v/>
      </c>
    </row>
    <row r="2500">
      <c r="A2500" s="16" t="inlineStr">
        <is>
          <t>5.22-5.28</t>
        </is>
      </c>
      <c r="B2500" s="16" t="inlineStr">
        <is>
          <t>PO-128-06521581374072633</t>
        </is>
      </c>
      <c r="C2500" s="16" t="inlineStr">
        <is>
          <t>Delivered</t>
        </is>
      </c>
      <c r="D2500" s="16" t="inlineStr">
        <is>
          <t>128-06521602345592633</t>
        </is>
      </c>
      <c r="E2500" s="16" t="inlineStr">
        <is>
          <t>Delivered</t>
        </is>
      </c>
      <c r="F2500" s="16" t="inlineStr">
        <is>
          <t>LV54W25</t>
        </is>
      </c>
      <c r="G2500" s="16" t="inlineStr">
        <is>
          <t>TIANLAI Lámpara Ventilador E27 2 en 1, Silenciosa, LED Alta Luminosidad 180°, Instalación Rápida, Ahorro Energético para Dormitorio y Interiores Pequeños</t>
        </is>
      </c>
      <c r="H2500" s="16" t="inlineStr">
        <is>
          <t>1 Pieza</t>
        </is>
      </c>
      <c r="I2500" s="16" t="n">
        <v>1</v>
      </c>
      <c r="J2500" s="17" t="n">
        <v>74.3</v>
      </c>
      <c r="K2500" s="17" t="n">
        <v>85.98</v>
      </c>
      <c r="L2500" s="17" t="n">
        <v>25.86</v>
      </c>
      <c r="M2500" s="17" t="n">
        <v>0</v>
      </c>
      <c r="N2500" s="17">
        <f>K2500*0.08+L2500*0.08</f>
        <v/>
      </c>
      <c r="O2500" s="17">
        <f>-(K2500*0.025+L2500*0.025)</f>
        <v/>
      </c>
      <c r="P2500" s="17">
        <f>32</f>
        <v/>
      </c>
      <c r="Q2500" s="17">
        <f>J2500+L2500+N2500+O2500-P2500-M2500</f>
        <v/>
      </c>
    </row>
    <row r="2501">
      <c r="A2501" s="16" t="inlineStr">
        <is>
          <t>5.22-5.28</t>
        </is>
      </c>
      <c r="B2501" s="16" t="inlineStr">
        <is>
          <t>PO-128-06690345769591627</t>
        </is>
      </c>
      <c r="C2501" s="16" t="inlineStr">
        <is>
          <t>Delivered</t>
        </is>
      </c>
      <c r="D2501" s="16" t="inlineStr">
        <is>
          <t>128-06690398198391627</t>
        </is>
      </c>
      <c r="E2501" s="16" t="inlineStr">
        <is>
          <t>Delivered</t>
        </is>
      </c>
      <c r="F2501" s="16" t="inlineStr">
        <is>
          <t>TL1455N20B</t>
        </is>
      </c>
      <c r="G2501" s="16" t="inlineStr">
        <is>
          <t>LINK BITS Soporte para TV 14 A 55 Pulgadas, Base para TV Pantalla Articulado Inclinable y Giratorio, MAX VESA 400×400 mm, Soporta hasta 18kg, adaptarse a la mayoría de los televisores de 14 Pulgadas/20 Pulgadas/32 Pulgadas/42 Pulgadas/55 pulgadas</t>
        </is>
      </c>
      <c r="H2501" s="16" t="inlineStr">
        <is>
          <t>TL1455N20B</t>
        </is>
      </c>
      <c r="I2501" s="16" t="n">
        <v>1</v>
      </c>
      <c r="J2501" s="17" t="n">
        <v>74.5</v>
      </c>
      <c r="K2501" s="17" t="n">
        <v>95.56</v>
      </c>
      <c r="L2501" s="17" t="n">
        <v>25.86</v>
      </c>
      <c r="M2501" s="17" t="n">
        <v>0.5</v>
      </c>
      <c r="N2501" s="17">
        <f>K2501*0.08+L2501*0.08</f>
        <v/>
      </c>
      <c r="O2501" s="17">
        <f>-(K2501*0.025+L2501*0.025)</f>
        <v/>
      </c>
      <c r="P2501" s="17">
        <f>32</f>
        <v/>
      </c>
      <c r="Q2501" s="17">
        <f>J2501+L2501+N2501+O2501-P2501-M2501</f>
        <v/>
      </c>
    </row>
    <row r="2502">
      <c r="A2502" s="16" t="inlineStr">
        <is>
          <t>5.22-5.28</t>
        </is>
      </c>
      <c r="B2502" s="16" t="inlineStr">
        <is>
          <t>PO-128-06744661304950151</t>
        </is>
      </c>
      <c r="C2502" s="16" t="inlineStr">
        <is>
          <t>Delivered</t>
        </is>
      </c>
      <c r="D2502" s="16" t="inlineStr">
        <is>
          <t>128-06744703247990151</t>
        </is>
      </c>
      <c r="E2502" s="16" t="inlineStr">
        <is>
          <t>Delivered</t>
        </is>
      </c>
      <c r="F2502" s="16" t="inlineStr">
        <is>
          <t>KTS-2031</t>
        </is>
      </c>
      <c r="G2502" s="16" t="inlineStr">
        <is>
          <t>Bocina inalámbrica de 3 pulgadas con linterna multifuncional y panel solar integrado.Altavoz Portátil con Linterna LED 4 Modos, Radio FM, Bluetooth, Carga Solar, Ideal para Apagones, Emergencias, Campo y Exteriores</t>
        </is>
      </c>
      <c r="H2502" s="16" t="inlineStr">
        <is>
          <t>NEGRO</t>
        </is>
      </c>
      <c r="I2502" s="16" t="n">
        <v>1</v>
      </c>
      <c r="J2502" s="17" t="n">
        <v>85</v>
      </c>
      <c r="K2502" s="17" t="n">
        <v>75.38</v>
      </c>
      <c r="L2502" s="17" t="n">
        <v>25.86</v>
      </c>
      <c r="M2502" s="17" t="n">
        <v>0</v>
      </c>
      <c r="N2502" s="17">
        <f>K2502*0.08+L2502*0.08</f>
        <v/>
      </c>
      <c r="O2502" s="17">
        <f>-(K2502*0.025+L2502*0.025)</f>
        <v/>
      </c>
      <c r="P2502" s="17">
        <f>32</f>
        <v/>
      </c>
      <c r="Q2502" s="17">
        <f>J2502+L2502+N2502+O2502-P2502-M2502</f>
        <v/>
      </c>
    </row>
    <row r="2503">
      <c r="A2503" s="16" t="inlineStr">
        <is>
          <t>5.22-5.28</t>
        </is>
      </c>
      <c r="B2503" s="16" t="inlineStr">
        <is>
          <t>PO-128-06777384090230082</t>
        </is>
      </c>
      <c r="C2503" s="16" t="inlineStr">
        <is>
          <t>Delivered</t>
        </is>
      </c>
      <c r="D2503" s="16" t="inlineStr">
        <is>
          <t>128-06777426033270082</t>
        </is>
      </c>
      <c r="E2503" s="16" t="inlineStr">
        <is>
          <t>Delivered</t>
        </is>
      </c>
      <c r="F2503" s="16" t="inlineStr">
        <is>
          <t>KTS-2031</t>
        </is>
      </c>
      <c r="G2503" s="16" t="inlineStr">
        <is>
          <t>Bocina inalámbrica de 3 pulgadas con linterna multifuncional y panel solar integrado.Altavoz Portátil con Linterna LED 4 Modos, Radio FM, Bluetooth, Carga Solar, Ideal para Apagones, Emergencias, Campo y Exteriores</t>
        </is>
      </c>
      <c r="H2503" s="16" t="inlineStr">
        <is>
          <t>NEGRO</t>
        </is>
      </c>
      <c r="I2503" s="16" t="n">
        <v>1</v>
      </c>
      <c r="J2503" s="17" t="n">
        <v>85</v>
      </c>
      <c r="K2503" s="17" t="n">
        <v>94.22</v>
      </c>
      <c r="L2503" s="17" t="n">
        <v>25.86</v>
      </c>
      <c r="M2503" s="17" t="n">
        <v>0</v>
      </c>
      <c r="N2503" s="17">
        <f>K2503*0.08+L2503*0.08</f>
        <v/>
      </c>
      <c r="O2503" s="17">
        <f>-(K2503*0.025+L2503*0.025)</f>
        <v/>
      </c>
      <c r="P2503" s="17">
        <f>32</f>
        <v/>
      </c>
      <c r="Q2503" s="17">
        <f>J2503+L2503+N2503+O2503-P2503-M2503</f>
        <v/>
      </c>
    </row>
    <row r="2504">
      <c r="A2504" s="16" t="inlineStr">
        <is>
          <t>5.22-5.28</t>
        </is>
      </c>
      <c r="B2504" s="16" t="inlineStr">
        <is>
          <t>PO-128-06383861084792364</t>
        </is>
      </c>
      <c r="C2504" s="16" t="inlineStr">
        <is>
          <t>Delivered</t>
        </is>
      </c>
      <c r="D2504" s="16" t="inlineStr">
        <is>
          <t>128-06383819141752364</t>
        </is>
      </c>
      <c r="E2504" s="16" t="inlineStr">
        <is>
          <t>Delivered</t>
        </is>
      </c>
      <c r="F2504" s="16" t="inlineStr">
        <is>
          <t>LV54W25</t>
        </is>
      </c>
      <c r="G2504" s="16" t="inlineStr">
        <is>
          <t>TIANLAI Lámpara Ventilador E27 2 en 1, Silenciosa, LED Alta Luminosidad 180°, Instalación Rápida, Ahorro Energético para Dormitorio y Interiores Pequeños</t>
        </is>
      </c>
      <c r="H2504" s="16" t="inlineStr">
        <is>
          <t>1 Pieza</t>
        </is>
      </c>
      <c r="I2504" s="16" t="n">
        <v>5</v>
      </c>
      <c r="J2504" s="17" t="n">
        <v>371.5</v>
      </c>
      <c r="K2504" s="17" t="n">
        <v>352.45</v>
      </c>
      <c r="L2504" s="17" t="n">
        <v>0</v>
      </c>
      <c r="M2504" s="17" t="n">
        <v>0</v>
      </c>
      <c r="N2504" s="17">
        <f>K2504*0.08+L2504*0.08</f>
        <v/>
      </c>
      <c r="O2504" s="17">
        <f>-(K2504*0.025+L2504*0.025)</f>
        <v/>
      </c>
      <c r="P2504" s="17">
        <f>32</f>
        <v/>
      </c>
      <c r="Q2504" s="17">
        <f>J2504+L2504+N2504+O2504-P2504-M2504</f>
        <v/>
      </c>
    </row>
    <row r="2505">
      <c r="A2505" s="16" t="inlineStr">
        <is>
          <t>5.22-5.28</t>
        </is>
      </c>
      <c r="B2505" s="16" t="inlineStr">
        <is>
          <t>PO-128-06871160883830613</t>
        </is>
      </c>
      <c r="C2505" s="16" t="inlineStr">
        <is>
          <t>Delivered</t>
        </is>
      </c>
      <c r="D2505" s="16" t="inlineStr">
        <is>
          <t>128-06871124183670613</t>
        </is>
      </c>
      <c r="E2505" s="16" t="inlineStr">
        <is>
          <t>Delivered</t>
        </is>
      </c>
      <c r="F2505" s="16" t="inlineStr">
        <is>
          <t>LV54W25</t>
        </is>
      </c>
      <c r="G2505" s="16" t="inlineStr">
        <is>
          <t>TIANLAI Lámpara Ventilador E27 2 en 1, Silenciosa, LED Alta Luminosidad 180°, Instalación Rápida, Ahorro Energético para Dormitorio y Interiores Pequeños</t>
        </is>
      </c>
      <c r="H2505" s="16" t="inlineStr">
        <is>
          <t>1 Pieza</t>
        </is>
      </c>
      <c r="I2505" s="16" t="n">
        <v>1</v>
      </c>
      <c r="J2505" s="17" t="n">
        <v>74.3</v>
      </c>
      <c r="K2505" s="17" t="n">
        <v>77.39</v>
      </c>
      <c r="L2505" s="17" t="n">
        <v>25.86</v>
      </c>
      <c r="M2505" s="17" t="n">
        <v>0</v>
      </c>
      <c r="N2505" s="17">
        <f>K2505*0.08+L2505*0.08</f>
        <v/>
      </c>
      <c r="O2505" s="17">
        <f>-(K2505*0.025+L2505*0.025)</f>
        <v/>
      </c>
      <c r="P2505" s="17">
        <f>32</f>
        <v/>
      </c>
      <c r="Q2505" s="17">
        <f>J2505+L2505+N2505+O2505-P2505-M2505</f>
        <v/>
      </c>
    </row>
    <row r="2506">
      <c r="A2506" s="16" t="inlineStr">
        <is>
          <t>5.22-5.28</t>
        </is>
      </c>
      <c r="B2506" s="16" t="inlineStr">
        <is>
          <t>PO-128-06592310723191251</t>
        </is>
      </c>
      <c r="C2506" s="16" t="inlineStr">
        <is>
          <t>Delivered</t>
        </is>
      </c>
      <c r="D2506" s="16" t="inlineStr">
        <is>
          <t>128-06592300237431251</t>
        </is>
      </c>
      <c r="E2506" s="16" t="inlineStr">
        <is>
          <t>Delivered</t>
        </is>
      </c>
      <c r="F2506" s="16" t="inlineStr">
        <is>
          <t>VB349T</t>
        </is>
      </c>
      <c r="G2506" s="16" t="inlineStr">
        <is>
          <t>LINKBITS Altavoz Portátil de Doble Altavoz - 3 Pulgadas, Sonido HD, Emparejamiento Rápido de Bluetooth, Conectividad TWS, Reproducción Multimodo (Micro SD/USB/Radio FM) - Perfecto para Oficina, Viajes y Espacios Pequeños</t>
        </is>
      </c>
      <c r="H2506" s="16" t="inlineStr">
        <is>
          <t>NEGRO</t>
        </is>
      </c>
      <c r="I2506" s="16" t="n">
        <v>2</v>
      </c>
      <c r="J2506" s="17" t="n">
        <v>158</v>
      </c>
      <c r="K2506" s="17" t="n">
        <v>184.52</v>
      </c>
      <c r="L2506" s="17" t="n">
        <v>25.86</v>
      </c>
      <c r="M2506" s="17" t="n">
        <v>0</v>
      </c>
      <c r="N2506" s="17">
        <f>K2506*0.08+L2506*0.08</f>
        <v/>
      </c>
      <c r="O2506" s="17">
        <f>-(K2506*0.025+L2506*0.025)</f>
        <v/>
      </c>
      <c r="P2506" s="17">
        <f>32</f>
        <v/>
      </c>
      <c r="Q2506" s="17">
        <f>J2506+L2506+N2506+O2506-P2506-M2506</f>
        <v/>
      </c>
    </row>
    <row r="2507">
      <c r="A2507" s="16" t="inlineStr">
        <is>
          <t>5.22-5.28</t>
        </is>
      </c>
      <c r="B2507" s="16" t="inlineStr">
        <is>
          <t>PO-128-06273974784633981</t>
        </is>
      </c>
      <c r="C2507" s="16" t="inlineStr">
        <is>
          <t>Delivered</t>
        </is>
      </c>
      <c r="D2507" s="16" t="inlineStr">
        <is>
          <t>128-06274000999033981</t>
        </is>
      </c>
      <c r="E2507" s="16" t="inlineStr">
        <is>
          <t>Delivered</t>
        </is>
      </c>
      <c r="F2507" s="16" t="inlineStr">
        <is>
          <t>LV54W25</t>
        </is>
      </c>
      <c r="G2507" s="16" t="inlineStr">
        <is>
          <t>TIANLAI Lámpara Ventilador E27 2 en 1, Silenciosa, LED Alta Luminosidad 180°, Instalación Rápida, Ahorro Energético para Dormitorio y Interiores Pequeños</t>
        </is>
      </c>
      <c r="H2507" s="16" t="inlineStr">
        <is>
          <t>1 Pieza</t>
        </is>
      </c>
      <c r="I2507" s="16" t="n">
        <v>1</v>
      </c>
      <c r="J2507" s="17" t="n">
        <v>74.3</v>
      </c>
      <c r="K2507" s="17" t="n">
        <v>79.11</v>
      </c>
      <c r="L2507" s="17" t="n">
        <v>25.86</v>
      </c>
      <c r="M2507" s="17" t="n">
        <v>0</v>
      </c>
      <c r="N2507" s="17">
        <f>K2507*0.08+L2507*0.08</f>
        <v/>
      </c>
      <c r="O2507" s="17">
        <f>-(K2507*0.025+L2507*0.025)</f>
        <v/>
      </c>
      <c r="P2507" s="17">
        <f>32</f>
        <v/>
      </c>
      <c r="Q2507" s="17">
        <f>J2507+L2507+N2507+O2507-P2507-M2507</f>
        <v/>
      </c>
    </row>
    <row r="2508">
      <c r="A2508" s="16" t="inlineStr">
        <is>
          <t>5.22-5.28</t>
        </is>
      </c>
      <c r="B2508" s="16" t="inlineStr">
        <is>
          <t>PO-128-06660664709751674</t>
        </is>
      </c>
      <c r="C2508" s="16" t="inlineStr">
        <is>
          <t>Delivered</t>
        </is>
      </c>
      <c r="D2508" s="16" t="inlineStr">
        <is>
          <t>128-06660604416631674</t>
        </is>
      </c>
      <c r="E2508" s="16" t="inlineStr">
        <is>
          <t>Delivered</t>
        </is>
      </c>
      <c r="F2508" s="16" t="inlineStr">
        <is>
          <t>B03W10-10PZS</t>
        </is>
      </c>
      <c r="G250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508" s="16" t="inlineStr">
        <is>
          <t>B03W10</t>
        </is>
      </c>
      <c r="I2508" s="16" t="n">
        <v>1</v>
      </c>
      <c r="J2508" s="17" t="n">
        <v>66</v>
      </c>
      <c r="K2508" s="17" t="n">
        <v>64.56</v>
      </c>
      <c r="L2508" s="17" t="n">
        <v>25.86</v>
      </c>
      <c r="M2508" s="17" t="n">
        <v>0</v>
      </c>
      <c r="N2508" s="17">
        <f>K2508*0.08+L2508*0.08</f>
        <v/>
      </c>
      <c r="O2508" s="17">
        <f>-(K2508*0.025+L2508*0.025)</f>
        <v/>
      </c>
      <c r="P2508" s="17">
        <f>32</f>
        <v/>
      </c>
      <c r="Q2508" s="17">
        <f>J2508+L2508+N2508+O2508-P2508-M2508</f>
        <v/>
      </c>
    </row>
    <row r="2509">
      <c r="A2509" s="16" t="inlineStr">
        <is>
          <t>5.22-5.28</t>
        </is>
      </c>
      <c r="B2509" s="16" t="inlineStr">
        <is>
          <t>PO-128-06222306033273393</t>
        </is>
      </c>
      <c r="C2509" s="16" t="inlineStr">
        <is>
          <t>Delivered</t>
        </is>
      </c>
      <c r="D2509" s="16" t="inlineStr">
        <is>
          <t>128-06222264090233393</t>
        </is>
      </c>
      <c r="E2509" s="16" t="inlineStr">
        <is>
          <t>Delivered</t>
        </is>
      </c>
      <c r="F2509" s="16" t="inlineStr">
        <is>
          <t>LV54W25</t>
        </is>
      </c>
      <c r="G2509" s="16" t="inlineStr">
        <is>
          <t>TIANLAI Lámpara Ventilador E27 2 en 1, Silenciosa, LED Alta Luminosidad 180°, Instalación Rápida, Ahorro Energético para Dormitorio y Interiores Pequeños</t>
        </is>
      </c>
      <c r="H2509" s="16" t="inlineStr">
        <is>
          <t>1 Pieza</t>
        </is>
      </c>
      <c r="I2509" s="16" t="n">
        <v>1</v>
      </c>
      <c r="J2509" s="17" t="n">
        <v>74.3</v>
      </c>
      <c r="K2509" s="17" t="n">
        <v>79.11</v>
      </c>
      <c r="L2509" s="17" t="n">
        <v>25.86</v>
      </c>
      <c r="M2509" s="17" t="n">
        <v>0</v>
      </c>
      <c r="N2509" s="17">
        <f>K2509*0.08+L2509*0.08</f>
        <v/>
      </c>
      <c r="O2509" s="17">
        <f>-(K2509*0.025+L2509*0.025)</f>
        <v/>
      </c>
      <c r="P2509" s="17">
        <f>32</f>
        <v/>
      </c>
      <c r="Q2509" s="17">
        <f>J2509+L2509+N2509+O2509-P2509-M2509</f>
        <v/>
      </c>
    </row>
    <row r="2510">
      <c r="A2510" s="16" t="inlineStr">
        <is>
          <t>5.22-5.28</t>
        </is>
      </c>
      <c r="B2510" s="16" t="inlineStr">
        <is>
          <t>PO-128-06724867809910269</t>
        </is>
      </c>
      <c r="C2510" s="16" t="inlineStr">
        <is>
          <t>Delivered</t>
        </is>
      </c>
      <c r="D2510" s="16" t="inlineStr">
        <is>
          <t>128-06724878295670269</t>
        </is>
      </c>
      <c r="E2510" s="16" t="inlineStr">
        <is>
          <t>Delivered</t>
        </is>
      </c>
      <c r="F2510" s="16" t="inlineStr">
        <is>
          <t>BSC07</t>
        </is>
      </c>
      <c r="G2510" s="16" t="inlineStr">
        <is>
          <t>TIANLAI Báscula Digital BSC04/BSC07, Alta Precisión, Fácil Operación, Ligera y Portátil, Función Tara, Unidad Dual oz/g, Ideal para Cocina, Control de Porciones, Sellos y Objetos Pequeños, Uso en Hogar y Viaje</t>
        </is>
      </c>
      <c r="H2510" s="16" t="inlineStr">
        <is>
          <t>1g/White</t>
        </is>
      </c>
      <c r="I2510" s="16" t="n">
        <v>1</v>
      </c>
      <c r="J2510" s="17" t="n">
        <v>35</v>
      </c>
      <c r="K2510" s="17" t="n">
        <v>33.06</v>
      </c>
      <c r="L2510" s="17" t="n">
        <v>25.86</v>
      </c>
      <c r="M2510" s="17" t="n">
        <v>0</v>
      </c>
      <c r="N2510" s="17">
        <f>K2510*0.08+L2510*0.08</f>
        <v/>
      </c>
      <c r="O2510" s="17">
        <f>-(K2510*0.025+L2510*0.025)</f>
        <v/>
      </c>
      <c r="P2510" s="17">
        <f>32</f>
        <v/>
      </c>
      <c r="Q2510" s="17">
        <f>J2510+L2510+N2510+O2510-P2510-M2510</f>
        <v/>
      </c>
    </row>
    <row r="2511">
      <c r="A2511" s="16" t="inlineStr">
        <is>
          <t>5.22-5.28</t>
        </is>
      </c>
      <c r="B2511" s="16" t="inlineStr">
        <is>
          <t>PO-128-06395136451192427</t>
        </is>
      </c>
      <c r="C2511" s="16" t="inlineStr">
        <is>
          <t>Delivered</t>
        </is>
      </c>
      <c r="D2511" s="16" t="inlineStr">
        <is>
          <t>128-06395125965432427</t>
        </is>
      </c>
      <c r="E2511" s="16" t="inlineStr">
        <is>
          <t>Delivered</t>
        </is>
      </c>
      <c r="F2511" s="16" t="inlineStr">
        <is>
          <t>LV54W25</t>
        </is>
      </c>
      <c r="G2511" s="16" t="inlineStr">
        <is>
          <t>TIANLAI Lámpara Ventilador E27 2 en 1, Silenciosa, LED Alta Luminosidad 180°, Instalación Rápida, Ahorro Energético para Dormitorio y Interiores Pequeños</t>
        </is>
      </c>
      <c r="H2511" s="16" t="inlineStr">
        <is>
          <t>1 Pieza</t>
        </is>
      </c>
      <c r="I2511" s="16" t="n">
        <v>1</v>
      </c>
      <c r="J2511" s="17" t="n">
        <v>74.3</v>
      </c>
      <c r="K2511" s="17" t="n">
        <v>64.48999999999999</v>
      </c>
      <c r="L2511" s="17" t="n">
        <v>25.86</v>
      </c>
      <c r="M2511" s="17" t="n">
        <v>0</v>
      </c>
      <c r="N2511" s="17">
        <f>K2511*0.08+L2511*0.08</f>
        <v/>
      </c>
      <c r="O2511" s="17">
        <f>-(K2511*0.025+L2511*0.025)</f>
        <v/>
      </c>
      <c r="P2511" s="17">
        <f>32</f>
        <v/>
      </c>
      <c r="Q2511" s="17">
        <f>J2511+L2511+N2511+O2511-P2511-M2511</f>
        <v/>
      </c>
    </row>
    <row r="2512">
      <c r="A2512" s="16" t="inlineStr">
        <is>
          <t>5.22-5.28</t>
        </is>
      </c>
      <c r="B2512" s="16" t="inlineStr">
        <is>
          <t>PO-128-06756576062070206</t>
        </is>
      </c>
      <c r="C2512" s="16" t="inlineStr">
        <is>
          <t>Delivered</t>
        </is>
      </c>
      <c r="D2512" s="16" t="inlineStr">
        <is>
          <t>128-06756565576310206</t>
        </is>
      </c>
      <c r="E2512" s="16" t="inlineStr">
        <is>
          <t>Delivered</t>
        </is>
      </c>
      <c r="F2512" s="16" t="inlineStr">
        <is>
          <t>B03W10-10PZS</t>
        </is>
      </c>
      <c r="G251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512" s="16" t="inlineStr">
        <is>
          <t>B03W10</t>
        </is>
      </c>
      <c r="I2512" s="16" t="n">
        <v>1</v>
      </c>
      <c r="J2512" s="17" t="n">
        <v>66</v>
      </c>
      <c r="K2512" s="17" t="n">
        <v>71.05</v>
      </c>
      <c r="L2512" s="17" t="n">
        <v>25.86</v>
      </c>
      <c r="M2512" s="17" t="n">
        <v>0</v>
      </c>
      <c r="N2512" s="17">
        <f>K2512*0.08+L2512*0.08</f>
        <v/>
      </c>
      <c r="O2512" s="17">
        <f>-(K2512*0.025+L2512*0.025)</f>
        <v/>
      </c>
      <c r="P2512" s="17">
        <f>32</f>
        <v/>
      </c>
      <c r="Q2512" s="17">
        <f>J2512+L2512+N2512+O2512-P2512-M2512</f>
        <v/>
      </c>
    </row>
    <row r="2513">
      <c r="A2513" s="16" t="inlineStr">
        <is>
          <t>5.22-5.28</t>
        </is>
      </c>
      <c r="B2513" s="16" t="inlineStr">
        <is>
          <t>PO-128-06581253192311189</t>
        </is>
      </c>
      <c r="C2513" s="16" t="inlineStr">
        <is>
          <t>Delivered</t>
        </is>
      </c>
      <c r="D2513" s="16" t="inlineStr">
        <is>
          <t>128-06581263678071189</t>
        </is>
      </c>
      <c r="E2513" s="16" t="inlineStr">
        <is>
          <t>Delivered</t>
        </is>
      </c>
      <c r="F2513" s="16" t="inlineStr">
        <is>
          <t>LV54W25</t>
        </is>
      </c>
      <c r="G2513" s="16" t="inlineStr">
        <is>
          <t>TIANLAI Lámpara Ventilador E27 2 en 1, Silenciosa, LED Alta Luminosidad 180°, Instalación Rápida, Ahorro Energético para Dormitorio y Interiores Pequeños</t>
        </is>
      </c>
      <c r="H2513" s="16" t="inlineStr">
        <is>
          <t>1 Pieza</t>
        </is>
      </c>
      <c r="I2513" s="16" t="n">
        <v>1</v>
      </c>
      <c r="J2513" s="17" t="n">
        <v>74.3</v>
      </c>
      <c r="K2513" s="17" t="n">
        <v>77.39</v>
      </c>
      <c r="L2513" s="17" t="n">
        <v>25.86</v>
      </c>
      <c r="M2513" s="17" t="n">
        <v>0</v>
      </c>
      <c r="N2513" s="17">
        <f>K2513*0.08+L2513*0.08</f>
        <v/>
      </c>
      <c r="O2513" s="17">
        <f>-(K2513*0.025+L2513*0.025)</f>
        <v/>
      </c>
      <c r="P2513" s="17">
        <f>32</f>
        <v/>
      </c>
      <c r="Q2513" s="17">
        <f>J2513+L2513+N2513+O2513-P2513-M2513</f>
        <v/>
      </c>
    </row>
    <row r="2514">
      <c r="A2514" s="16" t="inlineStr">
        <is>
          <t>5.22-5.28</t>
        </is>
      </c>
      <c r="B2514" s="16" t="inlineStr">
        <is>
          <t>PO-128-06238645054073295</t>
        </is>
      </c>
      <c r="C2514" s="16" t="inlineStr">
        <is>
          <t>Delivered</t>
        </is>
      </c>
      <c r="D2514" s="16" t="inlineStr">
        <is>
          <t>128-06238749911673295</t>
        </is>
      </c>
      <c r="E2514" s="16" t="inlineStr">
        <is>
          <t>Delivered</t>
        </is>
      </c>
      <c r="F2514" s="16" t="inlineStr">
        <is>
          <t>KTS-2031</t>
        </is>
      </c>
      <c r="G2514" s="16" t="inlineStr">
        <is>
          <t>Bocina inalámbrica de 3 pulgadas con linterna multifuncional y panel solar integrado.Altavoz Portátil con Linterna LED 4 Modos, Radio FM, Bluetooth, Carga Solar, Ideal para Apagones, Emergencias, Campo y Exteriores</t>
        </is>
      </c>
      <c r="H2514" s="16" t="inlineStr">
        <is>
          <t>NEGRO</t>
        </is>
      </c>
      <c r="I2514" s="16" t="n">
        <v>7</v>
      </c>
      <c r="J2514" s="17" t="n">
        <v>595</v>
      </c>
      <c r="K2514" s="17" t="n">
        <v>659.54</v>
      </c>
      <c r="L2514" s="17" t="n">
        <v>0</v>
      </c>
      <c r="M2514" s="17" t="n">
        <v>659.54</v>
      </c>
      <c r="N2514" s="17">
        <f>K2514*0.08+L2514*0.08</f>
        <v/>
      </c>
      <c r="O2514" s="17">
        <f>-(K2514*0.025+L2514*0.025)</f>
        <v/>
      </c>
      <c r="P2514" s="17">
        <f>32</f>
        <v/>
      </c>
      <c r="Q2514" s="17">
        <f>J2514+L2514+N2514+O2514-P2514-M2514</f>
        <v/>
      </c>
    </row>
    <row r="2515">
      <c r="A2515" s="16" t="inlineStr">
        <is>
          <t>5.22-5.28</t>
        </is>
      </c>
      <c r="B2515" s="16" t="inlineStr">
        <is>
          <t>PO-128-06279023780474015</t>
        </is>
      </c>
      <c r="C2515" s="16" t="inlineStr">
        <is>
          <t>Delivered</t>
        </is>
      </c>
      <c r="D2515" s="16" t="inlineStr">
        <is>
          <t>128-06278981837434015</t>
        </is>
      </c>
      <c r="E2515" s="16" t="inlineStr">
        <is>
          <t>Delivered</t>
        </is>
      </c>
      <c r="F2515" s="16" t="inlineStr">
        <is>
          <t>KTS-2031</t>
        </is>
      </c>
      <c r="G2515" s="16" t="inlineStr">
        <is>
          <t>Bocina inalámbrica de 3 pulgadas con linterna multifuncional y panel solar integrado.Altavoz Portátil con Linterna LED 4 Modos, Radio FM, Bluetooth, Carga Solar, Ideal para Apagones, Emergencias, Campo y Exteriores</t>
        </is>
      </c>
      <c r="H2515" s="16" t="inlineStr">
        <is>
          <t>NEGRO</t>
        </is>
      </c>
      <c r="I2515" s="16" t="n">
        <v>4</v>
      </c>
      <c r="J2515" s="17" t="n">
        <v>340</v>
      </c>
      <c r="K2515" s="17" t="n">
        <v>376.88</v>
      </c>
      <c r="L2515" s="17" t="n">
        <v>0</v>
      </c>
      <c r="M2515" s="17" t="n">
        <v>0</v>
      </c>
      <c r="N2515" s="17">
        <f>K2515*0.08+L2515*0.08</f>
        <v/>
      </c>
      <c r="O2515" s="17">
        <f>-(K2515*0.025+L2515*0.025)</f>
        <v/>
      </c>
      <c r="P2515" s="17">
        <f>32</f>
        <v/>
      </c>
      <c r="Q2515" s="17">
        <f>J2515+L2515+N2515+O2515-P2515-M2515</f>
        <v/>
      </c>
    </row>
    <row r="2516">
      <c r="A2516" s="16" t="inlineStr">
        <is>
          <t>5.22-5.28</t>
        </is>
      </c>
      <c r="B2516" s="16" t="inlineStr">
        <is>
          <t>PO-128-06253350287993078</t>
        </is>
      </c>
      <c r="C2516" s="16" t="inlineStr">
        <is>
          <t>Delivered</t>
        </is>
      </c>
      <c r="D2516" s="16" t="inlineStr">
        <is>
          <t>128-06253366016633078</t>
        </is>
      </c>
      <c r="E2516" s="16" t="inlineStr">
        <is>
          <t>Delivered</t>
        </is>
      </c>
      <c r="F2516" s="16" t="inlineStr">
        <is>
          <t>LV54W25</t>
        </is>
      </c>
      <c r="G2516" s="16" t="inlineStr">
        <is>
          <t>TIANLAI Lámpara Ventilador E27 2 en 1, Silenciosa, LED Alta Luminosidad 180°, Instalación Rápida, Ahorro Energético para Dormitorio y Interiores Pequeños</t>
        </is>
      </c>
      <c r="H2516" s="16" t="inlineStr">
        <is>
          <t>1 Pieza</t>
        </is>
      </c>
      <c r="I2516" s="16" t="n">
        <v>3</v>
      </c>
      <c r="J2516" s="17" t="n">
        <v>222.9</v>
      </c>
      <c r="K2516" s="17" t="n">
        <v>237.33</v>
      </c>
      <c r="L2516" s="17" t="n">
        <v>0</v>
      </c>
      <c r="M2516" s="17" t="n">
        <v>0</v>
      </c>
      <c r="N2516" s="17">
        <f>K2516*0.08+L2516*0.08</f>
        <v/>
      </c>
      <c r="O2516" s="17">
        <f>-(K2516*0.025+L2516*0.025)</f>
        <v/>
      </c>
      <c r="P2516" s="17">
        <f>32</f>
        <v/>
      </c>
      <c r="Q2516" s="17">
        <f>J2516+L2516+N2516+O2516-P2516-M2516</f>
        <v/>
      </c>
    </row>
    <row r="2517">
      <c r="A2517" s="16" t="inlineStr">
        <is>
          <t>5.22-5.28</t>
        </is>
      </c>
      <c r="B2517" s="16" t="inlineStr">
        <is>
          <t>PO-128-06190005463673457</t>
        </is>
      </c>
      <c r="C2517" s="16" t="inlineStr">
        <is>
          <t>Delivered</t>
        </is>
      </c>
      <c r="D2517" s="16" t="inlineStr">
        <is>
          <t>128-06189971384953457</t>
        </is>
      </c>
      <c r="E2517" s="16" t="inlineStr">
        <is>
          <t>Delivered</t>
        </is>
      </c>
      <c r="F2517" s="16" t="inlineStr">
        <is>
          <t>LV54W25</t>
        </is>
      </c>
      <c r="G2517" s="16" t="inlineStr">
        <is>
          <t>TIANLAI Lámpara Ventilador E27 2 en 1, Silenciosa, LED Alta Luminosidad 180°, Instalación Rápida, Ahorro Energético para Dormitorio y Interiores Pequeños</t>
        </is>
      </c>
      <c r="H2517" s="16" t="inlineStr">
        <is>
          <t>1 Pieza</t>
        </is>
      </c>
      <c r="I2517" s="16" t="n">
        <v>2</v>
      </c>
      <c r="J2517" s="17" t="n">
        <v>148.6</v>
      </c>
      <c r="K2517" s="17" t="n">
        <v>154.78</v>
      </c>
      <c r="L2517" s="17" t="n">
        <v>25.86</v>
      </c>
      <c r="M2517" s="17" t="n">
        <v>0</v>
      </c>
      <c r="N2517" s="17">
        <f>K2517*0.08+L2517*0.08</f>
        <v/>
      </c>
      <c r="O2517" s="17">
        <f>-(K2517*0.025+L2517*0.025)</f>
        <v/>
      </c>
      <c r="P2517" s="17">
        <f>32</f>
        <v/>
      </c>
      <c r="Q2517" s="17">
        <f>J2517+L2517+N2517+O2517-P2517-M2517</f>
        <v/>
      </c>
    </row>
    <row r="2518">
      <c r="A2518" s="16" t="inlineStr">
        <is>
          <t>5.22-5.28</t>
        </is>
      </c>
      <c r="B2518" s="16" t="inlineStr">
        <is>
          <t>PO-128-06723998843510272</t>
        </is>
      </c>
      <c r="C2518" s="16" t="inlineStr">
        <is>
          <t>Delivered</t>
        </is>
      </c>
      <c r="D2518" s="16" t="inlineStr">
        <is>
          <t>128-06724004086390272</t>
        </is>
      </c>
      <c r="E2518" s="16" t="inlineStr">
        <is>
          <t>Delivered</t>
        </is>
      </c>
      <c r="F2518" s="16" t="inlineStr">
        <is>
          <t>KTS-2031</t>
        </is>
      </c>
      <c r="G2518" s="16" t="inlineStr">
        <is>
          <t>Bocina inalámbrica de 3 pulgadas con linterna multifuncional y panel solar integrado.Altavoz Portátil con Linterna LED 4 Modos, Radio FM, Bluetooth, Carga Solar, Ideal para Apagones, Emergencias, Campo y Exteriores</t>
        </is>
      </c>
      <c r="H2518" s="16" t="inlineStr">
        <is>
          <t>NEGRO</t>
        </is>
      </c>
      <c r="I2518" s="16" t="n">
        <v>2</v>
      </c>
      <c r="J2518" s="17" t="n">
        <v>170</v>
      </c>
      <c r="K2518" s="17" t="n">
        <v>188.44</v>
      </c>
      <c r="L2518" s="17" t="n">
        <v>25.86</v>
      </c>
      <c r="M2518" s="17" t="n">
        <v>0</v>
      </c>
      <c r="N2518" s="17">
        <f>K2518*0.08+L2518*0.08</f>
        <v/>
      </c>
      <c r="O2518" s="17">
        <f>-(K2518*0.025+L2518*0.025)</f>
        <v/>
      </c>
      <c r="P2518" s="17">
        <f>32</f>
        <v/>
      </c>
      <c r="Q2518" s="17">
        <f>J2518+L2518+N2518+O2518-P2518-M2518</f>
        <v/>
      </c>
    </row>
    <row r="2519">
      <c r="A2519" s="16" t="inlineStr">
        <is>
          <t>5.22-5.28</t>
        </is>
      </c>
      <c r="B2519" s="16" t="inlineStr">
        <is>
          <t>PO-128-06323340867193748</t>
        </is>
      </c>
      <c r="C2519" s="16" t="inlineStr">
        <is>
          <t>Delivered</t>
        </is>
      </c>
      <c r="D2519" s="16" t="inlineStr">
        <is>
          <t>128-06323356595833748</t>
        </is>
      </c>
      <c r="E2519" s="16" t="inlineStr">
        <is>
          <t>Delivered</t>
        </is>
      </c>
      <c r="F2519" s="16" t="inlineStr">
        <is>
          <t>SB428T</t>
        </is>
      </c>
      <c r="G2519" s="16" t="inlineStr">
        <is>
          <t>LINK BITS Bocina Portátil con 2 Altavoces de 4" (5W×2), Sonido Potente, Luces LED, Bluetooth, USB/TF/FM - Ideal para Reuniones, Fiestas y Picnics en México</t>
        </is>
      </c>
      <c r="H2519" s="16" t="inlineStr">
        <is>
          <t>SB428T</t>
        </is>
      </c>
      <c r="I2519" s="16" t="n">
        <v>1</v>
      </c>
      <c r="J2519" s="17" t="n">
        <v>92</v>
      </c>
      <c r="K2519" s="17" t="n">
        <v>102.18</v>
      </c>
      <c r="L2519" s="17" t="n">
        <v>25.86</v>
      </c>
      <c r="M2519" s="17" t="n">
        <v>0</v>
      </c>
      <c r="N2519" s="17">
        <f>K2519*0.08+L2519*0.08</f>
        <v/>
      </c>
      <c r="O2519" s="17">
        <f>-(K2519*0.025+L2519*0.025)</f>
        <v/>
      </c>
      <c r="P2519" s="17">
        <f>32</f>
        <v/>
      </c>
      <c r="Q2519" s="17">
        <f>J2519+L2519+N2519+O2519-P2519-M2519</f>
        <v/>
      </c>
    </row>
    <row r="2520">
      <c r="A2520" s="16" t="inlineStr">
        <is>
          <t>5.22-5.28</t>
        </is>
      </c>
      <c r="B2520" s="16" t="inlineStr">
        <is>
          <t>PO-128-06214452173433375</t>
        </is>
      </c>
      <c r="C2520" s="16" t="inlineStr">
        <is>
          <t>Delivered</t>
        </is>
      </c>
      <c r="D2520" s="16" t="inlineStr">
        <is>
          <t>128-06214486252153375</t>
        </is>
      </c>
      <c r="E2520" s="16" t="inlineStr">
        <is>
          <t>Delivered</t>
        </is>
      </c>
      <c r="F2520" s="16" t="inlineStr">
        <is>
          <t>LV64W25</t>
        </is>
      </c>
      <c r="G25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20" s="16" t="inlineStr">
        <is>
          <t>Blanco</t>
        </is>
      </c>
      <c r="I2520" s="16" t="n">
        <v>2</v>
      </c>
      <c r="J2520" s="17" t="n">
        <v>247.8</v>
      </c>
      <c r="K2520" s="17" t="n">
        <v>284.32</v>
      </c>
      <c r="L2520" s="17" t="n">
        <v>0</v>
      </c>
      <c r="M2520" s="17" t="n">
        <v>0</v>
      </c>
      <c r="N2520" s="17">
        <f>K2520*0.08+L2520*0.08</f>
        <v/>
      </c>
      <c r="O2520" s="17">
        <f>-(K2520*0.025+L2520*0.025)</f>
        <v/>
      </c>
      <c r="P2520" s="17">
        <f>32</f>
        <v/>
      </c>
      <c r="Q2520" s="17">
        <f>J2520+L2520+N2520+O2520-P2520-M2520</f>
        <v/>
      </c>
    </row>
    <row r="2521">
      <c r="A2521" s="16" t="inlineStr">
        <is>
          <t>5.22-5.28</t>
        </is>
      </c>
      <c r="B2521" s="16" t="inlineStr">
        <is>
          <t>PO-128-06760362107510248</t>
        </is>
      </c>
      <c r="C2521" s="16" t="inlineStr">
        <is>
          <t>Delivered</t>
        </is>
      </c>
      <c r="D2521" s="16" t="inlineStr">
        <is>
          <t>128-06760341135990248</t>
        </is>
      </c>
      <c r="E2521" s="16" t="inlineStr">
        <is>
          <t>Delivered</t>
        </is>
      </c>
      <c r="F2521" s="16" t="inlineStr">
        <is>
          <t>KTS-2031</t>
        </is>
      </c>
      <c r="G2521" s="16" t="inlineStr">
        <is>
          <t>Bocina inalámbrica de 3 pulgadas con linterna multifuncional y panel solar integrado.Altavoz Portátil con Linterna LED 4 Modos, Radio FM, Bluetooth, Carga Solar, Ideal para Apagones, Emergencias, Campo y Exteriores</t>
        </is>
      </c>
      <c r="H2521" s="16" t="inlineStr">
        <is>
          <t>NEGRO</t>
        </is>
      </c>
      <c r="I2521" s="16" t="n">
        <v>1</v>
      </c>
      <c r="J2521" s="17" t="n">
        <v>85</v>
      </c>
      <c r="K2521" s="17" t="n">
        <v>94.22</v>
      </c>
      <c r="L2521" s="17" t="n">
        <v>25.86</v>
      </c>
      <c r="M2521" s="17" t="n">
        <v>0</v>
      </c>
      <c r="N2521" s="17">
        <f>K2521*0.08+L2521*0.08</f>
        <v/>
      </c>
      <c r="O2521" s="17">
        <f>-(K2521*0.025+L2521*0.025)</f>
        <v/>
      </c>
      <c r="P2521" s="17">
        <f>32</f>
        <v/>
      </c>
      <c r="Q2521" s="17">
        <f>J2521+L2521+N2521+O2521-P2521-M2521</f>
        <v/>
      </c>
    </row>
    <row r="2522">
      <c r="A2522" s="16" t="inlineStr">
        <is>
          <t>5.22-5.28</t>
        </is>
      </c>
      <c r="B2522" s="16" t="inlineStr">
        <is>
          <t>PO-128-06482182738552930</t>
        </is>
      </c>
      <c r="C2522" s="16" t="inlineStr">
        <is>
          <t>Delivered</t>
        </is>
      </c>
      <c r="D2522" s="16" t="inlineStr">
        <is>
          <t>128-06482140795512930</t>
        </is>
      </c>
      <c r="E2522" s="16" t="inlineStr">
        <is>
          <t>Delivered</t>
        </is>
      </c>
      <c r="F2522" s="16" t="inlineStr">
        <is>
          <t>KTS-2031</t>
        </is>
      </c>
      <c r="G2522" s="16" t="inlineStr">
        <is>
          <t>Bocina inalámbrica de 3 pulgadas con linterna multifuncional y panel solar integrado.Altavoz Portátil con Linterna LED 4 Modos, Radio FM, Bluetooth, Carga Solar, Ideal para Apagones, Emergencias, Campo y Exteriores</t>
        </is>
      </c>
      <c r="H2522" s="16" t="inlineStr">
        <is>
          <t>NEGRO</t>
        </is>
      </c>
      <c r="I2522" s="16" t="n">
        <v>1</v>
      </c>
      <c r="J2522" s="17" t="n">
        <v>85</v>
      </c>
      <c r="K2522" s="17" t="n">
        <v>94.22</v>
      </c>
      <c r="L2522" s="17" t="n">
        <v>25.86</v>
      </c>
      <c r="M2522" s="17" t="n">
        <v>0</v>
      </c>
      <c r="N2522" s="17">
        <f>K2522*0.08+L2522*0.08</f>
        <v/>
      </c>
      <c r="O2522" s="17">
        <f>-(K2522*0.025+L2522*0.025)</f>
        <v/>
      </c>
      <c r="P2522" s="17">
        <f>32</f>
        <v/>
      </c>
      <c r="Q2522" s="17">
        <f>J2522+L2522+N2522+O2522-P2522-M2522</f>
        <v/>
      </c>
    </row>
    <row r="2523">
      <c r="A2523" s="16" t="inlineStr">
        <is>
          <t>5.22-5.28</t>
        </is>
      </c>
      <c r="B2523" s="16" t="inlineStr">
        <is>
          <t>PO-128-06555351122551342</t>
        </is>
      </c>
      <c r="C2523" s="16" t="inlineStr">
        <is>
          <t>Delivered</t>
        </is>
      </c>
      <c r="D2523" s="16" t="inlineStr">
        <is>
          <t>128-06555340636791342</t>
        </is>
      </c>
      <c r="E2523" s="16" t="inlineStr">
        <is>
          <t>Delivered</t>
        </is>
      </c>
      <c r="F2523" s="16" t="inlineStr">
        <is>
          <t>LV54W25</t>
        </is>
      </c>
      <c r="G2523" s="16" t="inlineStr">
        <is>
          <t>TIANLAI Lámpara Ventilador E27 2 en 1, Silenciosa, LED Alta Luminosidad 180°, Instalación Rápida, Ahorro Energético para Dormitorio y Interiores Pequeños</t>
        </is>
      </c>
      <c r="H2523" s="16" t="inlineStr">
        <is>
          <t>1 Pieza</t>
        </is>
      </c>
      <c r="I2523" s="16" t="n">
        <v>1</v>
      </c>
      <c r="J2523" s="17" t="n">
        <v>74.3</v>
      </c>
      <c r="K2523" s="17" t="n">
        <v>79.11</v>
      </c>
      <c r="L2523" s="17" t="n">
        <v>25.86</v>
      </c>
      <c r="M2523" s="17" t="n">
        <v>0</v>
      </c>
      <c r="N2523" s="17">
        <f>K2523*0.08+L2523*0.08</f>
        <v/>
      </c>
      <c r="O2523" s="17">
        <f>-(K2523*0.025+L2523*0.025)</f>
        <v/>
      </c>
      <c r="P2523" s="17">
        <f>32</f>
        <v/>
      </c>
      <c r="Q2523" s="17">
        <f>J2523+L2523+N2523+O2523-P2523-M2523</f>
        <v/>
      </c>
    </row>
    <row r="2524">
      <c r="A2524" s="16" t="inlineStr">
        <is>
          <t>5.22-5.28</t>
        </is>
      </c>
      <c r="B2524" s="16" t="inlineStr">
        <is>
          <t>PO-128-06804853479031006</t>
        </is>
      </c>
      <c r="C2524" s="16" t="inlineStr">
        <is>
          <t>Delivered</t>
        </is>
      </c>
      <c r="D2524" s="16" t="inlineStr">
        <is>
          <t>128-06804905907831006</t>
        </is>
      </c>
      <c r="E2524" s="16" t="inlineStr">
        <is>
          <t>Delivered</t>
        </is>
      </c>
      <c r="F2524" s="16" t="inlineStr">
        <is>
          <t>LV54W25</t>
        </is>
      </c>
      <c r="G2524" s="16" t="inlineStr">
        <is>
          <t>TIANLAI Lámpara Ventilador E27 2 en 1, Silenciosa, LED Alta Luminosidad 180°, Instalación Rápida, Ahorro Energético para Dormitorio y Interiores Pequeños</t>
        </is>
      </c>
      <c r="H2524" s="16" t="inlineStr">
        <is>
          <t>1 Pieza</t>
        </is>
      </c>
      <c r="I2524" s="16" t="n">
        <v>1</v>
      </c>
      <c r="J2524" s="17" t="n">
        <v>74.3</v>
      </c>
      <c r="K2524" s="17" t="n">
        <v>77.39</v>
      </c>
      <c r="L2524" s="17" t="n">
        <v>25.86</v>
      </c>
      <c r="M2524" s="17" t="n">
        <v>0</v>
      </c>
      <c r="N2524" s="17">
        <f>K2524*0.08+L2524*0.08</f>
        <v/>
      </c>
      <c r="O2524" s="17">
        <f>-(K2524*0.025+L2524*0.025)</f>
        <v/>
      </c>
      <c r="P2524" s="17">
        <f>32</f>
        <v/>
      </c>
      <c r="Q2524" s="17">
        <f>J2524+L2524+N2524+O2524-P2524-M2524</f>
        <v/>
      </c>
    </row>
    <row r="2525">
      <c r="A2525" s="16" t="inlineStr">
        <is>
          <t>5.22-5.28</t>
        </is>
      </c>
      <c r="B2525" s="16" t="inlineStr">
        <is>
          <t>PO-128-06464184627832847</t>
        </is>
      </c>
      <c r="C2525" s="16" t="inlineStr">
        <is>
          <t>Delivered</t>
        </is>
      </c>
      <c r="D2525" s="16" t="inlineStr">
        <is>
          <t>128-06464252785272847</t>
        </is>
      </c>
      <c r="E2525" s="16" t="inlineStr">
        <is>
          <t>Delivered</t>
        </is>
      </c>
      <c r="F2525" s="16" t="inlineStr">
        <is>
          <t>LV64W25</t>
        </is>
      </c>
      <c r="G25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25" s="16" t="inlineStr">
        <is>
          <t>Blanco</t>
        </is>
      </c>
      <c r="I2525" s="16" t="n">
        <v>1</v>
      </c>
      <c r="J2525" s="17" t="n">
        <v>123.9</v>
      </c>
      <c r="K2525" s="17" t="n">
        <v>142.16</v>
      </c>
      <c r="L2525" s="17" t="n">
        <v>25.86</v>
      </c>
      <c r="M2525" s="17" t="n">
        <v>0</v>
      </c>
      <c r="N2525" s="17">
        <f>K2525*0.08+L2525*0.08</f>
        <v/>
      </c>
      <c r="O2525" s="17">
        <f>-(K2525*0.025+L2525*0.025)</f>
        <v/>
      </c>
      <c r="P2525" s="17">
        <f>32</f>
        <v/>
      </c>
      <c r="Q2525" s="17">
        <f>J2525+L2525+N2525+O2525-P2525-M2525</f>
        <v/>
      </c>
    </row>
    <row r="2526">
      <c r="A2526" s="16" t="inlineStr">
        <is>
          <t>5.22-5.28</t>
        </is>
      </c>
      <c r="B2526" s="16" t="inlineStr">
        <is>
          <t>PO-128-06257095137913121</t>
        </is>
      </c>
      <c r="C2526" s="16" t="inlineStr">
        <is>
          <t>Delivered</t>
        </is>
      </c>
      <c r="D2526" s="16" t="inlineStr">
        <is>
          <t>128-06257084652153121</t>
        </is>
      </c>
      <c r="E2526" s="16" t="inlineStr">
        <is>
          <t>Delivered</t>
        </is>
      </c>
      <c r="F2526" s="16" t="inlineStr">
        <is>
          <t>LV54W25</t>
        </is>
      </c>
      <c r="G2526" s="16" t="inlineStr">
        <is>
          <t>TIANLAI Lámpara Ventilador E27 2 en 1, Silenciosa, LED Alta Luminosidad 180°, Instalación Rápida, Ahorro Energético para Dormitorio y Interiores Pequeños</t>
        </is>
      </c>
      <c r="H2526" s="16" t="inlineStr">
        <is>
          <t>1 Pieza</t>
        </is>
      </c>
      <c r="I2526" s="16" t="n">
        <v>2</v>
      </c>
      <c r="J2526" s="17" t="n">
        <v>148.6</v>
      </c>
      <c r="K2526" s="17" t="n">
        <v>154.77</v>
      </c>
      <c r="L2526" s="17" t="n">
        <v>12.93</v>
      </c>
      <c r="M2526" s="17" t="n">
        <v>85.98</v>
      </c>
      <c r="N2526" s="17">
        <f>K2526*0.08+L2526*0.08</f>
        <v/>
      </c>
      <c r="O2526" s="17">
        <f>-(K2526*0.025+L2526*0.025)</f>
        <v/>
      </c>
      <c r="P2526" s="17">
        <f>32</f>
        <v/>
      </c>
      <c r="Q2526" s="17">
        <f>J2526+L2526+N2526+O2526-P2526-M2526</f>
        <v/>
      </c>
    </row>
    <row r="2527">
      <c r="A2527" s="16" t="inlineStr">
        <is>
          <t>5.22-5.28</t>
        </is>
      </c>
      <c r="B2527" s="16" t="inlineStr">
        <is>
          <t>PO-128-06356053714553683</t>
        </is>
      </c>
      <c r="C2527" s="16" t="inlineStr">
        <is>
          <t>Delivered</t>
        </is>
      </c>
      <c r="D2527" s="16" t="inlineStr">
        <is>
          <t>128-06356100900473683</t>
        </is>
      </c>
      <c r="E2527" s="16" t="inlineStr">
        <is>
          <t>Delivered</t>
        </is>
      </c>
      <c r="F2527" s="16" t="inlineStr">
        <is>
          <t>LV54W25</t>
        </is>
      </c>
      <c r="G2527" s="16" t="inlineStr">
        <is>
          <t>TIANLAI Lámpara Ventilador E27 2 en 1, Silenciosa, LED Alta Luminosidad 180°, Instalación Rápida, Ahorro Energético para Dormitorio y Interiores Pequeños</t>
        </is>
      </c>
      <c r="H2527" s="16" t="inlineStr">
        <is>
          <t>1 Pieza</t>
        </is>
      </c>
      <c r="I2527" s="16" t="n">
        <v>1</v>
      </c>
      <c r="J2527" s="17" t="n">
        <v>74.3</v>
      </c>
      <c r="K2527" s="17" t="n">
        <v>68.79000000000001</v>
      </c>
      <c r="L2527" s="17" t="n">
        <v>25.86</v>
      </c>
      <c r="M2527" s="17" t="n">
        <v>0</v>
      </c>
      <c r="N2527" s="17">
        <f>K2527*0.08+L2527*0.08</f>
        <v/>
      </c>
      <c r="O2527" s="17">
        <f>-(K2527*0.025+L2527*0.025)</f>
        <v/>
      </c>
      <c r="P2527" s="17">
        <f>32</f>
        <v/>
      </c>
      <c r="Q2527" s="17">
        <f>J2527+L2527+N2527+O2527-P2527-M2527</f>
        <v/>
      </c>
    </row>
    <row r="2528">
      <c r="A2528" s="16" t="inlineStr">
        <is>
          <t>5.22-5.28</t>
        </is>
      </c>
      <c r="B2528" s="16" t="inlineStr">
        <is>
          <t>PO-128-06780316237430067</t>
        </is>
      </c>
      <c r="C2528" s="16" t="inlineStr">
        <is>
          <t>Delivered</t>
        </is>
      </c>
      <c r="D2528" s="16" t="inlineStr">
        <is>
          <t>128-06780274294390067</t>
        </is>
      </c>
      <c r="E2528" s="16" t="inlineStr">
        <is>
          <t>Delivered</t>
        </is>
      </c>
      <c r="F2528" s="16" t="inlineStr">
        <is>
          <t>TL1455N20B</t>
        </is>
      </c>
      <c r="G2528" s="16" t="inlineStr">
        <is>
          <t>LINK BITS Soporte para TV 14 A 55 Pulgadas, Base para TV Pantalla Articulado Inclinable y Giratorio, MAX VESA 400×400 mm, Soporta hasta 18kg, adaptarse a la mayoría de los televisores de 14 Pulgadas/20 Pulgadas/32 Pulgadas/42 Pulgadas/55 pulgadas</t>
        </is>
      </c>
      <c r="H2528" s="16" t="inlineStr">
        <is>
          <t>TL1455N20B</t>
        </is>
      </c>
      <c r="I2528" s="16" t="n">
        <v>1</v>
      </c>
      <c r="J2528" s="17" t="n">
        <v>74.5</v>
      </c>
      <c r="K2528" s="17" t="n">
        <v>9.35</v>
      </c>
      <c r="L2528" s="17" t="n">
        <v>25.86</v>
      </c>
      <c r="M2528" s="17" t="n">
        <v>0</v>
      </c>
      <c r="N2528" s="17">
        <f>K2528*0.08+L2528*0.08</f>
        <v/>
      </c>
      <c r="O2528" s="17">
        <f>-(K2528*0.025+L2528*0.025)</f>
        <v/>
      </c>
      <c r="P2528" s="17">
        <f>32</f>
        <v/>
      </c>
      <c r="Q2528" s="17">
        <f>J2528+L2528+N2528+O2528-P2528-M2528</f>
        <v/>
      </c>
    </row>
    <row r="2529">
      <c r="A2529" s="16" t="inlineStr">
        <is>
          <t>5.22-5.28</t>
        </is>
      </c>
      <c r="B2529" s="16" t="inlineStr">
        <is>
          <t>PO-128-06824104064630892</t>
        </is>
      </c>
      <c r="C2529" s="16" t="inlineStr">
        <is>
          <t>Delivered</t>
        </is>
      </c>
      <c r="D2529" s="16" t="inlineStr">
        <is>
          <t>128-06824114550390892</t>
        </is>
      </c>
      <c r="E2529" s="16" t="inlineStr">
        <is>
          <t>Delivered</t>
        </is>
      </c>
      <c r="F2529" s="16" t="inlineStr">
        <is>
          <t>KTS-2031</t>
        </is>
      </c>
      <c r="G2529" s="16" t="inlineStr">
        <is>
          <t>Bocina inalámbrica de 3 pulgadas con linterna multifuncional y panel solar integrado.Altavoz Portátil con Linterna LED 4 Modos, Radio FM, Bluetooth, Carga Solar, Ideal para Apagones, Emergencias, Campo y Exteriores</t>
        </is>
      </c>
      <c r="H2529" s="16" t="inlineStr">
        <is>
          <t>NEGRO</t>
        </is>
      </c>
      <c r="I2529" s="16" t="n">
        <v>1</v>
      </c>
      <c r="J2529" s="17" t="n">
        <v>85</v>
      </c>
      <c r="K2529" s="17" t="n">
        <v>30.23</v>
      </c>
      <c r="L2529" s="17" t="n">
        <v>25.86</v>
      </c>
      <c r="M2529" s="17" t="n">
        <v>0</v>
      </c>
      <c r="N2529" s="17">
        <f>K2529*0.08+L2529*0.08</f>
        <v/>
      </c>
      <c r="O2529" s="17">
        <f>-(K2529*0.025+L2529*0.025)</f>
        <v/>
      </c>
      <c r="P2529" s="17">
        <f>32</f>
        <v/>
      </c>
      <c r="Q2529" s="17">
        <f>J2529+L2529+N2529+O2529-P2529-M2529</f>
        <v/>
      </c>
    </row>
    <row r="2530">
      <c r="A2530" s="16" t="inlineStr">
        <is>
          <t>5.22-5.28</t>
        </is>
      </c>
      <c r="B2530" s="16" t="inlineStr">
        <is>
          <t>PO-128-06304985544313922</t>
        </is>
      </c>
      <c r="C2530" s="16" t="inlineStr">
        <is>
          <t>Delivered</t>
        </is>
      </c>
      <c r="D2530" s="16" t="inlineStr">
        <is>
          <t>128-06305006515833922</t>
        </is>
      </c>
      <c r="E2530" s="16" t="inlineStr">
        <is>
          <t>Delivered</t>
        </is>
      </c>
      <c r="F2530" s="16" t="inlineStr">
        <is>
          <t>KTS-2031</t>
        </is>
      </c>
      <c r="G2530" s="16" t="inlineStr">
        <is>
          <t>Bocina inalámbrica de 3 pulgadas con linterna multifuncional y panel solar integrado.Altavoz Portátil con Linterna LED 4 Modos, Radio FM, Bluetooth, Carga Solar, Ideal para Apagones, Emergencias, Campo y Exteriores</t>
        </is>
      </c>
      <c r="H2530" s="16" t="inlineStr">
        <is>
          <t>NEGRO</t>
        </is>
      </c>
      <c r="I2530" s="16" t="n">
        <v>1</v>
      </c>
      <c r="J2530" s="17" t="n">
        <v>85</v>
      </c>
      <c r="K2530" s="17" t="n">
        <v>46.41</v>
      </c>
      <c r="L2530" s="17" t="n">
        <v>25.86</v>
      </c>
      <c r="M2530" s="17" t="n">
        <v>0</v>
      </c>
      <c r="N2530" s="17">
        <f>K2530*0.08+L2530*0.08</f>
        <v/>
      </c>
      <c r="O2530" s="17">
        <f>-(K2530*0.025+L2530*0.025)</f>
        <v/>
      </c>
      <c r="P2530" s="17">
        <f>32</f>
        <v/>
      </c>
      <c r="Q2530" s="17">
        <f>J2530+L2530+N2530+O2530-P2530-M2530</f>
        <v/>
      </c>
    </row>
    <row r="2531">
      <c r="A2531" s="16" t="inlineStr">
        <is>
          <t>5.22-5.28</t>
        </is>
      </c>
      <c r="B2531" s="16" t="inlineStr">
        <is>
          <t>PO-128-06640535706231794</t>
        </is>
      </c>
      <c r="C2531" s="16" t="inlineStr">
        <is>
          <t>Delivered</t>
        </is>
      </c>
      <c r="D2531" s="16" t="inlineStr">
        <is>
          <t>128-06640556677751794</t>
        </is>
      </c>
      <c r="E2531" s="16" t="inlineStr">
        <is>
          <t>Delivered</t>
        </is>
      </c>
      <c r="F2531" s="16" t="inlineStr">
        <is>
          <t>LV54W25</t>
        </is>
      </c>
      <c r="G2531" s="16" t="inlineStr">
        <is>
          <t>TIANLAI Lámpara Ventilador E27 2 en 1, Silenciosa, LED Alta Luminosidad 180°, Instalación Rápida, Ahorro Energético para Dormitorio y Interiores Pequeños</t>
        </is>
      </c>
      <c r="H2531" s="16" t="inlineStr">
        <is>
          <t>1 Pieza</t>
        </is>
      </c>
      <c r="I2531" s="16" t="n">
        <v>1</v>
      </c>
      <c r="J2531" s="17" t="n">
        <v>74.3</v>
      </c>
      <c r="K2531" s="17" t="n">
        <v>77.39</v>
      </c>
      <c r="L2531" s="17" t="n">
        <v>25.86</v>
      </c>
      <c r="M2531" s="17" t="n">
        <v>0</v>
      </c>
      <c r="N2531" s="17">
        <f>K2531*0.08+L2531*0.08</f>
        <v/>
      </c>
      <c r="O2531" s="17">
        <f>-(K2531*0.025+L2531*0.025)</f>
        <v/>
      </c>
      <c r="P2531" s="17">
        <f>32</f>
        <v/>
      </c>
      <c r="Q2531" s="17">
        <f>J2531+L2531+N2531+O2531-P2531-M2531</f>
        <v/>
      </c>
    </row>
    <row r="2532">
      <c r="A2532" s="16" t="inlineStr">
        <is>
          <t>5.22-5.28</t>
        </is>
      </c>
      <c r="B2532" s="16" t="inlineStr">
        <is>
          <t>PO-128-06758287278710196</t>
        </is>
      </c>
      <c r="C2532" s="16" t="inlineStr">
        <is>
          <t>Delivered</t>
        </is>
      </c>
      <c r="D2532" s="16" t="inlineStr">
        <is>
          <t>128-06758355436150196</t>
        </is>
      </c>
      <c r="E2532" s="16" t="inlineStr">
        <is>
          <t>Delivered</t>
        </is>
      </c>
      <c r="F2532" s="16" t="inlineStr">
        <is>
          <t>LV64W25</t>
        </is>
      </c>
      <c r="G25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32" s="16" t="inlineStr">
        <is>
          <t>Blanco</t>
        </is>
      </c>
      <c r="I2532" s="16" t="n">
        <v>6</v>
      </c>
      <c r="J2532" s="17" t="n">
        <v>743.4</v>
      </c>
      <c r="K2532" s="17" t="n">
        <v>852.96</v>
      </c>
      <c r="L2532" s="17" t="n">
        <v>0</v>
      </c>
      <c r="M2532" s="17" t="n">
        <v>0</v>
      </c>
      <c r="N2532" s="17">
        <f>K2532*0.08+L2532*0.08</f>
        <v/>
      </c>
      <c r="O2532" s="17">
        <f>-(K2532*0.025+L2532*0.025)</f>
        <v/>
      </c>
      <c r="P2532" s="17">
        <f>32</f>
        <v/>
      </c>
      <c r="Q2532" s="17">
        <f>J2532+L2532+N2532+O2532-P2532-M2532</f>
        <v/>
      </c>
    </row>
    <row r="2533">
      <c r="A2533" s="16" t="inlineStr">
        <is>
          <t>5.22-5.28</t>
        </is>
      </c>
      <c r="B2533" s="16" t="inlineStr">
        <is>
          <t>PO-128-06350141758073655</t>
        </is>
      </c>
      <c r="C2533" s="16" t="inlineStr">
        <is>
          <t>Delivered</t>
        </is>
      </c>
      <c r="D2533" s="16" t="inlineStr">
        <is>
          <t>128-06350174526073655</t>
        </is>
      </c>
      <c r="E2533" s="16" t="inlineStr">
        <is>
          <t>Delivered</t>
        </is>
      </c>
      <c r="F2533" s="16" t="inlineStr">
        <is>
          <t>LV54W25</t>
        </is>
      </c>
      <c r="G2533" s="16" t="inlineStr">
        <is>
          <t>TIANLAI Lámpara Ventilador E27 2 en 1, Silenciosa, LED Alta Luminosidad 180°, Instalación Rápida, Ahorro Energético para Dormitorio y Interiores Pequeños</t>
        </is>
      </c>
      <c r="H2533" s="16" t="inlineStr">
        <is>
          <t>1 Pieza</t>
        </is>
      </c>
      <c r="I2533" s="16" t="n">
        <v>1</v>
      </c>
      <c r="J2533" s="17" t="n">
        <v>74.3</v>
      </c>
      <c r="K2533" s="17" t="n">
        <v>85.98</v>
      </c>
      <c r="L2533" s="17" t="n">
        <v>25.86</v>
      </c>
      <c r="M2533" s="17" t="n">
        <v>0</v>
      </c>
      <c r="N2533" s="17">
        <f>K2533*0.08+L2533*0.08</f>
        <v/>
      </c>
      <c r="O2533" s="17">
        <f>-(K2533*0.025+L2533*0.025)</f>
        <v/>
      </c>
      <c r="P2533" s="17">
        <f>32</f>
        <v/>
      </c>
      <c r="Q2533" s="17">
        <f>J2533+L2533+N2533+O2533-P2533-M2533</f>
        <v/>
      </c>
    </row>
    <row r="2534">
      <c r="A2534" s="16" t="inlineStr">
        <is>
          <t>5.22-5.28</t>
        </is>
      </c>
      <c r="B2534" s="16" t="inlineStr">
        <is>
          <t>PO-128-06244563953273322</t>
        </is>
      </c>
      <c r="C2534" s="16" t="inlineStr">
        <is>
          <t>Delivered</t>
        </is>
      </c>
      <c r="D2534" s="16" t="inlineStr">
        <is>
          <t>128-06244563461753322</t>
        </is>
      </c>
      <c r="E2534" s="16" t="inlineStr">
        <is>
          <t>Delivered</t>
        </is>
      </c>
      <c r="F2534" s="16" t="inlineStr">
        <is>
          <t>KTS-2031</t>
        </is>
      </c>
      <c r="G2534" s="16" t="inlineStr">
        <is>
          <t>Bocina inalámbrica de 3 pulgadas con linterna multifuncional y panel solar integrado.Altavoz Portátil con Linterna LED 4 Modos, Radio FM, Bluetooth, Carga Solar, Ideal para Apagones, Emergencias, Campo y Exteriores</t>
        </is>
      </c>
      <c r="H2534" s="16" t="inlineStr">
        <is>
          <t>NEGRO</t>
        </is>
      </c>
      <c r="I2534" s="16" t="n">
        <v>1</v>
      </c>
      <c r="J2534" s="17" t="n">
        <v>85</v>
      </c>
      <c r="K2534" s="17" t="n">
        <v>94.22</v>
      </c>
      <c r="L2534" s="17" t="n">
        <v>25.86</v>
      </c>
      <c r="M2534" s="17" t="n">
        <v>0</v>
      </c>
      <c r="N2534" s="17">
        <f>K2534*0.08+L2534*0.08</f>
        <v/>
      </c>
      <c r="O2534" s="17">
        <f>-(K2534*0.025+L2534*0.025)</f>
        <v/>
      </c>
      <c r="P2534" s="17">
        <f>32</f>
        <v/>
      </c>
      <c r="Q2534" s="17">
        <f>J2534+L2534+N2534+O2534-P2534-M2534</f>
        <v/>
      </c>
    </row>
    <row r="2535">
      <c r="A2535" s="16" t="inlineStr">
        <is>
          <t>5.22-5.28</t>
        </is>
      </c>
      <c r="B2535" s="16" t="inlineStr">
        <is>
          <t>PO-128-06320878823033765</t>
        </is>
      </c>
      <c r="C2535" s="16" t="inlineStr">
        <is>
          <t>Delivered</t>
        </is>
      </c>
      <c r="D2535" s="16" t="inlineStr">
        <is>
          <t>128-06320847365753765</t>
        </is>
      </c>
      <c r="E2535" s="16" t="inlineStr">
        <is>
          <t>Delivered</t>
        </is>
      </c>
      <c r="F2535" s="16" t="inlineStr">
        <is>
          <t>LV64W25</t>
        </is>
      </c>
      <c r="G25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35" s="16" t="inlineStr">
        <is>
          <t>Blanco</t>
        </is>
      </c>
      <c r="I2535" s="16" t="n">
        <v>2</v>
      </c>
      <c r="J2535" s="17" t="n">
        <v>247.8</v>
      </c>
      <c r="K2535" s="17" t="n">
        <v>236.5</v>
      </c>
      <c r="L2535" s="17" t="n">
        <v>0</v>
      </c>
      <c r="M2535" s="17" t="n">
        <v>0</v>
      </c>
      <c r="N2535" s="17">
        <f>K2535*0.08+L2535*0.08</f>
        <v/>
      </c>
      <c r="O2535" s="17">
        <f>-(K2535*0.025+L2535*0.025)</f>
        <v/>
      </c>
      <c r="P2535" s="17">
        <f>32</f>
        <v/>
      </c>
      <c r="Q2535" s="17">
        <f>J2535+L2535+N2535+O2535-P2535-M2535</f>
        <v/>
      </c>
    </row>
    <row r="2536">
      <c r="A2536" s="16" t="inlineStr">
        <is>
          <t>5.22-5.28</t>
        </is>
      </c>
      <c r="B2536" s="16" t="inlineStr">
        <is>
          <t>PO-128-06392923018872374</t>
        </is>
      </c>
      <c r="C2536" s="16" t="inlineStr">
        <is>
          <t>Delivered</t>
        </is>
      </c>
      <c r="D2536" s="16" t="inlineStr">
        <is>
          <t>128-06392881075832374</t>
        </is>
      </c>
      <c r="E2536" s="16" t="inlineStr">
        <is>
          <t>Delivered</t>
        </is>
      </c>
      <c r="F2536" s="16" t="inlineStr">
        <is>
          <t>LV64W25</t>
        </is>
      </c>
      <c r="G25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36" s="16" t="inlineStr">
        <is>
          <t>Blanco</t>
        </is>
      </c>
      <c r="I2536" s="16" t="n">
        <v>3</v>
      </c>
      <c r="J2536" s="17" t="n">
        <v>371.7</v>
      </c>
      <c r="K2536" s="17" t="n">
        <v>426.48</v>
      </c>
      <c r="L2536" s="17" t="n">
        <v>0</v>
      </c>
      <c r="M2536" s="17" t="n">
        <v>0</v>
      </c>
      <c r="N2536" s="17">
        <f>K2536*0.08+L2536*0.08</f>
        <v/>
      </c>
      <c r="O2536" s="17">
        <f>-(K2536*0.025+L2536*0.025)</f>
        <v/>
      </c>
      <c r="P2536" s="17">
        <f>32</f>
        <v/>
      </c>
      <c r="Q2536" s="17">
        <f>J2536+L2536+N2536+O2536-P2536-M2536</f>
        <v/>
      </c>
    </row>
    <row r="2537">
      <c r="A2537" s="16" t="inlineStr">
        <is>
          <t>5.22-5.28</t>
        </is>
      </c>
      <c r="B2537" s="16" t="inlineStr">
        <is>
          <t>PO-128-06595876465271036</t>
        </is>
      </c>
      <c r="C2537" s="16" t="inlineStr">
        <is>
          <t>Delivered</t>
        </is>
      </c>
      <c r="D2537" s="16" t="inlineStr">
        <is>
          <t>128-06595918408311036</t>
        </is>
      </c>
      <c r="E2537" s="16" t="inlineStr">
        <is>
          <t>Delivered</t>
        </is>
      </c>
      <c r="F2537" s="16" t="inlineStr">
        <is>
          <t>KTS-2031</t>
        </is>
      </c>
      <c r="G2537" s="16" t="inlineStr">
        <is>
          <t>Bocina inalámbrica de 3 pulgadas con linterna multifuncional y panel solar integrado.Altavoz Portátil con Linterna LED 4 Modos, Radio FM, Bluetooth, Carga Solar, Ideal para Apagones, Emergencias, Campo y Exteriores</t>
        </is>
      </c>
      <c r="H2537" s="16" t="inlineStr">
        <is>
          <t>NEGRO</t>
        </is>
      </c>
      <c r="I2537" s="16" t="n">
        <v>1</v>
      </c>
      <c r="J2537" s="17" t="n">
        <v>85</v>
      </c>
      <c r="K2537" s="17" t="n">
        <v>33.88</v>
      </c>
      <c r="L2537" s="17" t="n">
        <v>25.86</v>
      </c>
      <c r="M2537" s="17" t="n">
        <v>0</v>
      </c>
      <c r="N2537" s="17">
        <f>K2537*0.08+L2537*0.08</f>
        <v/>
      </c>
      <c r="O2537" s="17">
        <f>-(K2537*0.025+L2537*0.025)</f>
        <v/>
      </c>
      <c r="P2537" s="17">
        <f>32</f>
        <v/>
      </c>
      <c r="Q2537" s="17">
        <f>J2537+L2537+N2537+O2537-P2537-M2537</f>
        <v/>
      </c>
    </row>
    <row r="2538">
      <c r="A2538" s="16" t="inlineStr">
        <is>
          <t>5.22-5.28</t>
        </is>
      </c>
      <c r="B2538" s="16" t="inlineStr">
        <is>
          <t>PO-128-06783104743030112</t>
        </is>
      </c>
      <c r="C2538" s="16" t="inlineStr">
        <is>
          <t>Delivered</t>
        </is>
      </c>
      <c r="D2538" s="16" t="inlineStr">
        <is>
          <t>128-06783062799990112</t>
        </is>
      </c>
      <c r="E2538" s="16" t="inlineStr">
        <is>
          <t>Delivered</t>
        </is>
      </c>
      <c r="F2538" s="16" t="inlineStr">
        <is>
          <t>LV54W25</t>
        </is>
      </c>
      <c r="G2538" s="16" t="inlineStr">
        <is>
          <t>TIANLAI Lámpara Ventilador E27 2 en 1, Silenciosa, LED Alta Luminosidad 180°, Instalación Rápida, Ahorro Energético para Dormitorio y Interiores Pequeños</t>
        </is>
      </c>
      <c r="H2538" s="16" t="inlineStr">
        <is>
          <t>1 Pieza</t>
        </is>
      </c>
      <c r="I2538" s="16" t="n">
        <v>1</v>
      </c>
      <c r="J2538" s="17" t="n">
        <v>74.3</v>
      </c>
      <c r="K2538" s="17" t="n">
        <v>73.08</v>
      </c>
      <c r="L2538" s="17" t="n">
        <v>25.86</v>
      </c>
      <c r="M2538" s="17" t="n">
        <v>0</v>
      </c>
      <c r="N2538" s="17">
        <f>K2538*0.08+L2538*0.08</f>
        <v/>
      </c>
      <c r="O2538" s="17">
        <f>-(K2538*0.025+L2538*0.025)</f>
        <v/>
      </c>
      <c r="P2538" s="17">
        <f>32</f>
        <v/>
      </c>
      <c r="Q2538" s="17">
        <f>J2538+L2538+N2538+O2538-P2538-M2538</f>
        <v/>
      </c>
    </row>
    <row r="2539">
      <c r="A2539" s="16" t="inlineStr">
        <is>
          <t>5.22-5.28</t>
        </is>
      </c>
      <c r="B2539" s="16" t="inlineStr">
        <is>
          <t>PO-128-06189251297913460</t>
        </is>
      </c>
      <c r="C2539" s="16" t="inlineStr">
        <is>
          <t>Delivered</t>
        </is>
      </c>
      <c r="D2539" s="16" t="inlineStr">
        <is>
          <t>128-06189209354873460</t>
        </is>
      </c>
      <c r="E2539" s="16" t="inlineStr">
        <is>
          <t>Delivered</t>
        </is>
      </c>
      <c r="F2539" s="16" t="inlineStr">
        <is>
          <t>BSC04</t>
        </is>
      </c>
      <c r="G2539" s="16" t="inlineStr">
        <is>
          <t>TIANLAI Báscula Digital BSC04/BSC07, Alta Precisión, Fácil Operación, Ligera y Portátil, Función Tara, Unidad Dual oz/g, Ideal para Cocina, Control de Porciones, Sellos y Objetos Pequeños, Uso en Hogar y Viaje</t>
        </is>
      </c>
      <c r="H2539" s="16" t="inlineStr">
        <is>
          <t>5g/White</t>
        </is>
      </c>
      <c r="I2539" s="16" t="n">
        <v>1</v>
      </c>
      <c r="J2539" s="17" t="n">
        <v>54</v>
      </c>
      <c r="K2539" s="17" t="n">
        <v>70.29000000000001</v>
      </c>
      <c r="L2539" s="17" t="n">
        <v>25.86</v>
      </c>
      <c r="M2539" s="17" t="n">
        <v>0</v>
      </c>
      <c r="N2539" s="17">
        <f>K2539*0.08+L2539*0.08</f>
        <v/>
      </c>
      <c r="O2539" s="17">
        <f>-(K2539*0.025+L2539*0.025)</f>
        <v/>
      </c>
      <c r="P2539" s="17">
        <f>32</f>
        <v/>
      </c>
      <c r="Q2539" s="17">
        <f>J2539+L2539+N2539+O2539-P2539-M2539</f>
        <v/>
      </c>
    </row>
    <row r="2540">
      <c r="A2540" s="16" t="inlineStr">
        <is>
          <t>5.22-5.28</t>
        </is>
      </c>
      <c r="B2540" s="16" t="inlineStr">
        <is>
          <t>PO-128-06694237512311602</t>
        </is>
      </c>
      <c r="C2540" s="16" t="inlineStr">
        <is>
          <t>Delivered</t>
        </is>
      </c>
      <c r="D2540" s="16" t="inlineStr">
        <is>
          <t>128-06694195569271602</t>
        </is>
      </c>
      <c r="E2540" s="16" t="inlineStr">
        <is>
          <t>Delivered</t>
        </is>
      </c>
      <c r="F2540" s="16" t="inlineStr">
        <is>
          <t>LV54W25</t>
        </is>
      </c>
      <c r="G2540" s="16" t="inlineStr">
        <is>
          <t>TIANLAI Lámpara Ventilador E27 2 en 1, Silenciosa, LED Alta Luminosidad 180°, Instalación Rápida, Ahorro Energético para Dormitorio y Interiores Pequeños</t>
        </is>
      </c>
      <c r="H2540" s="16" t="inlineStr">
        <is>
          <t>1 Pieza</t>
        </is>
      </c>
      <c r="I2540" s="16" t="n">
        <v>1</v>
      </c>
      <c r="J2540" s="17" t="n">
        <v>74.3</v>
      </c>
      <c r="K2540" s="17" t="n">
        <v>85.98</v>
      </c>
      <c r="L2540" s="17" t="n">
        <v>0</v>
      </c>
      <c r="M2540" s="17" t="n">
        <v>85.98</v>
      </c>
      <c r="N2540" s="17">
        <f>K2540*0.08+L2540*0.08</f>
        <v/>
      </c>
      <c r="O2540" s="17">
        <f>-(K2540*0.025+L2540*0.025)</f>
        <v/>
      </c>
      <c r="P2540" s="17">
        <f>32</f>
        <v/>
      </c>
      <c r="Q2540" s="17">
        <f>J2540+L2540+N2540+O2540-P2540-M2540</f>
        <v/>
      </c>
    </row>
    <row r="2541">
      <c r="A2541" s="16" t="inlineStr">
        <is>
          <t>5.22-5.28</t>
        </is>
      </c>
      <c r="B2541" s="16" t="inlineStr">
        <is>
          <t>PO-128-06239902597753286</t>
        </is>
      </c>
      <c r="C2541" s="16" t="inlineStr">
        <is>
          <t>Delivered</t>
        </is>
      </c>
      <c r="D2541" s="16" t="inlineStr">
        <is>
          <t>128-06239923569273286</t>
        </is>
      </c>
      <c r="E2541" s="16" t="inlineStr">
        <is>
          <t>Delivered</t>
        </is>
      </c>
      <c r="F2541" s="16" t="inlineStr">
        <is>
          <t>LV54W25</t>
        </is>
      </c>
      <c r="G2541" s="16" t="inlineStr">
        <is>
          <t>TIANLAI Lámpara Ventilador E27 2 en 1, Silenciosa, LED Alta Luminosidad 180°, Instalación Rápida, Ahorro Energético para Dormitorio y Interiores Pequeños</t>
        </is>
      </c>
      <c r="H2541" s="16" t="inlineStr">
        <is>
          <t>1 Pieza</t>
        </is>
      </c>
      <c r="I2541" s="16" t="n">
        <v>1</v>
      </c>
      <c r="J2541" s="17" t="n">
        <v>74.3</v>
      </c>
      <c r="K2541" s="17" t="n">
        <v>79.11</v>
      </c>
      <c r="L2541" s="17" t="n">
        <v>25.86</v>
      </c>
      <c r="M2541" s="17" t="n">
        <v>0</v>
      </c>
      <c r="N2541" s="17">
        <f>K2541*0.08+L2541*0.08</f>
        <v/>
      </c>
      <c r="O2541" s="17">
        <f>-(K2541*0.025+L2541*0.025)</f>
        <v/>
      </c>
      <c r="P2541" s="17">
        <f>32</f>
        <v/>
      </c>
      <c r="Q2541" s="17">
        <f>J2541+L2541+N2541+O2541-P2541-M2541</f>
        <v/>
      </c>
    </row>
    <row r="2542">
      <c r="A2542" s="16" t="inlineStr">
        <is>
          <t>5.22-5.28</t>
        </is>
      </c>
      <c r="B2542" s="16" t="inlineStr">
        <is>
          <t>PO-128-06226650624633431</t>
        </is>
      </c>
      <c r="C2542" s="16" t="inlineStr">
        <is>
          <t>Delivered</t>
        </is>
      </c>
      <c r="D2542" s="16" t="inlineStr">
        <is>
          <t>128-06226671596153431</t>
        </is>
      </c>
      <c r="E2542" s="16" t="inlineStr">
        <is>
          <t>Delivered</t>
        </is>
      </c>
      <c r="F2542" s="16" t="inlineStr">
        <is>
          <t>TL1455N20B</t>
        </is>
      </c>
      <c r="G2542" s="16" t="inlineStr">
        <is>
          <t>LINK BITS Soporte para TV 14 A 55 Pulgadas, Base para TV Pantalla Articulado Inclinable y Giratorio, MAX VESA 400×400 mm, Soporta hasta 18kg, adaptarse a la mayoría de los televisores de 14 Pulgadas/20 Pulgadas/32 Pulgadas/42 Pulgadas/55 pulgadas</t>
        </is>
      </c>
      <c r="H2542" s="16" t="inlineStr">
        <is>
          <t>TL1455N20B</t>
        </is>
      </c>
      <c r="I2542" s="16" t="n">
        <v>1</v>
      </c>
      <c r="J2542" s="17" t="n">
        <v>74.5</v>
      </c>
      <c r="K2542" s="17" t="n">
        <v>95.56</v>
      </c>
      <c r="L2542" s="17" t="n">
        <v>25.86</v>
      </c>
      <c r="M2542" s="17" t="n">
        <v>0</v>
      </c>
      <c r="N2542" s="17">
        <f>K2542*0.08+L2542*0.08</f>
        <v/>
      </c>
      <c r="O2542" s="17">
        <f>-(K2542*0.025+L2542*0.025)</f>
        <v/>
      </c>
      <c r="P2542" s="17">
        <f>32</f>
        <v/>
      </c>
      <c r="Q2542" s="17">
        <f>J2542+L2542+N2542+O2542-P2542-M2542</f>
        <v/>
      </c>
    </row>
    <row r="2543">
      <c r="A2543" s="16" t="inlineStr">
        <is>
          <t>5.22-5.28</t>
        </is>
      </c>
      <c r="B2543" s="16" t="inlineStr">
        <is>
          <t>PO-128-06239466885753288</t>
        </is>
      </c>
      <c r="C2543" s="16" t="inlineStr">
        <is>
          <t>Delivered</t>
        </is>
      </c>
      <c r="D2543" s="16" t="inlineStr">
        <is>
          <t>128-06239498343033288</t>
        </is>
      </c>
      <c r="E2543" s="16" t="inlineStr">
        <is>
          <t>Delivered</t>
        </is>
      </c>
      <c r="F2543" s="16" t="inlineStr">
        <is>
          <t>LV54W25</t>
        </is>
      </c>
      <c r="G2543" s="16" t="inlineStr">
        <is>
          <t>TIANLAI Lámpara Ventilador E27 2 en 1, Silenciosa, LED Alta Luminosidad 180°, Instalación Rápida, Ahorro Energético para Dormitorio y Interiores Pequeños</t>
        </is>
      </c>
      <c r="H2543" s="16" t="inlineStr">
        <is>
          <t>1 Pieza</t>
        </is>
      </c>
      <c r="I2543" s="16" t="n">
        <v>2</v>
      </c>
      <c r="J2543" s="17" t="n">
        <v>148.6</v>
      </c>
      <c r="K2543" s="17" t="n">
        <v>154.78</v>
      </c>
      <c r="L2543" s="17" t="n">
        <v>25.86</v>
      </c>
      <c r="M2543" s="17" t="n">
        <v>0</v>
      </c>
      <c r="N2543" s="17">
        <f>K2543*0.08+L2543*0.08</f>
        <v/>
      </c>
      <c r="O2543" s="17">
        <f>-(K2543*0.025+L2543*0.025)</f>
        <v/>
      </c>
      <c r="P2543" s="17">
        <f>32</f>
        <v/>
      </c>
      <c r="Q2543" s="17">
        <f>J2543+L2543+N2543+O2543-P2543-M2543</f>
        <v/>
      </c>
    </row>
    <row r="2544">
      <c r="A2544" s="16" t="inlineStr">
        <is>
          <t>5.22-5.28</t>
        </is>
      </c>
      <c r="B2544" s="16" t="inlineStr">
        <is>
          <t>PO-128-06584173594231234</t>
        </is>
      </c>
      <c r="C2544" s="16" t="inlineStr">
        <is>
          <t>Delivered</t>
        </is>
      </c>
      <c r="D2544" s="16" t="inlineStr">
        <is>
          <t>128-06584194565751234</t>
        </is>
      </c>
      <c r="E2544" s="16" t="inlineStr">
        <is>
          <t>Delivered</t>
        </is>
      </c>
      <c r="F2544" s="16" t="inlineStr">
        <is>
          <t>LV54W25</t>
        </is>
      </c>
      <c r="G2544" s="16" t="inlineStr">
        <is>
          <t>TIANLAI Lámpara Ventilador E27 2 en 1, Silenciosa, LED Alta Luminosidad 180°, Instalación Rápida, Ahorro Energético para Dormitorio y Interiores Pequeños</t>
        </is>
      </c>
      <c r="H2544" s="16" t="inlineStr">
        <is>
          <t>1 Pieza</t>
        </is>
      </c>
      <c r="I2544" s="16" t="n">
        <v>3</v>
      </c>
      <c r="J2544" s="17" t="n">
        <v>222.9</v>
      </c>
      <c r="K2544" s="17" t="n">
        <v>237.33</v>
      </c>
      <c r="L2544" s="17" t="n">
        <v>0</v>
      </c>
      <c r="M2544" s="17" t="n">
        <v>0</v>
      </c>
      <c r="N2544" s="17">
        <f>K2544*0.08+L2544*0.08</f>
        <v/>
      </c>
      <c r="O2544" s="17">
        <f>-(K2544*0.025+L2544*0.025)</f>
        <v/>
      </c>
      <c r="P2544" s="17">
        <f>32</f>
        <v/>
      </c>
      <c r="Q2544" s="17">
        <f>J2544+L2544+N2544+O2544-P2544-M2544</f>
        <v/>
      </c>
    </row>
    <row r="2545">
      <c r="A2545" s="16" t="inlineStr">
        <is>
          <t>5.22-5.28</t>
        </is>
      </c>
      <c r="B2545" s="16" t="inlineStr">
        <is>
          <t>PO-128-06565328241271346</t>
        </is>
      </c>
      <c r="C2545" s="16" t="inlineStr">
        <is>
          <t>Delivered</t>
        </is>
      </c>
      <c r="D2545" s="16" t="inlineStr">
        <is>
          <t>128-06565286298231346</t>
        </is>
      </c>
      <c r="E2545" s="16" t="inlineStr">
        <is>
          <t>Delivered</t>
        </is>
      </c>
      <c r="F2545" s="16" t="inlineStr">
        <is>
          <t>LV54W25</t>
        </is>
      </c>
      <c r="G2545" s="16" t="inlineStr">
        <is>
          <t>TIANLAI Lámpara Ventilador E27 2 en 1, Silenciosa, LED Alta Luminosidad 180°, Instalación Rápida, Ahorro Energético para Dormitorio y Interiores Pequeños</t>
        </is>
      </c>
      <c r="H2545" s="16" t="inlineStr">
        <is>
          <t>1 Pieza</t>
        </is>
      </c>
      <c r="I2545" s="16" t="n">
        <v>1</v>
      </c>
      <c r="J2545" s="17" t="n">
        <v>74.3</v>
      </c>
      <c r="K2545" s="17" t="n">
        <v>79.11</v>
      </c>
      <c r="L2545" s="17" t="n">
        <v>25.86</v>
      </c>
      <c r="M2545" s="17" t="n">
        <v>0</v>
      </c>
      <c r="N2545" s="17">
        <f>K2545*0.08+L2545*0.08</f>
        <v/>
      </c>
      <c r="O2545" s="17">
        <f>-(K2545*0.025+L2545*0.025)</f>
        <v/>
      </c>
      <c r="P2545" s="17">
        <f>32</f>
        <v/>
      </c>
      <c r="Q2545" s="17">
        <f>J2545+L2545+N2545+O2545-P2545-M2545</f>
        <v/>
      </c>
    </row>
    <row r="2546">
      <c r="A2546" s="16" t="inlineStr">
        <is>
          <t>5.22-5.28</t>
        </is>
      </c>
      <c r="B2546" s="16" t="inlineStr">
        <is>
          <t>PO-128-06684320369271599</t>
        </is>
      </c>
      <c r="C2546" s="16" t="inlineStr">
        <is>
          <t>Delivered</t>
        </is>
      </c>
      <c r="D2546" s="16" t="inlineStr">
        <is>
          <t>128-06684341340791599</t>
        </is>
      </c>
      <c r="E2546" s="16" t="inlineStr">
        <is>
          <t>Delivered</t>
        </is>
      </c>
      <c r="F2546" s="16" t="inlineStr">
        <is>
          <t>LV64W25</t>
        </is>
      </c>
      <c r="G25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46" s="16" t="inlineStr">
        <is>
          <t>Blanco</t>
        </is>
      </c>
      <c r="I2546" s="16" t="n">
        <v>1</v>
      </c>
      <c r="J2546" s="17" t="n">
        <v>123.9</v>
      </c>
      <c r="K2546" s="17" t="n">
        <v>59.4</v>
      </c>
      <c r="L2546" s="17" t="n">
        <v>25.86</v>
      </c>
      <c r="M2546" s="17" t="n">
        <v>0</v>
      </c>
      <c r="N2546" s="17">
        <f>K2546*0.08+L2546*0.08</f>
        <v/>
      </c>
      <c r="O2546" s="17">
        <f>-(K2546*0.025+L2546*0.025)</f>
        <v/>
      </c>
      <c r="P2546" s="17">
        <f>32</f>
        <v/>
      </c>
      <c r="Q2546" s="17">
        <f>J2546+L2546+N2546+O2546-P2546-M2546</f>
        <v/>
      </c>
    </row>
    <row r="2547">
      <c r="A2547" s="16" t="inlineStr">
        <is>
          <t>5.22-5.28</t>
        </is>
      </c>
      <c r="B2547" s="16" t="inlineStr">
        <is>
          <t>PO-128-06530000655991431</t>
        </is>
      </c>
      <c r="C2547" s="16" t="inlineStr">
        <is>
          <t>Delivered</t>
        </is>
      </c>
      <c r="D2547" s="16" t="inlineStr">
        <is>
          <t>128-06529958712951431</t>
        </is>
      </c>
      <c r="E2547" s="16" t="inlineStr">
        <is>
          <t>Delivered</t>
        </is>
      </c>
      <c r="F2547" s="16" t="inlineStr">
        <is>
          <t>LV54W25</t>
        </is>
      </c>
      <c r="G2547" s="16" t="inlineStr">
        <is>
          <t>TIANLAI Lámpara Ventilador E27 2 en 1, Silenciosa, LED Alta Luminosidad 180°, Instalación Rápida, Ahorro Energético para Dormitorio y Interiores Pequeños</t>
        </is>
      </c>
      <c r="H2547" s="16" t="inlineStr">
        <is>
          <t>1 Pieza</t>
        </is>
      </c>
      <c r="I2547" s="16" t="n">
        <v>5</v>
      </c>
      <c r="J2547" s="17" t="n">
        <v>371.5</v>
      </c>
      <c r="K2547" s="17" t="n">
        <v>395.55</v>
      </c>
      <c r="L2547" s="17" t="n">
        <v>0</v>
      </c>
      <c r="M2547" s="17" t="n">
        <v>0</v>
      </c>
      <c r="N2547" s="17">
        <f>K2547*0.08+L2547*0.08</f>
        <v/>
      </c>
      <c r="O2547" s="17">
        <f>-(K2547*0.025+L2547*0.025)</f>
        <v/>
      </c>
      <c r="P2547" s="17">
        <f>32</f>
        <v/>
      </c>
      <c r="Q2547" s="17">
        <f>J2547+L2547+N2547+O2547-P2547-M2547</f>
        <v/>
      </c>
    </row>
    <row r="2548">
      <c r="A2548" s="16" t="inlineStr">
        <is>
          <t>5.22-5.28</t>
        </is>
      </c>
      <c r="B2548" s="16" t="inlineStr">
        <is>
          <t>PO-128-06749189530230186</t>
        </is>
      </c>
      <c r="C2548" s="16" t="inlineStr">
        <is>
          <t>Delivered</t>
        </is>
      </c>
      <c r="D2548" s="16" t="inlineStr">
        <is>
          <t>128-06749173801590186</t>
        </is>
      </c>
      <c r="E2548" s="16" t="inlineStr">
        <is>
          <t>Delivered</t>
        </is>
      </c>
      <c r="F2548" s="16" t="inlineStr">
        <is>
          <t>LV54W25</t>
        </is>
      </c>
      <c r="G2548" s="16" t="inlineStr">
        <is>
          <t>TIANLAI Lámpara Ventilador E27 2 en 1, Silenciosa, LED Alta Luminosidad 180°, Instalación Rápida, Ahorro Energético para Dormitorio y Interiores Pequeños</t>
        </is>
      </c>
      <c r="H2548" s="16" t="inlineStr">
        <is>
          <t>1 Pieza</t>
        </is>
      </c>
      <c r="I2548" s="16" t="n">
        <v>1</v>
      </c>
      <c r="J2548" s="17" t="n">
        <v>74.3</v>
      </c>
      <c r="K2548" s="17" t="n">
        <v>65.31999999999999</v>
      </c>
      <c r="L2548" s="17" t="n">
        <v>25.86</v>
      </c>
      <c r="M2548" s="17" t="n">
        <v>0</v>
      </c>
      <c r="N2548" s="17">
        <f>K2548*0.08+L2548*0.08</f>
        <v/>
      </c>
      <c r="O2548" s="17">
        <f>-(K2548*0.025+L2548*0.025)</f>
        <v/>
      </c>
      <c r="P2548" s="17">
        <f>32</f>
        <v/>
      </c>
      <c r="Q2548" s="17">
        <f>J2548+L2548+N2548+O2548-P2548-M2548</f>
        <v/>
      </c>
    </row>
    <row r="2549">
      <c r="A2549" s="16" t="inlineStr">
        <is>
          <t>5.22-5.28</t>
        </is>
      </c>
      <c r="B2549" s="16" t="inlineStr">
        <is>
          <t>PO-128-11856583995512448</t>
        </is>
      </c>
      <c r="C2549" s="16" t="inlineStr">
        <is>
          <t>Delivered</t>
        </is>
      </c>
      <c r="D2549" s="16" t="inlineStr">
        <is>
          <t>128-11856521080952448</t>
        </is>
      </c>
      <c r="E2549" s="16" t="inlineStr">
        <is>
          <t>Delivered</t>
        </is>
      </c>
      <c r="F2549" s="16" t="inlineStr">
        <is>
          <t>LV54W25</t>
        </is>
      </c>
      <c r="G2549" s="16" t="inlineStr">
        <is>
          <t>TIANLAI Lámpara Ventilador E27 2 en 1, Silenciosa, LED Alta Luminosidad 180°, Instalación Rápida, Ahorro Energético para Dormitorio y Interiores Pequeños</t>
        </is>
      </c>
      <c r="H2549" s="16" t="inlineStr">
        <is>
          <t>1 Pieza</t>
        </is>
      </c>
      <c r="I2549" s="16" t="n">
        <v>1</v>
      </c>
      <c r="J2549" s="17" t="n">
        <v>74.3</v>
      </c>
      <c r="K2549" s="17" t="n">
        <v>79.11</v>
      </c>
      <c r="L2549" s="17" t="n">
        <v>9.68</v>
      </c>
      <c r="M2549" s="17" t="n">
        <v>0</v>
      </c>
      <c r="N2549" s="17">
        <f>K2549*0.08+L2549*0.08</f>
        <v/>
      </c>
      <c r="O2549" s="17">
        <f>-(K2549*0.025+L2549*0.025)</f>
        <v/>
      </c>
      <c r="P2549" s="17">
        <f>32</f>
        <v/>
      </c>
      <c r="Q2549" s="17">
        <f>J2549+L2549+N2549+O2549-P2549-M2549</f>
        <v/>
      </c>
    </row>
    <row r="2550">
      <c r="A2550" s="16" t="inlineStr">
        <is>
          <t>5.22-5.28</t>
        </is>
      </c>
      <c r="B2550" s="16" t="inlineStr">
        <is>
          <t>PO-128-11856583995512448</t>
        </is>
      </c>
      <c r="C2550" s="16" t="inlineStr">
        <is>
          <t>Delivered</t>
        </is>
      </c>
      <c r="D2550" s="16" t="inlineStr">
        <is>
          <t>128-11856604967032448</t>
        </is>
      </c>
      <c r="E2550" s="16" t="inlineStr">
        <is>
          <t>Delivered</t>
        </is>
      </c>
      <c r="F2550" s="16" t="inlineStr">
        <is>
          <t>LV64W25</t>
        </is>
      </c>
      <c r="G25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50" s="16" t="inlineStr">
        <is>
          <t>Blanco</t>
        </is>
      </c>
      <c r="I2550" s="16" t="n">
        <v>1</v>
      </c>
      <c r="J2550" s="17" t="n">
        <v>123.9</v>
      </c>
      <c r="K2550" s="17" t="n">
        <v>132.21</v>
      </c>
      <c r="L2550" s="17" t="n">
        <v>16.18</v>
      </c>
      <c r="M2550" s="17" t="n">
        <v>0</v>
      </c>
      <c r="N2550" s="17">
        <f>K2550*0.08+L2550*0.08</f>
        <v/>
      </c>
      <c r="O2550" s="17">
        <f>-(K2550*0.025+L2550*0.025)</f>
        <v/>
      </c>
      <c r="P2550" s="17">
        <f>32</f>
        <v/>
      </c>
      <c r="Q2550" s="17">
        <f>J2550+L2550+N2550+O2550-P2550-M2550</f>
        <v/>
      </c>
    </row>
    <row r="2551">
      <c r="A2551" s="16" t="inlineStr">
        <is>
          <t>5.22-5.28</t>
        </is>
      </c>
      <c r="B2551" s="16" t="inlineStr">
        <is>
          <t>PO-128-11984418654072710</t>
        </is>
      </c>
      <c r="C2551" s="16" t="inlineStr">
        <is>
          <t>Delivered</t>
        </is>
      </c>
      <c r="D2551" s="16" t="inlineStr">
        <is>
          <t>128-11984439625592710</t>
        </is>
      </c>
      <c r="E2551" s="16" t="inlineStr">
        <is>
          <t>Delivered</t>
        </is>
      </c>
      <c r="F2551" s="16" t="inlineStr">
        <is>
          <t>BSC07</t>
        </is>
      </c>
      <c r="G2551" s="16" t="inlineStr">
        <is>
          <t>TIANLAI Báscula Digital BSC04/BSC07, Alta Precisión, Fácil Operación, Ligera y Portátil, Función Tara, Unidad Dual oz/g, Ideal para Cocina, Control de Porciones, Sellos y Objetos Pequeños, Uso en Hogar y Viaje</t>
        </is>
      </c>
      <c r="H2551" s="16" t="inlineStr">
        <is>
          <t>1g/White</t>
        </is>
      </c>
      <c r="I2551" s="16" t="n">
        <v>1</v>
      </c>
      <c r="J2551" s="17" t="n">
        <v>35</v>
      </c>
      <c r="K2551" s="17" t="n">
        <v>47.22</v>
      </c>
      <c r="L2551" s="17" t="n">
        <v>25.86</v>
      </c>
      <c r="M2551" s="17" t="n">
        <v>0</v>
      </c>
      <c r="N2551" s="17">
        <f>K2551*0.08+L2551*0.08</f>
        <v/>
      </c>
      <c r="O2551" s="17">
        <f>-(K2551*0.025+L2551*0.025)</f>
        <v/>
      </c>
      <c r="P2551" s="17">
        <f>32</f>
        <v/>
      </c>
      <c r="Q2551" s="17">
        <f>J2551+L2551+N2551+O2551-P2551-M2551</f>
        <v/>
      </c>
    </row>
    <row r="2552">
      <c r="A2552" s="16" t="inlineStr">
        <is>
          <t>5.22-5.28</t>
        </is>
      </c>
      <c r="B2552" s="16" t="inlineStr">
        <is>
          <t>PO-128-12307169056630786</t>
        </is>
      </c>
      <c r="C2552" s="16" t="inlineStr">
        <is>
          <t>Delivered</t>
        </is>
      </c>
      <c r="D2552" s="16" t="inlineStr">
        <is>
          <t>128-12307210999670786</t>
        </is>
      </c>
      <c r="E2552" s="16" t="inlineStr">
        <is>
          <t>Delivered</t>
        </is>
      </c>
      <c r="F2552" s="16" t="inlineStr">
        <is>
          <t>LV54W25</t>
        </is>
      </c>
      <c r="G2552" s="16" t="inlineStr">
        <is>
          <t>TIANLAI Lámpara Ventilador E27 2 en 1, Silenciosa, LED Alta Luminosidad 180°, Instalación Rápida, Ahorro Energético para Dormitorio y Interiores Pequeños</t>
        </is>
      </c>
      <c r="H2552" s="16" t="inlineStr">
        <is>
          <t>1 Pieza</t>
        </is>
      </c>
      <c r="I2552" s="16" t="n">
        <v>3</v>
      </c>
      <c r="J2552" s="17" t="n">
        <v>222.9</v>
      </c>
      <c r="K2552" s="17" t="n">
        <v>237.33</v>
      </c>
      <c r="L2552" s="17" t="n">
        <v>0</v>
      </c>
      <c r="M2552" s="17" t="n">
        <v>0</v>
      </c>
      <c r="N2552" s="17">
        <f>K2552*0.08+L2552*0.08</f>
        <v/>
      </c>
      <c r="O2552" s="17">
        <f>-(K2552*0.025+L2552*0.025)</f>
        <v/>
      </c>
      <c r="P2552" s="17">
        <f>32</f>
        <v/>
      </c>
      <c r="Q2552" s="17">
        <f>J2552+L2552+N2552+O2552-P2552-M2552</f>
        <v/>
      </c>
    </row>
    <row r="2553">
      <c r="A2553" s="16" t="inlineStr">
        <is>
          <t>5.22-5.28</t>
        </is>
      </c>
      <c r="B2553" s="16" t="inlineStr">
        <is>
          <t>PO-128-12196318865271641</t>
        </is>
      </c>
      <c r="C2553" s="16" t="inlineStr">
        <is>
          <t>Delivered</t>
        </is>
      </c>
      <c r="D2553" s="16" t="inlineStr">
        <is>
          <t>128-12196339836791641</t>
        </is>
      </c>
      <c r="E2553" s="16" t="inlineStr">
        <is>
          <t>Delivered</t>
        </is>
      </c>
      <c r="F2553" s="16" t="inlineStr">
        <is>
          <t>KTS-2031</t>
        </is>
      </c>
      <c r="G2553" s="16" t="inlineStr">
        <is>
          <t>Bocina inalámbrica de 3 pulgadas con linterna multifuncional y panel solar integrado.Altavoz Portátil con Linterna LED 4 Modos, Radio FM, Bluetooth, Carga Solar, Ideal para Apagones, Emergencias, Campo y Exteriores</t>
        </is>
      </c>
      <c r="H2553" s="16" t="inlineStr">
        <is>
          <t>NEGRO</t>
        </is>
      </c>
      <c r="I2553" s="16" t="n">
        <v>1</v>
      </c>
      <c r="J2553" s="17" t="n">
        <v>85</v>
      </c>
      <c r="K2553" s="17" t="n">
        <v>94.22</v>
      </c>
      <c r="L2553" s="17" t="n">
        <v>25.86</v>
      </c>
      <c r="M2553" s="17" t="n">
        <v>0</v>
      </c>
      <c r="N2553" s="17">
        <f>K2553*0.08+L2553*0.08</f>
        <v/>
      </c>
      <c r="O2553" s="17">
        <f>-(K2553*0.025+L2553*0.025)</f>
        <v/>
      </c>
      <c r="P2553" s="17">
        <f>32</f>
        <v/>
      </c>
      <c r="Q2553" s="17">
        <f>J2553+L2553+N2553+O2553-P2553-M2553</f>
        <v/>
      </c>
    </row>
    <row r="2554">
      <c r="A2554" s="16" t="inlineStr">
        <is>
          <t>5.22-5.28</t>
        </is>
      </c>
      <c r="B2554" s="16" t="inlineStr">
        <is>
          <t>PO-128-11972209385592849</t>
        </is>
      </c>
      <c r="C2554" s="16" t="inlineStr">
        <is>
          <t>Delivered</t>
        </is>
      </c>
      <c r="D2554" s="16" t="inlineStr">
        <is>
          <t>128-11972214628472849</t>
        </is>
      </c>
      <c r="E2554" s="16" t="inlineStr">
        <is>
          <t>Delivered</t>
        </is>
      </c>
      <c r="F2554" s="16" t="inlineStr">
        <is>
          <t>LV64W25</t>
        </is>
      </c>
      <c r="G25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54" s="16" t="inlineStr">
        <is>
          <t>Blanco</t>
        </is>
      </c>
      <c r="I2554" s="16" t="n">
        <v>1</v>
      </c>
      <c r="J2554" s="17" t="n">
        <v>123.9</v>
      </c>
      <c r="K2554" s="17" t="n">
        <v>132.21</v>
      </c>
      <c r="L2554" s="17" t="n">
        <v>25.86</v>
      </c>
      <c r="M2554" s="17" t="n">
        <v>0</v>
      </c>
      <c r="N2554" s="17">
        <f>K2554*0.08+L2554*0.08</f>
        <v/>
      </c>
      <c r="O2554" s="17">
        <f>-(K2554*0.025+L2554*0.025)</f>
        <v/>
      </c>
      <c r="P2554" s="17">
        <f>32</f>
        <v/>
      </c>
      <c r="Q2554" s="17">
        <f>J2554+L2554+N2554+O2554-P2554-M2554</f>
        <v/>
      </c>
    </row>
    <row r="2555">
      <c r="A2555" s="16" t="inlineStr">
        <is>
          <t>5.22-5.28</t>
        </is>
      </c>
      <c r="B2555" s="16" t="inlineStr">
        <is>
          <t>PO-128-11795550308473900</t>
        </is>
      </c>
      <c r="C2555" s="16" t="inlineStr">
        <is>
          <t>Delivered</t>
        </is>
      </c>
      <c r="D2555" s="16" t="inlineStr">
        <is>
          <t>128-11795539822713900</t>
        </is>
      </c>
      <c r="E2555" s="16" t="inlineStr">
        <is>
          <t>Delivered</t>
        </is>
      </c>
      <c r="F2555" s="16" t="inlineStr">
        <is>
          <t>LV64W25</t>
        </is>
      </c>
      <c r="G25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55" s="16" t="inlineStr">
        <is>
          <t>Blanco</t>
        </is>
      </c>
      <c r="I2555" s="16" t="n">
        <v>1</v>
      </c>
      <c r="J2555" s="17" t="n">
        <v>123.9</v>
      </c>
      <c r="K2555" s="17" t="n">
        <v>142.16</v>
      </c>
      <c r="L2555" s="17" t="n">
        <v>25.86</v>
      </c>
      <c r="M2555" s="17" t="n">
        <v>0</v>
      </c>
      <c r="N2555" s="17">
        <f>K2555*0.08+L2555*0.08</f>
        <v/>
      </c>
      <c r="O2555" s="17">
        <f>-(K2555*0.025+L2555*0.025)</f>
        <v/>
      </c>
      <c r="P2555" s="17">
        <f>32</f>
        <v/>
      </c>
      <c r="Q2555" s="17">
        <f>J2555+L2555+N2555+O2555-P2555-M2555</f>
        <v/>
      </c>
    </row>
    <row r="2556">
      <c r="A2556" s="16" t="inlineStr">
        <is>
          <t>5.22-5.28</t>
        </is>
      </c>
      <c r="B2556" s="16" t="inlineStr">
        <is>
          <t>PO-128-11729913726073205</t>
        </is>
      </c>
      <c r="C2556" s="16" t="inlineStr">
        <is>
          <t>Delivered</t>
        </is>
      </c>
      <c r="D2556" s="16" t="inlineStr">
        <is>
          <t>128-11729903240313205</t>
        </is>
      </c>
      <c r="E2556" s="16" t="inlineStr">
        <is>
          <t>Delivered</t>
        </is>
      </c>
      <c r="F2556" s="16" t="inlineStr">
        <is>
          <t>LV54W25</t>
        </is>
      </c>
      <c r="G2556" s="16" t="inlineStr">
        <is>
          <t>TIANLAI Lámpara Ventilador E27 2 en 1, Silenciosa, LED Alta Luminosidad 180°, Instalación Rápida, Ahorro Energético para Dormitorio y Interiores Pequeños</t>
        </is>
      </c>
      <c r="H2556" s="16" t="inlineStr">
        <is>
          <t>1 Pieza</t>
        </is>
      </c>
      <c r="I2556" s="16" t="n">
        <v>1</v>
      </c>
      <c r="J2556" s="17" t="n">
        <v>74.3</v>
      </c>
      <c r="K2556" s="17" t="n">
        <v>77.39</v>
      </c>
      <c r="L2556" s="17" t="n">
        <v>25.86</v>
      </c>
      <c r="M2556" s="17" t="n">
        <v>0</v>
      </c>
      <c r="N2556" s="17">
        <f>K2556*0.08+L2556*0.08</f>
        <v/>
      </c>
      <c r="O2556" s="17">
        <f>-(K2556*0.025+L2556*0.025)</f>
        <v/>
      </c>
      <c r="P2556" s="17">
        <f>32</f>
        <v/>
      </c>
      <c r="Q2556" s="17">
        <f>J2556+L2556+N2556+O2556-P2556-M2556</f>
        <v/>
      </c>
    </row>
    <row r="2557">
      <c r="A2557" s="16" t="inlineStr">
        <is>
          <t>5.22-5.28</t>
        </is>
      </c>
      <c r="B2557" s="16" t="inlineStr">
        <is>
          <t>PO-128-12015460206712655</t>
        </is>
      </c>
      <c r="C2557" s="16" t="inlineStr">
        <is>
          <t>Delivered</t>
        </is>
      </c>
      <c r="D2557" s="16" t="inlineStr">
        <is>
          <t>128-12015481178232655</t>
        </is>
      </c>
      <c r="E2557" s="16" t="inlineStr">
        <is>
          <t>Delivered</t>
        </is>
      </c>
      <c r="F2557" s="16" t="inlineStr">
        <is>
          <t>LV64W25</t>
        </is>
      </c>
      <c r="G25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57" s="16" t="inlineStr">
        <is>
          <t>Blanco</t>
        </is>
      </c>
      <c r="I2557" s="16" t="n">
        <v>4</v>
      </c>
      <c r="J2557" s="17" t="n">
        <v>495.6</v>
      </c>
      <c r="K2557" s="17" t="n">
        <v>485.72</v>
      </c>
      <c r="L2557" s="17" t="n">
        <v>0</v>
      </c>
      <c r="M2557" s="17" t="n">
        <v>0</v>
      </c>
      <c r="N2557" s="17">
        <f>K2557*0.08+L2557*0.08</f>
        <v/>
      </c>
      <c r="O2557" s="17">
        <f>-(K2557*0.025+L2557*0.025)</f>
        <v/>
      </c>
      <c r="P2557" s="17">
        <f>32</f>
        <v/>
      </c>
      <c r="Q2557" s="17">
        <f>J2557+L2557+N2557+O2557-P2557-M2557</f>
        <v/>
      </c>
    </row>
    <row r="2558">
      <c r="A2558" s="16" t="inlineStr">
        <is>
          <t>5.22-5.28</t>
        </is>
      </c>
      <c r="B2558" s="16" t="inlineStr">
        <is>
          <t>PO-128-12021119598712685</t>
        </is>
      </c>
      <c r="C2558" s="16" t="inlineStr">
        <is>
          <t>Delivered</t>
        </is>
      </c>
      <c r="D2558" s="16" t="inlineStr">
        <is>
          <t>128-12021077655672685</t>
        </is>
      </c>
      <c r="E2558" s="16" t="inlineStr">
        <is>
          <t>Delivered</t>
        </is>
      </c>
      <c r="F2558" s="16" t="inlineStr">
        <is>
          <t>KTS-2031</t>
        </is>
      </c>
      <c r="G2558" s="16" t="inlineStr">
        <is>
          <t>Bocina inalámbrica de 3 pulgadas con linterna multifuncional y panel solar integrado.Altavoz Portátil con Linterna LED 4 Modos, Radio FM, Bluetooth, Carga Solar, Ideal para Apagones, Emergencias, Campo y Exteriores</t>
        </is>
      </c>
      <c r="H2558" s="16" t="inlineStr">
        <is>
          <t>NEGRO</t>
        </is>
      </c>
      <c r="I2558" s="16" t="n">
        <v>5</v>
      </c>
      <c r="J2558" s="17" t="n">
        <v>425</v>
      </c>
      <c r="K2558" s="17" t="n">
        <v>376.9</v>
      </c>
      <c r="L2558" s="17" t="n">
        <v>0</v>
      </c>
      <c r="M2558" s="17" t="n">
        <v>0</v>
      </c>
      <c r="N2558" s="17">
        <f>K2558*0.08+L2558*0.08</f>
        <v/>
      </c>
      <c r="O2558" s="17">
        <f>-(K2558*0.025+L2558*0.025)</f>
        <v/>
      </c>
      <c r="P2558" s="17">
        <f>32</f>
        <v/>
      </c>
      <c r="Q2558" s="17">
        <f>J2558+L2558+N2558+O2558-P2558-M2558</f>
        <v/>
      </c>
    </row>
    <row r="2559">
      <c r="A2559" s="16" t="inlineStr">
        <is>
          <t>5.22-5.28</t>
        </is>
      </c>
      <c r="B2559" s="16" t="inlineStr">
        <is>
          <t>PO-128-11712645102713370</t>
        </is>
      </c>
      <c r="C2559" s="16" t="inlineStr">
        <is>
          <t>Delivered</t>
        </is>
      </c>
      <c r="D2559" s="16" t="inlineStr">
        <is>
          <t>128-11712603159673370</t>
        </is>
      </c>
      <c r="E2559" s="16" t="inlineStr">
        <is>
          <t>Delivered</t>
        </is>
      </c>
      <c r="F2559" s="16" t="inlineStr">
        <is>
          <t>B03W10-10PZS</t>
        </is>
      </c>
      <c r="G255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559" s="16" t="inlineStr">
        <is>
          <t>B03W10</t>
        </is>
      </c>
      <c r="I2559" s="16" t="n">
        <v>1</v>
      </c>
      <c r="J2559" s="17" t="n">
        <v>66</v>
      </c>
      <c r="K2559" s="17" t="n">
        <v>1.75</v>
      </c>
      <c r="L2559" s="17" t="n">
        <v>25.86</v>
      </c>
      <c r="M2559" s="17" t="n">
        <v>0</v>
      </c>
      <c r="N2559" s="17">
        <f>K2559*0.08+L2559*0.08</f>
        <v/>
      </c>
      <c r="O2559" s="17">
        <f>-(K2559*0.025+L2559*0.025)</f>
        <v/>
      </c>
      <c r="P2559" s="17">
        <f>32</f>
        <v/>
      </c>
      <c r="Q2559" s="17">
        <f>J2559+L2559+N2559+O2559-P2559-M2559</f>
        <v/>
      </c>
    </row>
    <row r="2560">
      <c r="A2560" s="16" t="inlineStr">
        <is>
          <t>5.22-5.28</t>
        </is>
      </c>
      <c r="B2560" s="16" t="inlineStr">
        <is>
          <t>PO-128-11838511439993645</t>
        </is>
      </c>
      <c r="C2560" s="16" t="inlineStr">
        <is>
          <t>Delivered</t>
        </is>
      </c>
      <c r="D2560" s="16" t="inlineStr">
        <is>
          <t>128-11838524547193645</t>
        </is>
      </c>
      <c r="E2560" s="16" t="inlineStr">
        <is>
          <t>Delivered</t>
        </is>
      </c>
      <c r="F2560" s="16" t="inlineStr">
        <is>
          <t>LV54W25</t>
        </is>
      </c>
      <c r="G2560" s="16" t="inlineStr">
        <is>
          <t>TIANLAI Lámpara Ventilador E27 2 en 1, Silenciosa, LED Alta Luminosidad 180°, Instalación Rápida, Ahorro Energético para Dormitorio y Interiores Pequeños</t>
        </is>
      </c>
      <c r="H2560" s="16" t="inlineStr">
        <is>
          <t>1 Pieza</t>
        </is>
      </c>
      <c r="I2560" s="16" t="n">
        <v>1</v>
      </c>
      <c r="J2560" s="17" t="n">
        <v>74.3</v>
      </c>
      <c r="K2560" s="17" t="n">
        <v>77.39</v>
      </c>
      <c r="L2560" s="17" t="n">
        <v>25.86</v>
      </c>
      <c r="M2560" s="17" t="n">
        <v>0</v>
      </c>
      <c r="N2560" s="17">
        <f>K2560*0.08+L2560*0.08</f>
        <v/>
      </c>
      <c r="O2560" s="17">
        <f>-(K2560*0.025+L2560*0.025)</f>
        <v/>
      </c>
      <c r="P2560" s="17">
        <f>32</f>
        <v/>
      </c>
      <c r="Q2560" s="17">
        <f>J2560+L2560+N2560+O2560-P2560-M2560</f>
        <v/>
      </c>
    </row>
    <row r="2561">
      <c r="A2561" s="16" t="inlineStr">
        <is>
          <t>5.22-5.28</t>
        </is>
      </c>
      <c r="B2561" s="16" t="inlineStr">
        <is>
          <t>PO-128-11890452293752374</t>
        </is>
      </c>
      <c r="C2561" s="16" t="inlineStr">
        <is>
          <t>Delivered</t>
        </is>
      </c>
      <c r="D2561" s="16" t="inlineStr">
        <is>
          <t>128-11890504722552374</t>
        </is>
      </c>
      <c r="E2561" s="16" t="inlineStr">
        <is>
          <t>Delivered</t>
        </is>
      </c>
      <c r="F2561" s="16" t="inlineStr">
        <is>
          <t>LV54W25</t>
        </is>
      </c>
      <c r="G2561" s="16" t="inlineStr">
        <is>
          <t>TIANLAI Lámpara Ventilador E27 2 en 1, Silenciosa, LED Alta Luminosidad 180°, Instalación Rápida, Ahorro Energético para Dormitorio y Interiores Pequeños</t>
        </is>
      </c>
      <c r="H2561" s="16" t="inlineStr">
        <is>
          <t>1 Pieza</t>
        </is>
      </c>
      <c r="I2561" s="16" t="n">
        <v>3</v>
      </c>
      <c r="J2561" s="17" t="n">
        <v>222.9</v>
      </c>
      <c r="K2561" s="17" t="n">
        <v>232.17</v>
      </c>
      <c r="L2561" s="17" t="n">
        <v>0</v>
      </c>
      <c r="M2561" s="17" t="n">
        <v>0</v>
      </c>
      <c r="N2561" s="17">
        <f>K2561*0.08+L2561*0.08</f>
        <v/>
      </c>
      <c r="O2561" s="17">
        <f>-(K2561*0.025+L2561*0.025)</f>
        <v/>
      </c>
      <c r="P2561" s="17">
        <f>32</f>
        <v/>
      </c>
      <c r="Q2561" s="17">
        <f>J2561+L2561+N2561+O2561-P2561-M2561</f>
        <v/>
      </c>
    </row>
    <row r="2562">
      <c r="A2562" s="16" t="inlineStr">
        <is>
          <t>5.22-5.28</t>
        </is>
      </c>
      <c r="B2562" s="16" t="inlineStr">
        <is>
          <t>PO-128-11736477130873292</t>
        </is>
      </c>
      <c r="C2562" s="16" t="inlineStr">
        <is>
          <t>Delivered</t>
        </is>
      </c>
      <c r="D2562" s="16" t="inlineStr">
        <is>
          <t>128-11736435187833292</t>
        </is>
      </c>
      <c r="E2562" s="16" t="inlineStr">
        <is>
          <t>Delivered</t>
        </is>
      </c>
      <c r="F2562" s="16" t="inlineStr">
        <is>
          <t>LV54W25</t>
        </is>
      </c>
      <c r="G2562" s="16" t="inlineStr">
        <is>
          <t>TIANLAI Lámpara Ventilador E27 2 en 1, Silenciosa, LED Alta Luminosidad 180°, Instalación Rápida, Ahorro Energético para Dormitorio y Interiores Pequeños</t>
        </is>
      </c>
      <c r="H2562" s="16" t="inlineStr">
        <is>
          <t>1 Pieza</t>
        </is>
      </c>
      <c r="I2562" s="16" t="n">
        <v>1</v>
      </c>
      <c r="J2562" s="17" t="n">
        <v>74.3</v>
      </c>
      <c r="K2562" s="17" t="n">
        <v>77.39</v>
      </c>
      <c r="L2562" s="17" t="n">
        <v>25.86</v>
      </c>
      <c r="M2562" s="17" t="n">
        <v>0</v>
      </c>
      <c r="N2562" s="17">
        <f>K2562*0.08+L2562*0.08</f>
        <v/>
      </c>
      <c r="O2562" s="17">
        <f>-(K2562*0.025+L2562*0.025)</f>
        <v/>
      </c>
      <c r="P2562" s="17">
        <f>32</f>
        <v/>
      </c>
      <c r="Q2562" s="17">
        <f>J2562+L2562+N2562+O2562-P2562-M2562</f>
        <v/>
      </c>
    </row>
    <row r="2563">
      <c r="A2563" s="16" t="inlineStr">
        <is>
          <t>5.22-5.28</t>
        </is>
      </c>
      <c r="B2563" s="16" t="inlineStr">
        <is>
          <t>PO-128-12181422313591536</t>
        </is>
      </c>
      <c r="C2563" s="16" t="inlineStr">
        <is>
          <t>Delivered</t>
        </is>
      </c>
      <c r="D2563" s="16" t="inlineStr">
        <is>
          <t>128-12181380370551536</t>
        </is>
      </c>
      <c r="E2563" s="16" t="inlineStr">
        <is>
          <t>Delivered</t>
        </is>
      </c>
      <c r="F2563" s="16" t="inlineStr">
        <is>
          <t>KTS-2031</t>
        </is>
      </c>
      <c r="G2563" s="16" t="inlineStr">
        <is>
          <t>Bocina inalámbrica de 3 pulgadas con linterna multifuncional y panel solar integrado.Altavoz Portátil con Linterna LED 4 Modos, Radio FM, Bluetooth, Carga Solar, Ideal para Apagones, Emergencias, Campo y Exteriores</t>
        </is>
      </c>
      <c r="H2563" s="16" t="inlineStr">
        <is>
          <t>NEGRO</t>
        </is>
      </c>
      <c r="I2563" s="16" t="n">
        <v>1</v>
      </c>
      <c r="J2563" s="17" t="n">
        <v>85</v>
      </c>
      <c r="K2563" s="17" t="n">
        <v>94.22</v>
      </c>
      <c r="L2563" s="17" t="n">
        <v>25.86</v>
      </c>
      <c r="M2563" s="17" t="n">
        <v>0</v>
      </c>
      <c r="N2563" s="17">
        <f>K2563*0.08+L2563*0.08</f>
        <v/>
      </c>
      <c r="O2563" s="17">
        <f>-(K2563*0.025+L2563*0.025)</f>
        <v/>
      </c>
      <c r="P2563" s="17">
        <f>32</f>
        <v/>
      </c>
      <c r="Q2563" s="17">
        <f>J2563+L2563+N2563+O2563-P2563-M2563</f>
        <v/>
      </c>
    </row>
    <row r="2564">
      <c r="A2564" s="16" t="inlineStr">
        <is>
          <t>5.22-5.28</t>
        </is>
      </c>
      <c r="B2564" s="16" t="inlineStr">
        <is>
          <t>PO-128-12031067983991408</t>
        </is>
      </c>
      <c r="C2564" s="16" t="inlineStr">
        <is>
          <t>Delivered</t>
        </is>
      </c>
      <c r="D2564" s="16" t="inlineStr">
        <is>
          <t>128-12031046029431408</t>
        </is>
      </c>
      <c r="E2564" s="16" t="inlineStr">
        <is>
          <t>Delivered</t>
        </is>
      </c>
      <c r="F2564" s="16" t="inlineStr">
        <is>
          <t>LV54W25</t>
        </is>
      </c>
      <c r="G2564" s="16" t="inlineStr">
        <is>
          <t>TIANLAI Lámpara Ventilador E27 2 en 1, Silenciosa, LED Alta Luminosidad 180°, Instalación Rápida, Ahorro Energético para Dormitorio y Interiores Pequeños</t>
        </is>
      </c>
      <c r="H2564" s="16" t="inlineStr">
        <is>
          <t>1 Pieza</t>
        </is>
      </c>
      <c r="I2564" s="16" t="n">
        <v>1</v>
      </c>
      <c r="J2564" s="17" t="n">
        <v>74.3</v>
      </c>
      <c r="K2564" s="17" t="n">
        <v>85.98</v>
      </c>
      <c r="L2564" s="17" t="n">
        <v>25.86</v>
      </c>
      <c r="M2564" s="17" t="n">
        <v>0</v>
      </c>
      <c r="N2564" s="17">
        <f>K2564*0.08+L2564*0.08</f>
        <v/>
      </c>
      <c r="O2564" s="17">
        <f>-(K2564*0.025+L2564*0.025)</f>
        <v/>
      </c>
      <c r="P2564" s="17">
        <f>32</f>
        <v/>
      </c>
      <c r="Q2564" s="17">
        <f>J2564+L2564+N2564+O2564-P2564-M2564</f>
        <v/>
      </c>
    </row>
    <row r="2565">
      <c r="A2565" s="16" t="inlineStr">
        <is>
          <t>5.22-5.28</t>
        </is>
      </c>
      <c r="B2565" s="16" t="inlineStr">
        <is>
          <t>PO-128-11685186479993471</t>
        </is>
      </c>
      <c r="C2565" s="16" t="inlineStr">
        <is>
          <t>Delivered</t>
        </is>
      </c>
      <c r="D2565" s="16" t="inlineStr">
        <is>
          <t>128-11685291337593471</t>
        </is>
      </c>
      <c r="E2565" s="16" t="inlineStr">
        <is>
          <t>Delivered</t>
        </is>
      </c>
      <c r="F2565" s="16" t="inlineStr">
        <is>
          <t>BSC07</t>
        </is>
      </c>
      <c r="G2565" s="16" t="inlineStr">
        <is>
          <t>TIANLAI Báscula Digital BSC04/BSC07, Alta Precisión, Fácil Operación, Ligera y Portátil, Función Tara, Unidad Dual oz/g, Ideal para Cocina, Control de Porciones, Sellos y Objetos Pequeños, Uso en Hogar y Viaje</t>
        </is>
      </c>
      <c r="H2565" s="16" t="inlineStr">
        <is>
          <t>1g/White</t>
        </is>
      </c>
      <c r="I2565" s="16" t="n">
        <v>1</v>
      </c>
      <c r="J2565" s="17" t="n">
        <v>35</v>
      </c>
      <c r="K2565" s="17" t="n">
        <v>47.22</v>
      </c>
      <c r="L2565" s="17" t="n">
        <v>25.86</v>
      </c>
      <c r="M2565" s="17" t="n">
        <v>0</v>
      </c>
      <c r="N2565" s="17">
        <f>K2565*0.08+L2565*0.08</f>
        <v/>
      </c>
      <c r="O2565" s="17">
        <f>-(K2565*0.025+L2565*0.025)</f>
        <v/>
      </c>
      <c r="P2565" s="17">
        <f>32</f>
        <v/>
      </c>
      <c r="Q2565" s="17">
        <f>J2565+L2565+N2565+O2565-P2565-M2565</f>
        <v/>
      </c>
    </row>
    <row r="2566">
      <c r="A2566" s="16" t="inlineStr">
        <is>
          <t>5.22-5.28</t>
        </is>
      </c>
      <c r="B2566" s="16" t="inlineStr">
        <is>
          <t>PO-128-12044085466231522</t>
        </is>
      </c>
      <c r="C2566" s="16" t="inlineStr">
        <is>
          <t>Delivered</t>
        </is>
      </c>
      <c r="D2566" s="16" t="inlineStr">
        <is>
          <t>128-12044127409271522</t>
        </is>
      </c>
      <c r="E2566" s="16" t="inlineStr">
        <is>
          <t>Delivered</t>
        </is>
      </c>
      <c r="F2566" s="16" t="inlineStr">
        <is>
          <t>LV54W25</t>
        </is>
      </c>
      <c r="G2566" s="16" t="inlineStr">
        <is>
          <t>TIANLAI Lámpara Ventilador E27 2 en 1, Silenciosa, LED Alta Luminosidad 180°, Instalación Rápida, Ahorro Energético para Dormitorio y Interiores Pequeños</t>
        </is>
      </c>
      <c r="H2566" s="16" t="inlineStr">
        <is>
          <t>1 Pieza</t>
        </is>
      </c>
      <c r="I2566" s="16" t="n">
        <v>1</v>
      </c>
      <c r="J2566" s="17" t="n">
        <v>74.3</v>
      </c>
      <c r="K2566" s="17" t="n">
        <v>27.39</v>
      </c>
      <c r="L2566" s="17" t="n">
        <v>25.86</v>
      </c>
      <c r="M2566" s="17" t="n">
        <v>0</v>
      </c>
      <c r="N2566" s="17">
        <f>K2566*0.08+L2566*0.08</f>
        <v/>
      </c>
      <c r="O2566" s="17">
        <f>-(K2566*0.025+L2566*0.025)</f>
        <v/>
      </c>
      <c r="P2566" s="17">
        <f>32</f>
        <v/>
      </c>
      <c r="Q2566" s="17">
        <f>J2566+L2566+N2566+O2566-P2566-M2566</f>
        <v/>
      </c>
    </row>
    <row r="2567">
      <c r="A2567" s="16" t="inlineStr">
        <is>
          <t>5.22-5.28</t>
        </is>
      </c>
      <c r="B2567" s="16" t="inlineStr">
        <is>
          <t>PO-128-12127519875191987</t>
        </is>
      </c>
      <c r="C2567" s="16" t="inlineStr">
        <is>
          <t>Delivered</t>
        </is>
      </c>
      <c r="D2567" s="16" t="inlineStr">
        <is>
          <t>128-12127498903671987</t>
        </is>
      </c>
      <c r="E2567" s="16" t="inlineStr">
        <is>
          <t>Delivered</t>
        </is>
      </c>
      <c r="F2567" s="16" t="inlineStr">
        <is>
          <t>EM12W12</t>
        </is>
      </c>
      <c r="G2567" s="16" t="inlineStr">
        <is>
          <t>TIANLAI Lámpara Solar de Emergencia, 1pc 960lm IP4 5 Modos con SOS, Recargable USB+Solar con Gancho, Linterna Portátil para Camping Hogar Senderismo Pesca</t>
        </is>
      </c>
      <c r="H2567" s="16" t="inlineStr">
        <is>
          <t>BLANCO</t>
        </is>
      </c>
      <c r="I2567" s="16" t="n">
        <v>4</v>
      </c>
      <c r="J2567" s="17" t="n">
        <v>300</v>
      </c>
      <c r="K2567" s="17" t="n">
        <v>398.36</v>
      </c>
      <c r="L2567" s="17" t="n">
        <v>0</v>
      </c>
      <c r="M2567" s="17" t="n">
        <v>0</v>
      </c>
      <c r="N2567" s="17">
        <f>K2567*0.08+L2567*0.08</f>
        <v/>
      </c>
      <c r="O2567" s="17">
        <f>-(K2567*0.025+L2567*0.025)</f>
        <v/>
      </c>
      <c r="P2567" s="17">
        <f>32</f>
        <v/>
      </c>
      <c r="Q2567" s="17">
        <f>J2567+L2567+N2567+O2567-P2567-M2567</f>
        <v/>
      </c>
    </row>
    <row r="2568">
      <c r="A2568" s="16" t="inlineStr">
        <is>
          <t>5.22-5.28</t>
        </is>
      </c>
      <c r="B2568" s="16" t="inlineStr">
        <is>
          <t>PO-128-11777988334714004</t>
        </is>
      </c>
      <c r="C2568" s="16" t="inlineStr">
        <is>
          <t>Delivered</t>
        </is>
      </c>
      <c r="D2568" s="16" t="inlineStr">
        <is>
          <t>128-11777980470394004</t>
        </is>
      </c>
      <c r="E2568" s="16" t="inlineStr">
        <is>
          <t>Delivered</t>
        </is>
      </c>
      <c r="F2568" s="16" t="inlineStr">
        <is>
          <t>TL2663N18C</t>
        </is>
      </c>
      <c r="G2568" s="16" t="inlineStr">
        <is>
          <t>Linkbits，Soporte de pared fijo para televisores de 26"-63", Ultra-Delgado Compatible con VESA 400x400mm, Capacidad de Peso Fuerte de 25KG, Instalación Fácil Sin Electricidad</t>
        </is>
      </c>
      <c r="H2568" s="16" t="inlineStr">
        <is>
          <t>NEGRO</t>
        </is>
      </c>
      <c r="I2568" s="16" t="n">
        <v>1</v>
      </c>
      <c r="J2568" s="17" t="n">
        <v>54</v>
      </c>
      <c r="K2568" s="17" t="n">
        <v>59.11</v>
      </c>
      <c r="L2568" s="17" t="n">
        <v>25.86</v>
      </c>
      <c r="M2568" s="17" t="n">
        <v>0</v>
      </c>
      <c r="N2568" s="17">
        <f>K2568*0.08+L2568*0.08</f>
        <v/>
      </c>
      <c r="O2568" s="17">
        <f>-(K2568*0.025+L2568*0.025)</f>
        <v/>
      </c>
      <c r="P2568" s="17">
        <f>32</f>
        <v/>
      </c>
      <c r="Q2568" s="17">
        <f>J2568+L2568+N2568+O2568-P2568-M2568</f>
        <v/>
      </c>
    </row>
    <row r="2569">
      <c r="A2569" s="16" t="inlineStr">
        <is>
          <t>5.22-5.28</t>
        </is>
      </c>
      <c r="B2569" s="16" t="inlineStr">
        <is>
          <t>PO-128-12150863143031910</t>
        </is>
      </c>
      <c r="C2569" s="16" t="inlineStr">
        <is>
          <t>Delivered</t>
        </is>
      </c>
      <c r="D2569" s="16" t="inlineStr">
        <is>
          <t>128-12150889357431910</t>
        </is>
      </c>
      <c r="E2569" s="16" t="inlineStr">
        <is>
          <t>Delivered</t>
        </is>
      </c>
      <c r="F2569" s="16" t="inlineStr">
        <is>
          <t>LV64W25</t>
        </is>
      </c>
      <c r="G25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69" s="16" t="inlineStr">
        <is>
          <t>Blanco</t>
        </is>
      </c>
      <c r="I2569" s="16" t="n">
        <v>1</v>
      </c>
      <c r="J2569" s="17" t="n">
        <v>123.9</v>
      </c>
      <c r="K2569" s="17" t="n">
        <v>142.16</v>
      </c>
      <c r="L2569" s="17" t="n">
        <v>25.86</v>
      </c>
      <c r="M2569" s="17" t="n">
        <v>0</v>
      </c>
      <c r="N2569" s="17">
        <f>K2569*0.08+L2569*0.08</f>
        <v/>
      </c>
      <c r="O2569" s="17">
        <f>-(K2569*0.025+L2569*0.025)</f>
        <v/>
      </c>
      <c r="P2569" s="17">
        <f>32</f>
        <v/>
      </c>
      <c r="Q2569" s="17">
        <f>J2569+L2569+N2569+O2569-P2569-M2569</f>
        <v/>
      </c>
    </row>
    <row r="2570">
      <c r="A2570" s="16" t="inlineStr">
        <is>
          <t>5.22-5.28</t>
        </is>
      </c>
      <c r="B2570" s="16" t="inlineStr">
        <is>
          <t>PO-128-12124865037432003</t>
        </is>
      </c>
      <c r="C2570" s="16" t="inlineStr">
        <is>
          <t>Delivered</t>
        </is>
      </c>
      <c r="D2570" s="16" t="inlineStr">
        <is>
          <t>128-12124875523192003</t>
        </is>
      </c>
      <c r="E2570" s="16" t="inlineStr">
        <is>
          <t>Delivered</t>
        </is>
      </c>
      <c r="F2570" s="16" t="inlineStr">
        <is>
          <t>LV54W25</t>
        </is>
      </c>
      <c r="G2570" s="16" t="inlineStr">
        <is>
          <t>TIANLAI Lámpara Ventilador E27 2 en 1, Silenciosa, LED Alta Luminosidad 180°, Instalación Rápida, Ahorro Energético para Dormitorio y Interiores Pequeños</t>
        </is>
      </c>
      <c r="H2570" s="16" t="inlineStr">
        <is>
          <t>1 Pieza</t>
        </is>
      </c>
      <c r="I2570" s="16" t="n">
        <v>4</v>
      </c>
      <c r="J2570" s="17" t="n">
        <v>297.2</v>
      </c>
      <c r="K2570" s="17" t="n">
        <v>306.88</v>
      </c>
      <c r="L2570" s="17" t="n">
        <v>0</v>
      </c>
      <c r="M2570" s="17" t="n">
        <v>1.08</v>
      </c>
      <c r="N2570" s="17">
        <f>K2570*0.08+L2570*0.08</f>
        <v/>
      </c>
      <c r="O2570" s="17">
        <f>-(K2570*0.025+L2570*0.025)</f>
        <v/>
      </c>
      <c r="P2570" s="17">
        <f>32</f>
        <v/>
      </c>
      <c r="Q2570" s="17">
        <f>J2570+L2570+N2570+O2570-P2570-M2570</f>
        <v/>
      </c>
    </row>
    <row r="2571">
      <c r="A2571" s="16" t="inlineStr">
        <is>
          <t>5.22-5.28</t>
        </is>
      </c>
      <c r="B2571" s="16" t="inlineStr">
        <is>
          <t>PO-128-12036433605751440</t>
        </is>
      </c>
      <c r="C2571" s="16" t="inlineStr">
        <is>
          <t>Delivered</t>
        </is>
      </c>
      <c r="D2571" s="16" t="inlineStr">
        <is>
          <t>128-12036454577271440</t>
        </is>
      </c>
      <c r="E2571" s="16" t="inlineStr">
        <is>
          <t>Delivered</t>
        </is>
      </c>
      <c r="F2571" s="16" t="inlineStr">
        <is>
          <t>LV54W25</t>
        </is>
      </c>
      <c r="G2571" s="16" t="inlineStr">
        <is>
          <t>TIANLAI Lámpara Ventilador E27 2 en 1, Silenciosa, LED Alta Luminosidad 180°, Instalación Rápida, Ahorro Energético para Dormitorio y Interiores Pequeños</t>
        </is>
      </c>
      <c r="H2571" s="16" t="inlineStr">
        <is>
          <t>1 Pieza</t>
        </is>
      </c>
      <c r="I2571" s="16" t="n">
        <v>1</v>
      </c>
      <c r="J2571" s="17" t="n">
        <v>74.3</v>
      </c>
      <c r="K2571" s="17" t="n">
        <v>77.39</v>
      </c>
      <c r="L2571" s="17" t="n">
        <v>12.93</v>
      </c>
      <c r="M2571" s="17" t="n">
        <v>0</v>
      </c>
      <c r="N2571" s="17">
        <f>K2571*0.08+L2571*0.08</f>
        <v/>
      </c>
      <c r="O2571" s="17">
        <f>-(K2571*0.025+L2571*0.025)</f>
        <v/>
      </c>
      <c r="P2571" s="17">
        <f>32</f>
        <v/>
      </c>
      <c r="Q2571" s="17">
        <f>J2571+L2571+N2571+O2571-P2571-M2571</f>
        <v/>
      </c>
    </row>
    <row r="2572">
      <c r="A2572" s="16" t="inlineStr">
        <is>
          <t>5.22-5.28</t>
        </is>
      </c>
      <c r="B2572" s="16" t="inlineStr">
        <is>
          <t>PO-128-12036433605751440</t>
        </is>
      </c>
      <c r="C2572" s="16" t="inlineStr">
        <is>
          <t>Delivered</t>
        </is>
      </c>
      <c r="D2572" s="16" t="inlineStr">
        <is>
          <t>128-12036450773111440</t>
        </is>
      </c>
      <c r="E2572" s="16" t="inlineStr">
        <is>
          <t>Delivered</t>
        </is>
      </c>
      <c r="F2572" s="16" t="inlineStr">
        <is>
          <t>LV54W25</t>
        </is>
      </c>
      <c r="G2572" s="16" t="inlineStr">
        <is>
          <t>TIANLAI Lámpara Ventilador E27 2 en 1, Silenciosa, LED Alta Luminosidad 180°, Instalación Rápida, Ahorro Energético para Dormitorio y Interiores Pequeños</t>
        </is>
      </c>
      <c r="H2572" s="16" t="inlineStr">
        <is>
          <t>1 Pieza</t>
        </is>
      </c>
      <c r="I2572" s="16" t="n">
        <v>1</v>
      </c>
      <c r="J2572" s="17" t="n">
        <v>74.3</v>
      </c>
      <c r="K2572" s="17" t="n">
        <v>77.39</v>
      </c>
      <c r="L2572" s="17" t="n">
        <v>12.93</v>
      </c>
      <c r="M2572" s="17" t="n">
        <v>0</v>
      </c>
      <c r="N2572" s="17">
        <f>K2572*0.08+L2572*0.08</f>
        <v/>
      </c>
      <c r="O2572" s="17">
        <f>-(K2572*0.025+L2572*0.025)</f>
        <v/>
      </c>
      <c r="P2572" s="17">
        <f>32</f>
        <v/>
      </c>
      <c r="Q2572" s="17">
        <f>J2572+L2572+N2572+O2572-P2572-M2572</f>
        <v/>
      </c>
    </row>
    <row r="2573">
      <c r="A2573" s="16" t="inlineStr">
        <is>
          <t>5.22-5.28</t>
        </is>
      </c>
      <c r="B2573" s="16" t="inlineStr">
        <is>
          <t>PO-128-11686368223353462</t>
        </is>
      </c>
      <c r="C2573" s="16" t="inlineStr">
        <is>
          <t>Delivered</t>
        </is>
      </c>
      <c r="D2573" s="16" t="inlineStr">
        <is>
          <t>128-11686373466233462</t>
        </is>
      </c>
      <c r="E2573" s="16" t="inlineStr">
        <is>
          <t>Delivered</t>
        </is>
      </c>
      <c r="F2573" s="16" t="inlineStr">
        <is>
          <t>LV54W25</t>
        </is>
      </c>
      <c r="G2573" s="16" t="inlineStr">
        <is>
          <t>TIANLAI Lámpara Ventilador E27 2 en 1, Silenciosa, LED Alta Luminosidad 180°, Instalación Rápida, Ahorro Energético para Dormitorio y Interiores Pequeños</t>
        </is>
      </c>
      <c r="H2573" s="16" t="inlineStr">
        <is>
          <t>1 Pieza</t>
        </is>
      </c>
      <c r="I2573" s="16" t="n">
        <v>1</v>
      </c>
      <c r="J2573" s="17" t="n">
        <v>74.3</v>
      </c>
      <c r="K2573" s="17" t="n">
        <v>70.14</v>
      </c>
      <c r="L2573" s="17" t="n">
        <v>25.86</v>
      </c>
      <c r="M2573" s="17" t="n">
        <v>0</v>
      </c>
      <c r="N2573" s="17">
        <f>K2573*0.08+L2573*0.08</f>
        <v/>
      </c>
      <c r="O2573" s="17">
        <f>-(K2573*0.025+L2573*0.025)</f>
        <v/>
      </c>
      <c r="P2573" s="17">
        <f>32</f>
        <v/>
      </c>
      <c r="Q2573" s="17">
        <f>J2573+L2573+N2573+O2573-P2573-M2573</f>
        <v/>
      </c>
    </row>
    <row r="2574">
      <c r="A2574" s="16" t="inlineStr">
        <is>
          <t>5.22-5.28</t>
        </is>
      </c>
      <c r="B2574" s="16" t="inlineStr">
        <is>
          <t>PO-128-12228143870070299</t>
        </is>
      </c>
      <c r="C2574" s="16" t="inlineStr">
        <is>
          <t>Delivered</t>
        </is>
      </c>
      <c r="D2574" s="16" t="inlineStr">
        <is>
          <t>128-12228101927030299</t>
        </is>
      </c>
      <c r="E2574" s="16" t="inlineStr">
        <is>
          <t>Delivered</t>
        </is>
      </c>
      <c r="F2574" s="16" t="inlineStr">
        <is>
          <t>LV54W25</t>
        </is>
      </c>
      <c r="G2574" s="16" t="inlineStr">
        <is>
          <t>TIANLAI Lámpara Ventilador E27 2 en 1, Silenciosa, LED Alta Luminosidad 180°, Instalación Rápida, Ahorro Energético para Dormitorio y Interiores Pequeños</t>
        </is>
      </c>
      <c r="H2574" s="16" t="inlineStr">
        <is>
          <t>1 Pieza</t>
        </is>
      </c>
      <c r="I2574" s="16" t="n">
        <v>2</v>
      </c>
      <c r="J2574" s="17" t="n">
        <v>148.6</v>
      </c>
      <c r="K2574" s="17" t="n">
        <v>158.22</v>
      </c>
      <c r="L2574" s="17" t="n">
        <v>25.86</v>
      </c>
      <c r="M2574" s="17" t="n">
        <v>0</v>
      </c>
      <c r="N2574" s="17">
        <f>K2574*0.08+L2574*0.08</f>
        <v/>
      </c>
      <c r="O2574" s="17">
        <f>-(K2574*0.025+L2574*0.025)</f>
        <v/>
      </c>
      <c r="P2574" s="17">
        <f>32</f>
        <v/>
      </c>
      <c r="Q2574" s="17">
        <f>J2574+L2574+N2574+O2574-P2574-M2574</f>
        <v/>
      </c>
    </row>
    <row r="2575">
      <c r="A2575" s="16" t="inlineStr">
        <is>
          <t>5.22-5.28</t>
        </is>
      </c>
      <c r="B2575" s="16" t="inlineStr">
        <is>
          <t>PO-128-12146893263991871</t>
        </is>
      </c>
      <c r="C2575" s="16" t="inlineStr">
        <is>
          <t>Delivered</t>
        </is>
      </c>
      <c r="D2575" s="16" t="inlineStr">
        <is>
          <t>128-12146998121591871</t>
        </is>
      </c>
      <c r="E2575" s="16" t="inlineStr">
        <is>
          <t>Delivered</t>
        </is>
      </c>
      <c r="F2575" s="16" t="inlineStr">
        <is>
          <t>LV64W25</t>
        </is>
      </c>
      <c r="G25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75" s="16" t="inlineStr">
        <is>
          <t>Blanco</t>
        </is>
      </c>
      <c r="I2575" s="16" t="n">
        <v>4</v>
      </c>
      <c r="J2575" s="17" t="n">
        <v>495.6</v>
      </c>
      <c r="K2575" s="17" t="n">
        <v>449.51</v>
      </c>
      <c r="L2575" s="17" t="n">
        <v>0</v>
      </c>
      <c r="M2575" s="17" t="n">
        <v>0</v>
      </c>
      <c r="N2575" s="17">
        <f>K2575*0.08+L2575*0.08</f>
        <v/>
      </c>
      <c r="O2575" s="17">
        <f>-(K2575*0.025+L2575*0.025)</f>
        <v/>
      </c>
      <c r="P2575" s="17">
        <f>32</f>
        <v/>
      </c>
      <c r="Q2575" s="17">
        <f>J2575+L2575+N2575+O2575-P2575-M2575</f>
        <v/>
      </c>
    </row>
    <row r="2576">
      <c r="A2576" s="16" t="inlineStr">
        <is>
          <t>5.22-5.28</t>
        </is>
      </c>
      <c r="B2576" s="16" t="inlineStr">
        <is>
          <t>PO-128-12193457636471656</t>
        </is>
      </c>
      <c r="C2576" s="16" t="inlineStr">
        <is>
          <t>Delivered</t>
        </is>
      </c>
      <c r="D2576" s="16" t="inlineStr">
        <is>
          <t>128-12193478607991656</t>
        </is>
      </c>
      <c r="E2576" s="16" t="inlineStr">
        <is>
          <t>Delivered</t>
        </is>
      </c>
      <c r="F2576" s="16" t="inlineStr">
        <is>
          <t>LV64W25</t>
        </is>
      </c>
      <c r="G25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76" s="16" t="inlineStr">
        <is>
          <t>Blanco</t>
        </is>
      </c>
      <c r="I2576" s="16" t="n">
        <v>1</v>
      </c>
      <c r="J2576" s="17" t="n">
        <v>123.9</v>
      </c>
      <c r="K2576" s="17" t="n">
        <v>55.95</v>
      </c>
      <c r="L2576" s="17" t="n">
        <v>25.86</v>
      </c>
      <c r="M2576" s="17" t="n">
        <v>0</v>
      </c>
      <c r="N2576" s="17">
        <f>K2576*0.08+L2576*0.08</f>
        <v/>
      </c>
      <c r="O2576" s="17">
        <f>-(K2576*0.025+L2576*0.025)</f>
        <v/>
      </c>
      <c r="P2576" s="17">
        <f>32</f>
        <v/>
      </c>
      <c r="Q2576" s="17">
        <f>J2576+L2576+N2576+O2576-P2576-M2576</f>
        <v/>
      </c>
    </row>
    <row r="2577">
      <c r="A2577" s="16" t="inlineStr">
        <is>
          <t>5.22-5.28</t>
        </is>
      </c>
      <c r="B2577" s="16" t="inlineStr">
        <is>
          <t>PO-128-12204259909750441</t>
        </is>
      </c>
      <c r="C2577" s="16" t="inlineStr">
        <is>
          <t>Delivered</t>
        </is>
      </c>
      <c r="D2577" s="16" t="inlineStr">
        <is>
          <t>128-12204411953270441</t>
        </is>
      </c>
      <c r="E2577" s="16" t="inlineStr">
        <is>
          <t>Delivered</t>
        </is>
      </c>
      <c r="F2577" s="16" t="inlineStr">
        <is>
          <t>KTS-2031</t>
        </is>
      </c>
      <c r="G2577" s="16" t="inlineStr">
        <is>
          <t>Bocina inalámbrica de 3 pulgadas con linterna multifuncional y panel solar integrado.Altavoz Portátil con Linterna LED 4 Modos, Radio FM, Bluetooth, Carga Solar, Ideal para Apagones, Emergencias, Campo y Exteriores</t>
        </is>
      </c>
      <c r="H2577" s="16" t="inlineStr">
        <is>
          <t>NEGRO</t>
        </is>
      </c>
      <c r="I2577" s="16" t="n">
        <v>1</v>
      </c>
      <c r="J2577" s="17" t="n">
        <v>85</v>
      </c>
      <c r="K2577" s="17" t="n">
        <v>11.46</v>
      </c>
      <c r="L2577" s="17" t="n">
        <v>25.86</v>
      </c>
      <c r="M2577" s="17" t="n">
        <v>0</v>
      </c>
      <c r="N2577" s="17">
        <f>K2577*0.08+L2577*0.08</f>
        <v/>
      </c>
      <c r="O2577" s="17">
        <f>-(K2577*0.025+L2577*0.025)</f>
        <v/>
      </c>
      <c r="P2577" s="17">
        <f>32</f>
        <v/>
      </c>
      <c r="Q2577" s="17">
        <f>J2577+L2577+N2577+O2577-P2577-M2577</f>
        <v/>
      </c>
    </row>
    <row r="2578">
      <c r="A2578" s="16" t="inlineStr">
        <is>
          <t>5.22-5.28</t>
        </is>
      </c>
      <c r="B2578" s="16" t="inlineStr">
        <is>
          <t>PO-128-12155756689271691</t>
        </is>
      </c>
      <c r="C2578" s="16" t="inlineStr">
        <is>
          <t>Delivered</t>
        </is>
      </c>
      <c r="D2578" s="16" t="inlineStr">
        <is>
          <t>128-12155714746231691</t>
        </is>
      </c>
      <c r="E2578" s="16" t="inlineStr">
        <is>
          <t>Delivered</t>
        </is>
      </c>
      <c r="F2578" s="16" t="inlineStr">
        <is>
          <t>LV54W25</t>
        </is>
      </c>
      <c r="G2578" s="16" t="inlineStr">
        <is>
          <t>TIANLAI Lámpara Ventilador E27 2 en 1, Silenciosa, LED Alta Luminosidad 180°, Instalación Rápida, Ahorro Energético para Dormitorio y Interiores Pequeños</t>
        </is>
      </c>
      <c r="H2578" s="16" t="inlineStr">
        <is>
          <t>1 Pieza</t>
        </is>
      </c>
      <c r="I2578" s="16" t="n">
        <v>1</v>
      </c>
      <c r="J2578" s="17" t="n">
        <v>74.3</v>
      </c>
      <c r="K2578" s="17" t="n">
        <v>79.11</v>
      </c>
      <c r="L2578" s="17" t="n">
        <v>25.86</v>
      </c>
      <c r="M2578" s="17" t="n">
        <v>0</v>
      </c>
      <c r="N2578" s="17">
        <f>K2578*0.08+L2578*0.08</f>
        <v/>
      </c>
      <c r="O2578" s="17">
        <f>-(K2578*0.025+L2578*0.025)</f>
        <v/>
      </c>
      <c r="P2578" s="17">
        <f>32</f>
        <v/>
      </c>
      <c r="Q2578" s="17">
        <f>J2578+L2578+N2578+O2578-P2578-M2578</f>
        <v/>
      </c>
    </row>
    <row r="2579">
      <c r="A2579" s="16" t="inlineStr">
        <is>
          <t>5.22-5.28</t>
        </is>
      </c>
      <c r="B2579" s="16" t="inlineStr">
        <is>
          <t>PO-128-11839959724153637</t>
        </is>
      </c>
      <c r="C2579" s="16" t="inlineStr">
        <is>
          <t>Delivered</t>
        </is>
      </c>
      <c r="D2579" s="16" t="inlineStr">
        <is>
          <t>128-11839923023993637</t>
        </is>
      </c>
      <c r="E2579" s="16" t="inlineStr">
        <is>
          <t>Delivered</t>
        </is>
      </c>
      <c r="F2579" s="16" t="inlineStr">
        <is>
          <t>KTS-2031</t>
        </is>
      </c>
      <c r="G2579" s="16" t="inlineStr">
        <is>
          <t>Bocina inalámbrica de 3 pulgadas con linterna multifuncional y panel solar integrado.Altavoz Portátil con Linterna LED 4 Modos, Radio FM, Bluetooth, Carga Solar, Ideal para Apagones, Emergencias, Campo y Exteriores</t>
        </is>
      </c>
      <c r="H2579" s="16" t="inlineStr">
        <is>
          <t>NEGRO</t>
        </is>
      </c>
      <c r="I2579" s="16" t="n">
        <v>1</v>
      </c>
      <c r="J2579" s="17" t="n">
        <v>85</v>
      </c>
      <c r="K2579" s="17" t="n">
        <v>94.22</v>
      </c>
      <c r="L2579" s="17" t="n">
        <v>25.86</v>
      </c>
      <c r="M2579" s="17" t="n">
        <v>0</v>
      </c>
      <c r="N2579" s="17">
        <f>K2579*0.08+L2579*0.08</f>
        <v/>
      </c>
      <c r="O2579" s="17">
        <f>-(K2579*0.025+L2579*0.025)</f>
        <v/>
      </c>
      <c r="P2579" s="17">
        <f>32</f>
        <v/>
      </c>
      <c r="Q2579" s="17">
        <f>J2579+L2579+N2579+O2579-P2579-M2579</f>
        <v/>
      </c>
    </row>
    <row r="2580">
      <c r="A2580" s="16" t="inlineStr">
        <is>
          <t>5.22-5.28</t>
        </is>
      </c>
      <c r="B2580" s="16" t="inlineStr">
        <is>
          <t>PO-128-11858754547832437</t>
        </is>
      </c>
      <c r="C2580" s="16" t="inlineStr">
        <is>
          <t>Delivered</t>
        </is>
      </c>
      <c r="D2580" s="16" t="inlineStr">
        <is>
          <t>128-11858801733752437</t>
        </is>
      </c>
      <c r="E2580" s="16" t="inlineStr">
        <is>
          <t>Delivered</t>
        </is>
      </c>
      <c r="F2580" s="16" t="inlineStr">
        <is>
          <t>LV54W25</t>
        </is>
      </c>
      <c r="G2580" s="16" t="inlineStr">
        <is>
          <t>TIANLAI Lámpara Ventilador E27 2 en 1, Silenciosa, LED Alta Luminosidad 180°, Instalación Rápida, Ahorro Energético para Dormitorio y Interiores Pequeños</t>
        </is>
      </c>
      <c r="H2580" s="16" t="inlineStr">
        <is>
          <t>1 Pieza</t>
        </is>
      </c>
      <c r="I2580" s="16" t="n">
        <v>1</v>
      </c>
      <c r="J2580" s="17" t="n">
        <v>74.3</v>
      </c>
      <c r="K2580" s="17" t="n">
        <v>61.91</v>
      </c>
      <c r="L2580" s="17" t="n">
        <v>25.86</v>
      </c>
      <c r="M2580" s="17" t="n">
        <v>0</v>
      </c>
      <c r="N2580" s="17">
        <f>K2580*0.08+L2580*0.08</f>
        <v/>
      </c>
      <c r="O2580" s="17">
        <f>-(K2580*0.025+L2580*0.025)</f>
        <v/>
      </c>
      <c r="P2580" s="17">
        <f>32</f>
        <v/>
      </c>
      <c r="Q2580" s="17">
        <f>J2580+L2580+N2580+O2580-P2580-M2580</f>
        <v/>
      </c>
    </row>
    <row r="2581">
      <c r="A2581" s="16" t="inlineStr">
        <is>
          <t>5.22-5.28</t>
        </is>
      </c>
      <c r="B2581" s="16" t="inlineStr">
        <is>
          <t>PO-128-11957385311353065</t>
        </is>
      </c>
      <c r="C2581" s="16" t="inlineStr">
        <is>
          <t>Delivered</t>
        </is>
      </c>
      <c r="D2581" s="16" t="inlineStr">
        <is>
          <t>128-11957437740153065</t>
        </is>
      </c>
      <c r="E2581" s="16" t="inlineStr">
        <is>
          <t>Delivered</t>
        </is>
      </c>
      <c r="F2581" s="16" t="inlineStr">
        <is>
          <t>LV54W25</t>
        </is>
      </c>
      <c r="G2581" s="16" t="inlineStr">
        <is>
          <t>TIANLAI Lámpara Ventilador E27 2 en 1, Silenciosa, LED Alta Luminosidad 180°, Instalación Rápida, Ahorro Energético para Dormitorio y Interiores Pequeños</t>
        </is>
      </c>
      <c r="H2581" s="16" t="inlineStr">
        <is>
          <t>1 Pieza</t>
        </is>
      </c>
      <c r="I2581" s="16" t="n">
        <v>2</v>
      </c>
      <c r="J2581" s="17" t="n">
        <v>148.6</v>
      </c>
      <c r="K2581" s="17" t="n">
        <v>158.22</v>
      </c>
      <c r="L2581" s="17" t="n">
        <v>25.86</v>
      </c>
      <c r="M2581" s="17" t="n">
        <v>0</v>
      </c>
      <c r="N2581" s="17">
        <f>K2581*0.08+L2581*0.08</f>
        <v/>
      </c>
      <c r="O2581" s="17">
        <f>-(K2581*0.025+L2581*0.025)</f>
        <v/>
      </c>
      <c r="P2581" s="17">
        <f>32</f>
        <v/>
      </c>
      <c r="Q2581" s="17">
        <f>J2581+L2581+N2581+O2581-P2581-M2581</f>
        <v/>
      </c>
    </row>
    <row r="2582">
      <c r="A2582" s="16" t="inlineStr">
        <is>
          <t>5.22-5.28</t>
        </is>
      </c>
      <c r="B2582" s="16" t="inlineStr">
        <is>
          <t>PO-128-12162288115831714</t>
        </is>
      </c>
      <c r="C2582" s="16" t="inlineStr">
        <is>
          <t>Delivered</t>
        </is>
      </c>
      <c r="D2582" s="16" t="inlineStr">
        <is>
          <t>128-12162246172791714</t>
        </is>
      </c>
      <c r="E2582" s="16" t="inlineStr">
        <is>
          <t>Delivered</t>
        </is>
      </c>
      <c r="F2582" s="16" t="inlineStr">
        <is>
          <t>TL2663N18C</t>
        </is>
      </c>
      <c r="G2582" s="16" t="inlineStr">
        <is>
          <t>Linkbits，Soporte de pared fijo para televisores de 26"-63", Ultra-Delgado Compatible con VESA 400x400mm, Capacidad de Peso Fuerte de 25KG, Instalación Fácil Sin Electricidad</t>
        </is>
      </c>
      <c r="H2582" s="16" t="inlineStr">
        <is>
          <t>NEGRO</t>
        </is>
      </c>
      <c r="I2582" s="16" t="n">
        <v>1</v>
      </c>
      <c r="J2582" s="17" t="n">
        <v>54</v>
      </c>
      <c r="K2582" s="17" t="n">
        <v>55.18</v>
      </c>
      <c r="L2582" s="17" t="n">
        <v>25.86</v>
      </c>
      <c r="M2582" s="17" t="n">
        <v>0</v>
      </c>
      <c r="N2582" s="17">
        <f>K2582*0.08+L2582*0.08</f>
        <v/>
      </c>
      <c r="O2582" s="17">
        <f>-(K2582*0.025+L2582*0.025)</f>
        <v/>
      </c>
      <c r="P2582" s="17">
        <f>32</f>
        <v/>
      </c>
      <c r="Q2582" s="17">
        <f>J2582+L2582+N2582+O2582-P2582-M2582</f>
        <v/>
      </c>
    </row>
    <row r="2583">
      <c r="A2583" s="16" t="inlineStr">
        <is>
          <t>5.22-5.28</t>
        </is>
      </c>
      <c r="B2583" s="16" t="inlineStr">
        <is>
          <t>PO-128-12035438389111446</t>
        </is>
      </c>
      <c r="C2583" s="16" t="inlineStr">
        <is>
          <t>Delivered</t>
        </is>
      </c>
      <c r="D2583" s="16" t="inlineStr">
        <is>
          <t>128-12035396446071446</t>
        </is>
      </c>
      <c r="E2583" s="16" t="inlineStr">
        <is>
          <t>Delivered</t>
        </is>
      </c>
      <c r="F2583" s="16" t="inlineStr">
        <is>
          <t>BG-115-B</t>
        </is>
      </c>
      <c r="G2583" s="16" t="inlineStr">
        <is>
          <t>LINK BITS Audífonos Inalámbricos con Luces Multicolor, Recargables y en Adorable Forma de Orejas de Gato - Conecta a Celulares y PCs, Tiene Radio FM, Tarjeta TF y AUX - 7 Horas de Reproducción, Plegables y Perfectos para Trabajo, Juegos y Estudio</t>
        </is>
      </c>
      <c r="H2583" s="16" t="inlineStr">
        <is>
          <t>blanco</t>
        </is>
      </c>
      <c r="I2583" s="16" t="n">
        <v>1</v>
      </c>
      <c r="J2583" s="17" t="n">
        <v>74.25</v>
      </c>
      <c r="K2583" s="17" t="n">
        <v>84.97</v>
      </c>
      <c r="L2583" s="17" t="n">
        <v>25.86</v>
      </c>
      <c r="M2583" s="17" t="n">
        <v>0</v>
      </c>
      <c r="N2583" s="17">
        <f>K2583*0.08+L2583*0.08</f>
        <v/>
      </c>
      <c r="O2583" s="17">
        <f>-(K2583*0.025+L2583*0.025)</f>
        <v/>
      </c>
      <c r="P2583" s="17">
        <f>32</f>
        <v/>
      </c>
      <c r="Q2583" s="17">
        <f>J2583+L2583+N2583+O2583-P2583-M2583</f>
        <v/>
      </c>
    </row>
    <row r="2584">
      <c r="A2584" s="16" t="inlineStr">
        <is>
          <t>5.22-5.28</t>
        </is>
      </c>
      <c r="B2584" s="16" t="inlineStr">
        <is>
          <t>PO-128-12162387730551715</t>
        </is>
      </c>
      <c r="C2584" s="16" t="inlineStr">
        <is>
          <t>Delivered</t>
        </is>
      </c>
      <c r="D2584" s="16" t="inlineStr">
        <is>
          <t>128-12162429673591715</t>
        </is>
      </c>
      <c r="E2584" s="16" t="inlineStr">
        <is>
          <t>Delivered</t>
        </is>
      </c>
      <c r="F2584" s="16" t="inlineStr">
        <is>
          <t>LV64W25</t>
        </is>
      </c>
      <c r="G25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84" s="16" t="inlineStr">
        <is>
          <t>Blanco</t>
        </is>
      </c>
      <c r="I2584" s="16" t="n">
        <v>2</v>
      </c>
      <c r="J2584" s="17" t="n">
        <v>247.8</v>
      </c>
      <c r="K2584" s="17" t="n">
        <v>264.42</v>
      </c>
      <c r="L2584" s="17" t="n">
        <v>0</v>
      </c>
      <c r="M2584" s="17" t="n">
        <v>0</v>
      </c>
      <c r="N2584" s="17">
        <f>K2584*0.08+L2584*0.08</f>
        <v/>
      </c>
      <c r="O2584" s="17">
        <f>-(K2584*0.025+L2584*0.025)</f>
        <v/>
      </c>
      <c r="P2584" s="17">
        <f>32</f>
        <v/>
      </c>
      <c r="Q2584" s="17">
        <f>J2584+L2584+N2584+O2584-P2584-M2584</f>
        <v/>
      </c>
    </row>
    <row r="2585">
      <c r="A2585" s="16" t="inlineStr">
        <is>
          <t>5.22-5.28</t>
        </is>
      </c>
      <c r="B2585" s="16" t="inlineStr">
        <is>
          <t>PO-128-12041729359991472</t>
        </is>
      </c>
      <c r="C2585" s="16" t="inlineStr">
        <is>
          <t>Delivered</t>
        </is>
      </c>
      <c r="D2585" s="16" t="inlineStr">
        <is>
          <t>128-12041771303031472</t>
        </is>
      </c>
      <c r="E2585" s="16" t="inlineStr">
        <is>
          <t>Delivered</t>
        </is>
      </c>
      <c r="F2585" s="16" t="inlineStr">
        <is>
          <t>LV64W25</t>
        </is>
      </c>
      <c r="G25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85" s="16" t="inlineStr">
        <is>
          <t>Blanco</t>
        </is>
      </c>
      <c r="I2585" s="16" t="n">
        <v>1</v>
      </c>
      <c r="J2585" s="17" t="n">
        <v>123.9</v>
      </c>
      <c r="K2585" s="17" t="n">
        <v>132.21</v>
      </c>
      <c r="L2585" s="17" t="n">
        <v>25.86</v>
      </c>
      <c r="M2585" s="17" t="n">
        <v>0</v>
      </c>
      <c r="N2585" s="17">
        <f>K2585*0.08+L2585*0.08</f>
        <v/>
      </c>
      <c r="O2585" s="17">
        <f>-(K2585*0.025+L2585*0.025)</f>
        <v/>
      </c>
      <c r="P2585" s="17">
        <f>32</f>
        <v/>
      </c>
      <c r="Q2585" s="17">
        <f>J2585+L2585+N2585+O2585-P2585-M2585</f>
        <v/>
      </c>
    </row>
    <row r="2586">
      <c r="A2586" s="16" t="inlineStr">
        <is>
          <t>5.22-5.28</t>
        </is>
      </c>
      <c r="B2586" s="16" t="inlineStr">
        <is>
          <t>PO-128-11691763146873494</t>
        </is>
      </c>
      <c r="C2586" s="16" t="inlineStr">
        <is>
          <t>Delivered</t>
        </is>
      </c>
      <c r="D2586" s="16" t="inlineStr">
        <is>
          <t>128-11691731689593494</t>
        </is>
      </c>
      <c r="E2586" s="16" t="inlineStr">
        <is>
          <t>Delivered</t>
        </is>
      </c>
      <c r="F2586" s="16" t="inlineStr">
        <is>
          <t>TL1455N20B</t>
        </is>
      </c>
      <c r="G2586" s="16" t="inlineStr">
        <is>
          <t>LINK BITS Soporte para TV 14 A 55 Pulgadas, Base para TV Pantalla Articulado Inclinable y Giratorio, MAX VESA 400×400 mm, Soporta hasta 18kg, adaptarse a la mayoría de los televisores de 14 Pulgadas/20 Pulgadas/32 Pulgadas/42 Pulgadas/55 pulgadas</t>
        </is>
      </c>
      <c r="H2586" s="16" t="inlineStr">
        <is>
          <t>TL1455N20B</t>
        </is>
      </c>
      <c r="I2586" s="16" t="n">
        <v>1</v>
      </c>
      <c r="J2586" s="17" t="n">
        <v>74.5</v>
      </c>
      <c r="K2586" s="17" t="n">
        <v>95.56</v>
      </c>
      <c r="L2586" s="17" t="n">
        <v>25.86</v>
      </c>
      <c r="M2586" s="17" t="n">
        <v>0</v>
      </c>
      <c r="N2586" s="17">
        <f>K2586*0.08+L2586*0.08</f>
        <v/>
      </c>
      <c r="O2586" s="17">
        <f>-(K2586*0.025+L2586*0.025)</f>
        <v/>
      </c>
      <c r="P2586" s="17">
        <f>32</f>
        <v/>
      </c>
      <c r="Q2586" s="17">
        <f>J2586+L2586+N2586+O2586-P2586-M2586</f>
        <v/>
      </c>
    </row>
    <row r="2587">
      <c r="A2587" s="16" t="inlineStr">
        <is>
          <t>5.22-5.28</t>
        </is>
      </c>
      <c r="B2587" s="16" t="inlineStr">
        <is>
          <t>PO-128-12192846200951661</t>
        </is>
      </c>
      <c r="C2587" s="16" t="inlineStr">
        <is>
          <t>Delivered</t>
        </is>
      </c>
      <c r="D2587" s="16" t="inlineStr">
        <is>
          <t>128-12193006108791661</t>
        </is>
      </c>
      <c r="E2587" s="16" t="inlineStr">
        <is>
          <t>Delivered</t>
        </is>
      </c>
      <c r="F2587" s="16" t="inlineStr">
        <is>
          <t>LV54W25</t>
        </is>
      </c>
      <c r="G2587" s="16" t="inlineStr">
        <is>
          <t>TIANLAI Lámpara Ventilador E27 2 en 1, Silenciosa, LED Alta Luminosidad 180°, Instalación Rápida, Ahorro Energético para Dormitorio y Interiores Pequeños</t>
        </is>
      </c>
      <c r="H2587" s="16" t="inlineStr">
        <is>
          <t>1 Pieza</t>
        </is>
      </c>
      <c r="I2587" s="16" t="n">
        <v>1</v>
      </c>
      <c r="J2587" s="17" t="n">
        <v>74.3</v>
      </c>
      <c r="K2587" s="17" t="n">
        <v>79.11</v>
      </c>
      <c r="L2587" s="17" t="n">
        <v>25.86</v>
      </c>
      <c r="M2587" s="17" t="n">
        <v>0</v>
      </c>
      <c r="N2587" s="17">
        <f>K2587*0.08+L2587*0.08</f>
        <v/>
      </c>
      <c r="O2587" s="17">
        <f>-(K2587*0.025+L2587*0.025)</f>
        <v/>
      </c>
      <c r="P2587" s="17">
        <f>32</f>
        <v/>
      </c>
      <c r="Q2587" s="17">
        <f>J2587+L2587+N2587+O2587-P2587-M2587</f>
        <v/>
      </c>
    </row>
    <row r="2588">
      <c r="A2588" s="16" t="inlineStr">
        <is>
          <t>5.22-5.28</t>
        </is>
      </c>
      <c r="B2588" s="16" t="inlineStr">
        <is>
          <t>PO-128-12221516260470275</t>
        </is>
      </c>
      <c r="C2588" s="16" t="inlineStr">
        <is>
          <t>Delivered</t>
        </is>
      </c>
      <c r="D2588" s="16" t="inlineStr">
        <is>
          <t>128-12221474317430275</t>
        </is>
      </c>
      <c r="E2588" s="16" t="inlineStr">
        <is>
          <t>Delivered</t>
        </is>
      </c>
      <c r="F2588" s="16" t="inlineStr">
        <is>
          <t>TLCD02-8P-R</t>
        </is>
      </c>
      <c r="G258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588" s="16" t="inlineStr">
        <is>
          <t>ROJO/pantalla de 8.5 pulgadas</t>
        </is>
      </c>
      <c r="I2588" s="16" t="n">
        <v>1</v>
      </c>
      <c r="J2588" s="17" t="n">
        <v>24</v>
      </c>
      <c r="K2588" s="17" t="n">
        <v>28.47</v>
      </c>
      <c r="L2588" s="17" t="n">
        <v>25.86</v>
      </c>
      <c r="M2588" s="17" t="n">
        <v>0</v>
      </c>
      <c r="N2588" s="17">
        <f>K2588*0.08+L2588*0.08</f>
        <v/>
      </c>
      <c r="O2588" s="17">
        <f>-(K2588*0.025+L2588*0.025)</f>
        <v/>
      </c>
      <c r="P2588" s="17">
        <f>32</f>
        <v/>
      </c>
      <c r="Q2588" s="17">
        <f>J2588+L2588+N2588+O2588-P2588-M2588</f>
        <v/>
      </c>
    </row>
    <row r="2589">
      <c r="A2589" s="16" t="inlineStr">
        <is>
          <t>5.22-5.28</t>
        </is>
      </c>
      <c r="B2589" s="16" t="inlineStr">
        <is>
          <t>PO-128-11904851551352224</t>
        </is>
      </c>
      <c r="C2589" s="16" t="inlineStr">
        <is>
          <t>Delivered</t>
        </is>
      </c>
      <c r="D2589" s="16" t="inlineStr">
        <is>
          <t>128-11904841065592224</t>
        </is>
      </c>
      <c r="E2589" s="16" t="inlineStr">
        <is>
          <t>Delivered</t>
        </is>
      </c>
      <c r="F2589" s="16" t="inlineStr">
        <is>
          <t>LV64W25</t>
        </is>
      </c>
      <c r="G25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89" s="16" t="inlineStr">
        <is>
          <t>Blanco</t>
        </is>
      </c>
      <c r="I2589" s="16" t="n">
        <v>1</v>
      </c>
      <c r="J2589" s="17" t="n">
        <v>123.9</v>
      </c>
      <c r="K2589" s="17" t="n">
        <v>142.16</v>
      </c>
      <c r="L2589" s="17" t="n">
        <v>25.86</v>
      </c>
      <c r="M2589" s="17" t="n">
        <v>0</v>
      </c>
      <c r="N2589" s="17">
        <f>K2589*0.08+L2589*0.08</f>
        <v/>
      </c>
      <c r="O2589" s="17">
        <f>-(K2589*0.025+L2589*0.025)</f>
        <v/>
      </c>
      <c r="P2589" s="17">
        <f>32</f>
        <v/>
      </c>
      <c r="Q2589" s="17">
        <f>J2589+L2589+N2589+O2589-P2589-M2589</f>
        <v/>
      </c>
    </row>
    <row r="2590">
      <c r="A2590" s="16" t="inlineStr">
        <is>
          <t>5.22-5.28</t>
        </is>
      </c>
      <c r="B2590" s="16" t="inlineStr">
        <is>
          <t>PO-128-12165137969271699</t>
        </is>
      </c>
      <c r="C2590" s="16" t="inlineStr">
        <is>
          <t>Delivered</t>
        </is>
      </c>
      <c r="D2590" s="16" t="inlineStr">
        <is>
          <t>128-12165096026231699</t>
        </is>
      </c>
      <c r="E2590" s="16" t="inlineStr">
        <is>
          <t>Delivered</t>
        </is>
      </c>
      <c r="F2590" s="16" t="inlineStr">
        <is>
          <t>LV54W25</t>
        </is>
      </c>
      <c r="G2590" s="16" t="inlineStr">
        <is>
          <t>TIANLAI Lámpara Ventilador E27 2 en 1, Silenciosa, LED Alta Luminosidad 180°, Instalación Rápida, Ahorro Energético para Dormitorio y Interiores Pequeños</t>
        </is>
      </c>
      <c r="H2590" s="16" t="inlineStr">
        <is>
          <t>1 Pieza</t>
        </is>
      </c>
      <c r="I2590" s="16" t="n">
        <v>1</v>
      </c>
      <c r="J2590" s="17" t="n">
        <v>74.3</v>
      </c>
      <c r="K2590" s="17" t="n">
        <v>85.98</v>
      </c>
      <c r="L2590" s="17" t="n">
        <v>25.86</v>
      </c>
      <c r="M2590" s="17" t="n">
        <v>0</v>
      </c>
      <c r="N2590" s="17">
        <f>K2590*0.08+L2590*0.08</f>
        <v/>
      </c>
      <c r="O2590" s="17">
        <f>-(K2590*0.025+L2590*0.025)</f>
        <v/>
      </c>
      <c r="P2590" s="17">
        <f>32</f>
        <v/>
      </c>
      <c r="Q2590" s="17">
        <f>J2590+L2590+N2590+O2590-P2590-M2590</f>
        <v/>
      </c>
    </row>
    <row r="2591">
      <c r="A2591" s="16" t="inlineStr">
        <is>
          <t>5.22-5.28</t>
        </is>
      </c>
      <c r="B2591" s="16" t="inlineStr">
        <is>
          <t>PO-128-11832123297913810</t>
        </is>
      </c>
      <c r="C2591" s="16" t="inlineStr">
        <is>
          <t>Delivered</t>
        </is>
      </c>
      <c r="D2591" s="16" t="inlineStr">
        <is>
          <t>128-11832112812153810</t>
        </is>
      </c>
      <c r="E2591" s="16" t="inlineStr">
        <is>
          <t>Delivered</t>
        </is>
      </c>
      <c r="F2591" s="16" t="inlineStr">
        <is>
          <t>VB349T</t>
        </is>
      </c>
      <c r="G2591" s="16" t="inlineStr">
        <is>
          <t>LINKBITS Altavoz Portátil de Doble Altavoz - 3 Pulgadas, Sonido HD, Emparejamiento Rápido de Bluetooth, Conectividad TWS, Reproducción Multimodo (Micro SD/USB/Radio FM) - Perfecto para Oficina, Viajes y Espacios Pequeños</t>
        </is>
      </c>
      <c r="H2591" s="16" t="inlineStr">
        <is>
          <t>NEGRO</t>
        </is>
      </c>
      <c r="I2591" s="16" t="n">
        <v>1</v>
      </c>
      <c r="J2591" s="17" t="n">
        <v>79</v>
      </c>
      <c r="K2591" s="17" t="n">
        <v>92.26000000000001</v>
      </c>
      <c r="L2591" s="17" t="n">
        <v>25.86</v>
      </c>
      <c r="M2591" s="17" t="n">
        <v>0</v>
      </c>
      <c r="N2591" s="17">
        <f>K2591*0.08+L2591*0.08</f>
        <v/>
      </c>
      <c r="O2591" s="17">
        <f>-(K2591*0.025+L2591*0.025)</f>
        <v/>
      </c>
      <c r="P2591" s="17">
        <f>32</f>
        <v/>
      </c>
      <c r="Q2591" s="17">
        <f>J2591+L2591+N2591+O2591-P2591-M2591</f>
        <v/>
      </c>
    </row>
    <row r="2592">
      <c r="A2592" s="16" t="inlineStr">
        <is>
          <t>5.22-5.28</t>
        </is>
      </c>
      <c r="B2592" s="16" t="inlineStr">
        <is>
          <t>PO-128-11791582984313861</t>
        </is>
      </c>
      <c r="C2592" s="16" t="inlineStr">
        <is>
          <t>Delivered</t>
        </is>
      </c>
      <c r="D2592" s="16" t="inlineStr">
        <is>
          <t>128-11791624927353861</t>
        </is>
      </c>
      <c r="E2592" s="16" t="inlineStr">
        <is>
          <t>Delivered</t>
        </is>
      </c>
      <c r="F2592" s="16" t="inlineStr">
        <is>
          <t>VB349T</t>
        </is>
      </c>
      <c r="G2592" s="16" t="inlineStr">
        <is>
          <t>LINKBITS Altavoz Portátil de Doble Altavoz - 3 Pulgadas, Sonido HD, Emparejamiento Rápido de Bluetooth, Conectividad TWS, Reproducción Multimodo (Micro SD/USB/Radio FM) - Perfecto para Oficina, Viajes y Espacios Pequeños</t>
        </is>
      </c>
      <c r="H2592" s="16" t="inlineStr">
        <is>
          <t>NEGRO</t>
        </is>
      </c>
      <c r="I2592" s="16" t="n">
        <v>1</v>
      </c>
      <c r="J2592" s="17" t="n">
        <v>79</v>
      </c>
      <c r="K2592" s="17" t="n">
        <v>92.26000000000001</v>
      </c>
      <c r="L2592" s="17" t="n">
        <v>25.86</v>
      </c>
      <c r="M2592" s="17" t="n">
        <v>0</v>
      </c>
      <c r="N2592" s="17">
        <f>K2592*0.08+L2592*0.08</f>
        <v/>
      </c>
      <c r="O2592" s="17">
        <f>-(K2592*0.025+L2592*0.025)</f>
        <v/>
      </c>
      <c r="P2592" s="17">
        <f>32</f>
        <v/>
      </c>
      <c r="Q2592" s="17">
        <f>J2592+L2592+N2592+O2592-P2592-M2592</f>
        <v/>
      </c>
    </row>
    <row r="2593">
      <c r="A2593" s="16" t="inlineStr">
        <is>
          <t>5.22-5.28</t>
        </is>
      </c>
      <c r="B2593" s="16" t="inlineStr">
        <is>
          <t>PO-128-11798230459513884</t>
        </is>
      </c>
      <c r="C2593" s="16" t="inlineStr">
        <is>
          <t>Delivered</t>
        </is>
      </c>
      <c r="D2593" s="16" t="inlineStr">
        <is>
          <t>128-11798188516473884</t>
        </is>
      </c>
      <c r="E2593" s="16" t="inlineStr">
        <is>
          <t>Delivered</t>
        </is>
      </c>
      <c r="F2593" s="16" t="inlineStr">
        <is>
          <t>TLCD06-12P-V</t>
        </is>
      </c>
      <c r="G259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593" s="16" t="inlineStr">
        <is>
          <t>VERDE/pantalla de 12 pulgadas</t>
        </is>
      </c>
      <c r="I2593" s="16" t="n">
        <v>1</v>
      </c>
      <c r="J2593" s="17" t="n">
        <v>32</v>
      </c>
      <c r="K2593" s="17" t="n">
        <v>44.01</v>
      </c>
      <c r="L2593" s="17" t="n">
        <v>25.86</v>
      </c>
      <c r="M2593" s="17" t="n">
        <v>0</v>
      </c>
      <c r="N2593" s="17">
        <f>K2593*0.08+L2593*0.08</f>
        <v/>
      </c>
      <c r="O2593" s="17">
        <f>-(K2593*0.025+L2593*0.025)</f>
        <v/>
      </c>
      <c r="P2593" s="17">
        <f>32</f>
        <v/>
      </c>
      <c r="Q2593" s="17">
        <f>J2593+L2593+N2593+O2593-P2593-M2593</f>
        <v/>
      </c>
    </row>
    <row r="2594">
      <c r="A2594" s="16" t="inlineStr">
        <is>
          <t>5.22-5.28</t>
        </is>
      </c>
      <c r="B2594" s="16" t="inlineStr">
        <is>
          <t>PO-128-11931644163192128</t>
        </is>
      </c>
      <c r="C2594" s="16" t="inlineStr">
        <is>
          <t>Delivered</t>
        </is>
      </c>
      <c r="D2594" s="16" t="inlineStr">
        <is>
          <t>128-11931636298872128</t>
        </is>
      </c>
      <c r="E2594" s="16" t="inlineStr">
        <is>
          <t>Delivered</t>
        </is>
      </c>
      <c r="F2594" s="16" t="inlineStr">
        <is>
          <t>LV54W25</t>
        </is>
      </c>
      <c r="G2594" s="16" t="inlineStr">
        <is>
          <t>TIANLAI Lámpara Ventilador E27 2 en 1, Silenciosa, LED Alta Luminosidad 180°, Instalación Rápida, Ahorro Energético para Dormitorio y Interiores Pequeños</t>
        </is>
      </c>
      <c r="H2594" s="16" t="inlineStr">
        <is>
          <t>1 Pieza</t>
        </is>
      </c>
      <c r="I2594" s="16" t="n">
        <v>1</v>
      </c>
      <c r="J2594" s="17" t="n">
        <v>74.3</v>
      </c>
      <c r="K2594" s="17" t="n">
        <v>76.72</v>
      </c>
      <c r="L2594" s="17" t="n">
        <v>25.86</v>
      </c>
      <c r="M2594" s="17" t="n">
        <v>0</v>
      </c>
      <c r="N2594" s="17">
        <f>K2594*0.08+L2594*0.08</f>
        <v/>
      </c>
      <c r="O2594" s="17">
        <f>-(K2594*0.025+L2594*0.025)</f>
        <v/>
      </c>
      <c r="P2594" s="17">
        <f>32</f>
        <v/>
      </c>
      <c r="Q2594" s="17">
        <f>J2594+L2594+N2594+O2594-P2594-M2594</f>
        <v/>
      </c>
    </row>
    <row r="2595">
      <c r="A2595" s="16" t="inlineStr">
        <is>
          <t>5.22-5.28</t>
        </is>
      </c>
      <c r="B2595" s="16" t="inlineStr">
        <is>
          <t>PO-128-12050744574071290</t>
        </is>
      </c>
      <c r="C2595" s="16" t="inlineStr">
        <is>
          <t>Delivered</t>
        </is>
      </c>
      <c r="D2595" s="16" t="inlineStr">
        <is>
          <t>128-12050812731511290</t>
        </is>
      </c>
      <c r="E2595" s="16" t="inlineStr">
        <is>
          <t>Delivered</t>
        </is>
      </c>
      <c r="F2595" s="16" t="inlineStr">
        <is>
          <t>KTS-1369</t>
        </is>
      </c>
      <c r="G2595" s="16" t="inlineStr">
        <is>
          <t>Bocina 3 Pulgadas Portátil Bluetooth con Luces LED, Sonido Claro y Batería Larga Duración, TWS TF USB FM, Ideal para Hogar Oficina y Exterior</t>
        </is>
      </c>
      <c r="H2595" s="16" t="inlineStr">
        <is>
          <t>NEGRO</t>
        </is>
      </c>
      <c r="I2595" s="16" t="n">
        <v>1</v>
      </c>
      <c r="J2595" s="17" t="n">
        <v>52</v>
      </c>
      <c r="K2595" s="17" t="n">
        <v>63.28</v>
      </c>
      <c r="L2595" s="17" t="n">
        <v>25.86</v>
      </c>
      <c r="M2595" s="17" t="n">
        <v>0</v>
      </c>
      <c r="N2595" s="17">
        <f>K2595*0.08+L2595*0.08</f>
        <v/>
      </c>
      <c r="O2595" s="17">
        <f>-(K2595*0.025+L2595*0.025)</f>
        <v/>
      </c>
      <c r="P2595" s="17">
        <f>32</f>
        <v/>
      </c>
      <c r="Q2595" s="17">
        <f>J2595+L2595+N2595+O2595-P2595-M2595</f>
        <v/>
      </c>
    </row>
    <row r="2596">
      <c r="A2596" s="16" t="inlineStr">
        <is>
          <t>5.22-5.28</t>
        </is>
      </c>
      <c r="B2596" s="16" t="inlineStr">
        <is>
          <t>PO-128-12302105239671008</t>
        </is>
      </c>
      <c r="C2596" s="16" t="inlineStr">
        <is>
          <t>Delivered</t>
        </is>
      </c>
      <c r="D2596" s="16" t="inlineStr">
        <is>
          <t>128-12302143250551008</t>
        </is>
      </c>
      <c r="E2596" s="16" t="inlineStr">
        <is>
          <t>Delivered</t>
        </is>
      </c>
      <c r="F2596" s="16" t="inlineStr">
        <is>
          <t>LV54W25</t>
        </is>
      </c>
      <c r="G2596" s="16" t="inlineStr">
        <is>
          <t>TIANLAI Lámpara Ventilador E27 2 en 1, Silenciosa, LED Alta Luminosidad 180°, Instalación Rápida, Ahorro Energético para Dormitorio y Interiores Pequeños</t>
        </is>
      </c>
      <c r="H2596" s="16" t="inlineStr">
        <is>
          <t>1 Pieza</t>
        </is>
      </c>
      <c r="I2596" s="16" t="n">
        <v>1</v>
      </c>
      <c r="J2596" s="17" t="n">
        <v>74.3</v>
      </c>
      <c r="K2596" s="17" t="n">
        <v>85.98</v>
      </c>
      <c r="L2596" s="17" t="n">
        <v>25.86</v>
      </c>
      <c r="M2596" s="17" t="n">
        <v>0</v>
      </c>
      <c r="N2596" s="17">
        <f>K2596*0.08+L2596*0.08</f>
        <v/>
      </c>
      <c r="O2596" s="17">
        <f>-(K2596*0.025+L2596*0.025)</f>
        <v/>
      </c>
      <c r="P2596" s="17">
        <f>32</f>
        <v/>
      </c>
      <c r="Q2596" s="17">
        <f>J2596+L2596+N2596+O2596-P2596-M2596</f>
        <v/>
      </c>
    </row>
    <row r="2597">
      <c r="A2597" s="16" t="inlineStr">
        <is>
          <t>5.22-5.28</t>
        </is>
      </c>
      <c r="B2597" s="16" t="inlineStr">
        <is>
          <t>PO-128-11894498276472414</t>
        </is>
      </c>
      <c r="C2597" s="16" t="inlineStr">
        <is>
          <t>Delivered</t>
        </is>
      </c>
      <c r="D2597" s="16" t="inlineStr">
        <is>
          <t>128-11894435361912414</t>
        </is>
      </c>
      <c r="E2597" s="16" t="inlineStr">
        <is>
          <t>Delivered</t>
        </is>
      </c>
      <c r="F2597" s="16" t="inlineStr">
        <is>
          <t>KTS-2031</t>
        </is>
      </c>
      <c r="G2597" s="16" t="inlineStr">
        <is>
          <t>Bocina inalámbrica de 3 pulgadas con linterna multifuncional y panel solar integrado.Altavoz Portátil con Linterna LED 4 Modos, Radio FM, Bluetooth, Carga Solar, Ideal para Apagones, Emergencias, Campo y Exteriores</t>
        </is>
      </c>
      <c r="H2597" s="16" t="inlineStr">
        <is>
          <t>NEGRO</t>
        </is>
      </c>
      <c r="I2597" s="16" t="n">
        <v>1</v>
      </c>
      <c r="J2597" s="17" t="n">
        <v>85</v>
      </c>
      <c r="K2597" s="17" t="n">
        <v>94.22</v>
      </c>
      <c r="L2597" s="17" t="n">
        <v>25.86</v>
      </c>
      <c r="M2597" s="17" t="n">
        <v>0</v>
      </c>
      <c r="N2597" s="17">
        <f>K2597*0.08+L2597*0.08</f>
        <v/>
      </c>
      <c r="O2597" s="17">
        <f>-(K2597*0.025+L2597*0.025)</f>
        <v/>
      </c>
      <c r="P2597" s="17">
        <f>32</f>
        <v/>
      </c>
      <c r="Q2597" s="17">
        <f>J2597+L2597+N2597+O2597-P2597-M2597</f>
        <v/>
      </c>
    </row>
    <row r="2598">
      <c r="A2598" s="16" t="inlineStr">
        <is>
          <t>5.22-5.28</t>
        </is>
      </c>
      <c r="B2598" s="16" t="inlineStr">
        <is>
          <t>PO-128-11750283625593083</t>
        </is>
      </c>
      <c r="C2598" s="16" t="inlineStr">
        <is>
          <t>Delivered</t>
        </is>
      </c>
      <c r="D2598" s="16" t="inlineStr">
        <is>
          <t>128-11750388483193083</t>
        </is>
      </c>
      <c r="E2598" s="16" t="inlineStr">
        <is>
          <t>Delivered</t>
        </is>
      </c>
      <c r="F2598" s="16" t="inlineStr">
        <is>
          <t>LV54W25</t>
        </is>
      </c>
      <c r="G2598" s="16" t="inlineStr">
        <is>
          <t>TIANLAI Lámpara Ventilador E27 2 en 1, Silenciosa, LED Alta Luminosidad 180°, Instalación Rápida, Ahorro Energético para Dormitorio y Interiores Pequeños</t>
        </is>
      </c>
      <c r="H2598" s="16" t="inlineStr">
        <is>
          <t>1 Pieza</t>
        </is>
      </c>
      <c r="I2598" s="16" t="n">
        <v>2</v>
      </c>
      <c r="J2598" s="17" t="n">
        <v>148.6</v>
      </c>
      <c r="K2598" s="17" t="n">
        <v>115.12</v>
      </c>
      <c r="L2598" s="17" t="n">
        <v>25.86</v>
      </c>
      <c r="M2598" s="17" t="n">
        <v>0</v>
      </c>
      <c r="N2598" s="17">
        <f>K2598*0.08+L2598*0.08</f>
        <v/>
      </c>
      <c r="O2598" s="17">
        <f>-(K2598*0.025+L2598*0.025)</f>
        <v/>
      </c>
      <c r="P2598" s="17">
        <f>32</f>
        <v/>
      </c>
      <c r="Q2598" s="17">
        <f>J2598+L2598+N2598+O2598-P2598-M2598</f>
        <v/>
      </c>
    </row>
    <row r="2599">
      <c r="A2599" s="16" t="inlineStr">
        <is>
          <t>5.22-5.28</t>
        </is>
      </c>
      <c r="B2599" s="16" t="inlineStr">
        <is>
          <t>PO-128-11952738332793029</t>
        </is>
      </c>
      <c r="C2599" s="16" t="inlineStr">
        <is>
          <t>Delivered</t>
        </is>
      </c>
      <c r="D2599" s="16" t="inlineStr">
        <is>
          <t>128-11952748818553029</t>
        </is>
      </c>
      <c r="E2599" s="16" t="inlineStr">
        <is>
          <t>Delivered</t>
        </is>
      </c>
      <c r="F2599" s="16" t="inlineStr">
        <is>
          <t>LV64W25</t>
        </is>
      </c>
      <c r="G25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599" s="16" t="inlineStr">
        <is>
          <t>Blanco</t>
        </is>
      </c>
      <c r="I2599" s="16" t="n">
        <v>2</v>
      </c>
      <c r="J2599" s="17" t="n">
        <v>247.8</v>
      </c>
      <c r="K2599" s="17" t="n">
        <v>264.42</v>
      </c>
      <c r="L2599" s="17" t="n">
        <v>0</v>
      </c>
      <c r="M2599" s="17" t="n">
        <v>0</v>
      </c>
      <c r="N2599" s="17">
        <f>K2599*0.08+L2599*0.08</f>
        <v/>
      </c>
      <c r="O2599" s="17">
        <f>-(K2599*0.025+L2599*0.025)</f>
        <v/>
      </c>
      <c r="P2599" s="17">
        <f>32</f>
        <v/>
      </c>
      <c r="Q2599" s="17">
        <f>J2599+L2599+N2599+O2599-P2599-M2599</f>
        <v/>
      </c>
    </row>
    <row r="2600">
      <c r="A2600" s="16" t="inlineStr">
        <is>
          <t>5.22-5.28</t>
        </is>
      </c>
      <c r="B2600" s="16" t="inlineStr">
        <is>
          <t>PO-128-11971441370232853</t>
        </is>
      </c>
      <c r="C2600" s="16" t="inlineStr">
        <is>
          <t>Delivered</t>
        </is>
      </c>
      <c r="D2600" s="16" t="inlineStr">
        <is>
          <t>128-11971483313272853</t>
        </is>
      </c>
      <c r="E2600" s="16" t="inlineStr">
        <is>
          <t>Delivered</t>
        </is>
      </c>
      <c r="F2600" s="16" t="inlineStr">
        <is>
          <t>LV54W25</t>
        </is>
      </c>
      <c r="G2600" s="16" t="inlineStr">
        <is>
          <t>TIANLAI Lámpara Ventilador E27 2 en 1, Silenciosa, LED Alta Luminosidad 180°, Instalación Rápida, Ahorro Energético para Dormitorio y Interiores Pequeños</t>
        </is>
      </c>
      <c r="H2600" s="16" t="inlineStr">
        <is>
          <t>1 Pieza</t>
        </is>
      </c>
      <c r="I2600" s="16" t="n">
        <v>1</v>
      </c>
      <c r="J2600" s="17" t="n">
        <v>74.3</v>
      </c>
      <c r="K2600" s="17" t="n">
        <v>79.11</v>
      </c>
      <c r="L2600" s="17" t="n">
        <v>25.86</v>
      </c>
      <c r="M2600" s="17" t="n">
        <v>0</v>
      </c>
      <c r="N2600" s="17">
        <f>K2600*0.08+L2600*0.08</f>
        <v/>
      </c>
      <c r="O2600" s="17">
        <f>-(K2600*0.025+L2600*0.025)</f>
        <v/>
      </c>
      <c r="P2600" s="17">
        <f>32</f>
        <v/>
      </c>
      <c r="Q2600" s="17">
        <f>J2600+L2600+N2600+O2600-P2600-M2600</f>
        <v/>
      </c>
    </row>
    <row r="2601">
      <c r="A2601" s="16" t="inlineStr">
        <is>
          <t>5.22-5.28</t>
        </is>
      </c>
      <c r="B2601" s="16" t="inlineStr">
        <is>
          <t>PO-128-12076050771831204</t>
        </is>
      </c>
      <c r="C2601" s="16" t="inlineStr">
        <is>
          <t>Delivered</t>
        </is>
      </c>
      <c r="D2601" s="16" t="inlineStr">
        <is>
          <t>128-12076008828791204</t>
        </is>
      </c>
      <c r="E2601" s="16" t="inlineStr">
        <is>
          <t>Delivered</t>
        </is>
      </c>
      <c r="F2601" s="16" t="inlineStr">
        <is>
          <t>LV54W25</t>
        </is>
      </c>
      <c r="G2601" s="16" t="inlineStr">
        <is>
          <t>TIANLAI Lámpara Ventilador E27 2 en 1, Silenciosa, LED Alta Luminosidad 180°, Instalación Rápida, Ahorro Energético para Dormitorio y Interiores Pequeños</t>
        </is>
      </c>
      <c r="H2601" s="16" t="inlineStr">
        <is>
          <t>1 Pieza</t>
        </is>
      </c>
      <c r="I2601" s="16" t="n">
        <v>3</v>
      </c>
      <c r="J2601" s="17" t="n">
        <v>222.9</v>
      </c>
      <c r="K2601" s="17" t="n">
        <v>232.17</v>
      </c>
      <c r="L2601" s="17" t="n">
        <v>0</v>
      </c>
      <c r="M2601" s="17" t="n">
        <v>0</v>
      </c>
      <c r="N2601" s="17">
        <f>K2601*0.08+L2601*0.08</f>
        <v/>
      </c>
      <c r="O2601" s="17">
        <f>-(K2601*0.025+L2601*0.025)</f>
        <v/>
      </c>
      <c r="P2601" s="17">
        <f>32</f>
        <v/>
      </c>
      <c r="Q2601" s="17">
        <f>J2601+L2601+N2601+O2601-P2601-M2601</f>
        <v/>
      </c>
    </row>
    <row r="2602">
      <c r="A2602" s="16" t="inlineStr">
        <is>
          <t>5.22-5.28</t>
        </is>
      </c>
      <c r="B2602" s="16" t="inlineStr">
        <is>
          <t>PO-128-12053696612471339</t>
        </is>
      </c>
      <c r="C2602" s="16" t="inlineStr">
        <is>
          <t>Delivered</t>
        </is>
      </c>
      <c r="D2602" s="16" t="inlineStr">
        <is>
          <t>128-12053717583991339</t>
        </is>
      </c>
      <c r="E2602" s="16" t="inlineStr">
        <is>
          <t>Delivered</t>
        </is>
      </c>
      <c r="F2602" s="16" t="inlineStr">
        <is>
          <t>LV54W25</t>
        </is>
      </c>
      <c r="G2602" s="16" t="inlineStr">
        <is>
          <t>TIANLAI Lámpara Ventilador E27 2 en 1, Silenciosa, LED Alta Luminosidad 180°, Instalación Rápida, Ahorro Energético para Dormitorio y Interiores Pequeños</t>
        </is>
      </c>
      <c r="H2602" s="16" t="inlineStr">
        <is>
          <t>1 Pieza</t>
        </is>
      </c>
      <c r="I2602" s="16" t="n">
        <v>1</v>
      </c>
      <c r="J2602" s="17" t="n">
        <v>74.3</v>
      </c>
      <c r="K2602" s="17" t="n">
        <v>79.11</v>
      </c>
      <c r="L2602" s="17" t="n">
        <v>25.86</v>
      </c>
      <c r="M2602" s="17" t="n">
        <v>0</v>
      </c>
      <c r="N2602" s="17">
        <f>K2602*0.08+L2602*0.08</f>
        <v/>
      </c>
      <c r="O2602" s="17">
        <f>-(K2602*0.025+L2602*0.025)</f>
        <v/>
      </c>
      <c r="P2602" s="17">
        <f>32</f>
        <v/>
      </c>
      <c r="Q2602" s="17">
        <f>J2602+L2602+N2602+O2602-P2602-M2602</f>
        <v/>
      </c>
    </row>
    <row r="2603">
      <c r="A2603" s="16" t="inlineStr">
        <is>
          <t>5.22-5.28</t>
        </is>
      </c>
      <c r="B2603" s="16" t="inlineStr">
        <is>
          <t>PO-128-11858581886072436</t>
        </is>
      </c>
      <c r="C2603" s="16" t="inlineStr">
        <is>
          <t>Delivered</t>
        </is>
      </c>
      <c r="D2603" s="16" t="inlineStr">
        <is>
          <t>128-11858560914552436</t>
        </is>
      </c>
      <c r="E2603" s="16" t="inlineStr">
        <is>
          <t>Delivered</t>
        </is>
      </c>
      <c r="F2603" s="16" t="inlineStr">
        <is>
          <t>KTS-2031</t>
        </is>
      </c>
      <c r="G2603" s="16" t="inlineStr">
        <is>
          <t>Bocina inalámbrica de 3 pulgadas con linterna multifuncional y panel solar integrado.Altavoz Portátil con Linterna LED 4 Modos, Radio FM, Bluetooth, Carga Solar, Ideal para Apagones, Emergencias, Campo y Exteriores</t>
        </is>
      </c>
      <c r="H2603" s="16" t="inlineStr">
        <is>
          <t>NEGRO</t>
        </is>
      </c>
      <c r="I2603" s="16" t="n">
        <v>1</v>
      </c>
      <c r="J2603" s="17" t="n">
        <v>85</v>
      </c>
      <c r="K2603" s="17" t="n">
        <v>79.59</v>
      </c>
      <c r="L2603" s="17" t="n">
        <v>25.86</v>
      </c>
      <c r="M2603" s="17" t="n">
        <v>0</v>
      </c>
      <c r="N2603" s="17">
        <f>K2603*0.08+L2603*0.08</f>
        <v/>
      </c>
      <c r="O2603" s="17">
        <f>-(K2603*0.025+L2603*0.025)</f>
        <v/>
      </c>
      <c r="P2603" s="17">
        <f>32</f>
        <v/>
      </c>
      <c r="Q2603" s="17">
        <f>J2603+L2603+N2603+O2603-P2603-M2603</f>
        <v/>
      </c>
    </row>
    <row r="2604">
      <c r="A2604" s="16" t="inlineStr">
        <is>
          <t>5.22-5.28</t>
        </is>
      </c>
      <c r="B2604" s="16" t="inlineStr">
        <is>
          <t>PO-128-12194367745911650</t>
        </is>
      </c>
      <c r="C2604" s="16" t="inlineStr">
        <is>
          <t>Delivered</t>
        </is>
      </c>
      <c r="D2604" s="16" t="inlineStr">
        <is>
          <t>128-12194504060791650</t>
        </is>
      </c>
      <c r="E2604" s="16" t="inlineStr">
        <is>
          <t>Delivered</t>
        </is>
      </c>
      <c r="F2604" s="16" t="inlineStr">
        <is>
          <t>TL2663N18C</t>
        </is>
      </c>
      <c r="G2604" s="16" t="inlineStr">
        <is>
          <t>Linkbits，Soporte de pared fijo para televisores de 26"-63", Ultra-Delgado Compatible con VESA 400x400mm, Capacidad de Peso Fuerte de 25KG, Instalación Fácil Sin Electricidad</t>
        </is>
      </c>
      <c r="H2604" s="16" t="inlineStr">
        <is>
          <t>NEGRO</t>
        </is>
      </c>
      <c r="I2604" s="16" t="n">
        <v>1</v>
      </c>
      <c r="J2604" s="17" t="n">
        <v>54</v>
      </c>
      <c r="K2604" s="17" t="n">
        <v>68.97</v>
      </c>
      <c r="L2604" s="17" t="n">
        <v>25.86</v>
      </c>
      <c r="M2604" s="17" t="n">
        <v>0</v>
      </c>
      <c r="N2604" s="17">
        <f>K2604*0.08+L2604*0.08</f>
        <v/>
      </c>
      <c r="O2604" s="17">
        <f>-(K2604*0.025+L2604*0.025)</f>
        <v/>
      </c>
      <c r="P2604" s="17">
        <f>32</f>
        <v/>
      </c>
      <c r="Q2604" s="17">
        <f>J2604+L2604+N2604+O2604-P2604-M2604</f>
        <v/>
      </c>
    </row>
    <row r="2605">
      <c r="A2605" s="16" t="inlineStr">
        <is>
          <t>5.22-5.28</t>
        </is>
      </c>
      <c r="B2605" s="16" t="inlineStr">
        <is>
          <t>PO-128-12236074760310378</t>
        </is>
      </c>
      <c r="C2605" s="16" t="inlineStr">
        <is>
          <t>Delivered</t>
        </is>
      </c>
      <c r="D2605" s="16" t="inlineStr">
        <is>
          <t>128-12236095731830378</t>
        </is>
      </c>
      <c r="E2605" s="16" t="inlineStr">
        <is>
          <t>Delivered</t>
        </is>
      </c>
      <c r="F2605" s="16" t="inlineStr">
        <is>
          <t>KTS-2031</t>
        </is>
      </c>
      <c r="G2605" s="16" t="inlineStr">
        <is>
          <t>Bocina inalámbrica de 3 pulgadas con linterna multifuncional y panel solar integrado.Altavoz Portátil con Linterna LED 4 Modos, Radio FM, Bluetooth, Carga Solar, Ideal para Apagones, Emergencias, Campo y Exteriores</t>
        </is>
      </c>
      <c r="H2605" s="16" t="inlineStr">
        <is>
          <t>NEGRO</t>
        </is>
      </c>
      <c r="I2605" s="16" t="n">
        <v>3</v>
      </c>
      <c r="J2605" s="17" t="n">
        <v>255</v>
      </c>
      <c r="K2605" s="17" t="n">
        <v>282.66</v>
      </c>
      <c r="L2605" s="17" t="n">
        <v>0</v>
      </c>
      <c r="M2605" s="17" t="n">
        <v>0</v>
      </c>
      <c r="N2605" s="17">
        <f>K2605*0.08+L2605*0.08</f>
        <v/>
      </c>
      <c r="O2605" s="17">
        <f>-(K2605*0.025+L2605*0.025)</f>
        <v/>
      </c>
      <c r="P2605" s="17">
        <f>32</f>
        <v/>
      </c>
      <c r="Q2605" s="17">
        <f>J2605+L2605+N2605+O2605-P2605-M2605</f>
        <v/>
      </c>
    </row>
    <row r="2606">
      <c r="A2606" s="16" t="inlineStr">
        <is>
          <t>5.22-5.28</t>
        </is>
      </c>
      <c r="B2606" s="16" t="inlineStr">
        <is>
          <t>PO-128-11753365502073129</t>
        </is>
      </c>
      <c r="C2606" s="16" t="inlineStr">
        <is>
          <t>Delivered</t>
        </is>
      </c>
      <c r="D2606" s="16" t="inlineStr">
        <is>
          <t>128-11753336666233129</t>
        </is>
      </c>
      <c r="E2606" s="16" t="inlineStr">
        <is>
          <t>Delivered</t>
        </is>
      </c>
      <c r="F2606" s="16" t="inlineStr">
        <is>
          <t>TL1455N20B</t>
        </is>
      </c>
      <c r="G2606" s="16" t="inlineStr">
        <is>
          <t>LINK BITS Soporte para TV 14 A 55 Pulgadas, Base para TV Pantalla Articulado Inclinable y Giratorio, MAX VESA 400×400 mm, Soporta hasta 18kg, adaptarse a la mayoría de los televisores de 14 Pulgadas/20 Pulgadas/32 Pulgadas/42 Pulgadas/55 pulgadas</t>
        </is>
      </c>
      <c r="H2606" s="16" t="inlineStr">
        <is>
          <t>TL1455N20B</t>
        </is>
      </c>
      <c r="I2606" s="16" t="n">
        <v>3</v>
      </c>
      <c r="J2606" s="17" t="n">
        <v>223.5</v>
      </c>
      <c r="K2606" s="17" t="n">
        <v>229.35</v>
      </c>
      <c r="L2606" s="17" t="n">
        <v>0</v>
      </c>
      <c r="M2606" s="17" t="n">
        <v>0</v>
      </c>
      <c r="N2606" s="17">
        <f>K2606*0.08+L2606*0.08</f>
        <v/>
      </c>
      <c r="O2606" s="17">
        <f>-(K2606*0.025+L2606*0.025)</f>
        <v/>
      </c>
      <c r="P2606" s="17">
        <f>32</f>
        <v/>
      </c>
      <c r="Q2606" s="17">
        <f>J2606+L2606+N2606+O2606-P2606-M2606</f>
        <v/>
      </c>
    </row>
    <row r="2607">
      <c r="A2607" s="16" t="inlineStr">
        <is>
          <t>5.22-5.28</t>
        </is>
      </c>
      <c r="B2607" s="16" t="inlineStr">
        <is>
          <t>PO-128-11923345211512050</t>
        </is>
      </c>
      <c r="C2607" s="16" t="inlineStr">
        <is>
          <t>Delivered</t>
        </is>
      </c>
      <c r="D2607" s="16" t="inlineStr">
        <is>
          <t>128-11923256082552050</t>
        </is>
      </c>
      <c r="E2607" s="16" t="inlineStr">
        <is>
          <t>Delivered</t>
        </is>
      </c>
      <c r="F2607" s="16" t="inlineStr">
        <is>
          <t>BSC04</t>
        </is>
      </c>
      <c r="G2607" s="16" t="inlineStr">
        <is>
          <t>TIANLAI Báscula Digital BSC04/BSC07, Alta Precisión, Fácil Operación, Ligera y Portátil, Función Tara, Unidad Dual oz/g, Ideal para Cocina, Control de Porciones, Sellos y Objetos Pequeños, Uso en Hogar y Viaje</t>
        </is>
      </c>
      <c r="H2607" s="16" t="inlineStr">
        <is>
          <t>5g/White</t>
        </is>
      </c>
      <c r="I2607" s="16" t="n">
        <v>1</v>
      </c>
      <c r="J2607" s="17" t="n">
        <v>54</v>
      </c>
      <c r="K2607" s="17" t="n">
        <v>70.29000000000001</v>
      </c>
      <c r="L2607" s="17" t="n">
        <v>25.86</v>
      </c>
      <c r="M2607" s="17" t="n">
        <v>0</v>
      </c>
      <c r="N2607" s="17">
        <f>K2607*0.08+L2607*0.08</f>
        <v/>
      </c>
      <c r="O2607" s="17">
        <f>-(K2607*0.025+L2607*0.025)</f>
        <v/>
      </c>
      <c r="P2607" s="17">
        <f>32</f>
        <v/>
      </c>
      <c r="Q2607" s="17">
        <f>J2607+L2607+N2607+O2607-P2607-M2607</f>
        <v/>
      </c>
    </row>
    <row r="2608">
      <c r="A2608" s="16" t="inlineStr">
        <is>
          <t>5.22-5.28</t>
        </is>
      </c>
      <c r="B2608" s="16" t="inlineStr">
        <is>
          <t>PO-128-12334754957430686</t>
        </is>
      </c>
      <c r="C2608" s="16" t="inlineStr">
        <is>
          <t>Delivered</t>
        </is>
      </c>
      <c r="D2608" s="16" t="inlineStr">
        <is>
          <t>128-12334713014390686</t>
        </is>
      </c>
      <c r="E2608" s="16" t="inlineStr">
        <is>
          <t>Delivered</t>
        </is>
      </c>
      <c r="F2608" s="16" t="inlineStr">
        <is>
          <t>VA371T</t>
        </is>
      </c>
      <c r="G2608" s="16" t="inlineStr">
        <is>
          <t>Linkbits Bocina Bluetooth Portátil 3" de Alta Gama，Hi-Res Audio y Graves Potentes，Luces LED + Soporte USB/TF/FM/TWS，Ideal para Hogar y Aire Libre</t>
        </is>
      </c>
      <c r="H2608" s="16" t="inlineStr">
        <is>
          <t>VA371T</t>
        </is>
      </c>
      <c r="I2608" s="16" t="n">
        <v>1</v>
      </c>
      <c r="J2608" s="17" t="n">
        <v>41.32</v>
      </c>
      <c r="K2608" s="17" t="n">
        <v>6.58</v>
      </c>
      <c r="L2608" s="17" t="n">
        <v>25.86</v>
      </c>
      <c r="M2608" s="17" t="n">
        <v>0</v>
      </c>
      <c r="N2608" s="17">
        <f>K2608*0.08+L2608*0.08</f>
        <v/>
      </c>
      <c r="O2608" s="17">
        <f>-(K2608*0.025+L2608*0.025)</f>
        <v/>
      </c>
      <c r="P2608" s="17">
        <f>32</f>
        <v/>
      </c>
      <c r="Q2608" s="17">
        <f>J2608+L2608+N2608+O2608-P2608-M2608</f>
        <v/>
      </c>
    </row>
    <row r="2609">
      <c r="A2609" s="16" t="inlineStr">
        <is>
          <t>5.22-5.28</t>
        </is>
      </c>
      <c r="B2609" s="16" t="inlineStr">
        <is>
          <t>PO-128-12354366866550571</t>
        </is>
      </c>
      <c r="C2609" s="16" t="inlineStr">
        <is>
          <t>Delivered</t>
        </is>
      </c>
      <c r="D2609" s="16" t="inlineStr">
        <is>
          <t>128-12354404877430571</t>
        </is>
      </c>
      <c r="E2609" s="16" t="inlineStr">
        <is>
          <t>Delivered</t>
        </is>
      </c>
      <c r="F2609" s="16" t="inlineStr">
        <is>
          <t>LV54W25</t>
        </is>
      </c>
      <c r="G2609" s="16" t="inlineStr">
        <is>
          <t>TIANLAI Lámpara Ventilador E27 2 en 1, Silenciosa, LED Alta Luminosidad 180°, Instalación Rápida, Ahorro Energético para Dormitorio y Interiores Pequeños</t>
        </is>
      </c>
      <c r="H2609" s="16" t="inlineStr">
        <is>
          <t>1 Pieza</t>
        </is>
      </c>
      <c r="I2609" s="16" t="n">
        <v>1</v>
      </c>
      <c r="J2609" s="17" t="n">
        <v>74.3</v>
      </c>
      <c r="K2609" s="17" t="n">
        <v>85.98</v>
      </c>
      <c r="L2609" s="17" t="n">
        <v>25.86</v>
      </c>
      <c r="M2609" s="17" t="n">
        <v>0</v>
      </c>
      <c r="N2609" s="17">
        <f>K2609*0.08+L2609*0.08</f>
        <v/>
      </c>
      <c r="O2609" s="17">
        <f>-(K2609*0.025+L2609*0.025)</f>
        <v/>
      </c>
      <c r="P2609" s="17">
        <f>32</f>
        <v/>
      </c>
      <c r="Q2609" s="17">
        <f>J2609+L2609+N2609+O2609-P2609-M2609</f>
        <v/>
      </c>
    </row>
    <row r="2610">
      <c r="A2610" s="16" t="inlineStr">
        <is>
          <t>5.22-5.28</t>
        </is>
      </c>
      <c r="B2610" s="16" t="inlineStr">
        <is>
          <t>PO-128-12010245865592620</t>
        </is>
      </c>
      <c r="C2610" s="16" t="inlineStr">
        <is>
          <t>Delivered</t>
        </is>
      </c>
      <c r="D2610" s="16" t="inlineStr">
        <is>
          <t>128-12010266837112620</t>
        </is>
      </c>
      <c r="E2610" s="16" t="inlineStr">
        <is>
          <t>Delivered</t>
        </is>
      </c>
      <c r="F2610" s="16" t="inlineStr">
        <is>
          <t>LV54W25</t>
        </is>
      </c>
      <c r="G2610" s="16" t="inlineStr">
        <is>
          <t>TIANLAI Lámpara Ventilador E27 2 en 1, Silenciosa, LED Alta Luminosidad 180°, Instalación Rápida, Ahorro Energético para Dormitorio y Interiores Pequeños</t>
        </is>
      </c>
      <c r="H2610" s="16" t="inlineStr">
        <is>
          <t>1 Pieza</t>
        </is>
      </c>
      <c r="I2610" s="16" t="n">
        <v>3</v>
      </c>
      <c r="J2610" s="17" t="n">
        <v>222.9</v>
      </c>
      <c r="K2610" s="17" t="n">
        <v>189.86</v>
      </c>
      <c r="L2610" s="17" t="n">
        <v>0</v>
      </c>
      <c r="M2610" s="17" t="n">
        <v>0</v>
      </c>
      <c r="N2610" s="17">
        <f>K2610*0.08+L2610*0.08</f>
        <v/>
      </c>
      <c r="O2610" s="17">
        <f>-(K2610*0.025+L2610*0.025)</f>
        <v/>
      </c>
      <c r="P2610" s="17">
        <f>32</f>
        <v/>
      </c>
      <c r="Q2610" s="17">
        <f>J2610+L2610+N2610+O2610-P2610-M2610</f>
        <v/>
      </c>
    </row>
    <row r="2611">
      <c r="A2611" s="16" t="inlineStr">
        <is>
          <t>5.22-5.28</t>
        </is>
      </c>
      <c r="B2611" s="16" t="inlineStr">
        <is>
          <t>PO-128-11960103954553049</t>
        </is>
      </c>
      <c r="C2611" s="16" t="inlineStr">
        <is>
          <t>Delivered</t>
        </is>
      </c>
      <c r="D2611" s="16" t="inlineStr">
        <is>
          <t>128-11960062011513049</t>
        </is>
      </c>
      <c r="E2611" s="16" t="inlineStr">
        <is>
          <t>Delivered</t>
        </is>
      </c>
      <c r="F2611" s="16" t="inlineStr">
        <is>
          <t>LV64W25</t>
        </is>
      </c>
      <c r="G26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11" s="16" t="inlineStr">
        <is>
          <t>Blanco</t>
        </is>
      </c>
      <c r="I2611" s="16" t="n">
        <v>1</v>
      </c>
      <c r="J2611" s="17" t="n">
        <v>123.9</v>
      </c>
      <c r="K2611" s="17" t="n">
        <v>55.95</v>
      </c>
      <c r="L2611" s="17" t="n">
        <v>25.86</v>
      </c>
      <c r="M2611" s="17" t="n">
        <v>0</v>
      </c>
      <c r="N2611" s="17">
        <f>K2611*0.08+L2611*0.08</f>
        <v/>
      </c>
      <c r="O2611" s="17">
        <f>-(K2611*0.025+L2611*0.025)</f>
        <v/>
      </c>
      <c r="P2611" s="17">
        <f>32</f>
        <v/>
      </c>
      <c r="Q2611" s="17">
        <f>J2611+L2611+N2611+O2611-P2611-M2611</f>
        <v/>
      </c>
    </row>
    <row r="2612">
      <c r="A2612" s="16" t="inlineStr">
        <is>
          <t>5.22-5.28</t>
        </is>
      </c>
      <c r="B2612" s="16" t="inlineStr">
        <is>
          <t>PO-128-12151653594231907</t>
        </is>
      </c>
      <c r="C2612" s="16" t="inlineStr">
        <is>
          <t>Delivered</t>
        </is>
      </c>
      <c r="D2612" s="16" t="inlineStr">
        <is>
          <t>128-12151632622711907</t>
        </is>
      </c>
      <c r="E2612" s="16" t="inlineStr">
        <is>
          <t>Delivered</t>
        </is>
      </c>
      <c r="F2612" s="16" t="inlineStr">
        <is>
          <t>TLCD06-12P-R</t>
        </is>
      </c>
      <c r="G261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612" s="16" t="inlineStr">
        <is>
          <t>ROJO/pantalla de 12 pulgadas</t>
        </is>
      </c>
      <c r="I2612" s="16" t="n">
        <v>2</v>
      </c>
      <c r="J2612" s="17" t="n">
        <v>64</v>
      </c>
      <c r="K2612" s="17" t="n">
        <v>88.02</v>
      </c>
      <c r="L2612" s="17" t="n">
        <v>25.86</v>
      </c>
      <c r="M2612" s="17" t="n">
        <v>0</v>
      </c>
      <c r="N2612" s="17">
        <f>K2612*0.08+L2612*0.08</f>
        <v/>
      </c>
      <c r="O2612" s="17">
        <f>-(K2612*0.025+L2612*0.025)</f>
        <v/>
      </c>
      <c r="P2612" s="17">
        <f>32</f>
        <v/>
      </c>
      <c r="Q2612" s="17">
        <f>J2612+L2612+N2612+O2612-P2612-M2612</f>
        <v/>
      </c>
    </row>
    <row r="2613">
      <c r="A2613" s="16" t="inlineStr">
        <is>
          <t>5.22-5.28</t>
        </is>
      </c>
      <c r="B2613" s="16" t="inlineStr">
        <is>
          <t>PO-128-12008640274552567</t>
        </is>
      </c>
      <c r="C2613" s="16" t="inlineStr">
        <is>
          <t>Delivered</t>
        </is>
      </c>
      <c r="D2613" s="16" t="inlineStr">
        <is>
          <t>128-12008776589432567</t>
        </is>
      </c>
      <c r="E2613" s="16" t="inlineStr">
        <is>
          <t>Delivered</t>
        </is>
      </c>
      <c r="F2613" s="16" t="inlineStr">
        <is>
          <t>KTS-2031</t>
        </is>
      </c>
      <c r="G2613" s="16" t="inlineStr">
        <is>
          <t>Bocina inalámbrica de 3 pulgadas con linterna multifuncional y panel solar integrado.Altavoz Portátil con Linterna LED 4 Modos, Radio FM, Bluetooth, Carga Solar, Ideal para Apagones, Emergencias, Campo y Exteriores</t>
        </is>
      </c>
      <c r="H2613" s="16" t="inlineStr">
        <is>
          <t>NEGRO</t>
        </is>
      </c>
      <c r="I2613" s="16" t="n">
        <v>1</v>
      </c>
      <c r="J2613" s="17" t="n">
        <v>85</v>
      </c>
      <c r="K2613" s="17" t="n">
        <v>51.12</v>
      </c>
      <c r="L2613" s="17" t="n">
        <v>25.86</v>
      </c>
      <c r="M2613" s="17" t="n">
        <v>0</v>
      </c>
      <c r="N2613" s="17">
        <f>K2613*0.08+L2613*0.08</f>
        <v/>
      </c>
      <c r="O2613" s="17">
        <f>-(K2613*0.025+L2613*0.025)</f>
        <v/>
      </c>
      <c r="P2613" s="17">
        <f>32</f>
        <v/>
      </c>
      <c r="Q2613" s="17">
        <f>J2613+L2613+N2613+O2613-P2613-M2613</f>
        <v/>
      </c>
    </row>
    <row r="2614">
      <c r="A2614" s="16" t="inlineStr">
        <is>
          <t>5.22-5.28</t>
        </is>
      </c>
      <c r="B2614" s="16" t="inlineStr">
        <is>
          <t>PO-128-12052807565431342</t>
        </is>
      </c>
      <c r="C2614" s="16" t="inlineStr">
        <is>
          <t>Delivered</t>
        </is>
      </c>
      <c r="D2614" s="16" t="inlineStr">
        <is>
          <t>128-12052776108151342</t>
        </is>
      </c>
      <c r="E2614" s="16" t="inlineStr">
        <is>
          <t>Delivered</t>
        </is>
      </c>
      <c r="F2614" s="16" t="inlineStr">
        <is>
          <t>KTS-2031</t>
        </is>
      </c>
      <c r="G2614" s="16" t="inlineStr">
        <is>
          <t>Bocina inalámbrica de 3 pulgadas con linterna multifuncional y panel solar integrado.Altavoz Portátil con Linterna LED 4 Modos, Radio FM, Bluetooth, Carga Solar, Ideal para Apagones, Emergencias, Campo y Exteriores</t>
        </is>
      </c>
      <c r="H2614" s="16" t="inlineStr">
        <is>
          <t>NEGRO</t>
        </is>
      </c>
      <c r="I2614" s="16" t="n">
        <v>1</v>
      </c>
      <c r="J2614" s="17" t="n">
        <v>85</v>
      </c>
      <c r="K2614" s="17" t="n">
        <v>94.22</v>
      </c>
      <c r="L2614" s="17" t="n">
        <v>25.86</v>
      </c>
      <c r="M2614" s="17" t="n">
        <v>0</v>
      </c>
      <c r="N2614" s="17">
        <f>K2614*0.08+L2614*0.08</f>
        <v/>
      </c>
      <c r="O2614" s="17">
        <f>-(K2614*0.025+L2614*0.025)</f>
        <v/>
      </c>
      <c r="P2614" s="17">
        <f>32</f>
        <v/>
      </c>
      <c r="Q2614" s="17">
        <f>J2614+L2614+N2614+O2614-P2614-M2614</f>
        <v/>
      </c>
    </row>
    <row r="2615">
      <c r="A2615" s="16" t="inlineStr">
        <is>
          <t>5.22-5.28</t>
        </is>
      </c>
      <c r="B2615" s="16" t="inlineStr">
        <is>
          <t>PO-128-11941494193272966</t>
        </is>
      </c>
      <c r="C2615" s="16" t="inlineStr">
        <is>
          <t>Delivered</t>
        </is>
      </c>
      <c r="D2615" s="16" t="inlineStr">
        <is>
          <t>128-11941452250232966</t>
        </is>
      </c>
      <c r="E2615" s="16" t="inlineStr">
        <is>
          <t>Delivered</t>
        </is>
      </c>
      <c r="F2615" s="16" t="inlineStr">
        <is>
          <t>LV54W25</t>
        </is>
      </c>
      <c r="G2615" s="16" t="inlineStr">
        <is>
          <t>TIANLAI Lámpara Ventilador E27 2 en 1, Silenciosa, LED Alta Luminosidad 180°, Instalación Rápida, Ahorro Energético para Dormitorio y Interiores Pequeños</t>
        </is>
      </c>
      <c r="H2615" s="16" t="inlineStr">
        <is>
          <t>1 Pieza</t>
        </is>
      </c>
      <c r="I2615" s="16" t="n">
        <v>3</v>
      </c>
      <c r="J2615" s="17" t="n">
        <v>222.9</v>
      </c>
      <c r="K2615" s="17" t="n">
        <v>232.17</v>
      </c>
      <c r="L2615" s="17" t="n">
        <v>0</v>
      </c>
      <c r="M2615" s="17" t="n">
        <v>0</v>
      </c>
      <c r="N2615" s="17">
        <f>K2615*0.08+L2615*0.08</f>
        <v/>
      </c>
      <c r="O2615" s="17">
        <f>-(K2615*0.025+L2615*0.025)</f>
        <v/>
      </c>
      <c r="P2615" s="17">
        <f>32</f>
        <v/>
      </c>
      <c r="Q2615" s="17">
        <f>J2615+L2615+N2615+O2615-P2615-M2615</f>
        <v/>
      </c>
    </row>
    <row r="2616">
      <c r="A2616" s="16" t="inlineStr">
        <is>
          <t>5.22-5.28</t>
        </is>
      </c>
      <c r="B2616" s="16" t="inlineStr">
        <is>
          <t>PO-128-11904134689912228</t>
        </is>
      </c>
      <c r="C2616" s="16" t="inlineStr">
        <is>
          <t>Delivered</t>
        </is>
      </c>
      <c r="D2616" s="16" t="inlineStr">
        <is>
          <t>128-11904239547512228</t>
        </is>
      </c>
      <c r="E2616" s="16" t="inlineStr">
        <is>
          <t>Delivered</t>
        </is>
      </c>
      <c r="F2616" s="16" t="inlineStr">
        <is>
          <t>TLCD01-4P-nN</t>
        </is>
      </c>
      <c r="G261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616" s="16" t="inlineStr">
        <is>
          <t>NEGRO/pantalla de 4.5 pulgadas</t>
        </is>
      </c>
      <c r="I2616" s="16" t="n">
        <v>1</v>
      </c>
      <c r="J2616" s="17" t="n">
        <v>19.5</v>
      </c>
      <c r="K2616" s="17" t="n">
        <v>23.13</v>
      </c>
      <c r="L2616" s="17" t="n">
        <v>25.86</v>
      </c>
      <c r="M2616" s="17" t="n">
        <v>0</v>
      </c>
      <c r="N2616" s="17">
        <f>K2616*0.08+L2616*0.08</f>
        <v/>
      </c>
      <c r="O2616" s="17">
        <f>-(K2616*0.025+L2616*0.025)</f>
        <v/>
      </c>
      <c r="P2616" s="17">
        <f>32</f>
        <v/>
      </c>
      <c r="Q2616" s="17">
        <f>J2616+L2616+N2616+O2616-P2616-M2616</f>
        <v/>
      </c>
    </row>
    <row r="2617">
      <c r="A2617" s="16" t="inlineStr">
        <is>
          <t>5.22-5.28</t>
        </is>
      </c>
      <c r="B2617" s="16" t="inlineStr">
        <is>
          <t>PO-128-12322895521910884</t>
        </is>
      </c>
      <c r="C2617" s="16" t="inlineStr">
        <is>
          <t>Delivered</t>
        </is>
      </c>
      <c r="D2617" s="16" t="inlineStr">
        <is>
          <t>128-12322879793270884</t>
        </is>
      </c>
      <c r="E2617" s="16" t="inlineStr">
        <is>
          <t>Delivered</t>
        </is>
      </c>
      <c r="F2617" s="16" t="inlineStr">
        <is>
          <t>LV54W25</t>
        </is>
      </c>
      <c r="G2617" s="16" t="inlineStr">
        <is>
          <t>TIANLAI Lámpara Ventilador E27 2 en 1, Silenciosa, LED Alta Luminosidad 180°, Instalación Rápida, Ahorro Energético para Dormitorio y Interiores Pequeños</t>
        </is>
      </c>
      <c r="H2617" s="16" t="inlineStr">
        <is>
          <t>1 Pieza</t>
        </is>
      </c>
      <c r="I2617" s="16" t="n">
        <v>1</v>
      </c>
      <c r="J2617" s="17" t="n">
        <v>74.3</v>
      </c>
      <c r="K2617" s="17" t="n">
        <v>79.11</v>
      </c>
      <c r="L2617" s="17" t="n">
        <v>25.86</v>
      </c>
      <c r="M2617" s="17" t="n">
        <v>0</v>
      </c>
      <c r="N2617" s="17">
        <f>K2617*0.08+L2617*0.08</f>
        <v/>
      </c>
      <c r="O2617" s="17">
        <f>-(K2617*0.025+L2617*0.025)</f>
        <v/>
      </c>
      <c r="P2617" s="17">
        <f>32</f>
        <v/>
      </c>
      <c r="Q2617" s="17">
        <f>J2617+L2617+N2617+O2617-P2617-M2617</f>
        <v/>
      </c>
    </row>
    <row r="2618">
      <c r="A2618" s="16" t="inlineStr">
        <is>
          <t>5.22-5.28</t>
        </is>
      </c>
      <c r="B2618" s="16" t="inlineStr">
        <is>
          <t>PO-128-12306881353590788</t>
        </is>
      </c>
      <c r="C2618" s="16" t="inlineStr">
        <is>
          <t>Delivered</t>
        </is>
      </c>
      <c r="D2618" s="16" t="inlineStr">
        <is>
          <t>128-12306902325110788</t>
        </is>
      </c>
      <c r="E2618" s="16" t="inlineStr">
        <is>
          <t>Delivered</t>
        </is>
      </c>
      <c r="F2618" s="16" t="inlineStr">
        <is>
          <t>TL1412N17C</t>
        </is>
      </c>
      <c r="G2618" s="16" t="inlineStr">
        <is>
          <t>Linkbits, Soporte de Pared Fijo para TV y Monitor de 14"-43", Ultra Delgado 2.3cm, Fuerte Capacidad de Peso de 25KG, Fácil Instalación con Accesorios Completos</t>
        </is>
      </c>
      <c r="H2618" s="16" t="inlineStr">
        <is>
          <t>NEGRO</t>
        </is>
      </c>
      <c r="I2618" s="16" t="n">
        <v>1</v>
      </c>
      <c r="J2618" s="17" t="n">
        <v>36.5</v>
      </c>
      <c r="K2618" s="17" t="n">
        <v>38.56</v>
      </c>
      <c r="L2618" s="17" t="n">
        <v>25.86</v>
      </c>
      <c r="M2618" s="17" t="n">
        <v>0</v>
      </c>
      <c r="N2618" s="17">
        <f>K2618*0.08+L2618*0.08</f>
        <v/>
      </c>
      <c r="O2618" s="17">
        <f>-(K2618*0.025+L2618*0.025)</f>
        <v/>
      </c>
      <c r="P2618" s="17">
        <f>32</f>
        <v/>
      </c>
      <c r="Q2618" s="17">
        <f>J2618+L2618+N2618+O2618-P2618-M2618</f>
        <v/>
      </c>
    </row>
    <row r="2619">
      <c r="A2619" s="16" t="inlineStr">
        <is>
          <t>5.22-5.28</t>
        </is>
      </c>
      <c r="B2619" s="16" t="inlineStr">
        <is>
          <t>PO-128-12030053020791414</t>
        </is>
      </c>
      <c r="C2619" s="16" t="inlineStr">
        <is>
          <t>Delivered</t>
        </is>
      </c>
      <c r="D2619" s="16" t="inlineStr">
        <is>
          <t>128-12030073992311414</t>
        </is>
      </c>
      <c r="E2619" s="16" t="inlineStr">
        <is>
          <t>Delivered</t>
        </is>
      </c>
      <c r="F2619" s="16" t="inlineStr">
        <is>
          <t>LV64W25</t>
        </is>
      </c>
      <c r="G26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19" s="16" t="inlineStr">
        <is>
          <t>Blanco</t>
        </is>
      </c>
      <c r="I2619" s="16" t="n">
        <v>5</v>
      </c>
      <c r="J2619" s="17" t="n">
        <v>619.5</v>
      </c>
      <c r="K2619" s="17" t="n">
        <v>710.8</v>
      </c>
      <c r="L2619" s="17" t="n">
        <v>0</v>
      </c>
      <c r="M2619" s="17" t="n">
        <v>0</v>
      </c>
      <c r="N2619" s="17">
        <f>K2619*0.08+L2619*0.08</f>
        <v/>
      </c>
      <c r="O2619" s="17">
        <f>-(K2619*0.025+L2619*0.025)</f>
        <v/>
      </c>
      <c r="P2619" s="17">
        <f>32</f>
        <v/>
      </c>
      <c r="Q2619" s="17">
        <f>J2619+L2619+N2619+O2619-P2619-M2619</f>
        <v/>
      </c>
    </row>
    <row r="2620">
      <c r="A2620" s="16" t="inlineStr">
        <is>
          <t>5.22-5.28</t>
        </is>
      </c>
      <c r="B2620" s="16" t="inlineStr">
        <is>
          <t>PO-128-12135428759671810</t>
        </is>
      </c>
      <c r="C2620" s="16" t="inlineStr">
        <is>
          <t>Delivered</t>
        </is>
      </c>
      <c r="D2620" s="16" t="inlineStr">
        <is>
          <t>128-12135386816631810</t>
        </is>
      </c>
      <c r="E2620" s="16" t="inlineStr">
        <is>
          <t>Delivered</t>
        </is>
      </c>
      <c r="F2620" s="16" t="inlineStr">
        <is>
          <t>TLCD01-4P-nN</t>
        </is>
      </c>
      <c r="G262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620" s="16" t="inlineStr">
        <is>
          <t>NEGRO/pantalla de 4.5 pulgadas</t>
        </is>
      </c>
      <c r="I2620" s="16" t="n">
        <v>1</v>
      </c>
      <c r="J2620" s="17" t="n">
        <v>19.5</v>
      </c>
      <c r="K2620" s="17" t="n">
        <v>23.13</v>
      </c>
      <c r="L2620" s="17" t="n">
        <v>25.86</v>
      </c>
      <c r="M2620" s="17" t="n">
        <v>0</v>
      </c>
      <c r="N2620" s="17">
        <f>K2620*0.08+L2620*0.08</f>
        <v/>
      </c>
      <c r="O2620" s="17">
        <f>-(K2620*0.025+L2620*0.025)</f>
        <v/>
      </c>
      <c r="P2620" s="17">
        <f>32</f>
        <v/>
      </c>
      <c r="Q2620" s="17">
        <f>J2620+L2620+N2620+O2620-P2620-M2620</f>
        <v/>
      </c>
    </row>
    <row r="2621">
      <c r="A2621" s="16" t="inlineStr">
        <is>
          <t>5.22-5.28</t>
        </is>
      </c>
      <c r="B2621" s="16" t="inlineStr">
        <is>
          <t>PO-128-11863800036472471</t>
        </is>
      </c>
      <c r="C2621" s="16" t="inlineStr">
        <is>
          <t>Delivered</t>
        </is>
      </c>
      <c r="D2621" s="16" t="inlineStr">
        <is>
          <t>128-11863758093432471</t>
        </is>
      </c>
      <c r="E2621" s="16" t="inlineStr">
        <is>
          <t>Delivered</t>
        </is>
      </c>
      <c r="F2621" s="16" t="inlineStr">
        <is>
          <t>VB349T</t>
        </is>
      </c>
      <c r="G2621" s="16" t="inlineStr">
        <is>
          <t>LINKBITS Altavoz Portátil de Doble Altavoz - 3 Pulgadas, Sonido HD, Emparejamiento Rápido de Bluetooth, Conectividad TWS, Reproducción Multimodo (Micro SD/USB/Radio FM) - Perfecto para Oficina, Viajes y Espacios Pequeños</t>
        </is>
      </c>
      <c r="H2621" s="16" t="inlineStr">
        <is>
          <t>NEGRO</t>
        </is>
      </c>
      <c r="I2621" s="16" t="n">
        <v>1</v>
      </c>
      <c r="J2621" s="17" t="n">
        <v>79</v>
      </c>
      <c r="K2621" s="17" t="n">
        <v>92.26000000000001</v>
      </c>
      <c r="L2621" s="17" t="n">
        <v>25.86</v>
      </c>
      <c r="M2621" s="17" t="n">
        <v>0</v>
      </c>
      <c r="N2621" s="17">
        <f>K2621*0.08+L2621*0.08</f>
        <v/>
      </c>
      <c r="O2621" s="17">
        <f>-(K2621*0.025+L2621*0.025)</f>
        <v/>
      </c>
      <c r="P2621" s="17">
        <f>32</f>
        <v/>
      </c>
      <c r="Q2621" s="17">
        <f>J2621+L2621+N2621+O2621-P2621-M2621</f>
        <v/>
      </c>
    </row>
    <row r="2622">
      <c r="A2622" s="16" t="inlineStr">
        <is>
          <t>5.22-5.28</t>
        </is>
      </c>
      <c r="B2622" s="16" t="inlineStr">
        <is>
          <t>PO-128-12203721109110445</t>
        </is>
      </c>
      <c r="C2622" s="16" t="inlineStr">
        <is>
          <t>Delivered</t>
        </is>
      </c>
      <c r="D2622" s="16" t="inlineStr">
        <is>
          <t>128-12203679166070445</t>
        </is>
      </c>
      <c r="E2622" s="16" t="inlineStr">
        <is>
          <t>Delivered</t>
        </is>
      </c>
      <c r="F2622" s="16" t="inlineStr">
        <is>
          <t>LV54W25</t>
        </is>
      </c>
      <c r="G2622" s="16" t="inlineStr">
        <is>
          <t>TIANLAI Lámpara Ventilador E27 2 en 1, Silenciosa, LED Alta Luminosidad 180°, Instalación Rápida, Ahorro Energético para Dormitorio y Interiores Pequeños</t>
        </is>
      </c>
      <c r="H2622" s="16" t="inlineStr">
        <is>
          <t>1 Pieza</t>
        </is>
      </c>
      <c r="I2622" s="16" t="n">
        <v>1</v>
      </c>
      <c r="J2622" s="17" t="n">
        <v>74.3</v>
      </c>
      <c r="K2622" s="17" t="n">
        <v>85.98</v>
      </c>
      <c r="L2622" s="17" t="n">
        <v>25.86</v>
      </c>
      <c r="M2622" s="17" t="n">
        <v>0</v>
      </c>
      <c r="N2622" s="17">
        <f>K2622*0.08+L2622*0.08</f>
        <v/>
      </c>
      <c r="O2622" s="17">
        <f>-(K2622*0.025+L2622*0.025)</f>
        <v/>
      </c>
      <c r="P2622" s="17">
        <f>32</f>
        <v/>
      </c>
      <c r="Q2622" s="17">
        <f>J2622+L2622+N2622+O2622-P2622-M2622</f>
        <v/>
      </c>
    </row>
    <row r="2623">
      <c r="A2623" s="16" t="inlineStr">
        <is>
          <t>5.22-5.28</t>
        </is>
      </c>
      <c r="B2623" s="16" t="inlineStr">
        <is>
          <t>PO-128-12085475599991277</t>
        </is>
      </c>
      <c r="C2623" s="16" t="inlineStr">
        <is>
          <t>Delivered</t>
        </is>
      </c>
      <c r="D2623" s="16" t="inlineStr">
        <is>
          <t>128-12085483464311277</t>
        </is>
      </c>
      <c r="E2623" s="16" t="inlineStr">
        <is>
          <t>Delivered</t>
        </is>
      </c>
      <c r="F2623" s="16" t="inlineStr">
        <is>
          <t>i12-V</t>
        </is>
      </c>
      <c r="G2623" s="16" t="inlineStr">
        <is>
          <t>Auriculares Inalámbricos TWS - Ideales para Usuarios Android e iPhone, Entusiastas del Deporte &amp; Música, Controles Táctiles, Audífonos Para Correr y Jugar</t>
        </is>
      </c>
      <c r="H2623" s="16" t="inlineStr">
        <is>
          <t>VERDE</t>
        </is>
      </c>
      <c r="I2623" s="16" t="n">
        <v>1</v>
      </c>
      <c r="J2623" s="17" t="n">
        <v>42</v>
      </c>
      <c r="K2623" s="17" t="n">
        <v>44.67</v>
      </c>
      <c r="L2623" s="17" t="n">
        <v>25.86</v>
      </c>
      <c r="M2623" s="17" t="n">
        <v>0</v>
      </c>
      <c r="N2623" s="17">
        <f>K2623*0.08+L2623*0.08</f>
        <v/>
      </c>
      <c r="O2623" s="17">
        <f>-(K2623*0.025+L2623*0.025)</f>
        <v/>
      </c>
      <c r="P2623" s="17">
        <f>32</f>
        <v/>
      </c>
      <c r="Q2623" s="17">
        <f>J2623+L2623+N2623+O2623-P2623-M2623</f>
        <v/>
      </c>
    </row>
    <row r="2624">
      <c r="A2624" s="16" t="inlineStr">
        <is>
          <t>5.22-5.28</t>
        </is>
      </c>
      <c r="B2624" s="16" t="inlineStr">
        <is>
          <t>PO-128-11864266445432466</t>
        </is>
      </c>
      <c r="C2624" s="16" t="inlineStr">
        <is>
          <t>Delivered</t>
        </is>
      </c>
      <c r="D2624" s="16" t="inlineStr">
        <is>
          <t>128-11864334602872466</t>
        </is>
      </c>
      <c r="E2624" s="16" t="inlineStr">
        <is>
          <t>Delivered</t>
        </is>
      </c>
      <c r="F2624" s="16" t="inlineStr">
        <is>
          <t>VB349T</t>
        </is>
      </c>
      <c r="G2624" s="16" t="inlineStr">
        <is>
          <t>LINKBITS Altavoz Portátil de Doble Altavoz - 3 Pulgadas, Sonido HD, Emparejamiento Rápido de Bluetooth, Conectividad TWS, Reproducción Multimodo (Micro SD/USB/Radio FM) - Perfecto para Oficina, Viajes y Espacios Pequeños</t>
        </is>
      </c>
      <c r="H2624" s="16" t="inlineStr">
        <is>
          <t>NEGRO</t>
        </is>
      </c>
      <c r="I2624" s="16" t="n">
        <v>1</v>
      </c>
      <c r="J2624" s="17" t="n">
        <v>79</v>
      </c>
      <c r="K2624" s="17" t="n">
        <v>6.05</v>
      </c>
      <c r="L2624" s="17" t="n">
        <v>25.86</v>
      </c>
      <c r="M2624" s="17" t="n">
        <v>0</v>
      </c>
      <c r="N2624" s="17">
        <f>K2624*0.08+L2624*0.08</f>
        <v/>
      </c>
      <c r="O2624" s="17">
        <f>-(K2624*0.025+L2624*0.025)</f>
        <v/>
      </c>
      <c r="P2624" s="17">
        <f>32</f>
        <v/>
      </c>
      <c r="Q2624" s="17">
        <f>J2624+L2624+N2624+O2624-P2624-M2624</f>
        <v/>
      </c>
    </row>
    <row r="2625">
      <c r="A2625" s="16" t="inlineStr">
        <is>
          <t>5.22-5.28</t>
        </is>
      </c>
      <c r="B2625" s="16" t="inlineStr">
        <is>
          <t>PO-128-12084530279031219</t>
        </is>
      </c>
      <c r="C2625" s="16" t="inlineStr">
        <is>
          <t>Delivered</t>
        </is>
      </c>
      <c r="D2625" s="16" t="inlineStr">
        <is>
          <t>128-12084572222071219</t>
        </is>
      </c>
      <c r="E2625" s="16" t="inlineStr">
        <is>
          <t>Delivered</t>
        </is>
      </c>
      <c r="F2625" s="16" t="inlineStr">
        <is>
          <t>TLCD06-12P-A</t>
        </is>
      </c>
      <c r="G262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625" s="16" t="inlineStr">
        <is>
          <t>AZUL/pantalla de 12 pulgadas</t>
        </is>
      </c>
      <c r="I2625" s="16" t="n">
        <v>1</v>
      </c>
      <c r="J2625" s="17" t="n">
        <v>32</v>
      </c>
      <c r="K2625" s="17" t="n">
        <v>44.01</v>
      </c>
      <c r="L2625" s="17" t="n">
        <v>25.86</v>
      </c>
      <c r="M2625" s="17" t="n">
        <v>0</v>
      </c>
      <c r="N2625" s="17">
        <f>K2625*0.08+L2625*0.08</f>
        <v/>
      </c>
      <c r="O2625" s="17">
        <f>-(K2625*0.025+L2625*0.025)</f>
        <v/>
      </c>
      <c r="P2625" s="17">
        <f>32</f>
        <v/>
      </c>
      <c r="Q2625" s="17">
        <f>J2625+L2625+N2625+O2625-P2625-M2625</f>
        <v/>
      </c>
    </row>
    <row r="2626">
      <c r="A2626" s="16" t="inlineStr">
        <is>
          <t>5.22-5.28</t>
        </is>
      </c>
      <c r="B2626" s="16" t="inlineStr">
        <is>
          <t>PO-128-12041171036791476</t>
        </is>
      </c>
      <c r="C2626" s="16" t="inlineStr">
        <is>
          <t>Delivered</t>
        </is>
      </c>
      <c r="D2626" s="16" t="inlineStr">
        <is>
          <t>128-12041150065271476</t>
        </is>
      </c>
      <c r="E2626" s="16" t="inlineStr">
        <is>
          <t>Delivered</t>
        </is>
      </c>
      <c r="F2626" s="16" t="inlineStr">
        <is>
          <t>LV54W25</t>
        </is>
      </c>
      <c r="G2626" s="16" t="inlineStr">
        <is>
          <t>TIANLAI Lámpara Ventilador E27 2 en 1, Silenciosa, LED Alta Luminosidad 180°, Instalación Rápida, Ahorro Energético para Dormitorio y Interiores Pequeños</t>
        </is>
      </c>
      <c r="H2626" s="16" t="inlineStr">
        <is>
          <t>1 Pieza</t>
        </is>
      </c>
      <c r="I2626" s="16" t="n">
        <v>2</v>
      </c>
      <c r="J2626" s="17" t="n">
        <v>148.6</v>
      </c>
      <c r="K2626" s="17" t="n">
        <v>154.78</v>
      </c>
      <c r="L2626" s="17" t="n">
        <v>25.86</v>
      </c>
      <c r="M2626" s="17" t="n">
        <v>0</v>
      </c>
      <c r="N2626" s="17">
        <f>K2626*0.08+L2626*0.08</f>
        <v/>
      </c>
      <c r="O2626" s="17">
        <f>-(K2626*0.025+L2626*0.025)</f>
        <v/>
      </c>
      <c r="P2626" s="17">
        <f>32</f>
        <v/>
      </c>
      <c r="Q2626" s="17">
        <f>J2626+L2626+N2626+O2626-P2626-M2626</f>
        <v/>
      </c>
    </row>
    <row r="2627">
      <c r="A2627" s="16" t="inlineStr">
        <is>
          <t>5.22-5.28</t>
        </is>
      </c>
      <c r="B2627" s="16" t="inlineStr">
        <is>
          <t>PO-128-12086504617591271</t>
        </is>
      </c>
      <c r="C2627" s="16" t="inlineStr">
        <is>
          <t>Delivered</t>
        </is>
      </c>
      <c r="D2627" s="16" t="inlineStr">
        <is>
          <t>128-12086509860471271</t>
        </is>
      </c>
      <c r="E2627" s="16" t="inlineStr">
        <is>
          <t>Delivered</t>
        </is>
      </c>
      <c r="F2627" s="16" t="inlineStr">
        <is>
          <t>LV54W25</t>
        </is>
      </c>
      <c r="G2627" s="16" t="inlineStr">
        <is>
          <t>TIANLAI Lámpara Ventilador E27 2 en 1, Silenciosa, LED Alta Luminosidad 180°, Instalación Rápida, Ahorro Energético para Dormitorio y Interiores Pequeños</t>
        </is>
      </c>
      <c r="H2627" s="16" t="inlineStr">
        <is>
          <t>1 Pieza</t>
        </is>
      </c>
      <c r="I2627" s="16" t="n">
        <v>1</v>
      </c>
      <c r="J2627" s="17" t="n">
        <v>74.3</v>
      </c>
      <c r="K2627" s="17" t="n">
        <v>85.98</v>
      </c>
      <c r="L2627" s="17" t="n">
        <v>25.86</v>
      </c>
      <c r="M2627" s="17" t="n">
        <v>0</v>
      </c>
      <c r="N2627" s="17">
        <f>K2627*0.08+L2627*0.08</f>
        <v/>
      </c>
      <c r="O2627" s="17">
        <f>-(K2627*0.025+L2627*0.025)</f>
        <v/>
      </c>
      <c r="P2627" s="17">
        <f>32</f>
        <v/>
      </c>
      <c r="Q2627" s="17">
        <f>J2627+L2627+N2627+O2627-P2627-M2627</f>
        <v/>
      </c>
    </row>
    <row r="2628">
      <c r="A2628" s="16" t="inlineStr">
        <is>
          <t>5.22-5.28</t>
        </is>
      </c>
      <c r="B2628" s="16" t="inlineStr">
        <is>
          <t>PO-128-12231500396150343</t>
        </is>
      </c>
      <c r="C2628" s="16" t="inlineStr">
        <is>
          <t>Delivered</t>
        </is>
      </c>
      <c r="D2628" s="16" t="inlineStr">
        <is>
          <t>128-12231542339190343</t>
        </is>
      </c>
      <c r="E2628" s="16" t="inlineStr">
        <is>
          <t>Delivered</t>
        </is>
      </c>
      <c r="F2628" s="16" t="inlineStr">
        <is>
          <t>KTS-2031</t>
        </is>
      </c>
      <c r="G2628" s="16" t="inlineStr">
        <is>
          <t>Bocina inalámbrica de 3 pulgadas con linterna multifuncional y panel solar integrado.Altavoz Portátil con Linterna LED 4 Modos, Radio FM, Bluetooth, Carga Solar, Ideal para Apagones, Emergencias, Campo y Exteriores</t>
        </is>
      </c>
      <c r="H2628" s="16" t="inlineStr">
        <is>
          <t>NEGRO</t>
        </is>
      </c>
      <c r="I2628" s="16" t="n">
        <v>3</v>
      </c>
      <c r="J2628" s="17" t="n">
        <v>255</v>
      </c>
      <c r="K2628" s="17" t="n">
        <v>239.56</v>
      </c>
      <c r="L2628" s="17" t="n">
        <v>0</v>
      </c>
      <c r="M2628" s="17" t="n">
        <v>0</v>
      </c>
      <c r="N2628" s="17">
        <f>K2628*0.08+L2628*0.08</f>
        <v/>
      </c>
      <c r="O2628" s="17">
        <f>-(K2628*0.025+L2628*0.025)</f>
        <v/>
      </c>
      <c r="P2628" s="17">
        <f>32</f>
        <v/>
      </c>
      <c r="Q2628" s="17">
        <f>J2628+L2628+N2628+O2628-P2628-M2628</f>
        <v/>
      </c>
    </row>
    <row r="2629">
      <c r="A2629" s="16" t="inlineStr">
        <is>
          <t>5.22-5.28</t>
        </is>
      </c>
      <c r="B2629" s="16" t="inlineStr">
        <is>
          <t>PO-128-11931004124792132</t>
        </is>
      </c>
      <c r="C2629" s="16" t="inlineStr">
        <is>
          <t>Delivered</t>
        </is>
      </c>
      <c r="D2629" s="16" t="inlineStr">
        <is>
          <t>128-11931014610552132</t>
        </is>
      </c>
      <c r="E2629" s="16" t="inlineStr">
        <is>
          <t>Delivered</t>
        </is>
      </c>
      <c r="F2629" s="16" t="inlineStr">
        <is>
          <t>LV54W25</t>
        </is>
      </c>
      <c r="G2629" s="16" t="inlineStr">
        <is>
          <t>TIANLAI Lámpara Ventilador E27 2 en 1, Silenciosa, LED Alta Luminosidad 180°, Instalación Rápida, Ahorro Energético para Dormitorio y Interiores Pequeños</t>
        </is>
      </c>
      <c r="H2629" s="16" t="inlineStr">
        <is>
          <t>1 Pieza</t>
        </is>
      </c>
      <c r="I2629" s="16" t="n">
        <v>2</v>
      </c>
      <c r="J2629" s="17" t="n">
        <v>148.6</v>
      </c>
      <c r="K2629" s="17" t="n">
        <v>130.67</v>
      </c>
      <c r="L2629" s="17" t="n">
        <v>25.86</v>
      </c>
      <c r="M2629" s="17" t="n">
        <v>0</v>
      </c>
      <c r="N2629" s="17">
        <f>K2629*0.08+L2629*0.08</f>
        <v/>
      </c>
      <c r="O2629" s="17">
        <f>-(K2629*0.025+L2629*0.025)</f>
        <v/>
      </c>
      <c r="P2629" s="17">
        <f>32</f>
        <v/>
      </c>
      <c r="Q2629" s="17">
        <f>J2629+L2629+N2629+O2629-P2629-M2629</f>
        <v/>
      </c>
    </row>
    <row r="2630">
      <c r="A2630" s="16" t="inlineStr">
        <is>
          <t>5.22-5.28</t>
        </is>
      </c>
      <c r="B2630" s="16" t="inlineStr">
        <is>
          <t>PO-128-11734292081273243</t>
        </is>
      </c>
      <c r="C2630" s="16" t="inlineStr">
        <is>
          <t>Delivered</t>
        </is>
      </c>
      <c r="D2630" s="16" t="inlineStr">
        <is>
          <t>128-11734250138233243</t>
        </is>
      </c>
      <c r="E2630" s="16" t="inlineStr">
        <is>
          <t>Delivered</t>
        </is>
      </c>
      <c r="F2630" s="16" t="inlineStr">
        <is>
          <t>LV64W25</t>
        </is>
      </c>
      <c r="G26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30" s="16" t="inlineStr">
        <is>
          <t>Blanco</t>
        </is>
      </c>
      <c r="I2630" s="16" t="n">
        <v>1</v>
      </c>
      <c r="J2630" s="17" t="n">
        <v>123.9</v>
      </c>
      <c r="K2630" s="17" t="n">
        <v>89.11</v>
      </c>
      <c r="L2630" s="17" t="n">
        <v>25.86</v>
      </c>
      <c r="M2630" s="17" t="n">
        <v>0</v>
      </c>
      <c r="N2630" s="17">
        <f>K2630*0.08+L2630*0.08</f>
        <v/>
      </c>
      <c r="O2630" s="17">
        <f>-(K2630*0.025+L2630*0.025)</f>
        <v/>
      </c>
      <c r="P2630" s="17">
        <f>32</f>
        <v/>
      </c>
      <c r="Q2630" s="17">
        <f>J2630+L2630+N2630+O2630-P2630-M2630</f>
        <v/>
      </c>
    </row>
    <row r="2631">
      <c r="A2631" s="16" t="inlineStr">
        <is>
          <t>5.22-5.28</t>
        </is>
      </c>
      <c r="B2631" s="16" t="inlineStr">
        <is>
          <t>PO-128-11932656446072122</t>
        </is>
      </c>
      <c r="C2631" s="16" t="inlineStr">
        <is>
          <t>Delivered</t>
        </is>
      </c>
      <c r="D2631" s="16" t="inlineStr">
        <is>
          <t>128-11932677417592122</t>
        </is>
      </c>
      <c r="E2631" s="16" t="inlineStr">
        <is>
          <t>Delivered</t>
        </is>
      </c>
      <c r="F2631" s="16" t="inlineStr">
        <is>
          <t>LV64W25</t>
        </is>
      </c>
      <c r="G26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31" s="16" t="inlineStr">
        <is>
          <t>Blanco</t>
        </is>
      </c>
      <c r="I2631" s="16" t="n">
        <v>1</v>
      </c>
      <c r="J2631" s="17" t="n">
        <v>123.9</v>
      </c>
      <c r="K2631" s="17" t="n">
        <v>142.16</v>
      </c>
      <c r="L2631" s="17" t="n">
        <v>25.86</v>
      </c>
      <c r="M2631" s="17" t="n">
        <v>0</v>
      </c>
      <c r="N2631" s="17">
        <f>K2631*0.08+L2631*0.08</f>
        <v/>
      </c>
      <c r="O2631" s="17">
        <f>-(K2631*0.025+L2631*0.025)</f>
        <v/>
      </c>
      <c r="P2631" s="17">
        <f>32</f>
        <v/>
      </c>
      <c r="Q2631" s="17">
        <f>J2631+L2631+N2631+O2631-P2631-M2631</f>
        <v/>
      </c>
    </row>
    <row r="2632">
      <c r="A2632" s="16" t="inlineStr">
        <is>
          <t>5.22-5.28</t>
        </is>
      </c>
      <c r="B2632" s="16" t="inlineStr">
        <is>
          <t>PO-128-12101946189431115</t>
        </is>
      </c>
      <c r="C2632" s="16" t="inlineStr">
        <is>
          <t>Delivered</t>
        </is>
      </c>
      <c r="D2632" s="16" t="inlineStr">
        <is>
          <t>128-12102051047031115</t>
        </is>
      </c>
      <c r="E2632" s="16" t="inlineStr">
        <is>
          <t>Delivered</t>
        </is>
      </c>
      <c r="F2632" s="16" t="inlineStr">
        <is>
          <t>TL1455N20B</t>
        </is>
      </c>
      <c r="G2632" s="16" t="inlineStr">
        <is>
          <t>LINK BITS Soporte para TV 14 A 55 Pulgadas, Base para TV Pantalla Articulado Inclinable y Giratorio, MAX VESA 400×400 mm, Soporta hasta 18kg, adaptarse a la mayoría de los televisores de 14 Pulgadas/20 Pulgadas/32 Pulgadas/42 Pulgadas/55 pulgadas</t>
        </is>
      </c>
      <c r="H2632" s="16" t="inlineStr">
        <is>
          <t>TL1455N20B</t>
        </is>
      </c>
      <c r="I2632" s="16" t="n">
        <v>1</v>
      </c>
      <c r="J2632" s="17" t="n">
        <v>74.5</v>
      </c>
      <c r="K2632" s="17" t="n">
        <v>95.56</v>
      </c>
      <c r="L2632" s="17" t="n">
        <v>25.86</v>
      </c>
      <c r="M2632" s="17" t="n">
        <v>0</v>
      </c>
      <c r="N2632" s="17">
        <f>K2632*0.08+L2632*0.08</f>
        <v/>
      </c>
      <c r="O2632" s="17">
        <f>-(K2632*0.025+L2632*0.025)</f>
        <v/>
      </c>
      <c r="P2632" s="17">
        <f>32</f>
        <v/>
      </c>
      <c r="Q2632" s="17">
        <f>J2632+L2632+N2632+O2632-P2632-M2632</f>
        <v/>
      </c>
    </row>
    <row r="2633">
      <c r="A2633" s="16" t="inlineStr">
        <is>
          <t>5.22-5.28</t>
        </is>
      </c>
      <c r="B2633" s="16" t="inlineStr">
        <is>
          <t>PO-128-11846318060153663</t>
        </is>
      </c>
      <c r="C2633" s="16" t="inlineStr">
        <is>
          <t>Delivered</t>
        </is>
      </c>
      <c r="D2633" s="16" t="inlineStr">
        <is>
          <t>128-11846386217593663</t>
        </is>
      </c>
      <c r="E2633" s="16" t="inlineStr">
        <is>
          <t>Delivered</t>
        </is>
      </c>
      <c r="F2633" s="16" t="inlineStr">
        <is>
          <t>LV54W25</t>
        </is>
      </c>
      <c r="G2633" s="16" t="inlineStr">
        <is>
          <t>TIANLAI Lámpara Ventilador E27 2 en 1, Silenciosa, LED Alta Luminosidad 180°, Instalación Rápida, Ahorro Energético para Dormitorio y Interiores Pequeños</t>
        </is>
      </c>
      <c r="H2633" s="16" t="inlineStr">
        <is>
          <t>1 Pieza</t>
        </is>
      </c>
      <c r="I2633" s="16" t="n">
        <v>2</v>
      </c>
      <c r="J2633" s="17" t="n">
        <v>148.6</v>
      </c>
      <c r="K2633" s="17" t="n">
        <v>154.78</v>
      </c>
      <c r="L2633" s="17" t="n">
        <v>25.86</v>
      </c>
      <c r="M2633" s="17" t="n">
        <v>0</v>
      </c>
      <c r="N2633" s="17">
        <f>K2633*0.08+L2633*0.08</f>
        <v/>
      </c>
      <c r="O2633" s="17">
        <f>-(K2633*0.025+L2633*0.025)</f>
        <v/>
      </c>
      <c r="P2633" s="17">
        <f>32</f>
        <v/>
      </c>
      <c r="Q2633" s="17">
        <f>J2633+L2633+N2633+O2633-P2633-M2633</f>
        <v/>
      </c>
    </row>
    <row r="2634">
      <c r="A2634" s="16" t="inlineStr">
        <is>
          <t>5.22-5.28</t>
        </is>
      </c>
      <c r="B2634" s="16" t="inlineStr">
        <is>
          <t>PO-128-12336072156790678</t>
        </is>
      </c>
      <c r="C2634" s="16" t="inlineStr">
        <is>
          <t>Delivered</t>
        </is>
      </c>
      <c r="D2634" s="16" t="inlineStr">
        <is>
          <t>128-12336093128310678</t>
        </is>
      </c>
      <c r="E2634" s="16" t="inlineStr">
        <is>
          <t>Delivered</t>
        </is>
      </c>
      <c r="F2634" s="16" t="inlineStr">
        <is>
          <t>TL1455N20B</t>
        </is>
      </c>
      <c r="G2634" s="16" t="inlineStr">
        <is>
          <t>LINK BITS Soporte para TV 14 A 55 Pulgadas, Base para TV Pantalla Articulado Inclinable y Giratorio, MAX VESA 400×400 mm, Soporta hasta 18kg, adaptarse a la mayoría de los televisores de 14 Pulgadas/20 Pulgadas/32 Pulgadas/42 Pulgadas/55 pulgadas</t>
        </is>
      </c>
      <c r="H2634" s="16" t="inlineStr">
        <is>
          <t>TL1455N20B</t>
        </is>
      </c>
      <c r="I2634" s="16" t="n">
        <v>2</v>
      </c>
      <c r="J2634" s="17" t="n">
        <v>149</v>
      </c>
      <c r="K2634" s="17" t="n">
        <v>191.12</v>
      </c>
      <c r="L2634" s="17" t="n">
        <v>25.86</v>
      </c>
      <c r="M2634" s="17" t="n">
        <v>0</v>
      </c>
      <c r="N2634" s="17">
        <f>K2634*0.08+L2634*0.08</f>
        <v/>
      </c>
      <c r="O2634" s="17">
        <f>-(K2634*0.025+L2634*0.025)</f>
        <v/>
      </c>
      <c r="P2634" s="17">
        <f>32</f>
        <v/>
      </c>
      <c r="Q2634" s="17">
        <f>J2634+L2634+N2634+O2634-P2634-M2634</f>
        <v/>
      </c>
    </row>
    <row r="2635">
      <c r="A2635" s="16" t="inlineStr">
        <is>
          <t>5.22-5.28</t>
        </is>
      </c>
      <c r="B2635" s="16" t="inlineStr">
        <is>
          <t>PO-128-11997971620472759</t>
        </is>
      </c>
      <c r="C2635" s="16" t="inlineStr">
        <is>
          <t>Delivered</t>
        </is>
      </c>
      <c r="D2635" s="16" t="inlineStr">
        <is>
          <t>128-11997919191672759</t>
        </is>
      </c>
      <c r="E2635" s="16" t="inlineStr">
        <is>
          <t>Delivered</t>
        </is>
      </c>
      <c r="F2635" s="16" t="inlineStr">
        <is>
          <t>MB-174-N</t>
        </is>
      </c>
      <c r="G2635" s="16" t="inlineStr">
        <is>
          <t>LINK BITS MB-174 Mini Bocina Bluetooth Soporte para Celular Integrado TWS Luz Ambiental 5W 80dB Sonido Claro Carga TYPE-C Material ABS Portátil Ideal como Regalo para Hogar Oficina Exterior Picnic</t>
        </is>
      </c>
      <c r="H2635" s="16" t="inlineStr">
        <is>
          <t>NEGRO</t>
        </is>
      </c>
      <c r="I2635" s="16" t="n">
        <v>1</v>
      </c>
      <c r="J2635" s="17" t="n">
        <v>93.5</v>
      </c>
      <c r="K2635" s="17" t="n">
        <v>111.56</v>
      </c>
      <c r="L2635" s="17" t="n">
        <v>25.86</v>
      </c>
      <c r="M2635" s="17" t="n">
        <v>0</v>
      </c>
      <c r="N2635" s="17">
        <f>K2635*0.08+L2635*0.08</f>
        <v/>
      </c>
      <c r="O2635" s="17">
        <f>-(K2635*0.025+L2635*0.025)</f>
        <v/>
      </c>
      <c r="P2635" s="17">
        <f>32</f>
        <v/>
      </c>
      <c r="Q2635" s="17">
        <f>J2635+L2635+N2635+O2635-P2635-M2635</f>
        <v/>
      </c>
    </row>
    <row r="2636">
      <c r="A2636" s="16" t="inlineStr">
        <is>
          <t>5.22-5.28</t>
        </is>
      </c>
      <c r="B2636" s="16" t="inlineStr">
        <is>
          <t>PO-128-11918752824952079</t>
        </is>
      </c>
      <c r="C2636" s="16" t="inlineStr">
        <is>
          <t>Delivered</t>
        </is>
      </c>
      <c r="D2636" s="16" t="inlineStr">
        <is>
          <t>128-11918794767992079</t>
        </is>
      </c>
      <c r="E2636" s="16" t="inlineStr">
        <is>
          <t>Delivered</t>
        </is>
      </c>
      <c r="F2636" s="16" t="inlineStr">
        <is>
          <t>B03W10-10PZS</t>
        </is>
      </c>
      <c r="G263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636" s="16" t="inlineStr">
        <is>
          <t>B03W10</t>
        </is>
      </c>
      <c r="I2636" s="16" t="n">
        <v>1</v>
      </c>
      <c r="J2636" s="17" t="n">
        <v>66</v>
      </c>
      <c r="K2636" s="17" t="n">
        <v>30.32</v>
      </c>
      <c r="L2636" s="17" t="n">
        <v>25.86</v>
      </c>
      <c r="M2636" s="17" t="n">
        <v>0</v>
      </c>
      <c r="N2636" s="17">
        <f>K2636*0.08+L2636*0.08</f>
        <v/>
      </c>
      <c r="O2636" s="17">
        <f>-(K2636*0.025+L2636*0.025)</f>
        <v/>
      </c>
      <c r="P2636" s="17">
        <f>32</f>
        <v/>
      </c>
      <c r="Q2636" s="17">
        <f>J2636+L2636+N2636+O2636-P2636-M2636</f>
        <v/>
      </c>
    </row>
    <row r="2637">
      <c r="A2637" s="16" t="inlineStr">
        <is>
          <t>5.22-5.28</t>
        </is>
      </c>
      <c r="B2637" s="16" t="inlineStr">
        <is>
          <t>PO-128-12232198677110339</t>
        </is>
      </c>
      <c r="C2637" s="16" t="inlineStr">
        <is>
          <t>Delivered</t>
        </is>
      </c>
      <c r="D2637" s="16" t="inlineStr">
        <is>
          <t>128-12232251105910339</t>
        </is>
      </c>
      <c r="E2637" s="16" t="inlineStr">
        <is>
          <t>Delivered</t>
        </is>
      </c>
      <c r="F2637" s="16" t="inlineStr">
        <is>
          <t>LV64W25</t>
        </is>
      </c>
      <c r="G26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37" s="16" t="inlineStr">
        <is>
          <t>Blanco</t>
        </is>
      </c>
      <c r="I2637" s="16" t="n">
        <v>1</v>
      </c>
      <c r="J2637" s="17" t="n">
        <v>123.9</v>
      </c>
      <c r="K2637" s="17" t="n">
        <v>142.16</v>
      </c>
      <c r="L2637" s="17" t="n">
        <v>25.86</v>
      </c>
      <c r="M2637" s="17" t="n">
        <v>0</v>
      </c>
      <c r="N2637" s="17">
        <f>K2637*0.08+L2637*0.08</f>
        <v/>
      </c>
      <c r="O2637" s="17">
        <f>-(K2637*0.025+L2637*0.025)</f>
        <v/>
      </c>
      <c r="P2637" s="17">
        <f>32</f>
        <v/>
      </c>
      <c r="Q2637" s="17">
        <f>J2637+L2637+N2637+O2637-P2637-M2637</f>
        <v/>
      </c>
    </row>
    <row r="2638">
      <c r="A2638" s="16" t="inlineStr">
        <is>
          <t>5.22-5.28</t>
        </is>
      </c>
      <c r="B2638" s="16" t="inlineStr">
        <is>
          <t>PO-128-12084329923191218</t>
        </is>
      </c>
      <c r="C2638" s="16" t="inlineStr">
        <is>
          <t>Delivered</t>
        </is>
      </c>
      <c r="D2638" s="16" t="inlineStr">
        <is>
          <t>128-12084350894711218</t>
        </is>
      </c>
      <c r="E2638" s="16" t="inlineStr">
        <is>
          <t>Delivered</t>
        </is>
      </c>
      <c r="F2638" s="16" t="inlineStr">
        <is>
          <t>LV54W25</t>
        </is>
      </c>
      <c r="G2638" s="16" t="inlineStr">
        <is>
          <t>TIANLAI Lámpara Ventilador E27 2 en 1, Silenciosa, LED Alta Luminosidad 180°, Instalación Rápida, Ahorro Energético para Dormitorio y Interiores Pequeños</t>
        </is>
      </c>
      <c r="H2638" s="16" t="inlineStr">
        <is>
          <t>1 Pieza</t>
        </is>
      </c>
      <c r="I2638" s="16" t="n">
        <v>1</v>
      </c>
      <c r="J2638" s="17" t="n">
        <v>74.3</v>
      </c>
      <c r="K2638" s="17" t="n">
        <v>85.98</v>
      </c>
      <c r="L2638" s="17" t="n">
        <v>25.86</v>
      </c>
      <c r="M2638" s="17" t="n">
        <v>0</v>
      </c>
      <c r="N2638" s="17">
        <f>K2638*0.08+L2638*0.08</f>
        <v/>
      </c>
      <c r="O2638" s="17">
        <f>-(K2638*0.025+L2638*0.025)</f>
        <v/>
      </c>
      <c r="P2638" s="17">
        <f>32</f>
        <v/>
      </c>
      <c r="Q2638" s="17">
        <f>J2638+L2638+N2638+O2638-P2638-M2638</f>
        <v/>
      </c>
    </row>
    <row r="2639">
      <c r="A2639" s="16" t="inlineStr">
        <is>
          <t>5.22-5.28</t>
        </is>
      </c>
      <c r="B2639" s="16" t="inlineStr">
        <is>
          <t>PO-128-11957399905913065</t>
        </is>
      </c>
      <c r="C2639" s="16" t="inlineStr">
        <is>
          <t>Delivered</t>
        </is>
      </c>
      <c r="D2639" s="16" t="inlineStr">
        <is>
          <t>128-11957363205753065</t>
        </is>
      </c>
      <c r="E2639" s="16" t="inlineStr">
        <is>
          <t>Delivered</t>
        </is>
      </c>
      <c r="F2639" s="16" t="inlineStr">
        <is>
          <t>LV64W25</t>
        </is>
      </c>
      <c r="G26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39" s="16" t="inlineStr">
        <is>
          <t>Blanco</t>
        </is>
      </c>
      <c r="I2639" s="16" t="n">
        <v>2</v>
      </c>
      <c r="J2639" s="17" t="n">
        <v>247.8</v>
      </c>
      <c r="K2639" s="17" t="n">
        <v>255.88</v>
      </c>
      <c r="L2639" s="17" t="n">
        <v>0</v>
      </c>
      <c r="M2639" s="17" t="n">
        <v>0</v>
      </c>
      <c r="N2639" s="17">
        <f>K2639*0.08+L2639*0.08</f>
        <v/>
      </c>
      <c r="O2639" s="17">
        <f>-(K2639*0.025+L2639*0.025)</f>
        <v/>
      </c>
      <c r="P2639" s="17">
        <f>32</f>
        <v/>
      </c>
      <c r="Q2639" s="17">
        <f>J2639+L2639+N2639+O2639-P2639-M2639</f>
        <v/>
      </c>
    </row>
    <row r="2640">
      <c r="A2640" s="16" t="inlineStr">
        <is>
          <t>5.22-5.28</t>
        </is>
      </c>
      <c r="B2640" s="16" t="inlineStr">
        <is>
          <t>PO-128-12168763541111741</t>
        </is>
      </c>
      <c r="C2640" s="16" t="inlineStr">
        <is>
          <t>Delivered</t>
        </is>
      </c>
      <c r="D2640" s="16" t="inlineStr">
        <is>
          <t>128-12168805484151741</t>
        </is>
      </c>
      <c r="E2640" s="16" t="inlineStr">
        <is>
          <t>Delivered</t>
        </is>
      </c>
      <c r="F2640" s="16" t="inlineStr">
        <is>
          <t>LV54W25</t>
        </is>
      </c>
      <c r="G2640" s="16" t="inlineStr">
        <is>
          <t>TIANLAI Lámpara Ventilador E27 2 en 1, Silenciosa, LED Alta Luminosidad 180°, Instalación Rápida, Ahorro Energético para Dormitorio y Interiores Pequeños</t>
        </is>
      </c>
      <c r="H2640" s="16" t="inlineStr">
        <is>
          <t>1 Pieza</t>
        </is>
      </c>
      <c r="I2640" s="16" t="n">
        <v>1</v>
      </c>
      <c r="J2640" s="17" t="n">
        <v>74.3</v>
      </c>
      <c r="K2640" s="17" t="n">
        <v>77.39</v>
      </c>
      <c r="L2640" s="17" t="n">
        <v>25.86</v>
      </c>
      <c r="M2640" s="17" t="n">
        <v>0</v>
      </c>
      <c r="N2640" s="17">
        <f>K2640*0.08+L2640*0.08</f>
        <v/>
      </c>
      <c r="O2640" s="17">
        <f>-(K2640*0.025+L2640*0.025)</f>
        <v/>
      </c>
      <c r="P2640" s="17">
        <f>32</f>
        <v/>
      </c>
      <c r="Q2640" s="17">
        <f>J2640+L2640+N2640+O2640-P2640-M2640</f>
        <v/>
      </c>
    </row>
    <row r="2641">
      <c r="A2641" s="16" t="inlineStr">
        <is>
          <t>5.22-5.28</t>
        </is>
      </c>
      <c r="B2641" s="16" t="inlineStr">
        <is>
          <t>PO-128-11738530637433281</t>
        </is>
      </c>
      <c r="C2641" s="16" t="inlineStr">
        <is>
          <t>Delivered</t>
        </is>
      </c>
      <c r="D2641" s="16" t="inlineStr">
        <is>
          <t>128-11738583066233281</t>
        </is>
      </c>
      <c r="E2641" s="16" t="inlineStr">
        <is>
          <t>Delivered</t>
        </is>
      </c>
      <c r="F2641" s="16" t="inlineStr">
        <is>
          <t>KTS-1936</t>
        </is>
      </c>
      <c r="G2641" s="16" t="inlineStr">
        <is>
          <t>Espejo con Luz para Makeup，Espejo con Luz LED y Bocina Bluetooth，Espejo para Maquillaje con Aumentos y Luces LED de Intensidad Ajustable，Lente de Aumento 10X+Reproductor TF+ TWS，espejo de portátil y para estudiantes, oficina, dormitorio, mejor regalo</t>
        </is>
      </c>
      <c r="H2641" s="16" t="inlineStr">
        <is>
          <t>BLANCO</t>
        </is>
      </c>
      <c r="I2641" s="16" t="n">
        <v>1</v>
      </c>
      <c r="J2641" s="17" t="n">
        <v>201</v>
      </c>
      <c r="K2641" s="17" t="n">
        <v>228.84</v>
      </c>
      <c r="L2641" s="17" t="n">
        <v>25.86</v>
      </c>
      <c r="M2641" s="17" t="n">
        <v>0</v>
      </c>
      <c r="N2641" s="17">
        <f>K2641*0.08+L2641*0.08</f>
        <v/>
      </c>
      <c r="O2641" s="17">
        <f>-(K2641*0.025+L2641*0.025)</f>
        <v/>
      </c>
      <c r="P2641" s="17">
        <f>32</f>
        <v/>
      </c>
      <c r="Q2641" s="17">
        <f>J2641+L2641+N2641+O2641-P2641-M2641</f>
        <v/>
      </c>
    </row>
    <row r="2642">
      <c r="A2642" s="16" t="inlineStr">
        <is>
          <t>5.22-5.28</t>
        </is>
      </c>
      <c r="B2642" s="16" t="inlineStr">
        <is>
          <t>PO-128-12281618657910106</t>
        </is>
      </c>
      <c r="C2642" s="16" t="inlineStr">
        <is>
          <t>Delivered</t>
        </is>
      </c>
      <c r="D2642" s="16" t="inlineStr">
        <is>
          <t>128-12281639629430106</t>
        </is>
      </c>
      <c r="E2642" s="16" t="inlineStr">
        <is>
          <t>Delivered</t>
        </is>
      </c>
      <c r="F2642" s="16" t="inlineStr">
        <is>
          <t>LV54W25</t>
        </is>
      </c>
      <c r="G2642" s="16" t="inlineStr">
        <is>
          <t>TIANLAI Lámpara Ventilador E27 2 en 1, Silenciosa, LED Alta Luminosidad 180°, Instalación Rápida, Ahorro Energético para Dormitorio y Interiores Pequeños</t>
        </is>
      </c>
      <c r="H2642" s="16" t="inlineStr">
        <is>
          <t>1 Pieza</t>
        </is>
      </c>
      <c r="I2642" s="16" t="n">
        <v>1</v>
      </c>
      <c r="J2642" s="17" t="n">
        <v>74.3</v>
      </c>
      <c r="K2642" s="17" t="n">
        <v>37.72</v>
      </c>
      <c r="L2642" s="17" t="n">
        <v>25.86</v>
      </c>
      <c r="M2642" s="17" t="n">
        <v>0</v>
      </c>
      <c r="N2642" s="17">
        <f>K2642*0.08+L2642*0.08</f>
        <v/>
      </c>
      <c r="O2642" s="17">
        <f>-(K2642*0.025+L2642*0.025)</f>
        <v/>
      </c>
      <c r="P2642" s="17">
        <f>32</f>
        <v/>
      </c>
      <c r="Q2642" s="17">
        <f>J2642+L2642+N2642+O2642-P2642-M2642</f>
        <v/>
      </c>
    </row>
    <row r="2643">
      <c r="A2643" s="16" t="inlineStr">
        <is>
          <t>5.22-5.28</t>
        </is>
      </c>
      <c r="B2643" s="16" t="inlineStr">
        <is>
          <t>PO-128-12181433764471537</t>
        </is>
      </c>
      <c r="C2643" s="16" t="inlineStr">
        <is>
          <t>Delivered</t>
        </is>
      </c>
      <c r="D2643" s="16" t="inlineStr">
        <is>
          <t>128-12181600553591537</t>
        </is>
      </c>
      <c r="E2643" s="16" t="inlineStr">
        <is>
          <t>Delivered</t>
        </is>
      </c>
      <c r="F2643" s="16" t="inlineStr">
        <is>
          <t>LV64W25</t>
        </is>
      </c>
      <c r="G26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43" s="16" t="inlineStr">
        <is>
          <t>Blanco</t>
        </is>
      </c>
      <c r="I2643" s="16" t="n">
        <v>2</v>
      </c>
      <c r="J2643" s="17" t="n">
        <v>247.8</v>
      </c>
      <c r="K2643" s="17" t="n">
        <v>284.32</v>
      </c>
      <c r="L2643" s="17" t="n">
        <v>0</v>
      </c>
      <c r="M2643" s="17" t="n">
        <v>0</v>
      </c>
      <c r="N2643" s="17">
        <f>K2643*0.08+L2643*0.08</f>
        <v/>
      </c>
      <c r="O2643" s="17">
        <f>-(K2643*0.025+L2643*0.025)</f>
        <v/>
      </c>
      <c r="P2643" s="17">
        <f>32</f>
        <v/>
      </c>
      <c r="Q2643" s="17">
        <f>J2643+L2643+N2643+O2643-P2643-M2643</f>
        <v/>
      </c>
    </row>
    <row r="2644">
      <c r="A2644" s="16" t="inlineStr">
        <is>
          <t>5.22-5.28</t>
        </is>
      </c>
      <c r="B2644" s="16" t="inlineStr">
        <is>
          <t>PO-128-11789243136634067</t>
        </is>
      </c>
      <c r="C2644" s="16" t="inlineStr">
        <is>
          <t>Delivered</t>
        </is>
      </c>
      <c r="D2644" s="16" t="inlineStr">
        <is>
          <t>128-11789285079674067</t>
        </is>
      </c>
      <c r="E2644" s="16" t="inlineStr">
        <is>
          <t>Delivered</t>
        </is>
      </c>
      <c r="F2644" s="16" t="inlineStr">
        <is>
          <t>LV54W25</t>
        </is>
      </c>
      <c r="G2644" s="16" t="inlineStr">
        <is>
          <t>TIANLAI Lámpara Ventilador E27 2 en 1, Silenciosa, LED Alta Luminosidad 180°, Instalación Rápida, Ahorro Energético para Dormitorio y Interiores Pequeños</t>
        </is>
      </c>
      <c r="H2644" s="16" t="inlineStr">
        <is>
          <t>1 Pieza</t>
        </is>
      </c>
      <c r="I2644" s="16" t="n">
        <v>1</v>
      </c>
      <c r="J2644" s="17" t="n">
        <v>74.3</v>
      </c>
      <c r="K2644" s="17" t="n">
        <v>85.98</v>
      </c>
      <c r="L2644" s="17" t="n">
        <v>25.86</v>
      </c>
      <c r="M2644" s="17" t="n">
        <v>0</v>
      </c>
      <c r="N2644" s="17">
        <f>K2644*0.08+L2644*0.08</f>
        <v/>
      </c>
      <c r="O2644" s="17">
        <f>-(K2644*0.025+L2644*0.025)</f>
        <v/>
      </c>
      <c r="P2644" s="17">
        <f>32</f>
        <v/>
      </c>
      <c r="Q2644" s="17">
        <f>J2644+L2644+N2644+O2644-P2644-M2644</f>
        <v/>
      </c>
    </row>
    <row r="2645">
      <c r="A2645" s="16" t="inlineStr">
        <is>
          <t>5.22-5.28</t>
        </is>
      </c>
      <c r="B2645" s="16" t="inlineStr">
        <is>
          <t>PO-128-12352382567030519</t>
        </is>
      </c>
      <c r="C2645" s="16" t="inlineStr">
        <is>
          <t>Delivered</t>
        </is>
      </c>
      <c r="D2645" s="16" t="inlineStr">
        <is>
          <t>128-12352340623990519</t>
        </is>
      </c>
      <c r="E2645" s="16" t="inlineStr">
        <is>
          <t>Delivered</t>
        </is>
      </c>
      <c r="F2645" s="16" t="inlineStr">
        <is>
          <t>LV64W25</t>
        </is>
      </c>
      <c r="G26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45" s="16" t="inlineStr">
        <is>
          <t>Blanco</t>
        </is>
      </c>
      <c r="I2645" s="16" t="n">
        <v>4</v>
      </c>
      <c r="J2645" s="17" t="n">
        <v>495.6</v>
      </c>
      <c r="K2645" s="17" t="n">
        <v>423.08</v>
      </c>
      <c r="L2645" s="17" t="n">
        <v>0</v>
      </c>
      <c r="M2645" s="17" t="n">
        <v>0</v>
      </c>
      <c r="N2645" s="17">
        <f>K2645*0.08+L2645*0.08</f>
        <v/>
      </c>
      <c r="O2645" s="17">
        <f>-(K2645*0.025+L2645*0.025)</f>
        <v/>
      </c>
      <c r="P2645" s="17">
        <f>32</f>
        <v/>
      </c>
      <c r="Q2645" s="17">
        <f>J2645+L2645+N2645+O2645-P2645-M2645</f>
        <v/>
      </c>
    </row>
    <row r="2646">
      <c r="A2646" s="16" t="inlineStr">
        <is>
          <t>5.22-5.28</t>
        </is>
      </c>
      <c r="B2646" s="16" t="inlineStr">
        <is>
          <t>PO-128-11718086339193403</t>
        </is>
      </c>
      <c r="C2646" s="16" t="inlineStr">
        <is>
          <t>Delivered</t>
        </is>
      </c>
      <c r="D2646" s="16" t="inlineStr">
        <is>
          <t>128-11718075853433403</t>
        </is>
      </c>
      <c r="E2646" s="16" t="inlineStr">
        <is>
          <t>Delivered</t>
        </is>
      </c>
      <c r="F2646" s="16" t="inlineStr">
        <is>
          <t>LV54W25</t>
        </is>
      </c>
      <c r="G2646" s="16" t="inlineStr">
        <is>
          <t>TIANLAI Lámpara Ventilador E27 2 en 1, Silenciosa, LED Alta Luminosidad 180°, Instalación Rápida, Ahorro Energético para Dormitorio y Interiores Pequeños</t>
        </is>
      </c>
      <c r="H2646" s="16" t="inlineStr">
        <is>
          <t>1 Pieza</t>
        </is>
      </c>
      <c r="I2646" s="16" t="n">
        <v>1</v>
      </c>
      <c r="J2646" s="17" t="n">
        <v>74.3</v>
      </c>
      <c r="K2646" s="17" t="n">
        <v>79.11</v>
      </c>
      <c r="L2646" s="17" t="n">
        <v>25.86</v>
      </c>
      <c r="M2646" s="17" t="n">
        <v>0</v>
      </c>
      <c r="N2646" s="17">
        <f>K2646*0.08+L2646*0.08</f>
        <v/>
      </c>
      <c r="O2646" s="17">
        <f>-(K2646*0.025+L2646*0.025)</f>
        <v/>
      </c>
      <c r="P2646" s="17">
        <f>32</f>
        <v/>
      </c>
      <c r="Q2646" s="17">
        <f>J2646+L2646+N2646+O2646-P2646-M2646</f>
        <v/>
      </c>
    </row>
    <row r="2647">
      <c r="A2647" s="16" t="inlineStr">
        <is>
          <t>5.22-5.28</t>
        </is>
      </c>
      <c r="B2647" s="16" t="inlineStr">
        <is>
          <t>PO-128-12029288986231418</t>
        </is>
      </c>
      <c r="C2647" s="16" t="inlineStr">
        <is>
          <t>Delivered</t>
        </is>
      </c>
      <c r="D2647" s="16" t="inlineStr">
        <is>
          <t>128-12029281121911418</t>
        </is>
      </c>
      <c r="E2647" s="16" t="inlineStr">
        <is>
          <t>Delivered</t>
        </is>
      </c>
      <c r="F2647" s="16" t="inlineStr">
        <is>
          <t>B03W10-10PZS</t>
        </is>
      </c>
      <c r="G264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647" s="16" t="inlineStr">
        <is>
          <t>B03W10</t>
        </is>
      </c>
      <c r="I2647" s="16" t="n">
        <v>1</v>
      </c>
      <c r="J2647" s="17" t="n">
        <v>66</v>
      </c>
      <c r="K2647" s="17" t="n">
        <v>71.05</v>
      </c>
      <c r="L2647" s="17" t="n">
        <v>25.86</v>
      </c>
      <c r="M2647" s="17" t="n">
        <v>0</v>
      </c>
      <c r="N2647" s="17">
        <f>K2647*0.08+L2647*0.08</f>
        <v/>
      </c>
      <c r="O2647" s="17">
        <f>-(K2647*0.025+L2647*0.025)</f>
        <v/>
      </c>
      <c r="P2647" s="17">
        <f>32</f>
        <v/>
      </c>
      <c r="Q2647" s="17">
        <f>J2647+L2647+N2647+O2647-P2647-M2647</f>
        <v/>
      </c>
    </row>
    <row r="2648">
      <c r="A2648" s="16" t="inlineStr">
        <is>
          <t>5.22-5.28</t>
        </is>
      </c>
      <c r="B2648" s="16" t="inlineStr">
        <is>
          <t>PO-128-11875087043192531</t>
        </is>
      </c>
      <c r="C2648" s="16" t="inlineStr">
        <is>
          <t>Delivered</t>
        </is>
      </c>
      <c r="D2648" s="16" t="inlineStr">
        <is>
          <t>128-11875113257592531</t>
        </is>
      </c>
      <c r="E2648" s="16" t="inlineStr">
        <is>
          <t>Delivered</t>
        </is>
      </c>
      <c r="F2648" s="16" t="inlineStr">
        <is>
          <t>LV64W25</t>
        </is>
      </c>
      <c r="G26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48" s="16" t="inlineStr">
        <is>
          <t>Blanco</t>
        </is>
      </c>
      <c r="I2648" s="16" t="n">
        <v>2</v>
      </c>
      <c r="J2648" s="17" t="n">
        <v>247.8</v>
      </c>
      <c r="K2648" s="17" t="n">
        <v>255.88</v>
      </c>
      <c r="L2648" s="17" t="n">
        <v>0</v>
      </c>
      <c r="M2648" s="17" t="n">
        <v>0</v>
      </c>
      <c r="N2648" s="17">
        <f>K2648*0.08+L2648*0.08</f>
        <v/>
      </c>
      <c r="O2648" s="17">
        <f>-(K2648*0.025+L2648*0.025)</f>
        <v/>
      </c>
      <c r="P2648" s="17">
        <f>32</f>
        <v/>
      </c>
      <c r="Q2648" s="17">
        <f>J2648+L2648+N2648+O2648-P2648-M2648</f>
        <v/>
      </c>
    </row>
    <row r="2649">
      <c r="A2649" s="16" t="inlineStr">
        <is>
          <t>5.22-5.28</t>
        </is>
      </c>
      <c r="B2649" s="16" t="inlineStr">
        <is>
          <t>PO-128-11936428114552164</t>
        </is>
      </c>
      <c r="C2649" s="16" t="inlineStr">
        <is>
          <t>Delivered</t>
        </is>
      </c>
      <c r="D2649" s="16" t="inlineStr">
        <is>
          <t>128-11936449086072164</t>
        </is>
      </c>
      <c r="E2649" s="16" t="inlineStr">
        <is>
          <t>Delivered</t>
        </is>
      </c>
      <c r="F2649" s="16" t="inlineStr">
        <is>
          <t>LV54W25</t>
        </is>
      </c>
      <c r="G2649" s="16" t="inlineStr">
        <is>
          <t>TIANLAI Lámpara Ventilador E27 2 en 1, Silenciosa, LED Alta Luminosidad 180°, Instalación Rápida, Ahorro Energético para Dormitorio y Interiores Pequeños</t>
        </is>
      </c>
      <c r="H2649" s="16" t="inlineStr">
        <is>
          <t>1 Pieza</t>
        </is>
      </c>
      <c r="I2649" s="16" t="n">
        <v>3</v>
      </c>
      <c r="J2649" s="17" t="n">
        <v>222.9</v>
      </c>
      <c r="K2649" s="17" t="n">
        <v>237.33</v>
      </c>
      <c r="L2649" s="17" t="n">
        <v>0</v>
      </c>
      <c r="M2649" s="17" t="n">
        <v>0</v>
      </c>
      <c r="N2649" s="17">
        <f>K2649*0.08+L2649*0.08</f>
        <v/>
      </c>
      <c r="O2649" s="17">
        <f>-(K2649*0.025+L2649*0.025)</f>
        <v/>
      </c>
      <c r="P2649" s="17">
        <f>32</f>
        <v/>
      </c>
      <c r="Q2649" s="17">
        <f>J2649+L2649+N2649+O2649-P2649-M2649</f>
        <v/>
      </c>
    </row>
    <row r="2650">
      <c r="A2650" s="16" t="inlineStr">
        <is>
          <t>5.22-5.28</t>
        </is>
      </c>
      <c r="B2650" s="16" t="inlineStr">
        <is>
          <t>PO-128-12143902567031825</t>
        </is>
      </c>
      <c r="C2650" s="16" t="inlineStr">
        <is>
          <t>Delivered</t>
        </is>
      </c>
      <c r="D2650" s="16" t="inlineStr">
        <is>
          <t>128-12143928781431825</t>
        </is>
      </c>
      <c r="E2650" s="16" t="inlineStr">
        <is>
          <t>Delivered</t>
        </is>
      </c>
      <c r="F2650" s="16" t="inlineStr">
        <is>
          <t>LV64W25</t>
        </is>
      </c>
      <c r="G26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50" s="16" t="inlineStr">
        <is>
          <t>Blanco</t>
        </is>
      </c>
      <c r="I2650" s="16" t="n">
        <v>2</v>
      </c>
      <c r="J2650" s="17" t="n">
        <v>247.8</v>
      </c>
      <c r="K2650" s="17" t="n">
        <v>264.42</v>
      </c>
      <c r="L2650" s="17" t="n">
        <v>0</v>
      </c>
      <c r="M2650" s="17" t="n">
        <v>0</v>
      </c>
      <c r="N2650" s="17">
        <f>K2650*0.08+L2650*0.08</f>
        <v/>
      </c>
      <c r="O2650" s="17">
        <f>-(K2650*0.025+L2650*0.025)</f>
        <v/>
      </c>
      <c r="P2650" s="17">
        <f>32</f>
        <v/>
      </c>
      <c r="Q2650" s="17">
        <f>J2650+L2650+N2650+O2650-P2650-M2650</f>
        <v/>
      </c>
    </row>
    <row r="2651">
      <c r="A2651" s="16" t="inlineStr">
        <is>
          <t>5.22-5.28</t>
        </is>
      </c>
      <c r="B2651" s="16" t="inlineStr">
        <is>
          <t>PO-128-12227108434550305</t>
        </is>
      </c>
      <c r="C2651" s="16" t="inlineStr">
        <is>
          <t>Delivered</t>
        </is>
      </c>
      <c r="D2651" s="16" t="inlineStr">
        <is>
          <t>128-12227129406070305</t>
        </is>
      </c>
      <c r="E2651" s="16" t="inlineStr">
        <is>
          <t>Delivered</t>
        </is>
      </c>
      <c r="F2651" s="16" t="inlineStr">
        <is>
          <t>LV54W25</t>
        </is>
      </c>
      <c r="G2651" s="16" t="inlineStr">
        <is>
          <t>TIANLAI Lámpara Ventilador E27 2 en 1, Silenciosa, LED Alta Luminosidad 180°, Instalación Rápida, Ahorro Energético para Dormitorio y Interiores Pequeños</t>
        </is>
      </c>
      <c r="H2651" s="16" t="inlineStr">
        <is>
          <t>1 Pieza</t>
        </is>
      </c>
      <c r="I2651" s="16" t="n">
        <v>3</v>
      </c>
      <c r="J2651" s="17" t="n">
        <v>222.9</v>
      </c>
      <c r="K2651" s="17" t="n">
        <v>257.94</v>
      </c>
      <c r="L2651" s="17" t="n">
        <v>0</v>
      </c>
      <c r="M2651" s="17" t="n">
        <v>0</v>
      </c>
      <c r="N2651" s="17">
        <f>K2651*0.08+L2651*0.08</f>
        <v/>
      </c>
      <c r="O2651" s="17">
        <f>-(K2651*0.025+L2651*0.025)</f>
        <v/>
      </c>
      <c r="P2651" s="17">
        <f>32</f>
        <v/>
      </c>
      <c r="Q2651" s="17">
        <f>J2651+L2651+N2651+O2651-P2651-M2651</f>
        <v/>
      </c>
    </row>
    <row r="2652">
      <c r="A2652" s="16" t="inlineStr">
        <is>
          <t>5.22-5.28</t>
        </is>
      </c>
      <c r="B2652" s="16" t="inlineStr">
        <is>
          <t>PO-128-11890573210232375</t>
        </is>
      </c>
      <c r="C2652" s="16" t="inlineStr">
        <is>
          <t>Delivered</t>
        </is>
      </c>
      <c r="D2652" s="16" t="inlineStr">
        <is>
          <t>128-11890583695992375</t>
        </is>
      </c>
      <c r="E2652" s="16" t="inlineStr">
        <is>
          <t>Delivered</t>
        </is>
      </c>
      <c r="F2652" s="16" t="inlineStr">
        <is>
          <t>KTS-2031</t>
        </is>
      </c>
      <c r="G2652" s="16" t="inlineStr">
        <is>
          <t>Bocina inalámbrica de 3 pulgadas con linterna multifuncional y panel solar integrado.Altavoz Portátil con Linterna LED 4 Modos, Radio FM, Bluetooth, Carga Solar, Ideal para Apagones, Emergencias, Campo y Exteriores</t>
        </is>
      </c>
      <c r="H2652" s="16" t="inlineStr">
        <is>
          <t>NEGRO</t>
        </is>
      </c>
      <c r="I2652" s="16" t="n">
        <v>2</v>
      </c>
      <c r="J2652" s="17" t="n">
        <v>170</v>
      </c>
      <c r="K2652" s="17" t="n">
        <v>150.76</v>
      </c>
      <c r="L2652" s="17" t="n">
        <v>25.86</v>
      </c>
      <c r="M2652" s="17" t="n">
        <v>0</v>
      </c>
      <c r="N2652" s="17">
        <f>K2652*0.08+L2652*0.08</f>
        <v/>
      </c>
      <c r="O2652" s="17">
        <f>-(K2652*0.025+L2652*0.025)</f>
        <v/>
      </c>
      <c r="P2652" s="17">
        <f>32</f>
        <v/>
      </c>
      <c r="Q2652" s="17">
        <f>J2652+L2652+N2652+O2652-P2652-M2652</f>
        <v/>
      </c>
    </row>
    <row r="2653">
      <c r="A2653" s="16" t="inlineStr">
        <is>
          <t>5.22-5.28</t>
        </is>
      </c>
      <c r="B2653" s="16" t="inlineStr">
        <is>
          <t>PO-128-11973620828792902</t>
        </is>
      </c>
      <c r="C2653" s="16" t="inlineStr">
        <is>
          <t>Delivered</t>
        </is>
      </c>
      <c r="D2653" s="16" t="inlineStr">
        <is>
          <t>128-11973589371512902</t>
        </is>
      </c>
      <c r="E2653" s="16" t="inlineStr">
        <is>
          <t>Delivered</t>
        </is>
      </c>
      <c r="F2653" s="16" t="inlineStr">
        <is>
          <t>KTS-2031</t>
        </is>
      </c>
      <c r="G2653" s="16" t="inlineStr">
        <is>
          <t>Bocina inalámbrica de 3 pulgadas con linterna multifuncional y panel solar integrado.Altavoz Portátil con Linterna LED 4 Modos, Radio FM, Bluetooth, Carga Solar, Ideal para Apagones, Emergencias, Campo y Exteriores</t>
        </is>
      </c>
      <c r="H2653" s="16" t="inlineStr">
        <is>
          <t>NEGRO</t>
        </is>
      </c>
      <c r="I2653" s="16" t="n">
        <v>1</v>
      </c>
      <c r="J2653" s="17" t="n">
        <v>85</v>
      </c>
      <c r="K2653" s="17" t="n">
        <v>94.22</v>
      </c>
      <c r="L2653" s="17" t="n">
        <v>25.86</v>
      </c>
      <c r="M2653" s="17" t="n">
        <v>0</v>
      </c>
      <c r="N2653" s="17">
        <f>K2653*0.08+L2653*0.08</f>
        <v/>
      </c>
      <c r="O2653" s="17">
        <f>-(K2653*0.025+L2653*0.025)</f>
        <v/>
      </c>
      <c r="P2653" s="17">
        <f>32</f>
        <v/>
      </c>
      <c r="Q2653" s="17">
        <f>J2653+L2653+N2653+O2653-P2653-M2653</f>
        <v/>
      </c>
    </row>
    <row r="2654">
      <c r="A2654" s="16" t="inlineStr">
        <is>
          <t>5.22-5.28</t>
        </is>
      </c>
      <c r="B2654" s="16" t="inlineStr">
        <is>
          <t>PO-128-11822533038713805</t>
        </is>
      </c>
      <c r="C2654" s="16" t="inlineStr">
        <is>
          <t>Delivered</t>
        </is>
      </c>
      <c r="D2654" s="16" t="inlineStr">
        <is>
          <t>128-11822559253113805</t>
        </is>
      </c>
      <c r="E2654" s="16" t="inlineStr">
        <is>
          <t>Delivered</t>
        </is>
      </c>
      <c r="F2654" s="16" t="inlineStr">
        <is>
          <t>LV54W25</t>
        </is>
      </c>
      <c r="G2654" s="16" t="inlineStr">
        <is>
          <t>TIANLAI Lámpara Ventilador E27 2 en 1, Silenciosa, LED Alta Luminosidad 180°, Instalación Rápida, Ahorro Energético para Dormitorio y Interiores Pequeños</t>
        </is>
      </c>
      <c r="H2654" s="16" t="inlineStr">
        <is>
          <t>1 Pieza</t>
        </is>
      </c>
      <c r="I2654" s="16" t="n">
        <v>2</v>
      </c>
      <c r="J2654" s="17" t="n">
        <v>148.6</v>
      </c>
      <c r="K2654" s="17" t="n">
        <v>158.22</v>
      </c>
      <c r="L2654" s="17" t="n">
        <v>25.86</v>
      </c>
      <c r="M2654" s="17" t="n">
        <v>0</v>
      </c>
      <c r="N2654" s="17">
        <f>K2654*0.08+L2654*0.08</f>
        <v/>
      </c>
      <c r="O2654" s="17">
        <f>-(K2654*0.025+L2654*0.025)</f>
        <v/>
      </c>
      <c r="P2654" s="17">
        <f>32</f>
        <v/>
      </c>
      <c r="Q2654" s="17">
        <f>J2654+L2654+N2654+O2654-P2654-M2654</f>
        <v/>
      </c>
    </row>
    <row r="2655">
      <c r="A2655" s="16" t="inlineStr">
        <is>
          <t>5.22-5.28</t>
        </is>
      </c>
      <c r="B2655" s="16" t="inlineStr">
        <is>
          <t>PO-128-11889138002552382</t>
        </is>
      </c>
      <c r="C2655" s="16" t="inlineStr">
        <is>
          <t>Delivered</t>
        </is>
      </c>
      <c r="D2655" s="16" t="inlineStr">
        <is>
          <t>128-11889096059512382</t>
        </is>
      </c>
      <c r="E2655" s="16" t="inlineStr">
        <is>
          <t>Delivered</t>
        </is>
      </c>
      <c r="F2655" s="16" t="inlineStr">
        <is>
          <t>KTS-2031</t>
        </is>
      </c>
      <c r="G2655" s="16" t="inlineStr">
        <is>
          <t>Bocina inalámbrica de 3 pulgadas con linterna multifuncional y panel solar integrado.Altavoz Portátil con Linterna LED 4 Modos, Radio FM, Bluetooth, Carga Solar, Ideal para Apagones, Emergencias, Campo y Exteriores</t>
        </is>
      </c>
      <c r="H2655" s="16" t="inlineStr">
        <is>
          <t>NEGRO</t>
        </is>
      </c>
      <c r="I2655" s="16" t="n">
        <v>3</v>
      </c>
      <c r="J2655" s="17" t="n">
        <v>255</v>
      </c>
      <c r="K2655" s="17" t="n">
        <v>282.66</v>
      </c>
      <c r="L2655" s="17" t="n">
        <v>0</v>
      </c>
      <c r="M2655" s="17" t="n">
        <v>0</v>
      </c>
      <c r="N2655" s="17">
        <f>K2655*0.08+L2655*0.08</f>
        <v/>
      </c>
      <c r="O2655" s="17">
        <f>-(K2655*0.025+L2655*0.025)</f>
        <v/>
      </c>
      <c r="P2655" s="17">
        <f>32</f>
        <v/>
      </c>
      <c r="Q2655" s="17">
        <f>J2655+L2655+N2655+O2655-P2655-M2655</f>
        <v/>
      </c>
    </row>
    <row r="2656">
      <c r="A2656" s="16" t="inlineStr">
        <is>
          <t>5.22-5.28</t>
        </is>
      </c>
      <c r="B2656" s="16" t="inlineStr">
        <is>
          <t>PO-128-11853347400313685</t>
        </is>
      </c>
      <c r="C2656" s="16" t="inlineStr">
        <is>
          <t>Delivered</t>
        </is>
      </c>
      <c r="D2656" s="16" t="inlineStr">
        <is>
          <t>128-11853326428793685</t>
        </is>
      </c>
      <c r="E2656" s="16" t="inlineStr">
        <is>
          <t>Delivered</t>
        </is>
      </c>
      <c r="F2656" s="16" t="inlineStr">
        <is>
          <t>KTS-2031</t>
        </is>
      </c>
      <c r="G2656" s="16" t="inlineStr">
        <is>
          <t>Bocina inalámbrica de 3 pulgadas con linterna multifuncional y panel solar integrado.Altavoz Portátil con Linterna LED 4 Modos, Radio FM, Bluetooth, Carga Solar, Ideal para Apagones, Emergencias, Campo y Exteriores</t>
        </is>
      </c>
      <c r="H2656" s="16" t="inlineStr">
        <is>
          <t>NEGRO</t>
        </is>
      </c>
      <c r="I2656" s="16" t="n">
        <v>1</v>
      </c>
      <c r="J2656" s="17" t="n">
        <v>85</v>
      </c>
      <c r="K2656" s="17" t="n">
        <v>94.22</v>
      </c>
      <c r="L2656" s="17" t="n">
        <v>25.86</v>
      </c>
      <c r="M2656" s="17" t="n">
        <v>0</v>
      </c>
      <c r="N2656" s="17">
        <f>K2656*0.08+L2656*0.08</f>
        <v/>
      </c>
      <c r="O2656" s="17">
        <f>-(K2656*0.025+L2656*0.025)</f>
        <v/>
      </c>
      <c r="P2656" s="17">
        <f>32</f>
        <v/>
      </c>
      <c r="Q2656" s="17">
        <f>J2656+L2656+N2656+O2656-P2656-M2656</f>
        <v/>
      </c>
    </row>
    <row r="2657">
      <c r="A2657" s="16" t="inlineStr">
        <is>
          <t>5.22-5.28</t>
        </is>
      </c>
      <c r="B2657" s="16" t="inlineStr">
        <is>
          <t>PO-128-11858265011832438</t>
        </is>
      </c>
      <c r="C2657" s="16" t="inlineStr">
        <is>
          <t>Delivered</t>
        </is>
      </c>
      <c r="D2657" s="16" t="inlineStr">
        <is>
          <t>128-11858223068792438</t>
        </is>
      </c>
      <c r="E2657" s="16" t="inlineStr">
        <is>
          <t>Delivered</t>
        </is>
      </c>
      <c r="F2657" s="16" t="inlineStr">
        <is>
          <t>BSC04</t>
        </is>
      </c>
      <c r="G2657" s="16" t="inlineStr">
        <is>
          <t>TIANLAI Báscula Digital BSC04/BSC07, Alta Precisión, Fácil Operación, Ligera y Portátil, Función Tara, Unidad Dual oz/g, Ideal para Cocina, Control de Porciones, Sellos y Objetos Pequeños, Uso en Hogar y Viaje</t>
        </is>
      </c>
      <c r="H2657" s="16" t="inlineStr">
        <is>
          <t>5g/White</t>
        </is>
      </c>
      <c r="I2657" s="16" t="n">
        <v>1</v>
      </c>
      <c r="J2657" s="17" t="n">
        <v>54</v>
      </c>
      <c r="K2657" s="17" t="n">
        <v>9.949999999999999</v>
      </c>
      <c r="L2657" s="17" t="n">
        <v>25.86</v>
      </c>
      <c r="M2657" s="17" t="n">
        <v>0</v>
      </c>
      <c r="N2657" s="17">
        <f>K2657*0.08+L2657*0.08</f>
        <v/>
      </c>
      <c r="O2657" s="17">
        <f>-(K2657*0.025+L2657*0.025)</f>
        <v/>
      </c>
      <c r="P2657" s="17">
        <f>32</f>
        <v/>
      </c>
      <c r="Q2657" s="17">
        <f>J2657+L2657+N2657+O2657-P2657-M2657</f>
        <v/>
      </c>
    </row>
    <row r="2658">
      <c r="A2658" s="16" t="inlineStr">
        <is>
          <t>5.22-5.28</t>
        </is>
      </c>
      <c r="B2658" s="16" t="inlineStr">
        <is>
          <t>PO-128-12216594473590494</t>
        </is>
      </c>
      <c r="C2658" s="16" t="inlineStr">
        <is>
          <t>Delivered</t>
        </is>
      </c>
      <c r="D2658" s="16" t="inlineStr">
        <is>
          <t>128-12216646902390494</t>
        </is>
      </c>
      <c r="E2658" s="16" t="inlineStr">
        <is>
          <t>Delivered</t>
        </is>
      </c>
      <c r="F2658" s="16" t="inlineStr">
        <is>
          <t>LV54W25</t>
        </is>
      </c>
      <c r="G2658" s="16" t="inlineStr">
        <is>
          <t>TIANLAI Lámpara Ventilador E27 2 en 1, Silenciosa, LED Alta Luminosidad 180°, Instalación Rápida, Ahorro Energético para Dormitorio y Interiores Pequeños</t>
        </is>
      </c>
      <c r="H2658" s="16" t="inlineStr">
        <is>
          <t>1 Pieza</t>
        </is>
      </c>
      <c r="I2658" s="16" t="n">
        <v>1</v>
      </c>
      <c r="J2658" s="17" t="n">
        <v>74.3</v>
      </c>
      <c r="K2658" s="17" t="n">
        <v>77.39</v>
      </c>
      <c r="L2658" s="17" t="n">
        <v>25.86</v>
      </c>
      <c r="M2658" s="17" t="n">
        <v>0</v>
      </c>
      <c r="N2658" s="17">
        <f>K2658*0.08+L2658*0.08</f>
        <v/>
      </c>
      <c r="O2658" s="17">
        <f>-(K2658*0.025+L2658*0.025)</f>
        <v/>
      </c>
      <c r="P2658" s="17">
        <f>32</f>
        <v/>
      </c>
      <c r="Q2658" s="17">
        <f>J2658+L2658+N2658+O2658-P2658-M2658</f>
        <v/>
      </c>
    </row>
    <row r="2659">
      <c r="A2659" s="16" t="inlineStr">
        <is>
          <t>5.22-5.28</t>
        </is>
      </c>
      <c r="B2659" s="16" t="inlineStr">
        <is>
          <t>PO-128-11914720635512295</t>
        </is>
      </c>
      <c r="C2659" s="16" t="inlineStr">
        <is>
          <t>Delivered</t>
        </is>
      </c>
      <c r="D2659" s="16" t="inlineStr">
        <is>
          <t>128-11914702285432295</t>
        </is>
      </c>
      <c r="E2659" s="16" t="inlineStr">
        <is>
          <t>Delivered</t>
        </is>
      </c>
      <c r="F2659" s="16" t="inlineStr">
        <is>
          <t>B03W10-10PZS</t>
        </is>
      </c>
      <c r="G265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659" s="16" t="inlineStr">
        <is>
          <t>B03W10</t>
        </is>
      </c>
      <c r="I2659" s="16" t="n">
        <v>1</v>
      </c>
      <c r="J2659" s="17" t="n">
        <v>66</v>
      </c>
      <c r="K2659" s="17" t="n">
        <v>73.42</v>
      </c>
      <c r="L2659" s="17" t="n">
        <v>25.86</v>
      </c>
      <c r="M2659" s="17" t="n">
        <v>0</v>
      </c>
      <c r="N2659" s="17">
        <f>K2659*0.08+L2659*0.08</f>
        <v/>
      </c>
      <c r="O2659" s="17">
        <f>-(K2659*0.025+L2659*0.025)</f>
        <v/>
      </c>
      <c r="P2659" s="17">
        <f>32</f>
        <v/>
      </c>
      <c r="Q2659" s="17">
        <f>J2659+L2659+N2659+O2659-P2659-M2659</f>
        <v/>
      </c>
    </row>
    <row r="2660">
      <c r="A2660" s="16" t="inlineStr">
        <is>
          <t>5.22-5.28</t>
        </is>
      </c>
      <c r="B2660" s="16" t="inlineStr">
        <is>
          <t>PO-128-12262443500150031</t>
        </is>
      </c>
      <c r="C2660" s="16" t="inlineStr">
        <is>
          <t>Delivered</t>
        </is>
      </c>
      <c r="D2660" s="16" t="inlineStr">
        <is>
          <t>128-12262401557110031</t>
        </is>
      </c>
      <c r="E2660" s="16" t="inlineStr">
        <is>
          <t>Delivered</t>
        </is>
      </c>
      <c r="F2660" s="16" t="inlineStr">
        <is>
          <t>LV64W25</t>
        </is>
      </c>
      <c r="G26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60" s="16" t="inlineStr">
        <is>
          <t>Blanco</t>
        </is>
      </c>
      <c r="I2660" s="16" t="n">
        <v>1</v>
      </c>
      <c r="J2660" s="17" t="n">
        <v>123.9</v>
      </c>
      <c r="K2660" s="17" t="n">
        <v>142.16</v>
      </c>
      <c r="L2660" s="17" t="n">
        <v>25.86</v>
      </c>
      <c r="M2660" s="17" t="n">
        <v>0</v>
      </c>
      <c r="N2660" s="17">
        <f>K2660*0.08+L2660*0.08</f>
        <v/>
      </c>
      <c r="O2660" s="17">
        <f>-(K2660*0.025+L2660*0.025)</f>
        <v/>
      </c>
      <c r="P2660" s="17">
        <f>32</f>
        <v/>
      </c>
      <c r="Q2660" s="17">
        <f>J2660+L2660+N2660+O2660-P2660-M2660</f>
        <v/>
      </c>
    </row>
    <row r="2661">
      <c r="A2661" s="16" t="inlineStr">
        <is>
          <t>5.22-5.28</t>
        </is>
      </c>
      <c r="B2661" s="16" t="inlineStr">
        <is>
          <t>PO-128-12177575982711558</t>
        </is>
      </c>
      <c r="C2661" s="16" t="inlineStr">
        <is>
          <t>Delivered</t>
        </is>
      </c>
      <c r="D2661" s="16" t="inlineStr">
        <is>
          <t>128-12177739822711558</t>
        </is>
      </c>
      <c r="E2661" s="16" t="inlineStr">
        <is>
          <t>Delivered</t>
        </is>
      </c>
      <c r="F2661" s="16" t="inlineStr">
        <is>
          <t>LV64W25</t>
        </is>
      </c>
      <c r="G26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61" s="16" t="inlineStr">
        <is>
          <t>Blanco</t>
        </is>
      </c>
      <c r="I2661" s="16" t="n">
        <v>1</v>
      </c>
      <c r="J2661" s="17" t="n">
        <v>123.9</v>
      </c>
      <c r="K2661" s="17" t="n">
        <v>142.16</v>
      </c>
      <c r="L2661" s="17" t="n">
        <v>25.86</v>
      </c>
      <c r="M2661" s="17" t="n">
        <v>0</v>
      </c>
      <c r="N2661" s="17">
        <f>K2661*0.08+L2661*0.08</f>
        <v/>
      </c>
      <c r="O2661" s="17">
        <f>-(K2661*0.025+L2661*0.025)</f>
        <v/>
      </c>
      <c r="P2661" s="17">
        <f>32</f>
        <v/>
      </c>
      <c r="Q2661" s="17">
        <f>J2661+L2661+N2661+O2661-P2661-M2661</f>
        <v/>
      </c>
    </row>
    <row r="2662">
      <c r="A2662" s="16" t="inlineStr">
        <is>
          <t>5.22-5.28</t>
        </is>
      </c>
      <c r="B2662" s="16" t="inlineStr">
        <is>
          <t>PO-128-12159765289591667</t>
        </is>
      </c>
      <c r="C2662" s="16" t="inlineStr">
        <is>
          <t>Delivered</t>
        </is>
      </c>
      <c r="D2662" s="16" t="inlineStr">
        <is>
          <t>128-12159723346551667</t>
        </is>
      </c>
      <c r="E2662" s="16" t="inlineStr">
        <is>
          <t>Delivered</t>
        </is>
      </c>
      <c r="F2662" s="16" t="inlineStr">
        <is>
          <t>LV64W25</t>
        </is>
      </c>
      <c r="G26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62" s="16" t="inlineStr">
        <is>
          <t>Blanco</t>
        </is>
      </c>
      <c r="I2662" s="16" t="n">
        <v>3</v>
      </c>
      <c r="J2662" s="17" t="n">
        <v>371.7</v>
      </c>
      <c r="K2662" s="17" t="n">
        <v>396.63</v>
      </c>
      <c r="L2662" s="17" t="n">
        <v>0</v>
      </c>
      <c r="M2662" s="17" t="n">
        <v>0</v>
      </c>
      <c r="N2662" s="17">
        <f>K2662*0.08+L2662*0.08</f>
        <v/>
      </c>
      <c r="O2662" s="17">
        <f>-(K2662*0.025+L2662*0.025)</f>
        <v/>
      </c>
      <c r="P2662" s="17">
        <f>32</f>
        <v/>
      </c>
      <c r="Q2662" s="17">
        <f>J2662+L2662+N2662+O2662-P2662-M2662</f>
        <v/>
      </c>
    </row>
    <row r="2663">
      <c r="A2663" s="16" t="inlineStr">
        <is>
          <t>5.22-5.28</t>
        </is>
      </c>
      <c r="B2663" s="16" t="inlineStr">
        <is>
          <t>PO-128-12336084992630678</t>
        </is>
      </c>
      <c r="C2663" s="16" t="inlineStr">
        <is>
          <t>Delivered</t>
        </is>
      </c>
      <c r="D2663" s="16" t="inlineStr">
        <is>
          <t>128-12336043049590678</t>
        </is>
      </c>
      <c r="E2663" s="16" t="inlineStr">
        <is>
          <t>Delivered</t>
        </is>
      </c>
      <c r="F2663" s="16" t="inlineStr">
        <is>
          <t>LV64W25</t>
        </is>
      </c>
      <c r="G26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63" s="16" t="inlineStr">
        <is>
          <t>Blanco</t>
        </is>
      </c>
      <c r="I2663" s="16" t="n">
        <v>2</v>
      </c>
      <c r="J2663" s="17" t="n">
        <v>247.8</v>
      </c>
      <c r="K2663" s="17" t="n">
        <v>264.42</v>
      </c>
      <c r="L2663" s="17" t="n">
        <v>0</v>
      </c>
      <c r="M2663" s="17" t="n">
        <v>0</v>
      </c>
      <c r="N2663" s="17">
        <f>K2663*0.08+L2663*0.08</f>
        <v/>
      </c>
      <c r="O2663" s="17">
        <f>-(K2663*0.025+L2663*0.025)</f>
        <v/>
      </c>
      <c r="P2663" s="17">
        <f>32</f>
        <v/>
      </c>
      <c r="Q2663" s="17">
        <f>J2663+L2663+N2663+O2663-P2663-M2663</f>
        <v/>
      </c>
    </row>
    <row r="2664">
      <c r="A2664" s="16" t="inlineStr">
        <is>
          <t>5.22-5.28</t>
        </is>
      </c>
      <c r="B2664" s="16" t="inlineStr">
        <is>
          <t>PO-128-12214847263350504</t>
        </is>
      </c>
      <c r="C2664" s="16" t="inlineStr">
        <is>
          <t>Delivered</t>
        </is>
      </c>
      <c r="D2664" s="16" t="inlineStr">
        <is>
          <t>128-12214852506230504</t>
        </is>
      </c>
      <c r="E2664" s="16" t="inlineStr">
        <is>
          <t>Delivered</t>
        </is>
      </c>
      <c r="F2664" s="16" t="inlineStr">
        <is>
          <t>LV54W25</t>
        </is>
      </c>
      <c r="G2664" s="16" t="inlineStr">
        <is>
          <t>TIANLAI Lámpara Ventilador E27 2 en 1, Silenciosa, LED Alta Luminosidad 180°, Instalación Rápida, Ahorro Energético para Dormitorio y Interiores Pequeños</t>
        </is>
      </c>
      <c r="H2664" s="16" t="inlineStr">
        <is>
          <t>1 Pieza</t>
        </is>
      </c>
      <c r="I2664" s="16" t="n">
        <v>3</v>
      </c>
      <c r="J2664" s="17" t="n">
        <v>222.9</v>
      </c>
      <c r="K2664" s="17" t="n">
        <v>232.17</v>
      </c>
      <c r="L2664" s="17" t="n">
        <v>0</v>
      </c>
      <c r="M2664" s="17" t="n">
        <v>0</v>
      </c>
      <c r="N2664" s="17">
        <f>K2664*0.08+L2664*0.08</f>
        <v/>
      </c>
      <c r="O2664" s="17">
        <f>-(K2664*0.025+L2664*0.025)</f>
        <v/>
      </c>
      <c r="P2664" s="17">
        <f>32</f>
        <v/>
      </c>
      <c r="Q2664" s="17">
        <f>J2664+L2664+N2664+O2664-P2664-M2664</f>
        <v/>
      </c>
    </row>
    <row r="2665">
      <c r="A2665" s="16" t="inlineStr">
        <is>
          <t>5.22-5.28</t>
        </is>
      </c>
      <c r="B2665" s="16" t="inlineStr">
        <is>
          <t>PO-128-12069808231031179</t>
        </is>
      </c>
      <c r="C2665" s="16" t="inlineStr">
        <is>
          <t>Delivered</t>
        </is>
      </c>
      <c r="D2665" s="16" t="inlineStr">
        <is>
          <t>128-12069813473911179</t>
        </is>
      </c>
      <c r="E2665" s="16" t="inlineStr">
        <is>
          <t>Delivered</t>
        </is>
      </c>
      <c r="F2665" s="16" t="inlineStr">
        <is>
          <t>VA371T</t>
        </is>
      </c>
      <c r="G2665" s="16" t="inlineStr">
        <is>
          <t>Linkbits Bocina Bluetooth Portátil 3" de Alta Gama，Hi-Res Audio y Graves Potentes，Luces LED + Soporte USB/TF/FM/TWS，Ideal para Hogar y Aire Libre</t>
        </is>
      </c>
      <c r="H2665" s="16" t="inlineStr">
        <is>
          <t>VA371T</t>
        </is>
      </c>
      <c r="I2665" s="16" t="n">
        <v>1</v>
      </c>
      <c r="J2665" s="17" t="n">
        <v>41.32</v>
      </c>
      <c r="K2665" s="17" t="n">
        <v>49.68</v>
      </c>
      <c r="L2665" s="17" t="n">
        <v>25.86</v>
      </c>
      <c r="M2665" s="17" t="n">
        <v>0</v>
      </c>
      <c r="N2665" s="17">
        <f>K2665*0.08+L2665*0.08</f>
        <v/>
      </c>
      <c r="O2665" s="17">
        <f>-(K2665*0.025+L2665*0.025)</f>
        <v/>
      </c>
      <c r="P2665" s="17">
        <f>32</f>
        <v/>
      </c>
      <c r="Q2665" s="17">
        <f>J2665+L2665+N2665+O2665-P2665-M2665</f>
        <v/>
      </c>
    </row>
    <row r="2666">
      <c r="A2666" s="16" t="inlineStr">
        <is>
          <t>5.22-5.28</t>
        </is>
      </c>
      <c r="B2666" s="16" t="inlineStr">
        <is>
          <t>PO-128-01177808021111778</t>
        </is>
      </c>
      <c r="C2666" s="16" t="inlineStr">
        <is>
          <t>Delivered</t>
        </is>
      </c>
      <c r="D2666" s="16" t="inlineStr">
        <is>
          <t>128-01177849964151778</t>
        </is>
      </c>
      <c r="E2666" s="16" t="inlineStr">
        <is>
          <t>Delivered</t>
        </is>
      </c>
      <c r="F2666" s="16" t="inlineStr">
        <is>
          <t>LV54W25</t>
        </is>
      </c>
      <c r="G2666" s="16" t="inlineStr">
        <is>
          <t>TIANLAI Lámpara Ventilador E27 2 en 1, Silenciosa, LED Alta Luminosidad 180°, Instalación Rápida, Ahorro Energético para Dormitorio y Interiores Pequeños</t>
        </is>
      </c>
      <c r="H2666" s="16" t="inlineStr">
        <is>
          <t>1 Pieza</t>
        </is>
      </c>
      <c r="I2666" s="16" t="n">
        <v>2</v>
      </c>
      <c r="J2666" s="17" t="n">
        <v>148.6</v>
      </c>
      <c r="K2666" s="17" t="n">
        <v>154.78</v>
      </c>
      <c r="L2666" s="17" t="n">
        <v>25.86</v>
      </c>
      <c r="M2666" s="17" t="n">
        <v>0</v>
      </c>
      <c r="N2666" s="17">
        <f>K2666*0.08+L2666*0.08</f>
        <v/>
      </c>
      <c r="O2666" s="17">
        <f>-(K2666*0.025+L2666*0.025)</f>
        <v/>
      </c>
      <c r="P2666" s="17">
        <f>32</f>
        <v/>
      </c>
      <c r="Q2666" s="17">
        <f>J2666+L2666+N2666+O2666-P2666-M2666</f>
        <v/>
      </c>
    </row>
    <row r="2667">
      <c r="A2667" s="16" t="inlineStr">
        <is>
          <t>5.22-5.28</t>
        </is>
      </c>
      <c r="B2667" s="16" t="inlineStr">
        <is>
          <t>PO-128-01309897411190993</t>
        </is>
      </c>
      <c r="C2667" s="16" t="inlineStr">
        <is>
          <t>Delivered</t>
        </is>
      </c>
      <c r="D2667" s="16" t="inlineStr">
        <is>
          <t>128-01309949839990993</t>
        </is>
      </c>
      <c r="E2667" s="16" t="inlineStr">
        <is>
          <t>Delivered</t>
        </is>
      </c>
      <c r="F2667" s="16" t="inlineStr">
        <is>
          <t>LV54W25</t>
        </is>
      </c>
      <c r="G2667" s="16" t="inlineStr">
        <is>
          <t>TIANLAI Lámpara Ventilador E27 2 en 1, Silenciosa, LED Alta Luminosidad 180°, Instalación Rápida, Ahorro Energético para Dormitorio y Interiores Pequeños</t>
        </is>
      </c>
      <c r="H2667" s="16" t="inlineStr">
        <is>
          <t>1 Pieza</t>
        </is>
      </c>
      <c r="I2667" s="16" t="n">
        <v>3</v>
      </c>
      <c r="J2667" s="17" t="n">
        <v>222.9</v>
      </c>
      <c r="K2667" s="17" t="n">
        <v>237.33</v>
      </c>
      <c r="L2667" s="17" t="n">
        <v>0</v>
      </c>
      <c r="M2667" s="17" t="n">
        <v>0</v>
      </c>
      <c r="N2667" s="17">
        <f>K2667*0.08+L2667*0.08</f>
        <v/>
      </c>
      <c r="O2667" s="17">
        <f>-(K2667*0.025+L2667*0.025)</f>
        <v/>
      </c>
      <c r="P2667" s="17">
        <f>32</f>
        <v/>
      </c>
      <c r="Q2667" s="17">
        <f>J2667+L2667+N2667+O2667-P2667-M2667</f>
        <v/>
      </c>
    </row>
    <row r="2668">
      <c r="A2668" s="16" t="inlineStr">
        <is>
          <t>5.22-5.28</t>
        </is>
      </c>
      <c r="B2668" s="16" t="inlineStr">
        <is>
          <t>PO-128-01234337982070291</t>
        </is>
      </c>
      <c r="C2668" s="16" t="inlineStr">
        <is>
          <t>Delivered</t>
        </is>
      </c>
      <c r="D2668" s="16" t="inlineStr">
        <is>
          <t>128-01234442839670291</t>
        </is>
      </c>
      <c r="E2668" s="16" t="inlineStr">
        <is>
          <t>Delivered</t>
        </is>
      </c>
      <c r="F2668" s="16" t="inlineStr">
        <is>
          <t>KTS-2031</t>
        </is>
      </c>
      <c r="G2668" s="16" t="inlineStr">
        <is>
          <t>Bocina inalámbrica de 3 pulgadas con linterna multifuncional y panel solar integrado.Altavoz Portátil con Linterna LED 4 Modos, Radio FM, Bluetooth, Carga Solar, Ideal para Apagones, Emergencias, Campo y Exteriores</t>
        </is>
      </c>
      <c r="H2668" s="16" t="inlineStr">
        <is>
          <t>NEGRO</t>
        </is>
      </c>
      <c r="I2668" s="16" t="n">
        <v>1</v>
      </c>
      <c r="J2668" s="17" t="n">
        <v>85</v>
      </c>
      <c r="K2668" s="17" t="n">
        <v>94.22</v>
      </c>
      <c r="L2668" s="17" t="n">
        <v>25.86</v>
      </c>
      <c r="M2668" s="17" t="n">
        <v>0</v>
      </c>
      <c r="N2668" s="17">
        <f>K2668*0.08+L2668*0.08</f>
        <v/>
      </c>
      <c r="O2668" s="17">
        <f>-(K2668*0.025+L2668*0.025)</f>
        <v/>
      </c>
      <c r="P2668" s="17">
        <f>32</f>
        <v/>
      </c>
      <c r="Q2668" s="17">
        <f>J2668+L2668+N2668+O2668-P2668-M2668</f>
        <v/>
      </c>
    </row>
    <row r="2669">
      <c r="A2669" s="16" t="inlineStr">
        <is>
          <t>5.22-5.28</t>
        </is>
      </c>
      <c r="B2669" s="16" t="inlineStr">
        <is>
          <t>PO-128-01052172437111505</t>
        </is>
      </c>
      <c r="C2669" s="16" t="inlineStr">
        <is>
          <t>Delivered</t>
        </is>
      </c>
      <c r="D2669" s="16" t="inlineStr">
        <is>
          <t>128-01052125251191505</t>
        </is>
      </c>
      <c r="E2669" s="16" t="inlineStr">
        <is>
          <t>Delivered</t>
        </is>
      </c>
      <c r="F2669" s="16" t="inlineStr">
        <is>
          <t>LV54W25</t>
        </is>
      </c>
      <c r="G2669" s="16" t="inlineStr">
        <is>
          <t>TIANLAI Lámpara Ventilador E27 2 en 1, Silenciosa, LED Alta Luminosidad 180°, Instalación Rápida, Ahorro Energético para Dormitorio y Interiores Pequeños</t>
        </is>
      </c>
      <c r="H2669" s="16" t="inlineStr">
        <is>
          <t>1 Pieza</t>
        </is>
      </c>
      <c r="I2669" s="16" t="n">
        <v>2</v>
      </c>
      <c r="J2669" s="17" t="n">
        <v>148.6</v>
      </c>
      <c r="K2669" s="17" t="n">
        <v>154.78</v>
      </c>
      <c r="L2669" s="17" t="n">
        <v>25.86</v>
      </c>
      <c r="M2669" s="17" t="n">
        <v>0</v>
      </c>
      <c r="N2669" s="17">
        <f>K2669*0.08+L2669*0.08</f>
        <v/>
      </c>
      <c r="O2669" s="17">
        <f>-(K2669*0.025+L2669*0.025)</f>
        <v/>
      </c>
      <c r="P2669" s="17">
        <f>32</f>
        <v/>
      </c>
      <c r="Q2669" s="17">
        <f>J2669+L2669+N2669+O2669-P2669-M2669</f>
        <v/>
      </c>
    </row>
    <row r="2670">
      <c r="A2670" s="16" t="inlineStr">
        <is>
          <t>5.22-5.28</t>
        </is>
      </c>
      <c r="B2670" s="16" t="inlineStr">
        <is>
          <t>PO-128-00897856389752425</t>
        </is>
      </c>
      <c r="C2670" s="16" t="inlineStr">
        <is>
          <t>Delivered</t>
        </is>
      </c>
      <c r="D2670" s="16" t="inlineStr">
        <is>
          <t>128-00897806582392425</t>
        </is>
      </c>
      <c r="E2670" s="16" t="inlineStr">
        <is>
          <t>Delivered</t>
        </is>
      </c>
      <c r="F2670" s="16" t="inlineStr">
        <is>
          <t>TLCD06-12P-N</t>
        </is>
      </c>
      <c r="G267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670" s="16" t="inlineStr">
        <is>
          <t>NEGRO/pantalla de 12 pulgadas</t>
        </is>
      </c>
      <c r="I2670" s="16" t="n">
        <v>1</v>
      </c>
      <c r="J2670" s="17" t="n">
        <v>32</v>
      </c>
      <c r="K2670" s="17" t="n">
        <v>44.01</v>
      </c>
      <c r="L2670" s="17" t="n">
        <v>25.86</v>
      </c>
      <c r="M2670" s="17" t="n">
        <v>0</v>
      </c>
      <c r="N2670" s="17">
        <f>K2670*0.08+L2670*0.08</f>
        <v/>
      </c>
      <c r="O2670" s="17">
        <f>-(K2670*0.025+L2670*0.025)</f>
        <v/>
      </c>
      <c r="P2670" s="17">
        <f>32</f>
        <v/>
      </c>
      <c r="Q2670" s="17">
        <f>J2670+L2670+N2670+O2670-P2670-M2670</f>
        <v/>
      </c>
    </row>
    <row r="2671">
      <c r="A2671" s="16" t="inlineStr">
        <is>
          <t>5.22-5.28</t>
        </is>
      </c>
      <c r="B2671" s="16" t="inlineStr">
        <is>
          <t>PO-128-00852249078393657</t>
        </is>
      </c>
      <c r="C2671" s="16" t="inlineStr">
        <is>
          <t>Delivered</t>
        </is>
      </c>
      <c r="D2671" s="16" t="inlineStr">
        <is>
          <t>128-00852275292793657</t>
        </is>
      </c>
      <c r="E2671" s="16" t="inlineStr">
        <is>
          <t>Delivered</t>
        </is>
      </c>
      <c r="F2671" s="16" t="inlineStr">
        <is>
          <t>KTS-2031</t>
        </is>
      </c>
      <c r="G2671" s="16" t="inlineStr">
        <is>
          <t>Bocina inalámbrica de 3 pulgadas con linterna multifuncional y panel solar integrado.Altavoz Portátil con Linterna LED 4 Modos, Radio FM, Bluetooth, Carga Solar, Ideal para Apagones, Emergencias, Campo y Exteriores</t>
        </is>
      </c>
      <c r="H2671" s="16" t="inlineStr">
        <is>
          <t>NEGRO</t>
        </is>
      </c>
      <c r="I2671" s="16" t="n">
        <v>1</v>
      </c>
      <c r="J2671" s="17" t="n">
        <v>85</v>
      </c>
      <c r="K2671" s="17" t="n">
        <v>65.68000000000001</v>
      </c>
      <c r="L2671" s="17" t="n">
        <v>25.86</v>
      </c>
      <c r="M2671" s="17" t="n">
        <v>0</v>
      </c>
      <c r="N2671" s="17">
        <f>K2671*0.08+L2671*0.08</f>
        <v/>
      </c>
      <c r="O2671" s="17">
        <f>-(K2671*0.025+L2671*0.025)</f>
        <v/>
      </c>
      <c r="P2671" s="17">
        <f>32</f>
        <v/>
      </c>
      <c r="Q2671" s="17">
        <f>J2671+L2671+N2671+O2671-P2671-M2671</f>
        <v/>
      </c>
    </row>
    <row r="2672">
      <c r="A2672" s="16" t="inlineStr">
        <is>
          <t>5.22-5.28</t>
        </is>
      </c>
      <c r="B2672" s="16" t="inlineStr">
        <is>
          <t>PO-128-01022340449912643</t>
        </is>
      </c>
      <c r="C2672" s="16" t="inlineStr">
        <is>
          <t>Delivered</t>
        </is>
      </c>
      <c r="D2672" s="16" t="inlineStr">
        <is>
          <t>128-01022392878712643</t>
        </is>
      </c>
      <c r="E2672" s="16" t="inlineStr">
        <is>
          <t>Delivered</t>
        </is>
      </c>
      <c r="F2672" s="16" t="inlineStr">
        <is>
          <t>KTS-2031</t>
        </is>
      </c>
      <c r="G2672" s="16" t="inlineStr">
        <is>
          <t>Bocina inalámbrica de 3 pulgadas con linterna multifuncional y panel solar integrado.Altavoz Portátil con Linterna LED 4 Modos, Radio FM, Bluetooth, Carga Solar, Ideal para Apagones, Emergencias, Campo y Exteriores</t>
        </is>
      </c>
      <c r="H2672" s="16" t="inlineStr">
        <is>
          <t>NEGRO</t>
        </is>
      </c>
      <c r="I2672" s="16" t="n">
        <v>3</v>
      </c>
      <c r="J2672" s="17" t="n">
        <v>255</v>
      </c>
      <c r="K2672" s="17" t="n">
        <v>282.66</v>
      </c>
      <c r="L2672" s="17" t="n">
        <v>0</v>
      </c>
      <c r="M2672" s="17" t="n">
        <v>0</v>
      </c>
      <c r="N2672" s="17">
        <f>K2672*0.08+L2672*0.08</f>
        <v/>
      </c>
      <c r="O2672" s="17">
        <f>-(K2672*0.025+L2672*0.025)</f>
        <v/>
      </c>
      <c r="P2672" s="17">
        <f>32</f>
        <v/>
      </c>
      <c r="Q2672" s="17">
        <f>J2672+L2672+N2672+O2672-P2672-M2672</f>
        <v/>
      </c>
    </row>
    <row r="2673">
      <c r="A2673" s="16" t="inlineStr">
        <is>
          <t>5.22-5.28</t>
        </is>
      </c>
      <c r="B2673" s="16" t="inlineStr">
        <is>
          <t>PO-128-00701407196793530</t>
        </is>
      </c>
      <c r="C2673" s="16" t="inlineStr">
        <is>
          <t>Delivered</t>
        </is>
      </c>
      <c r="D2673" s="16" t="inlineStr">
        <is>
          <t>128-00701323310713530</t>
        </is>
      </c>
      <c r="E2673" s="16" t="inlineStr">
        <is>
          <t>Delivered</t>
        </is>
      </c>
      <c r="F2673" s="16" t="inlineStr">
        <is>
          <t>LV54W25</t>
        </is>
      </c>
      <c r="G2673" s="16" t="inlineStr">
        <is>
          <t>TIANLAI Lámpara Ventilador E27 2 en 1, Silenciosa, LED Alta Luminosidad 180°, Instalación Rápida, Ahorro Energético para Dormitorio y Interiores Pequeños</t>
        </is>
      </c>
      <c r="H2673" s="16" t="inlineStr">
        <is>
          <t>1 Pieza</t>
        </is>
      </c>
      <c r="I2673" s="16" t="n">
        <v>2</v>
      </c>
      <c r="J2673" s="17" t="n">
        <v>148.6</v>
      </c>
      <c r="K2673" s="17" t="n">
        <v>158.22</v>
      </c>
      <c r="L2673" s="17" t="n">
        <v>25.86</v>
      </c>
      <c r="M2673" s="17" t="n">
        <v>0</v>
      </c>
      <c r="N2673" s="17">
        <f>K2673*0.08+L2673*0.08</f>
        <v/>
      </c>
      <c r="O2673" s="17">
        <f>-(K2673*0.025+L2673*0.025)</f>
        <v/>
      </c>
      <c r="P2673" s="17">
        <f>32</f>
        <v/>
      </c>
      <c r="Q2673" s="17">
        <f>J2673+L2673+N2673+O2673-P2673-M2673</f>
        <v/>
      </c>
    </row>
    <row r="2674">
      <c r="A2674" s="16" t="inlineStr">
        <is>
          <t>5.22-5.28</t>
        </is>
      </c>
      <c r="B2674" s="16" t="inlineStr">
        <is>
          <t>PO-128-00726017915513449</t>
        </is>
      </c>
      <c r="C2674" s="16" t="inlineStr">
        <is>
          <t>Delivered</t>
        </is>
      </c>
      <c r="D2674" s="16" t="inlineStr">
        <is>
          <t>128-00725996943993449</t>
        </is>
      </c>
      <c r="E2674" s="16" t="inlineStr">
        <is>
          <t>Delivered</t>
        </is>
      </c>
      <c r="F2674" s="16" t="inlineStr">
        <is>
          <t>TL2663N18C</t>
        </is>
      </c>
      <c r="G2674" s="16" t="inlineStr">
        <is>
          <t>Linkbits，Soporte de pared fijo para televisores de 26"-63", Ultra-Delgado Compatible con VESA 400x400mm, Capacidad de Peso Fuerte de 25KG, Instalación Fácil Sin Electricidad</t>
        </is>
      </c>
      <c r="H2674" s="16" t="inlineStr">
        <is>
          <t>NEGRO</t>
        </is>
      </c>
      <c r="I2674" s="16" t="n">
        <v>1</v>
      </c>
      <c r="J2674" s="17" t="n">
        <v>54</v>
      </c>
      <c r="K2674" s="17" t="n">
        <v>68.97</v>
      </c>
      <c r="L2674" s="17" t="n">
        <v>25.86</v>
      </c>
      <c r="M2674" s="17" t="n">
        <v>0</v>
      </c>
      <c r="N2674" s="17">
        <f>K2674*0.08+L2674*0.08</f>
        <v/>
      </c>
      <c r="O2674" s="17">
        <f>-(K2674*0.025+L2674*0.025)</f>
        <v/>
      </c>
      <c r="P2674" s="17">
        <f>32</f>
        <v/>
      </c>
      <c r="Q2674" s="17">
        <f>J2674+L2674+N2674+O2674-P2674-M2674</f>
        <v/>
      </c>
    </row>
    <row r="2675">
      <c r="A2675" s="16" t="inlineStr">
        <is>
          <t>5.22-5.28</t>
        </is>
      </c>
      <c r="B2675" s="16" t="inlineStr">
        <is>
          <t>PO-128-01167214449271715</t>
        </is>
      </c>
      <c r="C2675" s="16" t="inlineStr">
        <is>
          <t>Delivered</t>
        </is>
      </c>
      <c r="D2675" s="16" t="inlineStr">
        <is>
          <t>128-01167231488631715</t>
        </is>
      </c>
      <c r="E2675" s="16" t="inlineStr">
        <is>
          <t>Delivered</t>
        </is>
      </c>
      <c r="F2675" s="16" t="inlineStr">
        <is>
          <t>VB349T</t>
        </is>
      </c>
      <c r="G2675" s="16" t="inlineStr">
        <is>
          <t>LINKBITS Altavoz Portátil de Doble Altavoz - 3 Pulgadas, Sonido HD, Emparejamiento Rápido de Bluetooth, Conectividad TWS, Reproducción Multimodo (Micro SD/USB/Radio FM) - Perfecto para Oficina, Viajes y Espacios Pequeños</t>
        </is>
      </c>
      <c r="H2675" s="16" t="inlineStr">
        <is>
          <t>NEGRO</t>
        </is>
      </c>
      <c r="I2675" s="16" t="n">
        <v>1</v>
      </c>
      <c r="J2675" s="17" t="n">
        <v>79</v>
      </c>
      <c r="K2675" s="17" t="n">
        <v>92.26000000000001</v>
      </c>
      <c r="L2675" s="17" t="n">
        <v>25.86</v>
      </c>
      <c r="M2675" s="17" t="n">
        <v>0</v>
      </c>
      <c r="N2675" s="17">
        <f>K2675*0.08+L2675*0.08</f>
        <v/>
      </c>
      <c r="O2675" s="17">
        <f>-(K2675*0.025+L2675*0.025)</f>
        <v/>
      </c>
      <c r="P2675" s="17">
        <f>32</f>
        <v/>
      </c>
      <c r="Q2675" s="17">
        <f>J2675+L2675+N2675+O2675-P2675-M2675</f>
        <v/>
      </c>
    </row>
    <row r="2676">
      <c r="A2676" s="16" t="inlineStr">
        <is>
          <t>5.22-5.28</t>
        </is>
      </c>
      <c r="B2676" s="16" t="inlineStr">
        <is>
          <t>PO-128-00915562035832255</t>
        </is>
      </c>
      <c r="C2676" s="16" t="inlineStr">
        <is>
          <t>Delivered</t>
        </is>
      </c>
      <c r="D2676" s="16" t="inlineStr">
        <is>
          <t>128-00915583007352255</t>
        </is>
      </c>
      <c r="E2676" s="16" t="inlineStr">
        <is>
          <t>Delivered</t>
        </is>
      </c>
      <c r="F2676" s="16" t="inlineStr">
        <is>
          <t>LV64W25</t>
        </is>
      </c>
      <c r="G26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76" s="16" t="inlineStr">
        <is>
          <t>Blanco</t>
        </is>
      </c>
      <c r="I2676" s="16" t="n">
        <v>1</v>
      </c>
      <c r="J2676" s="17" t="n">
        <v>123.9</v>
      </c>
      <c r="K2676" s="17" t="n">
        <v>132.21</v>
      </c>
      <c r="L2676" s="17" t="n">
        <v>25.86</v>
      </c>
      <c r="M2676" s="17" t="n">
        <v>0</v>
      </c>
      <c r="N2676" s="17">
        <f>K2676*0.08+L2676*0.08</f>
        <v/>
      </c>
      <c r="O2676" s="17">
        <f>-(K2676*0.025+L2676*0.025)</f>
        <v/>
      </c>
      <c r="P2676" s="17">
        <f>32</f>
        <v/>
      </c>
      <c r="Q2676" s="17">
        <f>J2676+L2676+N2676+O2676-P2676-M2676</f>
        <v/>
      </c>
    </row>
    <row r="2677">
      <c r="A2677" s="16" t="inlineStr">
        <is>
          <t>5.22-5.28</t>
        </is>
      </c>
      <c r="B2677" s="16" t="inlineStr">
        <is>
          <t>PO-128-01328838636150878</t>
        </is>
      </c>
      <c r="C2677" s="16" t="inlineStr">
        <is>
          <t>Delivered</t>
        </is>
      </c>
      <c r="D2677" s="16" t="inlineStr">
        <is>
          <t>128-01328859607670878</t>
        </is>
      </c>
      <c r="E2677" s="16" t="inlineStr">
        <is>
          <t>Delivered</t>
        </is>
      </c>
      <c r="F2677" s="16" t="inlineStr">
        <is>
          <t>LV64W25</t>
        </is>
      </c>
      <c r="G26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77" s="16" t="inlineStr">
        <is>
          <t>Blanco</t>
        </is>
      </c>
      <c r="I2677" s="16" t="n">
        <v>2</v>
      </c>
      <c r="J2677" s="17" t="n">
        <v>247.8</v>
      </c>
      <c r="K2677" s="17" t="n">
        <v>224.75</v>
      </c>
      <c r="L2677" s="17" t="n">
        <v>0</v>
      </c>
      <c r="M2677" s="17" t="n">
        <v>0</v>
      </c>
      <c r="N2677" s="17">
        <f>K2677*0.08+L2677*0.08</f>
        <v/>
      </c>
      <c r="O2677" s="17">
        <f>-(K2677*0.025+L2677*0.025)</f>
        <v/>
      </c>
      <c r="P2677" s="17">
        <f>32</f>
        <v/>
      </c>
      <c r="Q2677" s="17">
        <f>J2677+L2677+N2677+O2677-P2677-M2677</f>
        <v/>
      </c>
    </row>
    <row r="2678">
      <c r="A2678" s="16" t="inlineStr">
        <is>
          <t>5.22-5.28</t>
        </is>
      </c>
      <c r="B2678" s="16" t="inlineStr">
        <is>
          <t>PO-128-01263842330230243</t>
        </is>
      </c>
      <c r="C2678" s="16" t="inlineStr">
        <is>
          <t>Delivered</t>
        </is>
      </c>
      <c r="D2678" s="16" t="inlineStr">
        <is>
          <t>128-01263978645110243</t>
        </is>
      </c>
      <c r="E2678" s="16" t="inlineStr">
        <is>
          <t>Delivered</t>
        </is>
      </c>
      <c r="F2678" s="16" t="inlineStr">
        <is>
          <t>KTS-2031</t>
        </is>
      </c>
      <c r="G2678" s="16" t="inlineStr">
        <is>
          <t>Bocina inalámbrica de 3 pulgadas con linterna multifuncional y panel solar integrado.Altavoz Portátil con Linterna LED 4 Modos, Radio FM, Bluetooth, Carga Solar, Ideal para Apagones, Emergencias, Campo y Exteriores</t>
        </is>
      </c>
      <c r="H2678" s="16" t="inlineStr">
        <is>
          <t>NEGRO</t>
        </is>
      </c>
      <c r="I2678" s="16" t="n">
        <v>1</v>
      </c>
      <c r="J2678" s="17" t="n">
        <v>85</v>
      </c>
      <c r="K2678" s="17" t="n">
        <v>94.22</v>
      </c>
      <c r="L2678" s="17" t="n">
        <v>25.86</v>
      </c>
      <c r="M2678" s="17" t="n">
        <v>0</v>
      </c>
      <c r="N2678" s="17">
        <f>K2678*0.08+L2678*0.08</f>
        <v/>
      </c>
      <c r="O2678" s="17">
        <f>-(K2678*0.025+L2678*0.025)</f>
        <v/>
      </c>
      <c r="P2678" s="17">
        <f>32</f>
        <v/>
      </c>
      <c r="Q2678" s="17">
        <f>J2678+L2678+N2678+O2678-P2678-M2678</f>
        <v/>
      </c>
    </row>
    <row r="2679">
      <c r="A2679" s="16" t="inlineStr">
        <is>
          <t>5.22-5.28</t>
        </is>
      </c>
      <c r="B2679" s="16" t="inlineStr">
        <is>
          <t>PO-128-00952397609592994</t>
        </is>
      </c>
      <c r="C2679" s="16" t="inlineStr">
        <is>
          <t>Delivered</t>
        </is>
      </c>
      <c r="D2679" s="16" t="inlineStr">
        <is>
          <t>128-00952418581112994</t>
        </is>
      </c>
      <c r="E2679" s="16" t="inlineStr">
        <is>
          <t>Delivered</t>
        </is>
      </c>
      <c r="F2679" s="16" t="inlineStr">
        <is>
          <t>LV64W25</t>
        </is>
      </c>
      <c r="G26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79" s="16" t="inlineStr">
        <is>
          <t>Blanco</t>
        </is>
      </c>
      <c r="I2679" s="16" t="n">
        <v>2</v>
      </c>
      <c r="J2679" s="17" t="n">
        <v>247.8</v>
      </c>
      <c r="K2679" s="17" t="n">
        <v>221.32</v>
      </c>
      <c r="L2679" s="17" t="n">
        <v>0</v>
      </c>
      <c r="M2679" s="17" t="n">
        <v>0</v>
      </c>
      <c r="N2679" s="17">
        <f>K2679*0.08+L2679*0.08</f>
        <v/>
      </c>
      <c r="O2679" s="17">
        <f>-(K2679*0.025+L2679*0.025)</f>
        <v/>
      </c>
      <c r="P2679" s="17">
        <f>32</f>
        <v/>
      </c>
      <c r="Q2679" s="17">
        <f>J2679+L2679+N2679+O2679-P2679-M2679</f>
        <v/>
      </c>
    </row>
    <row r="2680">
      <c r="A2680" s="16" t="inlineStr">
        <is>
          <t>5.22-5.28</t>
        </is>
      </c>
      <c r="B2680" s="16" t="inlineStr">
        <is>
          <t>PO-128-01361008056950558</t>
        </is>
      </c>
      <c r="C2680" s="16" t="inlineStr">
        <is>
          <t>Delivered</t>
        </is>
      </c>
      <c r="D2680" s="16" t="inlineStr">
        <is>
          <t>128-01361029028470558</t>
        </is>
      </c>
      <c r="E2680" s="16" t="inlineStr">
        <is>
          <t>Delivered</t>
        </is>
      </c>
      <c r="F2680" s="16" t="inlineStr">
        <is>
          <t>LV54W25</t>
        </is>
      </c>
      <c r="G2680" s="16" t="inlineStr">
        <is>
          <t>TIANLAI Lámpara Ventilador E27 2 en 1, Silenciosa, LED Alta Luminosidad 180°, Instalación Rápida, Ahorro Energético para Dormitorio y Interiores Pequeños</t>
        </is>
      </c>
      <c r="H2680" s="16" t="inlineStr">
        <is>
          <t>1 Pieza</t>
        </is>
      </c>
      <c r="I2680" s="16" t="n">
        <v>3</v>
      </c>
      <c r="J2680" s="17" t="n">
        <v>222.9</v>
      </c>
      <c r="K2680" s="17" t="n">
        <v>237.33</v>
      </c>
      <c r="L2680" s="17" t="n">
        <v>0</v>
      </c>
      <c r="M2680" s="17" t="n">
        <v>0</v>
      </c>
      <c r="N2680" s="17">
        <f>K2680*0.08+L2680*0.08</f>
        <v/>
      </c>
      <c r="O2680" s="17">
        <f>-(K2680*0.025+L2680*0.025)</f>
        <v/>
      </c>
      <c r="P2680" s="17">
        <f>32</f>
        <v/>
      </c>
      <c r="Q2680" s="17">
        <f>J2680+L2680+N2680+O2680-P2680-M2680</f>
        <v/>
      </c>
    </row>
    <row r="2681">
      <c r="A2681" s="16" t="inlineStr">
        <is>
          <t>5.22-5.28</t>
        </is>
      </c>
      <c r="B2681" s="16" t="inlineStr">
        <is>
          <t>PO-128-00867830835832474</t>
        </is>
      </c>
      <c r="C2681" s="16" t="inlineStr">
        <is>
          <t>Delivered</t>
        </is>
      </c>
      <c r="D2681" s="16" t="inlineStr">
        <is>
          <t>128-00867851807352474</t>
        </is>
      </c>
      <c r="E2681" s="16" t="inlineStr">
        <is>
          <t>Delivered</t>
        </is>
      </c>
      <c r="F2681" s="16" t="inlineStr">
        <is>
          <t>LV64W25</t>
        </is>
      </c>
      <c r="G26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81" s="16" t="inlineStr">
        <is>
          <t>Blanco</t>
        </is>
      </c>
      <c r="I2681" s="16" t="n">
        <v>1</v>
      </c>
      <c r="J2681" s="17" t="n">
        <v>123.9</v>
      </c>
      <c r="K2681" s="17" t="n">
        <v>142.16</v>
      </c>
      <c r="L2681" s="17" t="n">
        <v>25.86</v>
      </c>
      <c r="M2681" s="17" t="n">
        <v>0</v>
      </c>
      <c r="N2681" s="17">
        <f>K2681*0.08+L2681*0.08</f>
        <v/>
      </c>
      <c r="O2681" s="17">
        <f>-(K2681*0.025+L2681*0.025)</f>
        <v/>
      </c>
      <c r="P2681" s="17">
        <f>32</f>
        <v/>
      </c>
      <c r="Q2681" s="17">
        <f>J2681+L2681+N2681+O2681-P2681-M2681</f>
        <v/>
      </c>
    </row>
    <row r="2682">
      <c r="A2682" s="16" t="inlineStr">
        <is>
          <t>5.22-5.28</t>
        </is>
      </c>
      <c r="B2682" s="16" t="inlineStr">
        <is>
          <t>PO-128-00688745902713479</t>
        </is>
      </c>
      <c r="C2682" s="16" t="inlineStr">
        <is>
          <t>Delivered</t>
        </is>
      </c>
      <c r="D2682" s="16" t="inlineStr">
        <is>
          <t>128-00688724931193479</t>
        </is>
      </c>
      <c r="E2682" s="16" t="inlineStr">
        <is>
          <t>Delivered</t>
        </is>
      </c>
      <c r="F2682" s="16" t="inlineStr">
        <is>
          <t>VB349T</t>
        </is>
      </c>
      <c r="G2682" s="16" t="inlineStr">
        <is>
          <t>LINKBITS Altavoz Portátil de Doble Altavoz - 3 Pulgadas, Sonido HD, Emparejamiento Rápido de Bluetooth, Conectividad TWS, Reproducción Multimodo (Micro SD/USB/Radio FM) - Perfecto para Oficina, Viajes y Espacios Pequeños</t>
        </is>
      </c>
      <c r="H2682" s="16" t="inlineStr">
        <is>
          <t>NEGRO</t>
        </is>
      </c>
      <c r="I2682" s="16" t="n">
        <v>1</v>
      </c>
      <c r="J2682" s="17" t="n">
        <v>79</v>
      </c>
      <c r="K2682" s="17" t="n">
        <v>92.26000000000001</v>
      </c>
      <c r="L2682" s="17" t="n">
        <v>25.86</v>
      </c>
      <c r="M2682" s="17" t="n">
        <v>0</v>
      </c>
      <c r="N2682" s="17">
        <f>K2682*0.08+L2682*0.08</f>
        <v/>
      </c>
      <c r="O2682" s="17">
        <f>-(K2682*0.025+L2682*0.025)</f>
        <v/>
      </c>
      <c r="P2682" s="17">
        <f>32</f>
        <v/>
      </c>
      <c r="Q2682" s="17">
        <f>J2682+L2682+N2682+O2682-P2682-M2682</f>
        <v/>
      </c>
    </row>
    <row r="2683">
      <c r="A2683" s="16" t="inlineStr">
        <is>
          <t>5.22-5.28</t>
        </is>
      </c>
      <c r="B2683" s="16" t="inlineStr">
        <is>
          <t>PO-128-00801153331833897</t>
        </is>
      </c>
      <c r="C2683" s="16" t="inlineStr">
        <is>
          <t>Delivered</t>
        </is>
      </c>
      <c r="D2683" s="16" t="inlineStr">
        <is>
          <t>128-00801142846073897</t>
        </is>
      </c>
      <c r="E2683" s="16" t="inlineStr">
        <is>
          <t>Delivered</t>
        </is>
      </c>
      <c r="F2683" s="16" t="inlineStr">
        <is>
          <t>LV54W25</t>
        </is>
      </c>
      <c r="G2683" s="16" t="inlineStr">
        <is>
          <t>TIANLAI Lámpara Ventilador E27 2 en 1, Silenciosa, LED Alta Luminosidad 180°, Instalación Rápida, Ahorro Energético para Dormitorio y Interiores Pequeños</t>
        </is>
      </c>
      <c r="H2683" s="16" t="inlineStr">
        <is>
          <t>1 Pieza</t>
        </is>
      </c>
      <c r="I2683" s="16" t="n">
        <v>1</v>
      </c>
      <c r="J2683" s="17" t="n">
        <v>74.3</v>
      </c>
      <c r="K2683" s="17" t="n">
        <v>85.98</v>
      </c>
      <c r="L2683" s="17" t="n">
        <v>25.86</v>
      </c>
      <c r="M2683" s="17" t="n">
        <v>0</v>
      </c>
      <c r="N2683" s="17">
        <f>K2683*0.08+L2683*0.08</f>
        <v/>
      </c>
      <c r="O2683" s="17">
        <f>-(K2683*0.025+L2683*0.025)</f>
        <v/>
      </c>
      <c r="P2683" s="17">
        <f>32</f>
        <v/>
      </c>
      <c r="Q2683" s="17">
        <f>J2683+L2683+N2683+O2683-P2683-M2683</f>
        <v/>
      </c>
    </row>
    <row r="2684">
      <c r="A2684" s="16" t="inlineStr">
        <is>
          <t>5.22-5.28</t>
        </is>
      </c>
      <c r="B2684" s="16" t="inlineStr">
        <is>
          <t>PO-128-01023652659832635</t>
        </is>
      </c>
      <c r="C2684" s="16" t="inlineStr">
        <is>
          <t>Delivered</t>
        </is>
      </c>
      <c r="D2684" s="16" t="inlineStr">
        <is>
          <t>128-01023694602872635</t>
        </is>
      </c>
      <c r="E2684" s="16" t="inlineStr">
        <is>
          <t>Delivered</t>
        </is>
      </c>
      <c r="F2684" s="16" t="inlineStr">
        <is>
          <t>KTS-2031</t>
        </is>
      </c>
      <c r="G2684" s="16" t="inlineStr">
        <is>
          <t>Bocina inalámbrica de 3 pulgadas con linterna multifuncional y panel solar integrado.Altavoz Portátil con Linterna LED 4 Modos, Radio FM, Bluetooth, Carga Solar, Ideal para Apagones, Emergencias, Campo y Exteriores</t>
        </is>
      </c>
      <c r="H2684" s="16" t="inlineStr">
        <is>
          <t>NEGRO</t>
        </is>
      </c>
      <c r="I2684" s="16" t="n">
        <v>1</v>
      </c>
      <c r="J2684" s="17" t="n">
        <v>85</v>
      </c>
      <c r="K2684" s="17" t="n">
        <v>94.22</v>
      </c>
      <c r="L2684" s="17" t="n">
        <v>25.86</v>
      </c>
      <c r="M2684" s="17" t="n">
        <v>0</v>
      </c>
      <c r="N2684" s="17">
        <f>K2684*0.08+L2684*0.08</f>
        <v/>
      </c>
      <c r="O2684" s="17">
        <f>-(K2684*0.025+L2684*0.025)</f>
        <v/>
      </c>
      <c r="P2684" s="17">
        <f>32</f>
        <v/>
      </c>
      <c r="Q2684" s="17">
        <f>J2684+L2684+N2684+O2684-P2684-M2684</f>
        <v/>
      </c>
    </row>
    <row r="2685">
      <c r="A2685" s="16" t="inlineStr">
        <is>
          <t>5.22-5.28</t>
        </is>
      </c>
      <c r="B2685" s="16" t="inlineStr">
        <is>
          <t>PO-128-01172976205431745</t>
        </is>
      </c>
      <c r="C2685" s="16" t="inlineStr">
        <is>
          <t>Delivered</t>
        </is>
      </c>
      <c r="D2685" s="16" t="inlineStr">
        <is>
          <t>128-01173018148471745</t>
        </is>
      </c>
      <c r="E2685" s="16" t="inlineStr">
        <is>
          <t>Delivered</t>
        </is>
      </c>
      <c r="F2685" s="16" t="inlineStr">
        <is>
          <t>KTS-1936</t>
        </is>
      </c>
      <c r="G2685" s="16" t="inlineStr">
        <is>
          <t>Espejo con Luz para Makeup，Espejo con Luz LED y Bocina Bluetooth，Espejo para Maquillaje con Aumentos y Luces LED de Intensidad Ajustable，Lente de Aumento 10X+Reproductor TF+ TWS，espejo de portátil y para estudiantes, oficina, dormitorio, mejor regalo</t>
        </is>
      </c>
      <c r="H2685" s="16" t="inlineStr">
        <is>
          <t>BLANCO</t>
        </is>
      </c>
      <c r="I2685" s="16" t="n">
        <v>1</v>
      </c>
      <c r="J2685" s="17" t="n">
        <v>201</v>
      </c>
      <c r="K2685" s="17" t="n">
        <v>185.74</v>
      </c>
      <c r="L2685" s="17" t="n">
        <v>25.86</v>
      </c>
      <c r="M2685" s="17" t="n">
        <v>0</v>
      </c>
      <c r="N2685" s="17">
        <f>K2685*0.08+L2685*0.08</f>
        <v/>
      </c>
      <c r="O2685" s="17">
        <f>-(K2685*0.025+L2685*0.025)</f>
        <v/>
      </c>
      <c r="P2685" s="17">
        <f>32</f>
        <v/>
      </c>
      <c r="Q2685" s="17">
        <f>J2685+L2685+N2685+O2685-P2685-M2685</f>
        <v/>
      </c>
    </row>
    <row r="2686">
      <c r="A2686" s="16" t="inlineStr">
        <is>
          <t>5.22-5.28</t>
        </is>
      </c>
      <c r="B2686" s="16" t="inlineStr">
        <is>
          <t>PO-128-01105794171511057</t>
        </is>
      </c>
      <c r="C2686" s="16" t="inlineStr">
        <is>
          <t>Delivered</t>
        </is>
      </c>
      <c r="D2686" s="16" t="inlineStr">
        <is>
          <t>128-01105820385911057</t>
        </is>
      </c>
      <c r="E2686" s="16" t="inlineStr">
        <is>
          <t>Delivered</t>
        </is>
      </c>
      <c r="F2686" s="16" t="inlineStr">
        <is>
          <t>LV64W25</t>
        </is>
      </c>
      <c r="G26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86" s="16" t="inlineStr">
        <is>
          <t>Blanco</t>
        </is>
      </c>
      <c r="I2686" s="16" t="n">
        <v>1</v>
      </c>
      <c r="J2686" s="17" t="n">
        <v>123.9</v>
      </c>
      <c r="K2686" s="17" t="n">
        <v>142.16</v>
      </c>
      <c r="L2686" s="17" t="n">
        <v>25.86</v>
      </c>
      <c r="M2686" s="17" t="n">
        <v>0</v>
      </c>
      <c r="N2686" s="17">
        <f>K2686*0.08+L2686*0.08</f>
        <v/>
      </c>
      <c r="O2686" s="17">
        <f>-(K2686*0.025+L2686*0.025)</f>
        <v/>
      </c>
      <c r="P2686" s="17">
        <f>32</f>
        <v/>
      </c>
      <c r="Q2686" s="17">
        <f>J2686+L2686+N2686+O2686-P2686-M2686</f>
        <v/>
      </c>
    </row>
    <row r="2687">
      <c r="A2687" s="16" t="inlineStr">
        <is>
          <t>5.22-5.28</t>
        </is>
      </c>
      <c r="B2687" s="16" t="inlineStr">
        <is>
          <t>PO-128-00981414328952887</t>
        </is>
      </c>
      <c r="C2687" s="16" t="inlineStr">
        <is>
          <t>Delivered</t>
        </is>
      </c>
      <c r="D2687" s="16" t="inlineStr">
        <is>
          <t>128-00981461514872887</t>
        </is>
      </c>
      <c r="E2687" s="16" t="inlineStr">
        <is>
          <t>Delivered</t>
        </is>
      </c>
      <c r="F2687" s="16" t="inlineStr">
        <is>
          <t>LV64W25</t>
        </is>
      </c>
      <c r="G26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687" s="16" t="inlineStr">
        <is>
          <t>Blanco</t>
        </is>
      </c>
      <c r="I2687" s="16" t="n">
        <v>2</v>
      </c>
      <c r="J2687" s="17" t="n">
        <v>247.8</v>
      </c>
      <c r="K2687" s="17" t="n">
        <v>284.32</v>
      </c>
      <c r="L2687" s="17" t="n">
        <v>0</v>
      </c>
      <c r="M2687" s="17" t="n">
        <v>0</v>
      </c>
      <c r="N2687" s="17">
        <f>K2687*0.08+L2687*0.08</f>
        <v/>
      </c>
      <c r="O2687" s="17">
        <f>-(K2687*0.025+L2687*0.025)</f>
        <v/>
      </c>
      <c r="P2687" s="17">
        <f>32</f>
        <v/>
      </c>
      <c r="Q2687" s="17">
        <f>J2687+L2687+N2687+O2687-P2687-M2687</f>
        <v/>
      </c>
    </row>
    <row r="2688">
      <c r="A2688" s="16" t="inlineStr">
        <is>
          <t>5.22-5.28</t>
        </is>
      </c>
      <c r="B2688" s="16" t="inlineStr">
        <is>
          <t>PO-128-00740425416313235</t>
        </is>
      </c>
      <c r="C2688" s="16" t="inlineStr">
        <is>
          <t>Delivered</t>
        </is>
      </c>
      <c r="D2688" s="16" t="inlineStr">
        <is>
          <t>128-00740386094713235</t>
        </is>
      </c>
      <c r="E2688" s="16" t="inlineStr">
        <is>
          <t>Delivered</t>
        </is>
      </c>
      <c r="F2688" s="16" t="inlineStr">
        <is>
          <t>LV54W25</t>
        </is>
      </c>
      <c r="G2688" s="16" t="inlineStr">
        <is>
          <t>TIANLAI Lámpara Ventilador E27 2 en 1, Silenciosa, LED Alta Luminosidad 180°, Instalación Rápida, Ahorro Energético para Dormitorio y Interiores Pequeños</t>
        </is>
      </c>
      <c r="H2688" s="16" t="inlineStr">
        <is>
          <t>1 Pieza</t>
        </is>
      </c>
      <c r="I2688" s="16" t="n">
        <v>5</v>
      </c>
      <c r="J2688" s="17" t="n">
        <v>371.5</v>
      </c>
      <c r="K2688" s="17" t="n">
        <v>368.18</v>
      </c>
      <c r="L2688" s="17" t="n">
        <v>0</v>
      </c>
      <c r="M2688" s="17" t="n">
        <v>0</v>
      </c>
      <c r="N2688" s="17">
        <f>K2688*0.08+L2688*0.08</f>
        <v/>
      </c>
      <c r="O2688" s="17">
        <f>-(K2688*0.025+L2688*0.025)</f>
        <v/>
      </c>
      <c r="P2688" s="17">
        <f>32</f>
        <v/>
      </c>
      <c r="Q2688" s="17">
        <f>J2688+L2688+N2688+O2688-P2688-M2688</f>
        <v/>
      </c>
    </row>
    <row r="2689">
      <c r="A2689" s="16" t="inlineStr">
        <is>
          <t>5.22-5.28</t>
        </is>
      </c>
      <c r="B2689" s="16" t="inlineStr">
        <is>
          <t>PO-128-00897614326392424</t>
        </is>
      </c>
      <c r="C2689" s="16" t="inlineStr">
        <is>
          <t>Delivered</t>
        </is>
      </c>
      <c r="D2689" s="16" t="inlineStr">
        <is>
          <t>128-00897719183992424</t>
        </is>
      </c>
      <c r="E2689" s="16" t="inlineStr">
        <is>
          <t>Delivered</t>
        </is>
      </c>
      <c r="F2689" s="16" t="inlineStr">
        <is>
          <t>B03W10-10PZS</t>
        </is>
      </c>
      <c r="G268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689" s="16" t="inlineStr">
        <is>
          <t>B03W10</t>
        </is>
      </c>
      <c r="I2689" s="16" t="n">
        <v>1</v>
      </c>
      <c r="J2689" s="17" t="n">
        <v>66</v>
      </c>
      <c r="K2689" s="17" t="n">
        <v>78.94</v>
      </c>
      <c r="L2689" s="17" t="n">
        <v>25.86</v>
      </c>
      <c r="M2689" s="17" t="n">
        <v>0</v>
      </c>
      <c r="N2689" s="17">
        <f>K2689*0.08+L2689*0.08</f>
        <v/>
      </c>
      <c r="O2689" s="17">
        <f>-(K2689*0.025+L2689*0.025)</f>
        <v/>
      </c>
      <c r="P2689" s="17">
        <f>32</f>
        <v/>
      </c>
      <c r="Q2689" s="17">
        <f>J2689+L2689+N2689+O2689-P2689-M2689</f>
        <v/>
      </c>
    </row>
    <row r="2690">
      <c r="A2690" s="16" t="inlineStr">
        <is>
          <t>5.22-5.28</t>
        </is>
      </c>
      <c r="B2690" s="16" t="inlineStr">
        <is>
          <t>PO-128-00754859648633085</t>
        </is>
      </c>
      <c r="C2690" s="16" t="inlineStr">
        <is>
          <t>Delivered</t>
        </is>
      </c>
      <c r="D2690" s="16" t="inlineStr">
        <is>
          <t>128-00754901591673085</t>
        </is>
      </c>
      <c r="E2690" s="16" t="inlineStr">
        <is>
          <t>Delivered</t>
        </is>
      </c>
      <c r="F2690" s="16" t="inlineStr">
        <is>
          <t>i12-V</t>
        </is>
      </c>
      <c r="G2690" s="16" t="inlineStr">
        <is>
          <t>Auriculares Inalámbricos TWS - Ideales para Usuarios Android e iPhone, Entusiastas del Deporte &amp; Música, Controles Táctiles, Audífonos Para Correr y Jugar</t>
        </is>
      </c>
      <c r="H2690" s="16" t="inlineStr">
        <is>
          <t>VERDE</t>
        </is>
      </c>
      <c r="I2690" s="16" t="n">
        <v>1</v>
      </c>
      <c r="J2690" s="17" t="n">
        <v>42</v>
      </c>
      <c r="K2690" s="17" t="n">
        <v>58.17</v>
      </c>
      <c r="L2690" s="17" t="n">
        <v>25.86</v>
      </c>
      <c r="M2690" s="17" t="n">
        <v>0</v>
      </c>
      <c r="N2690" s="17">
        <f>K2690*0.08+L2690*0.08</f>
        <v/>
      </c>
      <c r="O2690" s="17">
        <f>-(K2690*0.025+L2690*0.025)</f>
        <v/>
      </c>
      <c r="P2690" s="17">
        <f>32</f>
        <v/>
      </c>
      <c r="Q2690" s="17">
        <f>J2690+L2690+N2690+O2690-P2690-M2690</f>
        <v/>
      </c>
    </row>
    <row r="2691">
      <c r="A2691" s="16" t="inlineStr">
        <is>
          <t>5.22-5.28</t>
        </is>
      </c>
      <c r="B2691" s="16" t="inlineStr">
        <is>
          <t>PO-128-00835212068473820</t>
        </is>
      </c>
      <c r="C2691" s="16" t="inlineStr">
        <is>
          <t>Delivered</t>
        </is>
      </c>
      <c r="D2691" s="16" t="inlineStr">
        <is>
          <t>128-00835190605433820</t>
        </is>
      </c>
      <c r="E2691" s="16" t="inlineStr">
        <is>
          <t>Delivered</t>
        </is>
      </c>
      <c r="F2691" s="16" t="inlineStr">
        <is>
          <t>LV54W25</t>
        </is>
      </c>
      <c r="G2691" s="16" t="inlineStr">
        <is>
          <t>TIANLAI Lámpara Ventilador E27 2 en 1, Silenciosa, LED Alta Luminosidad 180°, Instalación Rápida, Ahorro Energético para Dormitorio y Interiores Pequeños</t>
        </is>
      </c>
      <c r="H2691" s="16" t="inlineStr">
        <is>
          <t>1 Pieza</t>
        </is>
      </c>
      <c r="I2691" s="16" t="n">
        <v>1</v>
      </c>
      <c r="J2691" s="17" t="n">
        <v>74.3</v>
      </c>
      <c r="K2691" s="17" t="n">
        <v>68.79000000000001</v>
      </c>
      <c r="L2691" s="17" t="n">
        <v>25.86</v>
      </c>
      <c r="M2691" s="17" t="n">
        <v>0</v>
      </c>
      <c r="N2691" s="17">
        <f>K2691*0.08+L2691*0.08</f>
        <v/>
      </c>
      <c r="O2691" s="17">
        <f>-(K2691*0.025+L2691*0.025)</f>
        <v/>
      </c>
      <c r="P2691" s="17">
        <f>32</f>
        <v/>
      </c>
      <c r="Q2691" s="17">
        <f>J2691+L2691+N2691+O2691-P2691-M2691</f>
        <v/>
      </c>
    </row>
    <row r="2692">
      <c r="A2692" s="16" t="inlineStr">
        <is>
          <t>5.22-5.28</t>
        </is>
      </c>
      <c r="B2692" s="16" t="inlineStr">
        <is>
          <t>PO-128-01071974743671387</t>
        </is>
      </c>
      <c r="C2692" s="16" t="inlineStr">
        <is>
          <t>Delivered</t>
        </is>
      </c>
      <c r="D2692" s="16" t="inlineStr">
        <is>
          <t>128-01072016686711387</t>
        </is>
      </c>
      <c r="E2692" s="16" t="inlineStr">
        <is>
          <t>Delivered</t>
        </is>
      </c>
      <c r="F2692" s="16" t="inlineStr">
        <is>
          <t>LV54W25</t>
        </is>
      </c>
      <c r="G2692" s="16" t="inlineStr">
        <is>
          <t>TIANLAI Lámpara Ventilador E27 2 en 1, Silenciosa, LED Alta Luminosidad 180°, Instalación Rápida, Ahorro Energético para Dormitorio y Interiores Pequeños</t>
        </is>
      </c>
      <c r="H2692" s="16" t="inlineStr">
        <is>
          <t>1 Pieza</t>
        </is>
      </c>
      <c r="I2692" s="16" t="n">
        <v>1</v>
      </c>
      <c r="J2692" s="17" t="n">
        <v>74.3</v>
      </c>
      <c r="K2692" s="17" t="n">
        <v>85.98</v>
      </c>
      <c r="L2692" s="17" t="n">
        <v>25.86</v>
      </c>
      <c r="M2692" s="17" t="n">
        <v>0</v>
      </c>
      <c r="N2692" s="17">
        <f>K2692*0.08+L2692*0.08</f>
        <v/>
      </c>
      <c r="O2692" s="17">
        <f>-(K2692*0.025+L2692*0.025)</f>
        <v/>
      </c>
      <c r="P2692" s="17">
        <f>32</f>
        <v/>
      </c>
      <c r="Q2692" s="17">
        <f>J2692+L2692+N2692+O2692-P2692-M2692</f>
        <v/>
      </c>
    </row>
    <row r="2693">
      <c r="A2693" s="16" t="inlineStr">
        <is>
          <t>5.22-5.28</t>
        </is>
      </c>
      <c r="B2693" s="16" t="inlineStr">
        <is>
          <t>PO-128-00777930609273970</t>
        </is>
      </c>
      <c r="C2693" s="16" t="inlineStr">
        <is>
          <t>Delivered</t>
        </is>
      </c>
      <c r="D2693" s="16" t="inlineStr">
        <is>
          <t>128-00777888666233970</t>
        </is>
      </c>
      <c r="E2693" s="16" t="inlineStr">
        <is>
          <t>Delivered</t>
        </is>
      </c>
      <c r="F2693" s="16" t="inlineStr">
        <is>
          <t>VA371T</t>
        </is>
      </c>
      <c r="G2693" s="16" t="inlineStr">
        <is>
          <t>Linkbits Bocina Bluetooth Portátil 3" de Alta Gama，Hi-Res Audio y Graves Potentes，Luces LED + Soporte USB/TF/FM/TWS，Ideal para Hogar y Aire Libre</t>
        </is>
      </c>
      <c r="H2693" s="16" t="inlineStr">
        <is>
          <t>VA371T</t>
        </is>
      </c>
      <c r="I2693" s="16" t="n">
        <v>1</v>
      </c>
      <c r="J2693" s="17" t="n">
        <v>41.32</v>
      </c>
      <c r="K2693" s="17" t="n">
        <v>49.68</v>
      </c>
      <c r="L2693" s="17" t="n">
        <v>9.970000000000001</v>
      </c>
      <c r="M2693" s="17" t="n">
        <v>0</v>
      </c>
      <c r="N2693" s="17">
        <f>K2693*0.08+L2693*0.08</f>
        <v/>
      </c>
      <c r="O2693" s="17">
        <f>-(K2693*0.025+L2693*0.025)</f>
        <v/>
      </c>
      <c r="P2693" s="17">
        <f>32</f>
        <v/>
      </c>
      <c r="Q2693" s="17">
        <f>J2693+L2693+N2693+O2693-P2693-M2693</f>
        <v/>
      </c>
    </row>
    <row r="2694">
      <c r="A2694" s="16" t="inlineStr">
        <is>
          <t>5.22-5.28</t>
        </is>
      </c>
      <c r="B2694" s="16" t="inlineStr">
        <is>
          <t>PO-128-00777930609273970</t>
        </is>
      </c>
      <c r="C2694" s="16" t="inlineStr">
        <is>
          <t>Delivered</t>
        </is>
      </c>
      <c r="D2694" s="16" t="inlineStr">
        <is>
          <t>128-00777846723193970</t>
        </is>
      </c>
      <c r="E2694" s="16" t="inlineStr">
        <is>
          <t>Delivered</t>
        </is>
      </c>
      <c r="F2694" s="16" t="inlineStr">
        <is>
          <t>LV54W25</t>
        </is>
      </c>
      <c r="G2694" s="16" t="inlineStr">
        <is>
          <t>TIANLAI Lámpara Ventilador E27 2 en 1, Silenciosa, LED Alta Luminosidad 180°, Instalación Rápida, Ahorro Energético para Dormitorio y Interiores Pequeños</t>
        </is>
      </c>
      <c r="H2694" s="16" t="inlineStr">
        <is>
          <t>1 Pieza</t>
        </is>
      </c>
      <c r="I2694" s="16" t="n">
        <v>1</v>
      </c>
      <c r="J2694" s="17" t="n">
        <v>74.3</v>
      </c>
      <c r="K2694" s="17" t="n">
        <v>79.11</v>
      </c>
      <c r="L2694" s="17" t="n">
        <v>15.89</v>
      </c>
      <c r="M2694" s="17" t="n">
        <v>0</v>
      </c>
      <c r="N2694" s="17">
        <f>K2694*0.08+L2694*0.08</f>
        <v/>
      </c>
      <c r="O2694" s="17">
        <f>-(K2694*0.025+L2694*0.025)</f>
        <v/>
      </c>
      <c r="P2694" s="17">
        <f>32</f>
        <v/>
      </c>
      <c r="Q2694" s="17">
        <f>J2694+L2694+N2694+O2694-P2694-M2694</f>
        <v/>
      </c>
    </row>
    <row r="2695">
      <c r="A2695" s="16" t="inlineStr">
        <is>
          <t>5.22-5.28</t>
        </is>
      </c>
      <c r="B2695" s="16" t="inlineStr">
        <is>
          <t>PO-128-00774728581753991</t>
        </is>
      </c>
      <c r="C2695" s="16" t="inlineStr">
        <is>
          <t>Delivered</t>
        </is>
      </c>
      <c r="D2695" s="16" t="inlineStr">
        <is>
          <t>128-00774749553273991</t>
        </is>
      </c>
      <c r="E2695" s="16" t="inlineStr">
        <is>
          <t>Delivered</t>
        </is>
      </c>
      <c r="F2695" s="16" t="inlineStr">
        <is>
          <t>LV54W25</t>
        </is>
      </c>
      <c r="G2695" s="16" t="inlineStr">
        <is>
          <t>TIANLAI Lámpara Ventilador E27 2 en 1, Silenciosa, LED Alta Luminosidad 180°, Instalación Rápida, Ahorro Energético para Dormitorio y Interiores Pequeños</t>
        </is>
      </c>
      <c r="H2695" s="16" t="inlineStr">
        <is>
          <t>1 Pieza</t>
        </is>
      </c>
      <c r="I2695" s="16" t="n">
        <v>1</v>
      </c>
      <c r="J2695" s="17" t="n">
        <v>74.3</v>
      </c>
      <c r="K2695" s="17" t="n">
        <v>77.39</v>
      </c>
      <c r="L2695" s="17" t="n">
        <v>25.86</v>
      </c>
      <c r="M2695" s="17" t="n">
        <v>0</v>
      </c>
      <c r="N2695" s="17">
        <f>K2695*0.08+L2695*0.08</f>
        <v/>
      </c>
      <c r="O2695" s="17">
        <f>-(K2695*0.025+L2695*0.025)</f>
        <v/>
      </c>
      <c r="P2695" s="17">
        <f>32</f>
        <v/>
      </c>
      <c r="Q2695" s="17">
        <f>J2695+L2695+N2695+O2695-P2695-M2695</f>
        <v/>
      </c>
    </row>
    <row r="2696">
      <c r="A2696" s="16" t="inlineStr">
        <is>
          <t>5.22-5.28</t>
        </is>
      </c>
      <c r="B2696" s="16" t="inlineStr">
        <is>
          <t>PO-128-00694331617913508</t>
        </is>
      </c>
      <c r="C2696" s="16" t="inlineStr">
        <is>
          <t>Delivered</t>
        </is>
      </c>
      <c r="D2696" s="16" t="inlineStr">
        <is>
          <t>128-00694326375033508</t>
        </is>
      </c>
      <c r="E2696" s="16" t="inlineStr">
        <is>
          <t>Delivered</t>
        </is>
      </c>
      <c r="F2696" s="16" t="inlineStr">
        <is>
          <t>TL2663N18C</t>
        </is>
      </c>
      <c r="G2696" s="16" t="inlineStr">
        <is>
          <t>Linkbits，Soporte de pared fijo para televisores de 26"-63", Ultra-Delgado Compatible con VESA 400x400mm, Capacidad de Peso Fuerte de 25KG, Instalación Fácil Sin Electricidad</t>
        </is>
      </c>
      <c r="H2696" s="16" t="inlineStr">
        <is>
          <t>NEGRO</t>
        </is>
      </c>
      <c r="I2696" s="16" t="n">
        <v>1</v>
      </c>
      <c r="J2696" s="17" t="n">
        <v>54</v>
      </c>
      <c r="K2696" s="17" t="n">
        <v>68.97</v>
      </c>
      <c r="L2696" s="17" t="n">
        <v>25.86</v>
      </c>
      <c r="M2696" s="17" t="n">
        <v>0</v>
      </c>
      <c r="N2696" s="17">
        <f>K2696*0.08+L2696*0.08</f>
        <v/>
      </c>
      <c r="O2696" s="17">
        <f>-(K2696*0.025+L2696*0.025)</f>
        <v/>
      </c>
      <c r="P2696" s="17">
        <f>32</f>
        <v/>
      </c>
      <c r="Q2696" s="17">
        <f>J2696+L2696+N2696+O2696-P2696-M2696</f>
        <v/>
      </c>
    </row>
    <row r="2697">
      <c r="A2697" s="16" t="inlineStr">
        <is>
          <t>5.22-5.28</t>
        </is>
      </c>
      <c r="B2697" s="16" t="inlineStr">
        <is>
          <t>PO-128-01210793370230430</t>
        </is>
      </c>
      <c r="C2697" s="16" t="inlineStr">
        <is>
          <t>Delivered</t>
        </is>
      </c>
      <c r="D2697" s="16" t="inlineStr">
        <is>
          <t>128-01210772398710430</t>
        </is>
      </c>
      <c r="E2697" s="16" t="inlineStr">
        <is>
          <t>Delivered</t>
        </is>
      </c>
      <c r="F2697" s="16" t="inlineStr">
        <is>
          <t>LV54W25</t>
        </is>
      </c>
      <c r="G2697" s="16" t="inlineStr">
        <is>
          <t>TIANLAI Lámpara Ventilador E27 2 en 1, Silenciosa, LED Alta Luminosidad 180°, Instalación Rápida, Ahorro Energético para Dormitorio y Interiores Pequeños</t>
        </is>
      </c>
      <c r="H2697" s="16" t="inlineStr">
        <is>
          <t>1 Pieza</t>
        </is>
      </c>
      <c r="I2697" s="16" t="n">
        <v>1</v>
      </c>
      <c r="J2697" s="17" t="n">
        <v>74.3</v>
      </c>
      <c r="K2697" s="17" t="n">
        <v>85.98</v>
      </c>
      <c r="L2697" s="17" t="n">
        <v>25.86</v>
      </c>
      <c r="M2697" s="17" t="n">
        <v>0</v>
      </c>
      <c r="N2697" s="17">
        <f>K2697*0.08+L2697*0.08</f>
        <v/>
      </c>
      <c r="O2697" s="17">
        <f>-(K2697*0.025+L2697*0.025)</f>
        <v/>
      </c>
      <c r="P2697" s="17">
        <f>32</f>
        <v/>
      </c>
      <c r="Q2697" s="17">
        <f>J2697+L2697+N2697+O2697-P2697-M2697</f>
        <v/>
      </c>
    </row>
    <row r="2698">
      <c r="A2698" s="16" t="inlineStr">
        <is>
          <t>5.22-5.28</t>
        </is>
      </c>
      <c r="B2698" s="16" t="inlineStr">
        <is>
          <t>PO-128-01247591455350146</t>
        </is>
      </c>
      <c r="C2698" s="16" t="inlineStr">
        <is>
          <t>Delivered</t>
        </is>
      </c>
      <c r="D2698" s="16" t="inlineStr">
        <is>
          <t>128-01247696312950146</t>
        </is>
      </c>
      <c r="E2698" s="16" t="inlineStr">
        <is>
          <t>Delivered</t>
        </is>
      </c>
      <c r="F2698" s="16" t="inlineStr">
        <is>
          <t>LV54W25</t>
        </is>
      </c>
      <c r="G2698" s="16" t="inlineStr">
        <is>
          <t>TIANLAI Lámpara Ventilador E27 2 en 1, Silenciosa, LED Alta Luminosidad 180°, Instalación Rápida, Ahorro Energético para Dormitorio y Interiores Pequeños</t>
        </is>
      </c>
      <c r="H2698" s="16" t="inlineStr">
        <is>
          <t>1 Pieza</t>
        </is>
      </c>
      <c r="I2698" s="16" t="n">
        <v>3</v>
      </c>
      <c r="J2698" s="17" t="n">
        <v>222.9</v>
      </c>
      <c r="K2698" s="17" t="n">
        <v>257.94</v>
      </c>
      <c r="L2698" s="17" t="n">
        <v>0</v>
      </c>
      <c r="M2698" s="17" t="n">
        <v>0</v>
      </c>
      <c r="N2698" s="17">
        <f>K2698*0.08+L2698*0.08</f>
        <v/>
      </c>
      <c r="O2698" s="17">
        <f>-(K2698*0.025+L2698*0.025)</f>
        <v/>
      </c>
      <c r="P2698" s="17">
        <f>32</f>
        <v/>
      </c>
      <c r="Q2698" s="17">
        <f>J2698+L2698+N2698+O2698-P2698-M2698</f>
        <v/>
      </c>
    </row>
    <row r="2699">
      <c r="A2699" s="16" t="inlineStr">
        <is>
          <t>5.22-5.28</t>
        </is>
      </c>
      <c r="B2699" s="16" t="inlineStr">
        <is>
          <t>PO-128-00868759823992468</t>
        </is>
      </c>
      <c r="C2699" s="16" t="inlineStr">
        <is>
          <t>Delivered</t>
        </is>
      </c>
      <c r="D2699" s="16" t="inlineStr">
        <is>
          <t>128-00868864681592468</t>
        </is>
      </c>
      <c r="E2699" s="16" t="inlineStr">
        <is>
          <t>Delivered</t>
        </is>
      </c>
      <c r="F2699" s="16" t="inlineStr">
        <is>
          <t>LV54W25</t>
        </is>
      </c>
      <c r="G2699" s="16" t="inlineStr">
        <is>
          <t>TIANLAI Lámpara Ventilador E27 2 en 1, Silenciosa, LED Alta Luminosidad 180°, Instalación Rápida, Ahorro Energético para Dormitorio y Interiores Pequeños</t>
        </is>
      </c>
      <c r="H2699" s="16" t="inlineStr">
        <is>
          <t>1 Pieza</t>
        </is>
      </c>
      <c r="I2699" s="16" t="n">
        <v>1</v>
      </c>
      <c r="J2699" s="17" t="n">
        <v>74.3</v>
      </c>
      <c r="K2699" s="17" t="n">
        <v>77.39</v>
      </c>
      <c r="L2699" s="17" t="n">
        <v>25.86</v>
      </c>
      <c r="M2699" s="17" t="n">
        <v>0</v>
      </c>
      <c r="N2699" s="17">
        <f>K2699*0.08+L2699*0.08</f>
        <v/>
      </c>
      <c r="O2699" s="17">
        <f>-(K2699*0.025+L2699*0.025)</f>
        <v/>
      </c>
      <c r="P2699" s="17">
        <f>32</f>
        <v/>
      </c>
      <c r="Q2699" s="17">
        <f>J2699+L2699+N2699+O2699-P2699-M2699</f>
        <v/>
      </c>
    </row>
    <row r="2700">
      <c r="A2700" s="16" t="inlineStr">
        <is>
          <t>5.22-5.28</t>
        </is>
      </c>
      <c r="B2700" s="16" t="inlineStr">
        <is>
          <t>PO-128-00794000097914066</t>
        </is>
      </c>
      <c r="C2700" s="16" t="inlineStr">
        <is>
          <t>Delivered</t>
        </is>
      </c>
      <c r="D2700" s="16" t="inlineStr">
        <is>
          <t>128-00794010583674066</t>
        </is>
      </c>
      <c r="E2700" s="16" t="inlineStr">
        <is>
          <t>Delivered</t>
        </is>
      </c>
      <c r="F2700" s="16" t="inlineStr">
        <is>
          <t>LV54W25</t>
        </is>
      </c>
      <c r="G2700" s="16" t="inlineStr">
        <is>
          <t>TIANLAI Lámpara Ventilador E27 2 en 1, Silenciosa, LED Alta Luminosidad 180°, Instalación Rápida, Ahorro Energético para Dormitorio y Interiores Pequeños</t>
        </is>
      </c>
      <c r="H2700" s="16" t="inlineStr">
        <is>
          <t>1 Pieza</t>
        </is>
      </c>
      <c r="I2700" s="16" t="n">
        <v>4</v>
      </c>
      <c r="J2700" s="17" t="n">
        <v>297.2</v>
      </c>
      <c r="K2700" s="17" t="n">
        <v>309.56</v>
      </c>
      <c r="L2700" s="17" t="n">
        <v>0</v>
      </c>
      <c r="M2700" s="17" t="n">
        <v>0</v>
      </c>
      <c r="N2700" s="17">
        <f>K2700*0.08+L2700*0.08</f>
        <v/>
      </c>
      <c r="O2700" s="17">
        <f>-(K2700*0.025+L2700*0.025)</f>
        <v/>
      </c>
      <c r="P2700" s="17">
        <f>32</f>
        <v/>
      </c>
      <c r="Q2700" s="17">
        <f>J2700+L2700+N2700+O2700-P2700-M2700</f>
        <v/>
      </c>
    </row>
    <row r="2701">
      <c r="A2701" s="16" t="inlineStr">
        <is>
          <t>5.22-5.28</t>
        </is>
      </c>
      <c r="B2701" s="16" t="inlineStr">
        <is>
          <t>PO-128-00864105088632432</t>
        </is>
      </c>
      <c r="C2701" s="16" t="inlineStr">
        <is>
          <t>Delivered</t>
        </is>
      </c>
      <c r="D2701" s="16" t="inlineStr">
        <is>
          <t>128-00864063145592432</t>
        </is>
      </c>
      <c r="E2701" s="16" t="inlineStr">
        <is>
          <t>Delivered</t>
        </is>
      </c>
      <c r="F2701" s="16" t="inlineStr">
        <is>
          <t>B03W10-10PZS</t>
        </is>
      </c>
      <c r="G270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01" s="16" t="inlineStr">
        <is>
          <t>B03W10</t>
        </is>
      </c>
      <c r="I2701" s="16" t="n">
        <v>1</v>
      </c>
      <c r="J2701" s="17" t="n">
        <v>66</v>
      </c>
      <c r="K2701" s="17" t="n">
        <v>71.05</v>
      </c>
      <c r="L2701" s="17" t="n">
        <v>25.86</v>
      </c>
      <c r="M2701" s="17" t="n">
        <v>0</v>
      </c>
      <c r="N2701" s="17">
        <f>K2701*0.08+L2701*0.08</f>
        <v/>
      </c>
      <c r="O2701" s="17">
        <f>-(K2701*0.025+L2701*0.025)</f>
        <v/>
      </c>
      <c r="P2701" s="17">
        <f>32</f>
        <v/>
      </c>
      <c r="Q2701" s="17">
        <f>J2701+L2701+N2701+O2701-P2701-M2701</f>
        <v/>
      </c>
    </row>
    <row r="2702">
      <c r="A2702" s="16" t="inlineStr">
        <is>
          <t>5.22-5.28</t>
        </is>
      </c>
      <c r="B2702" s="16" t="inlineStr">
        <is>
          <t>PO-128-00763160023673162</t>
        </is>
      </c>
      <c r="C2702" s="16" t="inlineStr">
        <is>
          <t>Delivered</t>
        </is>
      </c>
      <c r="D2702" s="16" t="inlineStr">
        <is>
          <t>128-00763118080633162</t>
        </is>
      </c>
      <c r="E2702" s="16" t="inlineStr">
        <is>
          <t>Delivered</t>
        </is>
      </c>
      <c r="F2702" s="16" t="inlineStr">
        <is>
          <t>LV64W25</t>
        </is>
      </c>
      <c r="G27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02" s="16" t="inlineStr">
        <is>
          <t>Blanco</t>
        </is>
      </c>
      <c r="I2702" s="16" t="n">
        <v>1</v>
      </c>
      <c r="J2702" s="17" t="n">
        <v>123.9</v>
      </c>
      <c r="K2702" s="17" t="n">
        <v>132.21</v>
      </c>
      <c r="L2702" s="17" t="n">
        <v>25.86</v>
      </c>
      <c r="M2702" s="17" t="n">
        <v>0</v>
      </c>
      <c r="N2702" s="17">
        <f>K2702*0.08+L2702*0.08</f>
        <v/>
      </c>
      <c r="O2702" s="17">
        <f>-(K2702*0.025+L2702*0.025)</f>
        <v/>
      </c>
      <c r="P2702" s="17">
        <f>32</f>
        <v/>
      </c>
      <c r="Q2702" s="17">
        <f>J2702+L2702+N2702+O2702-P2702-M2702</f>
        <v/>
      </c>
    </row>
    <row r="2703">
      <c r="A2703" s="16" t="inlineStr">
        <is>
          <t>5.22-5.28</t>
        </is>
      </c>
      <c r="B2703" s="16" t="inlineStr">
        <is>
          <t>PO-128-01209191859830441</t>
        </is>
      </c>
      <c r="C2703" s="16" t="inlineStr">
        <is>
          <t>Delivered</t>
        </is>
      </c>
      <c r="D2703" s="16" t="inlineStr">
        <is>
          <t>128-01209233802870441</t>
        </is>
      </c>
      <c r="E2703" s="16" t="inlineStr">
        <is>
          <t>Delivered</t>
        </is>
      </c>
      <c r="F2703" s="16" t="inlineStr">
        <is>
          <t>LV54W25</t>
        </is>
      </c>
      <c r="G2703" s="16" t="inlineStr">
        <is>
          <t>TIANLAI Lámpara Ventilador E27 2 en 1, Silenciosa, LED Alta Luminosidad 180°, Instalación Rápida, Ahorro Energético para Dormitorio y Interiores Pequeños</t>
        </is>
      </c>
      <c r="H2703" s="16" t="inlineStr">
        <is>
          <t>1 Pieza</t>
        </is>
      </c>
      <c r="I2703" s="16" t="n">
        <v>1</v>
      </c>
      <c r="J2703" s="17" t="n">
        <v>74.3</v>
      </c>
      <c r="K2703" s="17" t="n">
        <v>85.98</v>
      </c>
      <c r="L2703" s="17" t="n">
        <v>25.86</v>
      </c>
      <c r="M2703" s="17" t="n">
        <v>0</v>
      </c>
      <c r="N2703" s="17">
        <f>K2703*0.08+L2703*0.08</f>
        <v/>
      </c>
      <c r="O2703" s="17">
        <f>-(K2703*0.025+L2703*0.025)</f>
        <v/>
      </c>
      <c r="P2703" s="17">
        <f>32</f>
        <v/>
      </c>
      <c r="Q2703" s="17">
        <f>J2703+L2703+N2703+O2703-P2703-M2703</f>
        <v/>
      </c>
    </row>
    <row r="2704">
      <c r="A2704" s="16" t="inlineStr">
        <is>
          <t>5.22-5.28</t>
        </is>
      </c>
      <c r="B2704" s="16" t="inlineStr">
        <is>
          <t>PO-128-01168858424951704</t>
        </is>
      </c>
      <c r="C2704" s="16" t="inlineStr">
        <is>
          <t>Delivered</t>
        </is>
      </c>
      <c r="D2704" s="16" t="inlineStr">
        <is>
          <t>128-01168837453431704</t>
        </is>
      </c>
      <c r="E2704" s="16" t="inlineStr">
        <is>
          <t>Delivered</t>
        </is>
      </c>
      <c r="F2704" s="16" t="inlineStr">
        <is>
          <t>B03W10-10PZS</t>
        </is>
      </c>
      <c r="G270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04" s="16" t="inlineStr">
        <is>
          <t>B03W10</t>
        </is>
      </c>
      <c r="I2704" s="16" t="n">
        <v>2</v>
      </c>
      <c r="J2704" s="17" t="n">
        <v>132</v>
      </c>
      <c r="K2704" s="17" t="n">
        <v>102.78</v>
      </c>
      <c r="L2704" s="17" t="n">
        <v>0</v>
      </c>
      <c r="M2704" s="17" t="n">
        <v>0</v>
      </c>
      <c r="N2704" s="17">
        <f>K2704*0.08+L2704*0.08</f>
        <v/>
      </c>
      <c r="O2704" s="17">
        <f>-(K2704*0.025+L2704*0.025)</f>
        <v/>
      </c>
      <c r="P2704" s="17">
        <f>32</f>
        <v/>
      </c>
      <c r="Q2704" s="17">
        <f>J2704+L2704+N2704+O2704-P2704-M2704</f>
        <v/>
      </c>
    </row>
    <row r="2705">
      <c r="A2705" s="16" t="inlineStr">
        <is>
          <t>5.22-5.28</t>
        </is>
      </c>
      <c r="B2705" s="16" t="inlineStr">
        <is>
          <t>PO-128-01168858424951704</t>
        </is>
      </c>
      <c r="C2705" s="16" t="inlineStr">
        <is>
          <t>Delivered</t>
        </is>
      </c>
      <c r="D2705" s="16" t="inlineStr">
        <is>
          <t>128-01168868419191704</t>
        </is>
      </c>
      <c r="E2705" s="16" t="inlineStr">
        <is>
          <t>Delivered</t>
        </is>
      </c>
      <c r="F2705" s="16" t="inlineStr">
        <is>
          <t>LV54W25</t>
        </is>
      </c>
      <c r="G2705" s="16" t="inlineStr">
        <is>
          <t>TIANLAI Lámpara Ventilador E27 2 en 1, Silenciosa, LED Alta Luminosidad 180°, Instalación Rápida, Ahorro Energético para Dormitorio y Interiores Pequeños</t>
        </is>
      </c>
      <c r="H2705" s="16" t="inlineStr">
        <is>
          <t>1 Pieza</t>
        </is>
      </c>
      <c r="I2705" s="16" t="n">
        <v>1</v>
      </c>
      <c r="J2705" s="17" t="n">
        <v>74.3</v>
      </c>
      <c r="K2705" s="17" t="n">
        <v>55.38</v>
      </c>
      <c r="L2705" s="17" t="n">
        <v>0</v>
      </c>
      <c r="M2705" s="17" t="n">
        <v>0.2</v>
      </c>
      <c r="N2705" s="17">
        <f>K2705*0.08+L2705*0.08</f>
        <v/>
      </c>
      <c r="O2705" s="17">
        <f>-(K2705*0.025+L2705*0.025)</f>
        <v/>
      </c>
      <c r="P2705" s="17">
        <f>32</f>
        <v/>
      </c>
      <c r="Q2705" s="17">
        <f>J2705+L2705+N2705+O2705-P2705-M2705</f>
        <v/>
      </c>
    </row>
    <row r="2706">
      <c r="A2706" s="16" t="inlineStr">
        <is>
          <t>5.22-5.28</t>
        </is>
      </c>
      <c r="B2706" s="16" t="inlineStr">
        <is>
          <t>PO-128-01168858424951704</t>
        </is>
      </c>
      <c r="C2706" s="16" t="inlineStr">
        <is>
          <t>Delivered</t>
        </is>
      </c>
      <c r="D2706" s="16" t="inlineStr">
        <is>
          <t>128-01168847939191704</t>
        </is>
      </c>
      <c r="E2706" s="16" t="inlineStr">
        <is>
          <t>Delivered</t>
        </is>
      </c>
      <c r="F2706" s="16" t="inlineStr">
        <is>
          <t>VB349T</t>
        </is>
      </c>
      <c r="G2706" s="16" t="inlineStr">
        <is>
          <t>LINKBITS Altavoz Portátil de Doble Altavoz - 3 Pulgadas, Sonido HD, Emparejamiento Rápido de Bluetooth, Conectividad TWS, Reproducción Multimodo (Micro SD/USB/Radio FM) - Perfecto para Oficina, Viajes y Espacios Pequeños</t>
        </is>
      </c>
      <c r="H2706" s="16" t="inlineStr">
        <is>
          <t>NEGRO</t>
        </is>
      </c>
      <c r="I2706" s="16" t="n">
        <v>1</v>
      </c>
      <c r="J2706" s="17" t="n">
        <v>79</v>
      </c>
      <c r="K2706" s="17" t="n">
        <v>64.58</v>
      </c>
      <c r="L2706" s="17" t="n">
        <v>0</v>
      </c>
      <c r="M2706" s="17" t="n">
        <v>0</v>
      </c>
      <c r="N2706" s="17">
        <f>K2706*0.08+L2706*0.08</f>
        <v/>
      </c>
      <c r="O2706" s="17">
        <f>-(K2706*0.025+L2706*0.025)</f>
        <v/>
      </c>
      <c r="P2706" s="17">
        <f>32</f>
        <v/>
      </c>
      <c r="Q2706" s="17">
        <f>J2706+L2706+N2706+O2706-P2706-M2706</f>
        <v/>
      </c>
    </row>
    <row r="2707">
      <c r="A2707" s="16" t="inlineStr">
        <is>
          <t>5.22-5.28</t>
        </is>
      </c>
      <c r="B2707" s="16" t="inlineStr">
        <is>
          <t>PO-128-00786571479674046</t>
        </is>
      </c>
      <c r="C2707" s="16" t="inlineStr">
        <is>
          <t>Delivered</t>
        </is>
      </c>
      <c r="D2707" s="16" t="inlineStr">
        <is>
          <t>128-00786540022394046</t>
        </is>
      </c>
      <c r="E2707" s="16" t="inlineStr">
        <is>
          <t>Delivered</t>
        </is>
      </c>
      <c r="F2707" s="16" t="inlineStr">
        <is>
          <t>KTS-2031</t>
        </is>
      </c>
      <c r="G2707" s="16" t="inlineStr">
        <is>
          <t>Bocina inalámbrica de 3 pulgadas con linterna multifuncional y panel solar integrado.Altavoz Portátil con Linterna LED 4 Modos, Radio FM, Bluetooth, Carga Solar, Ideal para Apagones, Emergencias, Campo y Exteriores</t>
        </is>
      </c>
      <c r="H2707" s="16" t="inlineStr">
        <is>
          <t>NEGRO</t>
        </is>
      </c>
      <c r="I2707" s="16" t="n">
        <v>1</v>
      </c>
      <c r="J2707" s="17" t="n">
        <v>85</v>
      </c>
      <c r="K2707" s="17" t="n">
        <v>94.22</v>
      </c>
      <c r="L2707" s="17" t="n">
        <v>25.86</v>
      </c>
      <c r="M2707" s="17" t="n">
        <v>0</v>
      </c>
      <c r="N2707" s="17">
        <f>K2707*0.08+L2707*0.08</f>
        <v/>
      </c>
      <c r="O2707" s="17">
        <f>-(K2707*0.025+L2707*0.025)</f>
        <v/>
      </c>
      <c r="P2707" s="17">
        <f>32</f>
        <v/>
      </c>
      <c r="Q2707" s="17">
        <f>J2707+L2707+N2707+O2707-P2707-M2707</f>
        <v/>
      </c>
    </row>
    <row r="2708">
      <c r="A2708" s="16" t="inlineStr">
        <is>
          <t>5.22-5.28</t>
        </is>
      </c>
      <c r="B2708" s="16" t="inlineStr">
        <is>
          <t>PO-128-01267291684470031</t>
        </is>
      </c>
      <c r="C2708" s="16" t="inlineStr">
        <is>
          <t>Delivered</t>
        </is>
      </c>
      <c r="D2708" s="16" t="inlineStr">
        <is>
          <t>128-01267312655990031</t>
        </is>
      </c>
      <c r="E2708" s="16" t="inlineStr">
        <is>
          <t>Delivered</t>
        </is>
      </c>
      <c r="F2708" s="16" t="inlineStr">
        <is>
          <t>LV64W25</t>
        </is>
      </c>
      <c r="G27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08" s="16" t="inlineStr">
        <is>
          <t>Blanco</t>
        </is>
      </c>
      <c r="I2708" s="16" t="n">
        <v>2</v>
      </c>
      <c r="J2708" s="17" t="n">
        <v>247.8</v>
      </c>
      <c r="K2708" s="17" t="n">
        <v>264.42</v>
      </c>
      <c r="L2708" s="17" t="n">
        <v>0</v>
      </c>
      <c r="M2708" s="17" t="n">
        <v>0</v>
      </c>
      <c r="N2708" s="17">
        <f>K2708*0.08+L2708*0.08</f>
        <v/>
      </c>
      <c r="O2708" s="17">
        <f>-(K2708*0.025+L2708*0.025)</f>
        <v/>
      </c>
      <c r="P2708" s="17">
        <f>32</f>
        <v/>
      </c>
      <c r="Q2708" s="17">
        <f>J2708+L2708+N2708+O2708-P2708-M2708</f>
        <v/>
      </c>
    </row>
    <row r="2709">
      <c r="A2709" s="16" t="inlineStr">
        <is>
          <t>5.22-5.28</t>
        </is>
      </c>
      <c r="B2709" s="16" t="inlineStr">
        <is>
          <t>PO-128-00934358840952143</t>
        </is>
      </c>
      <c r="C2709" s="16" t="inlineStr">
        <is>
          <t>Delivered</t>
        </is>
      </c>
      <c r="D2709" s="16" t="inlineStr">
        <is>
          <t>128-00934348355192143</t>
        </is>
      </c>
      <c r="E2709" s="16" t="inlineStr">
        <is>
          <t>Delivered</t>
        </is>
      </c>
      <c r="F2709" s="16" t="inlineStr">
        <is>
          <t>LV54W25</t>
        </is>
      </c>
      <c r="G2709" s="16" t="inlineStr">
        <is>
          <t>TIANLAI Lámpara Ventilador E27 2 en 1, Silenciosa, LED Alta Luminosidad 180°, Instalación Rápida, Ahorro Energético para Dormitorio y Interiores Pequeños</t>
        </is>
      </c>
      <c r="H2709" s="16" t="inlineStr">
        <is>
          <t>1 Pieza</t>
        </is>
      </c>
      <c r="I2709" s="16" t="n">
        <v>1</v>
      </c>
      <c r="J2709" s="17" t="n">
        <v>74.3</v>
      </c>
      <c r="K2709" s="17" t="n">
        <v>85.98</v>
      </c>
      <c r="L2709" s="17" t="n">
        <v>25.86</v>
      </c>
      <c r="M2709" s="17" t="n">
        <v>0</v>
      </c>
      <c r="N2709" s="17">
        <f>K2709*0.08+L2709*0.08</f>
        <v/>
      </c>
      <c r="O2709" s="17">
        <f>-(K2709*0.025+L2709*0.025)</f>
        <v/>
      </c>
      <c r="P2709" s="17">
        <f>32</f>
        <v/>
      </c>
      <c r="Q2709" s="17">
        <f>J2709+L2709+N2709+O2709-P2709-M2709</f>
        <v/>
      </c>
    </row>
    <row r="2710">
      <c r="A2710" s="16" t="inlineStr">
        <is>
          <t>5.22-5.28</t>
        </is>
      </c>
      <c r="B2710" s="16" t="inlineStr">
        <is>
          <t>PO-128-01262441211510250</t>
        </is>
      </c>
      <c r="C2710" s="16" t="inlineStr">
        <is>
          <t>Delivered</t>
        </is>
      </c>
      <c r="D2710" s="16" t="inlineStr">
        <is>
          <t>128-01262462183030250</t>
        </is>
      </c>
      <c r="E2710" s="16" t="inlineStr">
        <is>
          <t>Delivered</t>
        </is>
      </c>
      <c r="F2710" s="16" t="inlineStr">
        <is>
          <t>LV54W25</t>
        </is>
      </c>
      <c r="G2710" s="16" t="inlineStr">
        <is>
          <t>TIANLAI Lámpara Ventilador E27 2 en 1, Silenciosa, LED Alta Luminosidad 180°, Instalación Rápida, Ahorro Energético para Dormitorio y Interiores Pequeños</t>
        </is>
      </c>
      <c r="H2710" s="16" t="inlineStr">
        <is>
          <t>1 Pieza</t>
        </is>
      </c>
      <c r="I2710" s="16" t="n">
        <v>1</v>
      </c>
      <c r="J2710" s="17" t="n">
        <v>74.3</v>
      </c>
      <c r="K2710" s="17" t="n">
        <v>77.39</v>
      </c>
      <c r="L2710" s="17" t="n">
        <v>25.86</v>
      </c>
      <c r="M2710" s="17" t="n">
        <v>0</v>
      </c>
      <c r="N2710" s="17">
        <f>K2710*0.08+L2710*0.08</f>
        <v/>
      </c>
      <c r="O2710" s="17">
        <f>-(K2710*0.025+L2710*0.025)</f>
        <v/>
      </c>
      <c r="P2710" s="17">
        <f>32</f>
        <v/>
      </c>
      <c r="Q2710" s="17">
        <f>J2710+L2710+N2710+O2710-P2710-M2710</f>
        <v/>
      </c>
    </row>
    <row r="2711">
      <c r="A2711" s="16" t="inlineStr">
        <is>
          <t>5.22-5.28</t>
        </is>
      </c>
      <c r="B2711" s="16" t="inlineStr">
        <is>
          <t>PO-128-01118052296311942</t>
        </is>
      </c>
      <c r="C2711" s="16" t="inlineStr">
        <is>
          <t>Delivered</t>
        </is>
      </c>
      <c r="D2711" s="16" t="inlineStr">
        <is>
          <t>128-01118188611191942</t>
        </is>
      </c>
      <c r="E2711" s="16" t="inlineStr">
        <is>
          <t>Delivered</t>
        </is>
      </c>
      <c r="F2711" s="16" t="inlineStr">
        <is>
          <t>TLCD02-8P-A</t>
        </is>
      </c>
      <c r="G271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711" s="16" t="inlineStr">
        <is>
          <t>AZUL/pantalla de 8.5 pulgadas</t>
        </is>
      </c>
      <c r="I2711" s="16" t="n">
        <v>3</v>
      </c>
      <c r="J2711" s="17" t="n">
        <v>72</v>
      </c>
      <c r="K2711" s="17" t="n">
        <v>68.33</v>
      </c>
      <c r="L2711" s="17" t="n">
        <v>25.86</v>
      </c>
      <c r="M2711" s="17" t="n">
        <v>0</v>
      </c>
      <c r="N2711" s="17">
        <f>K2711*0.08+L2711*0.08</f>
        <v/>
      </c>
      <c r="O2711" s="17">
        <f>-(K2711*0.025+L2711*0.025)</f>
        <v/>
      </c>
      <c r="P2711" s="17">
        <f>32</f>
        <v/>
      </c>
      <c r="Q2711" s="17">
        <f>J2711+L2711+N2711+O2711-P2711-M2711</f>
        <v/>
      </c>
    </row>
    <row r="2712">
      <c r="A2712" s="16" t="inlineStr">
        <is>
          <t>5.22-5.28</t>
        </is>
      </c>
      <c r="B2712" s="16" t="inlineStr">
        <is>
          <t>PO-128-00809626583673911</t>
        </is>
      </c>
      <c r="C2712" s="16" t="inlineStr">
        <is>
          <t>Delivered</t>
        </is>
      </c>
      <c r="D2712" s="16" t="inlineStr">
        <is>
          <t>128-00809584640633911</t>
        </is>
      </c>
      <c r="E2712" s="16" t="inlineStr">
        <is>
          <t>Delivered</t>
        </is>
      </c>
      <c r="F2712" s="16" t="inlineStr">
        <is>
          <t>LV54W25</t>
        </is>
      </c>
      <c r="G2712" s="16" t="inlineStr">
        <is>
          <t>TIANLAI Lámpara Ventilador E27 2 en 1, Silenciosa, LED Alta Luminosidad 180°, Instalación Rápida, Ahorro Energético para Dormitorio y Interiores Pequeños</t>
        </is>
      </c>
      <c r="H2712" s="16" t="inlineStr">
        <is>
          <t>1 Pieza</t>
        </is>
      </c>
      <c r="I2712" s="16" t="n">
        <v>1</v>
      </c>
      <c r="J2712" s="17" t="n">
        <v>74.3</v>
      </c>
      <c r="K2712" s="17" t="n">
        <v>77.39</v>
      </c>
      <c r="L2712" s="17" t="n">
        <v>25.86</v>
      </c>
      <c r="M2712" s="17" t="n">
        <v>0</v>
      </c>
      <c r="N2712" s="17">
        <f>K2712*0.08+L2712*0.08</f>
        <v/>
      </c>
      <c r="O2712" s="17">
        <f>-(K2712*0.025+L2712*0.025)</f>
        <v/>
      </c>
      <c r="P2712" s="17">
        <f>32</f>
        <v/>
      </c>
      <c r="Q2712" s="17">
        <f>J2712+L2712+N2712+O2712-P2712-M2712</f>
        <v/>
      </c>
    </row>
    <row r="2713">
      <c r="A2713" s="16" t="inlineStr">
        <is>
          <t>5.22-5.28</t>
        </is>
      </c>
      <c r="B2713" s="16" t="inlineStr">
        <is>
          <t>PO-128-00846156088953629</t>
        </is>
      </c>
      <c r="C2713" s="16" t="inlineStr">
        <is>
          <t>Delivered</t>
        </is>
      </c>
      <c r="D2713" s="16" t="inlineStr">
        <is>
          <t>128-00846135117433629</t>
        </is>
      </c>
      <c r="E2713" s="16" t="inlineStr">
        <is>
          <t>Delivered</t>
        </is>
      </c>
      <c r="F2713" s="16" t="inlineStr">
        <is>
          <t>LV54W25</t>
        </is>
      </c>
      <c r="G2713" s="16" t="inlineStr">
        <is>
          <t>TIANLAI Lámpara Ventilador E27 2 en 1, Silenciosa, LED Alta Luminosidad 180°, Instalación Rápida, Ahorro Energético para Dormitorio y Interiores Pequeños</t>
        </is>
      </c>
      <c r="H2713" s="16" t="inlineStr">
        <is>
          <t>1 Pieza</t>
        </is>
      </c>
      <c r="I2713" s="16" t="n">
        <v>1</v>
      </c>
      <c r="J2713" s="17" t="n">
        <v>74.3</v>
      </c>
      <c r="K2713" s="17" t="n">
        <v>79.11</v>
      </c>
      <c r="L2713" s="17" t="n">
        <v>25.86</v>
      </c>
      <c r="M2713" s="17" t="n">
        <v>0</v>
      </c>
      <c r="N2713" s="17">
        <f>K2713*0.08+L2713*0.08</f>
        <v/>
      </c>
      <c r="O2713" s="17">
        <f>-(K2713*0.025+L2713*0.025)</f>
        <v/>
      </c>
      <c r="P2713" s="17">
        <f>32</f>
        <v/>
      </c>
      <c r="Q2713" s="17">
        <f>J2713+L2713+N2713+O2713-P2713-M2713</f>
        <v/>
      </c>
    </row>
    <row r="2714">
      <c r="A2714" s="16" t="inlineStr">
        <is>
          <t>5.22-5.28</t>
        </is>
      </c>
      <c r="B2714" s="16" t="inlineStr">
        <is>
          <t>PO-128-01349686687350754</t>
        </is>
      </c>
      <c r="C2714" s="16" t="inlineStr">
        <is>
          <t>Delivered</t>
        </is>
      </c>
      <c r="D2714" s="16" t="inlineStr">
        <is>
          <t>128-01349644744310754</t>
        </is>
      </c>
      <c r="E2714" s="16" t="inlineStr">
        <is>
          <t>Delivered</t>
        </is>
      </c>
      <c r="F2714" s="16" t="inlineStr">
        <is>
          <t>KTS-2031</t>
        </is>
      </c>
      <c r="G2714" s="16" t="inlineStr">
        <is>
          <t>Bocina inalámbrica de 3 pulgadas con linterna multifuncional y panel solar integrado.Altavoz Portátil con Linterna LED 4 Modos, Radio FM, Bluetooth, Carga Solar, Ideal para Apagones, Emergencias, Campo y Exteriores</t>
        </is>
      </c>
      <c r="H2714" s="16" t="inlineStr">
        <is>
          <t>NEGRO</t>
        </is>
      </c>
      <c r="I2714" s="16" t="n">
        <v>1</v>
      </c>
      <c r="J2714" s="17" t="n">
        <v>85</v>
      </c>
      <c r="K2714" s="17" t="n">
        <v>94.22</v>
      </c>
      <c r="L2714" s="17" t="n">
        <v>25.86</v>
      </c>
      <c r="M2714" s="17" t="n">
        <v>0</v>
      </c>
      <c r="N2714" s="17">
        <f>K2714*0.08+L2714*0.08</f>
        <v/>
      </c>
      <c r="O2714" s="17">
        <f>-(K2714*0.025+L2714*0.025)</f>
        <v/>
      </c>
      <c r="P2714" s="17">
        <f>32</f>
        <v/>
      </c>
      <c r="Q2714" s="17">
        <f>J2714+L2714+N2714+O2714-P2714-M2714</f>
        <v/>
      </c>
    </row>
    <row r="2715">
      <c r="A2715" s="16" t="inlineStr">
        <is>
          <t>5.22-5.28</t>
        </is>
      </c>
      <c r="B2715" s="16" t="inlineStr">
        <is>
          <t>PO-128-01057139144311283</t>
        </is>
      </c>
      <c r="C2715" s="16" t="inlineStr">
        <is>
          <t>Delivered</t>
        </is>
      </c>
      <c r="D2715" s="16" t="inlineStr">
        <is>
          <t>128-01057291187831283</t>
        </is>
      </c>
      <c r="E2715" s="16" t="inlineStr">
        <is>
          <t>Delivered</t>
        </is>
      </c>
      <c r="F2715" s="16" t="inlineStr">
        <is>
          <t>LV54W25</t>
        </is>
      </c>
      <c r="G2715" s="16" t="inlineStr">
        <is>
          <t>TIANLAI Lámpara Ventilador E27 2 en 1, Silenciosa, LED Alta Luminosidad 180°, Instalación Rápida, Ahorro Energético para Dormitorio y Interiores Pequeños</t>
        </is>
      </c>
      <c r="H2715" s="16" t="inlineStr">
        <is>
          <t>1 Pieza</t>
        </is>
      </c>
      <c r="I2715" s="16" t="n">
        <v>2</v>
      </c>
      <c r="J2715" s="17" t="n">
        <v>148.6</v>
      </c>
      <c r="K2715" s="17" t="n">
        <v>123.84</v>
      </c>
      <c r="L2715" s="17" t="n">
        <v>25.86</v>
      </c>
      <c r="M2715" s="17" t="n">
        <v>0</v>
      </c>
      <c r="N2715" s="17">
        <f>K2715*0.08+L2715*0.08</f>
        <v/>
      </c>
      <c r="O2715" s="17">
        <f>-(K2715*0.025+L2715*0.025)</f>
        <v/>
      </c>
      <c r="P2715" s="17">
        <f>32</f>
        <v/>
      </c>
      <c r="Q2715" s="17">
        <f>J2715+L2715+N2715+O2715-P2715-M2715</f>
        <v/>
      </c>
    </row>
    <row r="2716">
      <c r="A2716" s="16" t="inlineStr">
        <is>
          <t>5.22-5.28</t>
        </is>
      </c>
      <c r="B2716" s="16" t="inlineStr">
        <is>
          <t>PO-128-00688292690553480</t>
        </is>
      </c>
      <c r="C2716" s="16" t="inlineStr">
        <is>
          <t>Delivered</t>
        </is>
      </c>
      <c r="D2716" s="16" t="inlineStr">
        <is>
          <t>128-00688360847993480</t>
        </is>
      </c>
      <c r="E2716" s="16" t="inlineStr">
        <is>
          <t>Delivered</t>
        </is>
      </c>
      <c r="F2716" s="16" t="inlineStr">
        <is>
          <t>KTS-2031</t>
        </is>
      </c>
      <c r="G2716" s="16" t="inlineStr">
        <is>
          <t>Bocina inalámbrica de 3 pulgadas con linterna multifuncional y panel solar integrado.Altavoz Portátil con Linterna LED 4 Modos, Radio FM, Bluetooth, Carga Solar, Ideal para Apagones, Emergencias, Campo y Exteriores</t>
        </is>
      </c>
      <c r="H2716" s="16" t="inlineStr">
        <is>
          <t>NEGRO</t>
        </is>
      </c>
      <c r="I2716" s="16" t="n">
        <v>1</v>
      </c>
      <c r="J2716" s="17" t="n">
        <v>85</v>
      </c>
      <c r="K2716" s="17" t="n">
        <v>51.12</v>
      </c>
      <c r="L2716" s="17" t="n">
        <v>25.86</v>
      </c>
      <c r="M2716" s="17" t="n">
        <v>0</v>
      </c>
      <c r="N2716" s="17">
        <f>K2716*0.08+L2716*0.08</f>
        <v/>
      </c>
      <c r="O2716" s="17">
        <f>-(K2716*0.025+L2716*0.025)</f>
        <v/>
      </c>
      <c r="P2716" s="17">
        <f>32</f>
        <v/>
      </c>
      <c r="Q2716" s="17">
        <f>J2716+L2716+N2716+O2716-P2716-M2716</f>
        <v/>
      </c>
    </row>
    <row r="2717">
      <c r="A2717" s="16" t="inlineStr">
        <is>
          <t>5.22-5.28</t>
        </is>
      </c>
      <c r="B2717" s="16" t="inlineStr">
        <is>
          <t>PO-128-01360175626870565</t>
        </is>
      </c>
      <c r="C2717" s="16" t="inlineStr">
        <is>
          <t>Delivered</t>
        </is>
      </c>
      <c r="D2717" s="16" t="inlineStr">
        <is>
          <t>128-01360217569910565</t>
        </is>
      </c>
      <c r="E2717" s="16" t="inlineStr">
        <is>
          <t>Delivered</t>
        </is>
      </c>
      <c r="F2717" s="16" t="inlineStr">
        <is>
          <t>LV54W25</t>
        </is>
      </c>
      <c r="G2717" s="16" t="inlineStr">
        <is>
          <t>TIANLAI Lámpara Ventilador E27 2 en 1, Silenciosa, LED Alta Luminosidad 180°, Instalación Rápida, Ahorro Energético para Dormitorio y Interiores Pequeños</t>
        </is>
      </c>
      <c r="H2717" s="16" t="inlineStr">
        <is>
          <t>1 Pieza</t>
        </is>
      </c>
      <c r="I2717" s="16" t="n">
        <v>1</v>
      </c>
      <c r="J2717" s="17" t="n">
        <v>74.3</v>
      </c>
      <c r="K2717" s="17" t="n">
        <v>77.39</v>
      </c>
      <c r="L2717" s="17" t="n">
        <v>25.86</v>
      </c>
      <c r="M2717" s="17" t="n">
        <v>0</v>
      </c>
      <c r="N2717" s="17">
        <f>K2717*0.08+L2717*0.08</f>
        <v/>
      </c>
      <c r="O2717" s="17">
        <f>-(K2717*0.025+L2717*0.025)</f>
        <v/>
      </c>
      <c r="P2717" s="17">
        <f>32</f>
        <v/>
      </c>
      <c r="Q2717" s="17">
        <f>J2717+L2717+N2717+O2717-P2717-M2717</f>
        <v/>
      </c>
    </row>
    <row r="2718">
      <c r="A2718" s="16" t="inlineStr">
        <is>
          <t>5.22-5.28</t>
        </is>
      </c>
      <c r="B2718" s="16" t="inlineStr">
        <is>
          <t>PO-128-01025228780152624</t>
        </is>
      </c>
      <c r="C2718" s="16" t="inlineStr">
        <is>
          <t>Delivered</t>
        </is>
      </c>
      <c r="D2718" s="16" t="inlineStr">
        <is>
          <t>128-01025252373112624</t>
        </is>
      </c>
      <c r="E2718" s="16" t="inlineStr">
        <is>
          <t>Delivered</t>
        </is>
      </c>
      <c r="F2718" s="16" t="inlineStr">
        <is>
          <t>LV54W25</t>
        </is>
      </c>
      <c r="G2718" s="16" t="inlineStr">
        <is>
          <t>TIANLAI Lámpara Ventilador E27 2 en 1, Silenciosa, LED Alta Luminosidad 180°, Instalación Rápida, Ahorro Energético para Dormitorio y Interiores Pequeños</t>
        </is>
      </c>
      <c r="H2718" s="16" t="inlineStr">
        <is>
          <t>1 Pieza</t>
        </is>
      </c>
      <c r="I2718" s="16" t="n">
        <v>1</v>
      </c>
      <c r="J2718" s="17" t="n">
        <v>74.3</v>
      </c>
      <c r="K2718" s="17" t="n">
        <v>77.39</v>
      </c>
      <c r="L2718" s="17" t="n">
        <v>25.86</v>
      </c>
      <c r="M2718" s="17" t="n">
        <v>0</v>
      </c>
      <c r="N2718" s="17">
        <f>K2718*0.08+L2718*0.08</f>
        <v/>
      </c>
      <c r="O2718" s="17">
        <f>-(K2718*0.025+L2718*0.025)</f>
        <v/>
      </c>
      <c r="P2718" s="17">
        <f>32</f>
        <v/>
      </c>
      <c r="Q2718" s="17">
        <f>J2718+L2718+N2718+O2718-P2718-M2718</f>
        <v/>
      </c>
    </row>
    <row r="2719">
      <c r="A2719" s="16" t="inlineStr">
        <is>
          <t>5.22-5.28</t>
        </is>
      </c>
      <c r="B2719" s="16" t="inlineStr">
        <is>
          <t>PO-128-00794433459834065</t>
        </is>
      </c>
      <c r="C2719" s="16" t="inlineStr">
        <is>
          <t>Delivered</t>
        </is>
      </c>
      <c r="D2719" s="16" t="inlineStr">
        <is>
          <t>128-00794538317434065</t>
        </is>
      </c>
      <c r="E2719" s="16" t="inlineStr">
        <is>
          <t>Delivered</t>
        </is>
      </c>
      <c r="F2719" s="16" t="inlineStr">
        <is>
          <t>LV54W25</t>
        </is>
      </c>
      <c r="G2719" s="16" t="inlineStr">
        <is>
          <t>TIANLAI Lámpara Ventilador E27 2 en 1, Silenciosa, LED Alta Luminosidad 180°, Instalación Rápida, Ahorro Energético para Dormitorio y Interiores Pequeños</t>
        </is>
      </c>
      <c r="H2719" s="16" t="inlineStr">
        <is>
          <t>1 Pieza</t>
        </is>
      </c>
      <c r="I2719" s="16" t="n">
        <v>1</v>
      </c>
      <c r="J2719" s="17" t="n">
        <v>74.3</v>
      </c>
      <c r="K2719" s="17" t="n">
        <v>77.39</v>
      </c>
      <c r="L2719" s="17" t="n">
        <v>25.86</v>
      </c>
      <c r="M2719" s="17" t="n">
        <v>0</v>
      </c>
      <c r="N2719" s="17">
        <f>K2719*0.08+L2719*0.08</f>
        <v/>
      </c>
      <c r="O2719" s="17">
        <f>-(K2719*0.025+L2719*0.025)</f>
        <v/>
      </c>
      <c r="P2719" s="17">
        <f>32</f>
        <v/>
      </c>
      <c r="Q2719" s="17">
        <f>J2719+L2719+N2719+O2719-P2719-M2719</f>
        <v/>
      </c>
    </row>
    <row r="2720">
      <c r="A2720" s="16" t="inlineStr">
        <is>
          <t>5.22-5.28</t>
        </is>
      </c>
      <c r="B2720" s="16" t="inlineStr">
        <is>
          <t>PO-128-01136055895672029</t>
        </is>
      </c>
      <c r="C2720" s="16" t="inlineStr">
        <is>
          <t>Delivered</t>
        </is>
      </c>
      <c r="D2720" s="16" t="inlineStr">
        <is>
          <t>128-01136097838712029</t>
        </is>
      </c>
      <c r="E2720" s="16" t="inlineStr">
        <is>
          <t>Delivered</t>
        </is>
      </c>
      <c r="F2720" s="16" t="inlineStr">
        <is>
          <t>LV64W25</t>
        </is>
      </c>
      <c r="G27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20" s="16" t="inlineStr">
        <is>
          <t>Blanco</t>
        </is>
      </c>
      <c r="I2720" s="16" t="n">
        <v>1</v>
      </c>
      <c r="J2720" s="17" t="n">
        <v>123.9</v>
      </c>
      <c r="K2720" s="17" t="n">
        <v>99.51000000000001</v>
      </c>
      <c r="L2720" s="17" t="n">
        <v>25.86</v>
      </c>
      <c r="M2720" s="17" t="n">
        <v>0</v>
      </c>
      <c r="N2720" s="17">
        <f>K2720*0.08+L2720*0.08</f>
        <v/>
      </c>
      <c r="O2720" s="17">
        <f>-(K2720*0.025+L2720*0.025)</f>
        <v/>
      </c>
      <c r="P2720" s="17">
        <f>32</f>
        <v/>
      </c>
      <c r="Q2720" s="17">
        <f>J2720+L2720+N2720+O2720-P2720-M2720</f>
        <v/>
      </c>
    </row>
    <row r="2721">
      <c r="A2721" s="16" t="inlineStr">
        <is>
          <t>5.22-5.28</t>
        </is>
      </c>
      <c r="B2721" s="16" t="inlineStr">
        <is>
          <t>PO-128-01248094070390145</t>
        </is>
      </c>
      <c r="C2721" s="16" t="inlineStr">
        <is>
          <t>Delivered</t>
        </is>
      </c>
      <c r="D2721" s="16" t="inlineStr">
        <is>
          <t>128-01248083584630145</t>
        </is>
      </c>
      <c r="E2721" s="16" t="inlineStr">
        <is>
          <t>Delivered</t>
        </is>
      </c>
      <c r="F2721" s="16" t="inlineStr">
        <is>
          <t>KTS-2031</t>
        </is>
      </c>
      <c r="G2721" s="16" t="inlineStr">
        <is>
          <t>Bocina inalámbrica de 3 pulgadas con linterna multifuncional y panel solar integrado.Altavoz Portátil con Linterna LED 4 Modos, Radio FM, Bluetooth, Carga Solar, Ideal para Apagones, Emergencias, Campo y Exteriores</t>
        </is>
      </c>
      <c r="H2721" s="16" t="inlineStr">
        <is>
          <t>NEGRO</t>
        </is>
      </c>
      <c r="I2721" s="16" t="n">
        <v>1</v>
      </c>
      <c r="J2721" s="17" t="n">
        <v>85</v>
      </c>
      <c r="K2721" s="17" t="n">
        <v>94.22</v>
      </c>
      <c r="L2721" s="17" t="n">
        <v>25.86</v>
      </c>
      <c r="M2721" s="17" t="n">
        <v>0</v>
      </c>
      <c r="N2721" s="17">
        <f>K2721*0.08+L2721*0.08</f>
        <v/>
      </c>
      <c r="O2721" s="17">
        <f>-(K2721*0.025+L2721*0.025)</f>
        <v/>
      </c>
      <c r="P2721" s="17">
        <f>32</f>
        <v/>
      </c>
      <c r="Q2721" s="17">
        <f>J2721+L2721+N2721+O2721-P2721-M2721</f>
        <v/>
      </c>
    </row>
    <row r="2722">
      <c r="A2722" s="16" t="inlineStr">
        <is>
          <t>5.22-5.28</t>
        </is>
      </c>
      <c r="B2722" s="16" t="inlineStr">
        <is>
          <t>PO-128-01052624026231308</t>
        </is>
      </c>
      <c r="C2722" s="16" t="inlineStr">
        <is>
          <t>Delivered</t>
        </is>
      </c>
      <c r="D2722" s="16" t="inlineStr">
        <is>
          <t>128-01052638771831308</t>
        </is>
      </c>
      <c r="E2722" s="16" t="inlineStr">
        <is>
          <t>Delivered</t>
        </is>
      </c>
      <c r="F2722" s="16" t="inlineStr">
        <is>
          <t>LV54W25</t>
        </is>
      </c>
      <c r="G2722" s="16" t="inlineStr">
        <is>
          <t>TIANLAI Lámpara Ventilador E27 2 en 1, Silenciosa, LED Alta Luminosidad 180°, Instalación Rápida, Ahorro Energético para Dormitorio y Interiores Pequeños</t>
        </is>
      </c>
      <c r="H2722" s="16" t="inlineStr">
        <is>
          <t>1 Pieza</t>
        </is>
      </c>
      <c r="I2722" s="16" t="n">
        <v>2</v>
      </c>
      <c r="J2722" s="17" t="n">
        <v>148.6</v>
      </c>
      <c r="K2722" s="17" t="n">
        <v>158.22</v>
      </c>
      <c r="L2722" s="17" t="n">
        <v>25.86</v>
      </c>
      <c r="M2722" s="17" t="n">
        <v>0</v>
      </c>
      <c r="N2722" s="17">
        <f>K2722*0.08+L2722*0.08</f>
        <v/>
      </c>
      <c r="O2722" s="17">
        <f>-(K2722*0.025+L2722*0.025)</f>
        <v/>
      </c>
      <c r="P2722" s="17">
        <f>32</f>
        <v/>
      </c>
      <c r="Q2722" s="17">
        <f>J2722+L2722+N2722+O2722-P2722-M2722</f>
        <v/>
      </c>
    </row>
    <row r="2723">
      <c r="A2723" s="16" t="inlineStr">
        <is>
          <t>5.22-5.28</t>
        </is>
      </c>
      <c r="B2723" s="16" t="inlineStr">
        <is>
          <t>PO-128-00750855670393301</t>
        </is>
      </c>
      <c r="C2723" s="16" t="inlineStr">
        <is>
          <t>Delivered</t>
        </is>
      </c>
      <c r="D2723" s="16" t="inlineStr">
        <is>
          <t>128-00750803241593301</t>
        </is>
      </c>
      <c r="E2723" s="16" t="inlineStr">
        <is>
          <t>Delivered</t>
        </is>
      </c>
      <c r="F2723" s="16" t="inlineStr">
        <is>
          <t>KTS-2031</t>
        </is>
      </c>
      <c r="G2723" s="16" t="inlineStr">
        <is>
          <t>Bocina inalámbrica de 3 pulgadas con linterna multifuncional y panel solar integrado.Altavoz Portátil con Linterna LED 4 Modos, Radio FM, Bluetooth, Carga Solar, Ideal para Apagones, Emergencias, Campo y Exteriores</t>
        </is>
      </c>
      <c r="H2723" s="16" t="inlineStr">
        <is>
          <t>NEGRO</t>
        </is>
      </c>
      <c r="I2723" s="16" t="n">
        <v>1</v>
      </c>
      <c r="J2723" s="17" t="n">
        <v>85</v>
      </c>
      <c r="K2723" s="17" t="n">
        <v>94.22</v>
      </c>
      <c r="L2723" s="17" t="n">
        <v>25.86</v>
      </c>
      <c r="M2723" s="17" t="n">
        <v>0</v>
      </c>
      <c r="N2723" s="17">
        <f>K2723*0.08+L2723*0.08</f>
        <v/>
      </c>
      <c r="O2723" s="17">
        <f>-(K2723*0.025+L2723*0.025)</f>
        <v/>
      </c>
      <c r="P2723" s="17">
        <f>32</f>
        <v/>
      </c>
      <c r="Q2723" s="17">
        <f>J2723+L2723+N2723+O2723-P2723-M2723</f>
        <v/>
      </c>
    </row>
    <row r="2724">
      <c r="A2724" s="16" t="inlineStr">
        <is>
          <t>5.22-5.28</t>
        </is>
      </c>
      <c r="B2724" s="16" t="inlineStr">
        <is>
          <t>PO-128-01020982047352651</t>
        </is>
      </c>
      <c r="C2724" s="16" t="inlineStr">
        <is>
          <t>Delivered</t>
        </is>
      </c>
      <c r="D2724" s="16" t="inlineStr">
        <is>
          <t>128-01021058069112651</t>
        </is>
      </c>
      <c r="E2724" s="16" t="inlineStr">
        <is>
          <t>Delivered</t>
        </is>
      </c>
      <c r="F2724" s="16" t="inlineStr">
        <is>
          <t>LV64W25</t>
        </is>
      </c>
      <c r="G27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24" s="16" t="inlineStr">
        <is>
          <t>Blanco</t>
        </is>
      </c>
      <c r="I2724" s="16" t="n">
        <v>2</v>
      </c>
      <c r="J2724" s="17" t="n">
        <v>247.8</v>
      </c>
      <c r="K2724" s="17" t="n">
        <v>241.22</v>
      </c>
      <c r="L2724" s="17" t="n">
        <v>0</v>
      </c>
      <c r="M2724" s="17" t="n">
        <v>0</v>
      </c>
      <c r="N2724" s="17">
        <f>K2724*0.08+L2724*0.08</f>
        <v/>
      </c>
      <c r="O2724" s="17">
        <f>-(K2724*0.025+L2724*0.025)</f>
        <v/>
      </c>
      <c r="P2724" s="17">
        <f>32</f>
        <v/>
      </c>
      <c r="Q2724" s="17">
        <f>J2724+L2724+N2724+O2724-P2724-M2724</f>
        <v/>
      </c>
    </row>
    <row r="2725">
      <c r="A2725" s="16" t="inlineStr">
        <is>
          <t>5.22-5.28</t>
        </is>
      </c>
      <c r="B2725" s="16" t="inlineStr">
        <is>
          <t>PO-128-01233291525750296</t>
        </is>
      </c>
      <c r="C2725" s="16" t="inlineStr">
        <is>
          <t>Delivered</t>
        </is>
      </c>
      <c r="D2725" s="16" t="inlineStr">
        <is>
          <t>128-01233249582710296</t>
        </is>
      </c>
      <c r="E2725" s="16" t="inlineStr">
        <is>
          <t>Delivered</t>
        </is>
      </c>
      <c r="F2725" s="16" t="inlineStr">
        <is>
          <t>BG-115-B</t>
        </is>
      </c>
      <c r="G2725" s="16" t="inlineStr">
        <is>
          <t>LINK BITS Audífonos Inalámbricos con Luces Multicolor, Recargables y en Adorable Forma de Orejas de Gato - Conecta a Celulares y PCs, Tiene Radio FM, Tarjeta TF y AUX - 7 Horas de Reproducción, Plegables y Perfectos para Trabajo, Juegos y Estudio</t>
        </is>
      </c>
      <c r="H2725" s="16" t="inlineStr">
        <is>
          <t>blanco</t>
        </is>
      </c>
      <c r="I2725" s="16" t="n">
        <v>1</v>
      </c>
      <c r="J2725" s="17" t="n">
        <v>74.25</v>
      </c>
      <c r="K2725" s="17" t="n">
        <v>84.97</v>
      </c>
      <c r="L2725" s="17" t="n">
        <v>25.86</v>
      </c>
      <c r="M2725" s="17" t="n">
        <v>0</v>
      </c>
      <c r="N2725" s="17">
        <f>K2725*0.08+L2725*0.08</f>
        <v/>
      </c>
      <c r="O2725" s="17">
        <f>-(K2725*0.025+L2725*0.025)</f>
        <v/>
      </c>
      <c r="P2725" s="17">
        <f>32</f>
        <v/>
      </c>
      <c r="Q2725" s="17">
        <f>J2725+L2725+N2725+O2725-P2725-M2725</f>
        <v/>
      </c>
    </row>
    <row r="2726">
      <c r="A2726" s="16" t="inlineStr">
        <is>
          <t>5.22-5.28</t>
        </is>
      </c>
      <c r="B2726" s="16" t="inlineStr">
        <is>
          <t>PO-128-01339810309750687</t>
        </is>
      </c>
      <c r="C2726" s="16" t="inlineStr">
        <is>
          <t>Delivered</t>
        </is>
      </c>
      <c r="D2726" s="16" t="inlineStr">
        <is>
          <t>128-01339789338230687</t>
        </is>
      </c>
      <c r="E2726" s="16" t="inlineStr">
        <is>
          <t>Delivered</t>
        </is>
      </c>
      <c r="F2726" s="16" t="inlineStr">
        <is>
          <t>LV54W25</t>
        </is>
      </c>
      <c r="G2726" s="16" t="inlineStr">
        <is>
          <t>TIANLAI Lámpara Ventilador E27 2 en 1, Silenciosa, LED Alta Luminosidad 180°, Instalación Rápida, Ahorro Energético para Dormitorio y Interiores Pequeños</t>
        </is>
      </c>
      <c r="H2726" s="16" t="inlineStr">
        <is>
          <t>1 Pieza</t>
        </is>
      </c>
      <c r="I2726" s="16" t="n">
        <v>1</v>
      </c>
      <c r="J2726" s="17" t="n">
        <v>74.3</v>
      </c>
      <c r="K2726" s="17" t="n">
        <v>77.39</v>
      </c>
      <c r="L2726" s="17" t="n">
        <v>25.86</v>
      </c>
      <c r="M2726" s="17" t="n">
        <v>0</v>
      </c>
      <c r="N2726" s="17">
        <f>K2726*0.08+L2726*0.08</f>
        <v/>
      </c>
      <c r="O2726" s="17">
        <f>-(K2726*0.025+L2726*0.025)</f>
        <v/>
      </c>
      <c r="P2726" s="17">
        <f>32</f>
        <v/>
      </c>
      <c r="Q2726" s="17">
        <f>J2726+L2726+N2726+O2726-P2726-M2726</f>
        <v/>
      </c>
    </row>
    <row r="2727">
      <c r="A2727" s="16" t="inlineStr">
        <is>
          <t>5.22-5.28</t>
        </is>
      </c>
      <c r="B2727" s="16" t="inlineStr">
        <is>
          <t>PO-128-00732015048313221</t>
        </is>
      </c>
      <c r="C2727" s="16" t="inlineStr">
        <is>
          <t>Delivered</t>
        </is>
      </c>
      <c r="D2727" s="16" t="inlineStr">
        <is>
          <t>128-00732036019833221</t>
        </is>
      </c>
      <c r="E2727" s="16" t="inlineStr">
        <is>
          <t>Delivered</t>
        </is>
      </c>
      <c r="F2727" s="16" t="inlineStr">
        <is>
          <t>LV54W25</t>
        </is>
      </c>
      <c r="G2727" s="16" t="inlineStr">
        <is>
          <t>TIANLAI Lámpara Ventilador E27 2 en 1, Silenciosa, LED Alta Luminosidad 180°, Instalación Rápida, Ahorro Energético para Dormitorio y Interiores Pequeños</t>
        </is>
      </c>
      <c r="H2727" s="16" t="inlineStr">
        <is>
          <t>1 Pieza</t>
        </is>
      </c>
      <c r="I2727" s="16" t="n">
        <v>1</v>
      </c>
      <c r="J2727" s="17" t="n">
        <v>74.3</v>
      </c>
      <c r="K2727" s="17" t="n">
        <v>66.52</v>
      </c>
      <c r="L2727" s="17" t="n">
        <v>25.86</v>
      </c>
      <c r="M2727" s="17" t="n">
        <v>0</v>
      </c>
      <c r="N2727" s="17">
        <f>K2727*0.08+L2727*0.08</f>
        <v/>
      </c>
      <c r="O2727" s="17">
        <f>-(K2727*0.025+L2727*0.025)</f>
        <v/>
      </c>
      <c r="P2727" s="17">
        <f>32</f>
        <v/>
      </c>
      <c r="Q2727" s="17">
        <f>J2727+L2727+N2727+O2727-P2727-M2727</f>
        <v/>
      </c>
    </row>
    <row r="2728">
      <c r="A2728" s="16" t="inlineStr">
        <is>
          <t>5.22-5.28</t>
        </is>
      </c>
      <c r="B2728" s="16" t="inlineStr">
        <is>
          <t>PO-128-01134437105272039</t>
        </is>
      </c>
      <c r="C2728" s="16" t="inlineStr">
        <is>
          <t>Delivered</t>
        </is>
      </c>
      <c r="D2728" s="16" t="inlineStr">
        <is>
          <t>128-01134395162232039</t>
        </is>
      </c>
      <c r="E2728" s="16" t="inlineStr">
        <is>
          <t>Delivered</t>
        </is>
      </c>
      <c r="F2728" s="16" t="inlineStr">
        <is>
          <t>LV54W25</t>
        </is>
      </c>
      <c r="G2728" s="16" t="inlineStr">
        <is>
          <t>TIANLAI Lámpara Ventilador E27 2 en 1, Silenciosa, LED Alta Luminosidad 180°, Instalación Rápida, Ahorro Energético para Dormitorio y Interiores Pequeños</t>
        </is>
      </c>
      <c r="H2728" s="16" t="inlineStr">
        <is>
          <t>1 Pieza</t>
        </is>
      </c>
      <c r="I2728" s="16" t="n">
        <v>3</v>
      </c>
      <c r="J2728" s="17" t="n">
        <v>222.9</v>
      </c>
      <c r="K2728" s="17" t="n">
        <v>257.94</v>
      </c>
      <c r="L2728" s="17" t="n">
        <v>0</v>
      </c>
      <c r="M2728" s="17" t="n">
        <v>0</v>
      </c>
      <c r="N2728" s="17">
        <f>K2728*0.08+L2728*0.08</f>
        <v/>
      </c>
      <c r="O2728" s="17">
        <f>-(K2728*0.025+L2728*0.025)</f>
        <v/>
      </c>
      <c r="P2728" s="17">
        <f>32</f>
        <v/>
      </c>
      <c r="Q2728" s="17">
        <f>J2728+L2728+N2728+O2728-P2728-M2728</f>
        <v/>
      </c>
    </row>
    <row r="2729">
      <c r="A2729" s="16" t="inlineStr">
        <is>
          <t>5.22-5.28</t>
        </is>
      </c>
      <c r="B2729" s="16" t="inlineStr">
        <is>
          <t>PO-128-00989116037752713</t>
        </is>
      </c>
      <c r="C2729" s="16" t="inlineStr">
        <is>
          <t>Delivered</t>
        </is>
      </c>
      <c r="D2729" s="16" t="inlineStr">
        <is>
          <t>128-00989168466552713</t>
        </is>
      </c>
      <c r="E2729" s="16" t="inlineStr">
        <is>
          <t>Delivered</t>
        </is>
      </c>
      <c r="F2729" s="16" t="inlineStr">
        <is>
          <t>KTS-1369</t>
        </is>
      </c>
      <c r="G2729" s="16" t="inlineStr">
        <is>
          <t>Bocina 3 Pulgadas Portátil Bluetooth con Luces LED, Sonido Claro y Batería Larga Duración, TWS TF USB FM, Ideal para Hogar Oficina y Exterior</t>
        </is>
      </c>
      <c r="H2729" s="16" t="inlineStr">
        <is>
          <t>NEGRO</t>
        </is>
      </c>
      <c r="I2729" s="16" t="n">
        <v>1</v>
      </c>
      <c r="J2729" s="17" t="n">
        <v>52</v>
      </c>
      <c r="K2729" s="17" t="n">
        <v>63.28</v>
      </c>
      <c r="L2729" s="17" t="n">
        <v>25.86</v>
      </c>
      <c r="M2729" s="17" t="n">
        <v>0</v>
      </c>
      <c r="N2729" s="17">
        <f>K2729*0.08+L2729*0.08</f>
        <v/>
      </c>
      <c r="O2729" s="17">
        <f>-(K2729*0.025+L2729*0.025)</f>
        <v/>
      </c>
      <c r="P2729" s="17">
        <f>32</f>
        <v/>
      </c>
      <c r="Q2729" s="17">
        <f>J2729+L2729+N2729+O2729-P2729-M2729</f>
        <v/>
      </c>
    </row>
    <row r="2730">
      <c r="A2730" s="16" t="inlineStr">
        <is>
          <t>5.22-5.28</t>
        </is>
      </c>
      <c r="B2730" s="16" t="inlineStr">
        <is>
          <t>PO-128-00717907098233369</t>
        </is>
      </c>
      <c r="C2730" s="16" t="inlineStr">
        <is>
          <t>Delivered</t>
        </is>
      </c>
      <c r="D2730" s="16" t="inlineStr">
        <is>
          <t>128-00717933312633369</t>
        </is>
      </c>
      <c r="E2730" s="16" t="inlineStr">
        <is>
          <t>Delivered</t>
        </is>
      </c>
      <c r="F2730" s="16" t="inlineStr">
        <is>
          <t>LV64W25</t>
        </is>
      </c>
      <c r="G27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30" s="16" t="inlineStr">
        <is>
          <t>Blanco</t>
        </is>
      </c>
      <c r="I2730" s="16" t="n">
        <v>2</v>
      </c>
      <c r="J2730" s="17" t="n">
        <v>247.8</v>
      </c>
      <c r="K2730" s="17" t="n">
        <v>241.67</v>
      </c>
      <c r="L2730" s="17" t="n">
        <v>0</v>
      </c>
      <c r="M2730" s="17" t="n">
        <v>0</v>
      </c>
      <c r="N2730" s="17">
        <f>K2730*0.08+L2730*0.08</f>
        <v/>
      </c>
      <c r="O2730" s="17">
        <f>-(K2730*0.025+L2730*0.025)</f>
        <v/>
      </c>
      <c r="P2730" s="17">
        <f>32</f>
        <v/>
      </c>
      <c r="Q2730" s="17">
        <f>J2730+L2730+N2730+O2730-P2730-M2730</f>
        <v/>
      </c>
    </row>
    <row r="2731">
      <c r="A2731" s="16" t="inlineStr">
        <is>
          <t>5.22-5.28</t>
        </is>
      </c>
      <c r="B2731" s="16" t="inlineStr">
        <is>
          <t>PO-128-01209211059830441</t>
        </is>
      </c>
      <c r="C2731" s="16" t="inlineStr">
        <is>
          <t>Delivered</t>
        </is>
      </c>
      <c r="D2731" s="16" t="inlineStr">
        <is>
          <t>128-01209253002870441</t>
        </is>
      </c>
      <c r="E2731" s="16" t="inlineStr">
        <is>
          <t>Delivered</t>
        </is>
      </c>
      <c r="F2731" s="16" t="inlineStr">
        <is>
          <t>KTS-2031</t>
        </is>
      </c>
      <c r="G2731" s="16" t="inlineStr">
        <is>
          <t>Bocina inalámbrica de 3 pulgadas con linterna multifuncional y panel solar integrado.Altavoz Portátil con Linterna LED 4 Modos, Radio FM, Bluetooth, Carga Solar, Ideal para Apagones, Emergencias, Campo y Exteriores</t>
        </is>
      </c>
      <c r="H2731" s="16" t="inlineStr">
        <is>
          <t>NEGRO</t>
        </is>
      </c>
      <c r="I2731" s="16" t="n">
        <v>1</v>
      </c>
      <c r="J2731" s="17" t="n">
        <v>85</v>
      </c>
      <c r="K2731" s="17" t="n">
        <v>11.46</v>
      </c>
      <c r="L2731" s="17" t="n">
        <v>25.86</v>
      </c>
      <c r="M2731" s="17" t="n">
        <v>0</v>
      </c>
      <c r="N2731" s="17">
        <f>K2731*0.08+L2731*0.08</f>
        <v/>
      </c>
      <c r="O2731" s="17">
        <f>-(K2731*0.025+L2731*0.025)</f>
        <v/>
      </c>
      <c r="P2731" s="17">
        <f>32</f>
        <v/>
      </c>
      <c r="Q2731" s="17">
        <f>J2731+L2731+N2731+O2731-P2731-M2731</f>
        <v/>
      </c>
    </row>
    <row r="2732">
      <c r="A2732" s="16" t="inlineStr">
        <is>
          <t>5.22-5.28</t>
        </is>
      </c>
      <c r="B2732" s="16" t="inlineStr">
        <is>
          <t>PO-128-01299935667830986</t>
        </is>
      </c>
      <c r="C2732" s="16" t="inlineStr">
        <is>
          <t>Delivered</t>
        </is>
      </c>
      <c r="D2732" s="16" t="inlineStr">
        <is>
          <t>128-01300040525430986</t>
        </is>
      </c>
      <c r="E2732" s="16" t="inlineStr">
        <is>
          <t>Delivered</t>
        </is>
      </c>
      <c r="F2732" s="16" t="inlineStr">
        <is>
          <t>KTS-2031</t>
        </is>
      </c>
      <c r="G2732" s="16" t="inlineStr">
        <is>
          <t>Bocina inalámbrica de 3 pulgadas con linterna multifuncional y panel solar integrado.Altavoz Portátil con Linterna LED 4 Modos, Radio FM, Bluetooth, Carga Solar, Ideal para Apagones, Emergencias, Campo y Exteriores</t>
        </is>
      </c>
      <c r="H2732" s="16" t="inlineStr">
        <is>
          <t>NEGRO</t>
        </is>
      </c>
      <c r="I2732" s="16" t="n">
        <v>1</v>
      </c>
      <c r="J2732" s="17" t="n">
        <v>85</v>
      </c>
      <c r="K2732" s="17" t="n">
        <v>94.22</v>
      </c>
      <c r="L2732" s="17" t="n">
        <v>25.86</v>
      </c>
      <c r="M2732" s="17" t="n">
        <v>0</v>
      </c>
      <c r="N2732" s="17">
        <f>K2732*0.08+L2732*0.08</f>
        <v/>
      </c>
      <c r="O2732" s="17">
        <f>-(K2732*0.025+L2732*0.025)</f>
        <v/>
      </c>
      <c r="P2732" s="17">
        <f>32</f>
        <v/>
      </c>
      <c r="Q2732" s="17">
        <f>J2732+L2732+N2732+O2732-P2732-M2732</f>
        <v/>
      </c>
    </row>
    <row r="2733">
      <c r="A2733" s="16" t="inlineStr">
        <is>
          <t>5.22-5.28</t>
        </is>
      </c>
      <c r="B2733" s="16" t="inlineStr">
        <is>
          <t>PO-128-01152262897271866</t>
        </is>
      </c>
      <c r="C2733" s="16" t="inlineStr">
        <is>
          <t>Delivered</t>
        </is>
      </c>
      <c r="D2733" s="16" t="inlineStr">
        <is>
          <t>128-01152338919031866</t>
        </is>
      </c>
      <c r="E2733" s="16" t="inlineStr">
        <is>
          <t>Delivered</t>
        </is>
      </c>
      <c r="F2733" s="16" t="inlineStr">
        <is>
          <t>LV54W25</t>
        </is>
      </c>
      <c r="G2733" s="16" t="inlineStr">
        <is>
          <t>TIANLAI Lámpara Ventilador E27 2 en 1, Silenciosa, LED Alta Luminosidad 180°, Instalación Rápida, Ahorro Energético para Dormitorio y Interiores Pequeños</t>
        </is>
      </c>
      <c r="H2733" s="16" t="inlineStr">
        <is>
          <t>1 Pieza</t>
        </is>
      </c>
      <c r="I2733" s="16" t="n">
        <v>1</v>
      </c>
      <c r="J2733" s="17" t="n">
        <v>74.3</v>
      </c>
      <c r="K2733" s="17" t="n">
        <v>85.98</v>
      </c>
      <c r="L2733" s="17" t="n">
        <v>25.86</v>
      </c>
      <c r="M2733" s="17" t="n">
        <v>0</v>
      </c>
      <c r="N2733" s="17">
        <f>K2733*0.08+L2733*0.08</f>
        <v/>
      </c>
      <c r="O2733" s="17">
        <f>-(K2733*0.025+L2733*0.025)</f>
        <v/>
      </c>
      <c r="P2733" s="17">
        <f>32</f>
        <v/>
      </c>
      <c r="Q2733" s="17">
        <f>J2733+L2733+N2733+O2733-P2733-M2733</f>
        <v/>
      </c>
    </row>
    <row r="2734">
      <c r="A2734" s="16" t="inlineStr">
        <is>
          <t>5.22-5.28</t>
        </is>
      </c>
      <c r="B2734" s="16" t="inlineStr">
        <is>
          <t>PO-128-00747798298233319</t>
        </is>
      </c>
      <c r="C2734" s="16" t="inlineStr">
        <is>
          <t>Delivered</t>
        </is>
      </c>
      <c r="D2734" s="16" t="inlineStr">
        <is>
          <t>128-00747903155833319</t>
        </is>
      </c>
      <c r="E2734" s="16" t="inlineStr">
        <is>
          <t>Delivered</t>
        </is>
      </c>
      <c r="F2734" s="16" t="inlineStr">
        <is>
          <t>LV54W25</t>
        </is>
      </c>
      <c r="G2734" s="16" t="inlineStr">
        <is>
          <t>TIANLAI Lámpara Ventilador E27 2 en 1, Silenciosa, LED Alta Luminosidad 180°, Instalación Rápida, Ahorro Energético para Dormitorio y Interiores Pequeños</t>
        </is>
      </c>
      <c r="H2734" s="16" t="inlineStr">
        <is>
          <t>1 Pieza</t>
        </is>
      </c>
      <c r="I2734" s="16" t="n">
        <v>3</v>
      </c>
      <c r="J2734" s="17" t="n">
        <v>222.9</v>
      </c>
      <c r="K2734" s="17" t="n">
        <v>232.17</v>
      </c>
      <c r="L2734" s="17" t="n">
        <v>0</v>
      </c>
      <c r="M2734" s="17" t="n">
        <v>0</v>
      </c>
      <c r="N2734" s="17">
        <f>K2734*0.08+L2734*0.08</f>
        <v/>
      </c>
      <c r="O2734" s="17">
        <f>-(K2734*0.025+L2734*0.025)</f>
        <v/>
      </c>
      <c r="P2734" s="17">
        <f>32</f>
        <v/>
      </c>
      <c r="Q2734" s="17">
        <f>J2734+L2734+N2734+O2734-P2734-M2734</f>
        <v/>
      </c>
    </row>
    <row r="2735">
      <c r="A2735" s="16" t="inlineStr">
        <is>
          <t>5.22-5.28</t>
        </is>
      </c>
      <c r="B2735" s="16" t="inlineStr">
        <is>
          <t>PO-128-00878828836472536</t>
        </is>
      </c>
      <c r="C2735" s="16" t="inlineStr">
        <is>
          <t>Delivered</t>
        </is>
      </c>
      <c r="D2735" s="16" t="inlineStr">
        <is>
          <t>128-00878933694072536</t>
        </is>
      </c>
      <c r="E2735" s="16" t="inlineStr">
        <is>
          <t>Delivered</t>
        </is>
      </c>
      <c r="F2735" s="16" t="inlineStr">
        <is>
          <t>TL1455N20B</t>
        </is>
      </c>
      <c r="G2735" s="16" t="inlineStr">
        <is>
          <t>LINK BITS Soporte para TV 14 A 55 Pulgadas, Base para TV Pantalla Articulado Inclinable y Giratorio, MAX VESA 400×400 mm, Soporta hasta 18kg, adaptarse a la mayoría de los televisores de 14 Pulgadas/20 Pulgadas/32 Pulgadas/42 Pulgadas/55 pulgadas</t>
        </is>
      </c>
      <c r="H2735" s="16" t="inlineStr">
        <is>
          <t>TL1455N20B</t>
        </is>
      </c>
      <c r="I2735" s="16" t="n">
        <v>2</v>
      </c>
      <c r="J2735" s="17" t="n">
        <v>149</v>
      </c>
      <c r="K2735" s="17" t="n">
        <v>191.12</v>
      </c>
      <c r="L2735" s="17" t="n">
        <v>25.86</v>
      </c>
      <c r="M2735" s="17" t="n">
        <v>0</v>
      </c>
      <c r="N2735" s="17">
        <f>K2735*0.08+L2735*0.08</f>
        <v/>
      </c>
      <c r="O2735" s="17">
        <f>-(K2735*0.025+L2735*0.025)</f>
        <v/>
      </c>
      <c r="P2735" s="17">
        <f>32</f>
        <v/>
      </c>
      <c r="Q2735" s="17">
        <f>J2735+L2735+N2735+O2735-P2735-M2735</f>
        <v/>
      </c>
    </row>
    <row r="2736">
      <c r="A2736" s="16" t="inlineStr">
        <is>
          <t>5.22-5.28</t>
        </is>
      </c>
      <c r="B2736" s="16" t="inlineStr">
        <is>
          <t>PO-128-00697310229113490</t>
        </is>
      </c>
      <c r="C2736" s="16" t="inlineStr">
        <is>
          <t>Delivered</t>
        </is>
      </c>
      <c r="D2736" s="16" t="inlineStr">
        <is>
          <t>128-00697352172153490</t>
        </is>
      </c>
      <c r="E2736" s="16" t="inlineStr">
        <is>
          <t>Delivered</t>
        </is>
      </c>
      <c r="F2736" s="16" t="inlineStr">
        <is>
          <t>KTS-2031</t>
        </is>
      </c>
      <c r="G2736" s="16" t="inlineStr">
        <is>
          <t>Bocina inalámbrica de 3 pulgadas con linterna multifuncional y panel solar integrado.Altavoz Portátil con Linterna LED 4 Modos, Radio FM, Bluetooth, Carga Solar, Ideal para Apagones, Emergencias, Campo y Exteriores</t>
        </is>
      </c>
      <c r="H2736" s="16" t="inlineStr">
        <is>
          <t>NEGRO</t>
        </is>
      </c>
      <c r="I2736" s="16" t="n">
        <v>1</v>
      </c>
      <c r="J2736" s="17" t="n">
        <v>85</v>
      </c>
      <c r="K2736" s="17" t="n">
        <v>94.22</v>
      </c>
      <c r="L2736" s="17" t="n">
        <v>25.86</v>
      </c>
      <c r="M2736" s="17" t="n">
        <v>0</v>
      </c>
      <c r="N2736" s="17">
        <f>K2736*0.08+L2736*0.08</f>
        <v/>
      </c>
      <c r="O2736" s="17">
        <f>-(K2736*0.025+L2736*0.025)</f>
        <v/>
      </c>
      <c r="P2736" s="17">
        <f>32</f>
        <v/>
      </c>
      <c r="Q2736" s="17">
        <f>J2736+L2736+N2736+O2736-P2736-M2736</f>
        <v/>
      </c>
    </row>
    <row r="2737">
      <c r="A2737" s="16" t="inlineStr">
        <is>
          <t>5.22-5.28</t>
        </is>
      </c>
      <c r="B2737" s="16" t="inlineStr">
        <is>
          <t>PO-128-01187489997431595</t>
        </is>
      </c>
      <c r="C2737" s="16" t="inlineStr">
        <is>
          <t>Delivered</t>
        </is>
      </c>
      <c r="D2737" s="16" t="inlineStr">
        <is>
          <t>128-01187479511671595</t>
        </is>
      </c>
      <c r="E2737" s="16" t="inlineStr">
        <is>
          <t>Delivered</t>
        </is>
      </c>
      <c r="F2737" s="16" t="inlineStr">
        <is>
          <t>LV54W25</t>
        </is>
      </c>
      <c r="G2737" s="16" t="inlineStr">
        <is>
          <t>TIANLAI Lámpara Ventilador E27 2 en 1, Silenciosa, LED Alta Luminosidad 180°, Instalación Rápida, Ahorro Energético para Dormitorio y Interiores Pequeños</t>
        </is>
      </c>
      <c r="H2737" s="16" t="inlineStr">
        <is>
          <t>1 Pieza</t>
        </is>
      </c>
      <c r="I2737" s="16" t="n">
        <v>2</v>
      </c>
      <c r="J2737" s="17" t="n">
        <v>148.6</v>
      </c>
      <c r="K2737" s="17" t="n">
        <v>137.91</v>
      </c>
      <c r="L2737" s="17" t="n">
        <v>25.86</v>
      </c>
      <c r="M2737" s="17" t="n">
        <v>0</v>
      </c>
      <c r="N2737" s="17">
        <f>K2737*0.08+L2737*0.08</f>
        <v/>
      </c>
      <c r="O2737" s="17">
        <f>-(K2737*0.025+L2737*0.025)</f>
        <v/>
      </c>
      <c r="P2737" s="17">
        <f>32</f>
        <v/>
      </c>
      <c r="Q2737" s="17">
        <f>J2737+L2737+N2737+O2737-P2737-M2737</f>
        <v/>
      </c>
    </row>
    <row r="2738">
      <c r="A2738" s="16" t="inlineStr">
        <is>
          <t>5.22-5.28</t>
        </is>
      </c>
      <c r="B2738" s="16" t="inlineStr">
        <is>
          <t>PO-128-01265722604150230</t>
        </is>
      </c>
      <c r="C2738" s="16" t="inlineStr">
        <is>
          <t>Delivered</t>
        </is>
      </c>
      <c r="D2738" s="16" t="inlineStr">
        <is>
          <t>128-01265748818550230</t>
        </is>
      </c>
      <c r="E2738" s="16" t="inlineStr">
        <is>
          <t>Delivered</t>
        </is>
      </c>
      <c r="F2738" s="16" t="inlineStr">
        <is>
          <t>LV64W25</t>
        </is>
      </c>
      <c r="G27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38" s="16" t="inlineStr">
        <is>
          <t>Blanco</t>
        </is>
      </c>
      <c r="I2738" s="16" t="n">
        <v>2</v>
      </c>
      <c r="J2738" s="17" t="n">
        <v>247.8</v>
      </c>
      <c r="K2738" s="17" t="n">
        <v>264.42</v>
      </c>
      <c r="L2738" s="17" t="n">
        <v>0</v>
      </c>
      <c r="M2738" s="17" t="n">
        <v>0</v>
      </c>
      <c r="N2738" s="17">
        <f>K2738*0.08+L2738*0.08</f>
        <v/>
      </c>
      <c r="O2738" s="17">
        <f>-(K2738*0.025+L2738*0.025)</f>
        <v/>
      </c>
      <c r="P2738" s="17">
        <f>32</f>
        <v/>
      </c>
      <c r="Q2738" s="17">
        <f>J2738+L2738+N2738+O2738-P2738-M2738</f>
        <v/>
      </c>
    </row>
    <row r="2739">
      <c r="A2739" s="16" t="inlineStr">
        <is>
          <t>5.22-5.28</t>
        </is>
      </c>
      <c r="B2739" s="16" t="inlineStr">
        <is>
          <t>PO-128-01141310520951804</t>
        </is>
      </c>
      <c r="C2739" s="16" t="inlineStr">
        <is>
          <t>Delivered</t>
        </is>
      </c>
      <c r="D2739" s="16" t="inlineStr">
        <is>
          <t>128-01141331492471804</t>
        </is>
      </c>
      <c r="E2739" s="16" t="inlineStr">
        <is>
          <t>Delivered</t>
        </is>
      </c>
      <c r="F2739" s="16" t="inlineStr">
        <is>
          <t>KTS-2031</t>
        </is>
      </c>
      <c r="G2739" s="16" t="inlineStr">
        <is>
          <t>Bocina inalámbrica de 3 pulgadas con linterna multifuncional y panel solar integrado.Altavoz Portátil con Linterna LED 4 Modos, Radio FM, Bluetooth, Carga Solar, Ideal para Apagones, Emergencias, Campo y Exteriores</t>
        </is>
      </c>
      <c r="H2739" s="16" t="inlineStr">
        <is>
          <t>NEGRO</t>
        </is>
      </c>
      <c r="I2739" s="16" t="n">
        <v>1</v>
      </c>
      <c r="J2739" s="17" t="n">
        <v>85</v>
      </c>
      <c r="K2739" s="17" t="n">
        <v>33.88</v>
      </c>
      <c r="L2739" s="17" t="n">
        <v>25.86</v>
      </c>
      <c r="M2739" s="17" t="n">
        <v>0</v>
      </c>
      <c r="N2739" s="17">
        <f>K2739*0.08+L2739*0.08</f>
        <v/>
      </c>
      <c r="O2739" s="17">
        <f>-(K2739*0.025+L2739*0.025)</f>
        <v/>
      </c>
      <c r="P2739" s="17">
        <f>32</f>
        <v/>
      </c>
      <c r="Q2739" s="17">
        <f>J2739+L2739+N2739+O2739-P2739-M2739</f>
        <v/>
      </c>
    </row>
    <row r="2740">
      <c r="A2740" s="16" t="inlineStr">
        <is>
          <t>5.22-5.28</t>
        </is>
      </c>
      <c r="B2740" s="16" t="inlineStr">
        <is>
          <t>PO-128-00831939978873776</t>
        </is>
      </c>
      <c r="C2740" s="16" t="inlineStr">
        <is>
          <t>Delivered</t>
        </is>
      </c>
      <c r="D2740" s="16" t="inlineStr">
        <is>
          <t>128-00831960950393776</t>
        </is>
      </c>
      <c r="E2740" s="16" t="inlineStr">
        <is>
          <t>Delivered</t>
        </is>
      </c>
      <c r="F2740" s="16" t="inlineStr">
        <is>
          <t>LV54W25</t>
        </is>
      </c>
      <c r="G2740" s="16" t="inlineStr">
        <is>
          <t>TIANLAI Lámpara Ventilador E27 2 en 1, Silenciosa, LED Alta Luminosidad 180°, Instalación Rápida, Ahorro Energético para Dormitorio y Interiores Pequeños</t>
        </is>
      </c>
      <c r="H2740" s="16" t="inlineStr">
        <is>
          <t>1 Pieza</t>
        </is>
      </c>
      <c r="I2740" s="16" t="n">
        <v>1</v>
      </c>
      <c r="J2740" s="17" t="n">
        <v>74.3</v>
      </c>
      <c r="K2740" s="17" t="n">
        <v>85.98</v>
      </c>
      <c r="L2740" s="17" t="n">
        <v>25.86</v>
      </c>
      <c r="M2740" s="17" t="n">
        <v>0</v>
      </c>
      <c r="N2740" s="17">
        <f>K2740*0.08+L2740*0.08</f>
        <v/>
      </c>
      <c r="O2740" s="17">
        <f>-(K2740*0.025+L2740*0.025)</f>
        <v/>
      </c>
      <c r="P2740" s="17">
        <f>32</f>
        <v/>
      </c>
      <c r="Q2740" s="17">
        <f>J2740+L2740+N2740+O2740-P2740-M2740</f>
        <v/>
      </c>
    </row>
    <row r="2741">
      <c r="A2741" s="16" t="inlineStr">
        <is>
          <t>5.22-5.28</t>
        </is>
      </c>
      <c r="B2741" s="16" t="inlineStr">
        <is>
          <t>PO-128-01141314683511804</t>
        </is>
      </c>
      <c r="C2741" s="16" t="inlineStr">
        <is>
          <t>Delivered</t>
        </is>
      </c>
      <c r="D2741" s="16" t="inlineStr">
        <is>
          <t>128-01141272740471804</t>
        </is>
      </c>
      <c r="E2741" s="16" t="inlineStr">
        <is>
          <t>Delivered</t>
        </is>
      </c>
      <c r="F2741" s="16" t="inlineStr">
        <is>
          <t>KTS-2031</t>
        </is>
      </c>
      <c r="G2741" s="16" t="inlineStr">
        <is>
          <t>Bocina inalámbrica de 3 pulgadas con linterna multifuncional y panel solar integrado.Altavoz Portátil con Linterna LED 4 Modos, Radio FM, Bluetooth, Carga Solar, Ideal para Apagones, Emergencias, Campo y Exteriores</t>
        </is>
      </c>
      <c r="H2741" s="16" t="inlineStr">
        <is>
          <t>NEGRO</t>
        </is>
      </c>
      <c r="I2741" s="16" t="n">
        <v>1</v>
      </c>
      <c r="J2741" s="17" t="n">
        <v>85</v>
      </c>
      <c r="K2741" s="17" t="n">
        <v>33.88</v>
      </c>
      <c r="L2741" s="17" t="n">
        <v>25.86</v>
      </c>
      <c r="M2741" s="17" t="n">
        <v>0</v>
      </c>
      <c r="N2741" s="17">
        <f>K2741*0.08+L2741*0.08</f>
        <v/>
      </c>
      <c r="O2741" s="17">
        <f>-(K2741*0.025+L2741*0.025)</f>
        <v/>
      </c>
      <c r="P2741" s="17">
        <f>32</f>
        <v/>
      </c>
      <c r="Q2741" s="17">
        <f>J2741+L2741+N2741+O2741-P2741-M2741</f>
        <v/>
      </c>
    </row>
    <row r="2742">
      <c r="A2742" s="16" t="inlineStr">
        <is>
          <t>5.22-5.28</t>
        </is>
      </c>
      <c r="B2742" s="16" t="inlineStr">
        <is>
          <t>PO-128-01025961918072685</t>
        </is>
      </c>
      <c r="C2742" s="16" t="inlineStr">
        <is>
          <t>Delivered</t>
        </is>
      </c>
      <c r="D2742" s="16" t="inlineStr">
        <is>
          <t>128-01026066775672685</t>
        </is>
      </c>
      <c r="E2742" s="16" t="inlineStr">
        <is>
          <t>Delivered</t>
        </is>
      </c>
      <c r="F2742" s="16" t="inlineStr">
        <is>
          <t>TL2663N18C</t>
        </is>
      </c>
      <c r="G2742" s="16" t="inlineStr">
        <is>
          <t>Linkbits，Soporte de pared fijo para televisores de 26"-63", Ultra-Delgado Compatible con VESA 400x400mm, Capacidad de Peso Fuerte de 25KG, Instalación Fácil Sin Electricidad</t>
        </is>
      </c>
      <c r="H2742" s="16" t="inlineStr">
        <is>
          <t>NEGRO</t>
        </is>
      </c>
      <c r="I2742" s="16" t="n">
        <v>1</v>
      </c>
      <c r="J2742" s="17" t="n">
        <v>54</v>
      </c>
      <c r="K2742" s="17" t="n">
        <v>68.97</v>
      </c>
      <c r="L2742" s="17" t="n">
        <v>25.86</v>
      </c>
      <c r="M2742" s="17" t="n">
        <v>0</v>
      </c>
      <c r="N2742" s="17">
        <f>K2742*0.08+L2742*0.08</f>
        <v/>
      </c>
      <c r="O2742" s="17">
        <f>-(K2742*0.025+L2742*0.025)</f>
        <v/>
      </c>
      <c r="P2742" s="17">
        <f>32</f>
        <v/>
      </c>
      <c r="Q2742" s="17">
        <f>J2742+L2742+N2742+O2742-P2742-M2742</f>
        <v/>
      </c>
    </row>
    <row r="2743">
      <c r="A2743" s="16" t="inlineStr">
        <is>
          <t>5.22-5.28</t>
        </is>
      </c>
      <c r="B2743" s="16" t="inlineStr">
        <is>
          <t>PO-128-01155622124151910</t>
        </is>
      </c>
      <c r="C2743" s="16" t="inlineStr">
        <is>
          <t>Delivered</t>
        </is>
      </c>
      <c r="D2743" s="16" t="inlineStr">
        <is>
          <t>128-01155669310071910</t>
        </is>
      </c>
      <c r="E2743" s="16" t="inlineStr">
        <is>
          <t>Delivered</t>
        </is>
      </c>
      <c r="F2743" s="16" t="inlineStr">
        <is>
          <t>LV64W25</t>
        </is>
      </c>
      <c r="G27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43" s="16" t="inlineStr">
        <is>
          <t>Blanco</t>
        </is>
      </c>
      <c r="I2743" s="16" t="n">
        <v>1</v>
      </c>
      <c r="J2743" s="17" t="n">
        <v>123.9</v>
      </c>
      <c r="K2743" s="17" t="n">
        <v>142.16</v>
      </c>
      <c r="L2743" s="17" t="n">
        <v>25.86</v>
      </c>
      <c r="M2743" s="17" t="n">
        <v>0</v>
      </c>
      <c r="N2743" s="17">
        <f>K2743*0.08+L2743*0.08</f>
        <v/>
      </c>
      <c r="O2743" s="17">
        <f>-(K2743*0.025+L2743*0.025)</f>
        <v/>
      </c>
      <c r="P2743" s="17">
        <f>32</f>
        <v/>
      </c>
      <c r="Q2743" s="17">
        <f>J2743+L2743+N2743+O2743-P2743-M2743</f>
        <v/>
      </c>
    </row>
    <row r="2744">
      <c r="A2744" s="16" t="inlineStr">
        <is>
          <t>5.22-5.28</t>
        </is>
      </c>
      <c r="B2744" s="16" t="inlineStr">
        <is>
          <t>PO-128-01098660424311034</t>
        </is>
      </c>
      <c r="C2744" s="16" t="inlineStr">
        <is>
          <t>Delivered</t>
        </is>
      </c>
      <c r="D2744" s="16" t="inlineStr">
        <is>
          <t>128-01098605374071034</t>
        </is>
      </c>
      <c r="E2744" s="16" t="inlineStr">
        <is>
          <t>Delivered</t>
        </is>
      </c>
      <c r="F2744" s="16" t="inlineStr">
        <is>
          <t>KTS-2031</t>
        </is>
      </c>
      <c r="G2744" s="16" t="inlineStr">
        <is>
          <t>Bocina inalámbrica de 3 pulgadas con linterna multifuncional y panel solar integrado.Altavoz Portátil con Linterna LED 4 Modos, Radio FM, Bluetooth, Carga Solar, Ideal para Apagones, Emergencias, Campo y Exteriores</t>
        </is>
      </c>
      <c r="H2744" s="16" t="inlineStr">
        <is>
          <t>NEGRO</t>
        </is>
      </c>
      <c r="I2744" s="16" t="n">
        <v>3</v>
      </c>
      <c r="J2744" s="17" t="n">
        <v>255</v>
      </c>
      <c r="K2744" s="17" t="n">
        <v>282.66</v>
      </c>
      <c r="L2744" s="17" t="n">
        <v>0</v>
      </c>
      <c r="M2744" s="17" t="n">
        <v>0</v>
      </c>
      <c r="N2744" s="17">
        <f>K2744*0.08+L2744*0.08</f>
        <v/>
      </c>
      <c r="O2744" s="17">
        <f>-(K2744*0.025+L2744*0.025)</f>
        <v/>
      </c>
      <c r="P2744" s="17">
        <f>32</f>
        <v/>
      </c>
      <c r="Q2744" s="17">
        <f>J2744+L2744+N2744+O2744-P2744-M2744</f>
        <v/>
      </c>
    </row>
    <row r="2745">
      <c r="A2745" s="16" t="inlineStr">
        <is>
          <t>5.22-5.28</t>
        </is>
      </c>
      <c r="B2745" s="16" t="inlineStr">
        <is>
          <t>PO-128-00718972406393363</t>
        </is>
      </c>
      <c r="C2745" s="16" t="inlineStr">
        <is>
          <t>Delivered</t>
        </is>
      </c>
      <c r="D2745" s="16" t="inlineStr">
        <is>
          <t>128-00718935706233363</t>
        </is>
      </c>
      <c r="E2745" s="16" t="inlineStr">
        <is>
          <t>Delivered</t>
        </is>
      </c>
      <c r="F2745" s="16" t="inlineStr">
        <is>
          <t>LV64W25</t>
        </is>
      </c>
      <c r="G27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45" s="16" t="inlineStr">
        <is>
          <t>Blanco</t>
        </is>
      </c>
      <c r="I2745" s="16" t="n">
        <v>2</v>
      </c>
      <c r="J2745" s="17" t="n">
        <v>247.8</v>
      </c>
      <c r="K2745" s="17" t="n">
        <v>284.32</v>
      </c>
      <c r="L2745" s="17" t="n">
        <v>0</v>
      </c>
      <c r="M2745" s="17" t="n">
        <v>0</v>
      </c>
      <c r="N2745" s="17">
        <f>K2745*0.08+L2745*0.08</f>
        <v/>
      </c>
      <c r="O2745" s="17">
        <f>-(K2745*0.025+L2745*0.025)</f>
        <v/>
      </c>
      <c r="P2745" s="17">
        <f>32</f>
        <v/>
      </c>
      <c r="Q2745" s="17">
        <f>J2745+L2745+N2745+O2745-P2745-M2745</f>
        <v/>
      </c>
    </row>
    <row r="2746">
      <c r="A2746" s="16" t="inlineStr">
        <is>
          <t>5.22-5.28</t>
        </is>
      </c>
      <c r="B2746" s="16" t="inlineStr">
        <is>
          <t>PO-128-00734212997753206</t>
        </is>
      </c>
      <c r="C2746" s="16" t="inlineStr">
        <is>
          <t>Delivered</t>
        </is>
      </c>
      <c r="D2746" s="16" t="inlineStr">
        <is>
          <t>128-00734254695033206</t>
        </is>
      </c>
      <c r="E2746" s="16" t="inlineStr">
        <is>
          <t>Delivered</t>
        </is>
      </c>
      <c r="F2746" s="16" t="inlineStr">
        <is>
          <t>KTS-2031</t>
        </is>
      </c>
      <c r="G2746" s="16" t="inlineStr">
        <is>
          <t>Bocina inalámbrica de 3 pulgadas con linterna multifuncional y panel solar integrado.Altavoz Portátil con Linterna LED 4 Modos, Radio FM, Bluetooth, Carga Solar, Ideal para Apagones, Emergencias, Campo y Exteriores</t>
        </is>
      </c>
      <c r="H2746" s="16" t="inlineStr">
        <is>
          <t>NEGRO</t>
        </is>
      </c>
      <c r="I2746" s="16" t="n">
        <v>1</v>
      </c>
      <c r="J2746" s="17" t="n">
        <v>85</v>
      </c>
      <c r="K2746" s="17" t="n">
        <v>75.38</v>
      </c>
      <c r="L2746" s="17" t="n">
        <v>25.86</v>
      </c>
      <c r="M2746" s="17" t="n">
        <v>0</v>
      </c>
      <c r="N2746" s="17">
        <f>K2746*0.08+L2746*0.08</f>
        <v/>
      </c>
      <c r="O2746" s="17">
        <f>-(K2746*0.025+L2746*0.025)</f>
        <v/>
      </c>
      <c r="P2746" s="17">
        <f>32</f>
        <v/>
      </c>
      <c r="Q2746" s="17">
        <f>J2746+L2746+N2746+O2746-P2746-M2746</f>
        <v/>
      </c>
    </row>
    <row r="2747">
      <c r="A2747" s="16" t="inlineStr">
        <is>
          <t>5.22-5.28</t>
        </is>
      </c>
      <c r="B2747" s="16" t="inlineStr">
        <is>
          <t>PO-128-00971858499192878</t>
        </is>
      </c>
      <c r="C2747" s="16" t="inlineStr">
        <is>
          <t>Delivered</t>
        </is>
      </c>
      <c r="D2747" s="16" t="inlineStr">
        <is>
          <t>128-00971879470712878</t>
        </is>
      </c>
      <c r="E2747" s="16" t="inlineStr">
        <is>
          <t>Delivered</t>
        </is>
      </c>
      <c r="F2747" s="16" t="inlineStr">
        <is>
          <t>VB349T</t>
        </is>
      </c>
      <c r="G2747" s="16" t="inlineStr">
        <is>
          <t>LINKBITS Altavoz Portátil de Doble Altavoz - 3 Pulgadas, Sonido HD, Emparejamiento Rápido de Bluetooth, Conectividad TWS, Reproducción Multimodo (Micro SD/USB/Radio FM) - Perfecto para Oficina, Viajes y Espacios Pequeños</t>
        </is>
      </c>
      <c r="H2747" s="16" t="inlineStr">
        <is>
          <t>NEGRO</t>
        </is>
      </c>
      <c r="I2747" s="16" t="n">
        <v>1</v>
      </c>
      <c r="J2747" s="17" t="n">
        <v>79</v>
      </c>
      <c r="K2747" s="17" t="n">
        <v>6.05</v>
      </c>
      <c r="L2747" s="17" t="n">
        <v>25.86</v>
      </c>
      <c r="M2747" s="17" t="n">
        <v>0</v>
      </c>
      <c r="N2747" s="17">
        <f>K2747*0.08+L2747*0.08</f>
        <v/>
      </c>
      <c r="O2747" s="17">
        <f>-(K2747*0.025+L2747*0.025)</f>
        <v/>
      </c>
      <c r="P2747" s="17">
        <f>32</f>
        <v/>
      </c>
      <c r="Q2747" s="17">
        <f>J2747+L2747+N2747+O2747-P2747-M2747</f>
        <v/>
      </c>
    </row>
    <row r="2748">
      <c r="A2748" s="16" t="inlineStr">
        <is>
          <t>5.22-5.28</t>
        </is>
      </c>
      <c r="B2748" s="16" t="inlineStr">
        <is>
          <t>PO-128-00946665170552964</t>
        </is>
      </c>
      <c r="C2748" s="16" t="inlineStr">
        <is>
          <t>Delivered</t>
        </is>
      </c>
      <c r="D2748" s="16" t="inlineStr">
        <is>
          <t>128-00946717599352964</t>
        </is>
      </c>
      <c r="E2748" s="16" t="inlineStr">
        <is>
          <t>Delivered</t>
        </is>
      </c>
      <c r="F2748" s="16" t="inlineStr">
        <is>
          <t>KTS-2031</t>
        </is>
      </c>
      <c r="G2748" s="16" t="inlineStr">
        <is>
          <t>Bocina inalámbrica de 3 pulgadas con linterna multifuncional y panel solar integrado.Altavoz Portátil con Linterna LED 4 Modos, Radio FM, Bluetooth, Carga Solar, Ideal para Apagones, Emergencias, Campo y Exteriores</t>
        </is>
      </c>
      <c r="H2748" s="16" t="inlineStr">
        <is>
          <t>NEGRO</t>
        </is>
      </c>
      <c r="I2748" s="16" t="n">
        <v>3</v>
      </c>
      <c r="J2748" s="17" t="n">
        <v>255</v>
      </c>
      <c r="K2748" s="17" t="n">
        <v>282.66</v>
      </c>
      <c r="L2748" s="17" t="n">
        <v>0</v>
      </c>
      <c r="M2748" s="17" t="n">
        <v>0</v>
      </c>
      <c r="N2748" s="17">
        <f>K2748*0.08+L2748*0.08</f>
        <v/>
      </c>
      <c r="O2748" s="17">
        <f>-(K2748*0.025+L2748*0.025)</f>
        <v/>
      </c>
      <c r="P2748" s="17">
        <f>32</f>
        <v/>
      </c>
      <c r="Q2748" s="17">
        <f>J2748+L2748+N2748+O2748-P2748-M2748</f>
        <v/>
      </c>
    </row>
    <row r="2749">
      <c r="A2749" s="16" t="inlineStr">
        <is>
          <t>5.22-5.28</t>
        </is>
      </c>
      <c r="B2749" s="16" t="inlineStr">
        <is>
          <t>PO-128-01321335291510861</t>
        </is>
      </c>
      <c r="C2749" s="16" t="inlineStr">
        <is>
          <t>Delivered</t>
        </is>
      </c>
      <c r="D2749" s="16" t="inlineStr">
        <is>
          <t>128-01321293348470861</t>
        </is>
      </c>
      <c r="E2749" s="16" t="inlineStr">
        <is>
          <t>Delivered</t>
        </is>
      </c>
      <c r="F2749" s="16" t="inlineStr">
        <is>
          <t>LV64W25</t>
        </is>
      </c>
      <c r="G27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49" s="16" t="inlineStr">
        <is>
          <t>Blanco</t>
        </is>
      </c>
      <c r="I2749" s="16" t="n">
        <v>2</v>
      </c>
      <c r="J2749" s="17" t="n">
        <v>247.8</v>
      </c>
      <c r="K2749" s="17" t="n">
        <v>284.32</v>
      </c>
      <c r="L2749" s="17" t="n">
        <v>0</v>
      </c>
      <c r="M2749" s="17" t="n">
        <v>0</v>
      </c>
      <c r="N2749" s="17">
        <f>K2749*0.08+L2749*0.08</f>
        <v/>
      </c>
      <c r="O2749" s="17">
        <f>-(K2749*0.025+L2749*0.025)</f>
        <v/>
      </c>
      <c r="P2749" s="17">
        <f>32</f>
        <v/>
      </c>
      <c r="Q2749" s="17">
        <f>J2749+L2749+N2749+O2749-P2749-M2749</f>
        <v/>
      </c>
    </row>
    <row r="2750">
      <c r="A2750" s="16" t="inlineStr">
        <is>
          <t>5.22-5.28</t>
        </is>
      </c>
      <c r="B2750" s="16" t="inlineStr">
        <is>
          <t>PO-128-00815787966073936</t>
        </is>
      </c>
      <c r="C2750" s="16" t="inlineStr">
        <is>
          <t>Delivered</t>
        </is>
      </c>
      <c r="D2750" s="16" t="inlineStr">
        <is>
          <t>128-00815777480313936</t>
        </is>
      </c>
      <c r="E2750" s="16" t="inlineStr">
        <is>
          <t>Delivered</t>
        </is>
      </c>
      <c r="F2750" s="16" t="inlineStr">
        <is>
          <t>LV54W25</t>
        </is>
      </c>
      <c r="G2750" s="16" t="inlineStr">
        <is>
          <t>TIANLAI Lámpara Ventilador E27 2 en 1, Silenciosa, LED Alta Luminosidad 180°, Instalación Rápida, Ahorro Energético para Dormitorio y Interiores Pequeños</t>
        </is>
      </c>
      <c r="H2750" s="16" t="inlineStr">
        <is>
          <t>1 Pieza</t>
        </is>
      </c>
      <c r="I2750" s="16" t="n">
        <v>1</v>
      </c>
      <c r="J2750" s="17" t="n">
        <v>74.3</v>
      </c>
      <c r="K2750" s="17" t="n">
        <v>77.39</v>
      </c>
      <c r="L2750" s="17" t="n">
        <v>25.86</v>
      </c>
      <c r="M2750" s="17" t="n">
        <v>0</v>
      </c>
      <c r="N2750" s="17">
        <f>K2750*0.08+L2750*0.08</f>
        <v/>
      </c>
      <c r="O2750" s="17">
        <f>-(K2750*0.025+L2750*0.025)</f>
        <v/>
      </c>
      <c r="P2750" s="17">
        <f>32</f>
        <v/>
      </c>
      <c r="Q2750" s="17">
        <f>J2750+L2750+N2750+O2750-P2750-M2750</f>
        <v/>
      </c>
    </row>
    <row r="2751">
      <c r="A2751" s="16" t="inlineStr">
        <is>
          <t>5.22-5.28</t>
        </is>
      </c>
      <c r="B2751" s="16" t="inlineStr">
        <is>
          <t>PO-128-01286764524150107</t>
        </is>
      </c>
      <c r="C2751" s="16" t="inlineStr">
        <is>
          <t>Delivered</t>
        </is>
      </c>
      <c r="D2751" s="16" t="inlineStr">
        <is>
          <t>128-01286795981430107</t>
        </is>
      </c>
      <c r="E2751" s="16" t="inlineStr">
        <is>
          <t>Delivered</t>
        </is>
      </c>
      <c r="F2751" s="16" t="inlineStr">
        <is>
          <t>TLCD06-12P-N</t>
        </is>
      </c>
      <c r="G275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751" s="16" t="inlineStr">
        <is>
          <t>NEGRO/pantalla de 12 pulgadas</t>
        </is>
      </c>
      <c r="I2751" s="16" t="n">
        <v>1</v>
      </c>
      <c r="J2751" s="17" t="n">
        <v>32</v>
      </c>
      <c r="K2751" s="17" t="n">
        <v>33</v>
      </c>
      <c r="L2751" s="17" t="n">
        <v>25.86</v>
      </c>
      <c r="M2751" s="17" t="n">
        <v>0</v>
      </c>
      <c r="N2751" s="17">
        <f>K2751*0.08+L2751*0.08</f>
        <v/>
      </c>
      <c r="O2751" s="17">
        <f>-(K2751*0.025+L2751*0.025)</f>
        <v/>
      </c>
      <c r="P2751" s="17">
        <f>32</f>
        <v/>
      </c>
      <c r="Q2751" s="17">
        <f>J2751+L2751+N2751+O2751-P2751-M2751</f>
        <v/>
      </c>
    </row>
    <row r="2752">
      <c r="A2752" s="16" t="inlineStr">
        <is>
          <t>5.22-5.28</t>
        </is>
      </c>
      <c r="B2752" s="16" t="inlineStr">
        <is>
          <t>PO-128-01242492283510371</t>
        </is>
      </c>
      <c r="C2752" s="16" t="inlineStr">
        <is>
          <t>Delivered</t>
        </is>
      </c>
      <c r="D2752" s="16" t="inlineStr">
        <is>
          <t>128-01242450340470371</t>
        </is>
      </c>
      <c r="E2752" s="16" t="inlineStr">
        <is>
          <t>Delivered</t>
        </is>
      </c>
      <c r="F2752" s="16" t="inlineStr">
        <is>
          <t>LV54W25</t>
        </is>
      </c>
      <c r="G2752" s="16" t="inlineStr">
        <is>
          <t>TIANLAI Lámpara Ventilador E27 2 en 1, Silenciosa, LED Alta Luminosidad 180°, Instalación Rápida, Ahorro Energético para Dormitorio y Interiores Pequeños</t>
        </is>
      </c>
      <c r="H2752" s="16" t="inlineStr">
        <is>
          <t>1 Pieza</t>
        </is>
      </c>
      <c r="I2752" s="16" t="n">
        <v>1</v>
      </c>
      <c r="J2752" s="17" t="n">
        <v>74</v>
      </c>
      <c r="K2752" s="17" t="n">
        <v>78.83</v>
      </c>
      <c r="L2752" s="17" t="n">
        <v>25.86</v>
      </c>
      <c r="M2752" s="17" t="n">
        <v>0</v>
      </c>
      <c r="N2752" s="17">
        <f>K2752*0.08+L2752*0.08</f>
        <v/>
      </c>
      <c r="O2752" s="17">
        <f>-(K2752*0.025+L2752*0.025)</f>
        <v/>
      </c>
      <c r="P2752" s="17">
        <f>32</f>
        <v/>
      </c>
      <c r="Q2752" s="17">
        <f>J2752+L2752+N2752+O2752-P2752-M2752</f>
        <v/>
      </c>
    </row>
    <row r="2753">
      <c r="A2753" s="16" t="inlineStr">
        <is>
          <t>5.22-5.28</t>
        </is>
      </c>
      <c r="B2753" s="16" t="inlineStr">
        <is>
          <t>PO-128-01193443538551623</t>
        </is>
      </c>
      <c r="C2753" s="16" t="inlineStr">
        <is>
          <t>Delivered</t>
        </is>
      </c>
      <c r="D2753" s="16" t="inlineStr">
        <is>
          <t>128-01193433052791623</t>
        </is>
      </c>
      <c r="E2753" s="16" t="inlineStr">
        <is>
          <t>Delivered</t>
        </is>
      </c>
      <c r="F2753" s="16" t="inlineStr">
        <is>
          <t>KTS-2031</t>
        </is>
      </c>
      <c r="G2753" s="16" t="inlineStr">
        <is>
          <t>Bocina inalámbrica de 3 pulgadas con linterna multifuncional y panel solar integrado.Altavoz Portátil con Linterna LED 4 Modos, Radio FM, Bluetooth, Carga Solar, Ideal para Apagones, Emergencias, Campo y Exteriores</t>
        </is>
      </c>
      <c r="H2753" s="16" t="inlineStr">
        <is>
          <t>NEGRO</t>
        </is>
      </c>
      <c r="I2753" s="16" t="n">
        <v>1</v>
      </c>
      <c r="J2753" s="17" t="n">
        <v>90</v>
      </c>
      <c r="K2753" s="17" t="n">
        <v>79.37</v>
      </c>
      <c r="L2753" s="17" t="n">
        <v>25.86</v>
      </c>
      <c r="M2753" s="17" t="n">
        <v>0</v>
      </c>
      <c r="N2753" s="17">
        <f>K2753*0.08+L2753*0.08</f>
        <v/>
      </c>
      <c r="O2753" s="17">
        <f>-(K2753*0.025+L2753*0.025)</f>
        <v/>
      </c>
      <c r="P2753" s="17">
        <f>32</f>
        <v/>
      </c>
      <c r="Q2753" s="17">
        <f>J2753+L2753+N2753+O2753-P2753-M2753</f>
        <v/>
      </c>
    </row>
    <row r="2754">
      <c r="A2754" s="16" t="inlineStr">
        <is>
          <t>5.22-5.28</t>
        </is>
      </c>
      <c r="B2754" s="16" t="inlineStr">
        <is>
          <t>PO-128-01047339587191532</t>
        </is>
      </c>
      <c r="C2754" s="16" t="inlineStr">
        <is>
          <t>Delivered</t>
        </is>
      </c>
      <c r="D2754" s="16" t="inlineStr">
        <is>
          <t>128-01047306163831532</t>
        </is>
      </c>
      <c r="E2754" s="16" t="inlineStr">
        <is>
          <t>Delivered</t>
        </is>
      </c>
      <c r="F2754" s="16" t="inlineStr">
        <is>
          <t>B03W10-10PZS</t>
        </is>
      </c>
      <c r="G275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54" s="16" t="inlineStr">
        <is>
          <t>B03W10</t>
        </is>
      </c>
      <c r="I2754" s="16" t="n">
        <v>1</v>
      </c>
      <c r="J2754" s="17" t="n">
        <v>77</v>
      </c>
      <c r="K2754" s="17" t="n">
        <v>89.94</v>
      </c>
      <c r="L2754" s="17" t="n">
        <v>25.86</v>
      </c>
      <c r="M2754" s="17" t="n">
        <v>0</v>
      </c>
      <c r="N2754" s="17">
        <f>K2754*0.08+L2754*0.08</f>
        <v/>
      </c>
      <c r="O2754" s="17">
        <f>-(K2754*0.025+L2754*0.025)</f>
        <v/>
      </c>
      <c r="P2754" s="17">
        <f>32</f>
        <v/>
      </c>
      <c r="Q2754" s="17">
        <f>J2754+L2754+N2754+O2754-P2754-M2754</f>
        <v/>
      </c>
    </row>
    <row r="2755">
      <c r="A2755" s="16" t="inlineStr">
        <is>
          <t>5.22-5.28</t>
        </is>
      </c>
      <c r="B2755" s="16" t="inlineStr">
        <is>
          <t>PO-128-01371437333110624</t>
        </is>
      </c>
      <c r="C2755" s="16" t="inlineStr">
        <is>
          <t>Delivered</t>
        </is>
      </c>
      <c r="D2755" s="16" t="inlineStr">
        <is>
          <t>128-01371395390070624</t>
        </is>
      </c>
      <c r="E2755" s="16" t="inlineStr">
        <is>
          <t>Delivered</t>
        </is>
      </c>
      <c r="F2755" s="16" t="inlineStr">
        <is>
          <t>LV54W25</t>
        </is>
      </c>
      <c r="G2755" s="16" t="inlineStr">
        <is>
          <t>TIANLAI Lámpara Ventilador E27 2 en 1, Silenciosa, LED Alta Luminosidad 180°, Instalación Rápida, Ahorro Energético para Dormitorio y Interiores Pequeños</t>
        </is>
      </c>
      <c r="H2755" s="16" t="inlineStr">
        <is>
          <t>1 Pieza</t>
        </is>
      </c>
      <c r="I2755" s="16" t="n">
        <v>2</v>
      </c>
      <c r="J2755" s="17" t="n">
        <v>148</v>
      </c>
      <c r="K2755" s="17" t="n">
        <v>154.24</v>
      </c>
      <c r="L2755" s="17" t="n">
        <v>25.86</v>
      </c>
      <c r="M2755" s="17" t="n">
        <v>0</v>
      </c>
      <c r="N2755" s="17">
        <f>K2755*0.08+L2755*0.08</f>
        <v/>
      </c>
      <c r="O2755" s="17">
        <f>-(K2755*0.025+L2755*0.025)</f>
        <v/>
      </c>
      <c r="P2755" s="17">
        <f>32</f>
        <v/>
      </c>
      <c r="Q2755" s="17">
        <f>J2755+L2755+N2755+O2755-P2755-M2755</f>
        <v/>
      </c>
    </row>
    <row r="2756">
      <c r="A2756" s="16" t="inlineStr">
        <is>
          <t>5.22-5.28</t>
        </is>
      </c>
      <c r="B2756" s="16" t="inlineStr">
        <is>
          <t>PO-128-01054336384631298</t>
        </is>
      </c>
      <c r="C2756" s="16" t="inlineStr">
        <is>
          <t>Delivered</t>
        </is>
      </c>
      <c r="D2756" s="16" t="inlineStr">
        <is>
          <t>128-01054294441591298</t>
        </is>
      </c>
      <c r="E2756" s="16" t="inlineStr">
        <is>
          <t>Delivered</t>
        </is>
      </c>
      <c r="F2756" s="16" t="inlineStr">
        <is>
          <t>B03W10-10PZS</t>
        </is>
      </c>
      <c r="G275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56" s="16" t="inlineStr">
        <is>
          <t>B03W10</t>
        </is>
      </c>
      <c r="I2756" s="16" t="n">
        <v>1</v>
      </c>
      <c r="J2756" s="17" t="n">
        <v>77</v>
      </c>
      <c r="K2756" s="17" t="n">
        <v>80.95</v>
      </c>
      <c r="L2756" s="17" t="n">
        <v>25.86</v>
      </c>
      <c r="M2756" s="17" t="n">
        <v>0</v>
      </c>
      <c r="N2756" s="17">
        <f>K2756*0.08+L2756*0.08</f>
        <v/>
      </c>
      <c r="O2756" s="17">
        <f>-(K2756*0.025+L2756*0.025)</f>
        <v/>
      </c>
      <c r="P2756" s="17">
        <f>32</f>
        <v/>
      </c>
      <c r="Q2756" s="17">
        <f>J2756+L2756+N2756+O2756-P2756-M2756</f>
        <v/>
      </c>
    </row>
    <row r="2757">
      <c r="A2757" s="16" t="inlineStr">
        <is>
          <t>5.22-5.28</t>
        </is>
      </c>
      <c r="B2757" s="16" t="inlineStr">
        <is>
          <t>PO-128-01181764982391565</t>
        </is>
      </c>
      <c r="C2757" s="16" t="inlineStr">
        <is>
          <t>Delivered</t>
        </is>
      </c>
      <c r="D2757" s="16" t="inlineStr">
        <is>
          <t>128-01181723039351565</t>
        </is>
      </c>
      <c r="E2757" s="16" t="inlineStr">
        <is>
          <t>Delivered</t>
        </is>
      </c>
      <c r="F2757" s="16" t="inlineStr">
        <is>
          <t>TLCD06-12P-R</t>
        </is>
      </c>
      <c r="G275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757" s="16" t="inlineStr">
        <is>
          <t>ROJO/pantalla de 12 pulgadas</t>
        </is>
      </c>
      <c r="I2757" s="16" t="n">
        <v>1</v>
      </c>
      <c r="J2757" s="17" t="n">
        <v>32</v>
      </c>
      <c r="K2757" s="17" t="n">
        <v>0.91</v>
      </c>
      <c r="L2757" s="17" t="n">
        <v>25.86</v>
      </c>
      <c r="M2757" s="17" t="n">
        <v>0</v>
      </c>
      <c r="N2757" s="17">
        <f>K2757*0.08+L2757*0.08</f>
        <v/>
      </c>
      <c r="O2757" s="17">
        <f>-(K2757*0.025+L2757*0.025)</f>
        <v/>
      </c>
      <c r="P2757" s="17">
        <f>32</f>
        <v/>
      </c>
      <c r="Q2757" s="17">
        <f>J2757+L2757+N2757+O2757-P2757-M2757</f>
        <v/>
      </c>
    </row>
    <row r="2758">
      <c r="A2758" s="16" t="inlineStr">
        <is>
          <t>5.22-5.28</t>
        </is>
      </c>
      <c r="B2758" s="16" t="inlineStr">
        <is>
          <t>PO-128-01350095196790753</t>
        </is>
      </c>
      <c r="C2758" s="16" t="inlineStr">
        <is>
          <t>Delivered</t>
        </is>
      </c>
      <c r="D2758" s="16" t="inlineStr">
        <is>
          <t>128-01350200054390753</t>
        </is>
      </c>
      <c r="E2758" s="16" t="inlineStr">
        <is>
          <t>Delivered</t>
        </is>
      </c>
      <c r="F2758" s="16" t="inlineStr">
        <is>
          <t>LV54W25</t>
        </is>
      </c>
      <c r="G2758" s="16" t="inlineStr">
        <is>
          <t>TIANLAI Lámpara Ventilador E27 2 en 1, Silenciosa, LED Alta Luminosidad 180°, Instalación Rápida, Ahorro Energético para Dormitorio y Interiores Pequeños</t>
        </is>
      </c>
      <c r="H2758" s="16" t="inlineStr">
        <is>
          <t>1 Pieza</t>
        </is>
      </c>
      <c r="I2758" s="16" t="n">
        <v>1</v>
      </c>
      <c r="J2758" s="17" t="n">
        <v>74</v>
      </c>
      <c r="K2758" s="17" t="n">
        <v>23.67</v>
      </c>
      <c r="L2758" s="17" t="n">
        <v>25.86</v>
      </c>
      <c r="M2758" s="17" t="n">
        <v>0</v>
      </c>
      <c r="N2758" s="17">
        <f>K2758*0.08+L2758*0.08</f>
        <v/>
      </c>
      <c r="O2758" s="17">
        <f>-(K2758*0.025+L2758*0.025)</f>
        <v/>
      </c>
      <c r="P2758" s="17">
        <f>32</f>
        <v/>
      </c>
      <c r="Q2758" s="17">
        <f>J2758+L2758+N2758+O2758-P2758-M2758</f>
        <v/>
      </c>
    </row>
    <row r="2759">
      <c r="A2759" s="16" t="inlineStr">
        <is>
          <t>5.22-5.28</t>
        </is>
      </c>
      <c r="B2759" s="16" t="inlineStr">
        <is>
          <t>PO-128-01193704704631621</t>
        </is>
      </c>
      <c r="C2759" s="16" t="inlineStr">
        <is>
          <t>Delivered</t>
        </is>
      </c>
      <c r="D2759" s="16" t="inlineStr">
        <is>
          <t>128-01193720433271621</t>
        </is>
      </c>
      <c r="E2759" s="16" t="inlineStr">
        <is>
          <t>Delivered</t>
        </is>
      </c>
      <c r="F2759" s="16" t="inlineStr">
        <is>
          <t>LV54W25</t>
        </is>
      </c>
      <c r="G2759" s="16" t="inlineStr">
        <is>
          <t>TIANLAI Lámpara Ventilador E27 2 en 1, Silenciosa, LED Alta Luminosidad 180°, Instalación Rápida, Ahorro Energético para Dormitorio y Interiores Pequeños</t>
        </is>
      </c>
      <c r="H2759" s="16" t="inlineStr">
        <is>
          <t>1 Pieza</t>
        </is>
      </c>
      <c r="I2759" s="16" t="n">
        <v>1</v>
      </c>
      <c r="J2759" s="17" t="n">
        <v>74</v>
      </c>
      <c r="K2759" s="17" t="n">
        <v>85.68000000000001</v>
      </c>
      <c r="L2759" s="17" t="n">
        <v>25.86</v>
      </c>
      <c r="M2759" s="17" t="n">
        <v>0</v>
      </c>
      <c r="N2759" s="17">
        <f>K2759*0.08+L2759*0.08</f>
        <v/>
      </c>
      <c r="O2759" s="17">
        <f>-(K2759*0.025+L2759*0.025)</f>
        <v/>
      </c>
      <c r="P2759" s="17">
        <f>32</f>
        <v/>
      </c>
      <c r="Q2759" s="17">
        <f>J2759+L2759+N2759+O2759-P2759-M2759</f>
        <v/>
      </c>
    </row>
    <row r="2760">
      <c r="A2760" s="16" t="inlineStr">
        <is>
          <t>5.22-5.28</t>
        </is>
      </c>
      <c r="B2760" s="16" t="inlineStr">
        <is>
          <t>PO-128-01343660257910726</t>
        </is>
      </c>
      <c r="C2760" s="16" t="inlineStr">
        <is>
          <t>Delivered</t>
        </is>
      </c>
      <c r="D2760" s="16" t="inlineStr">
        <is>
          <t>128-01343618314870726</t>
        </is>
      </c>
      <c r="E2760" s="16" t="inlineStr">
        <is>
          <t>Delivered</t>
        </is>
      </c>
      <c r="F2760" s="16" t="inlineStr">
        <is>
          <t>LV54W25</t>
        </is>
      </c>
      <c r="G2760" s="16" t="inlineStr">
        <is>
          <t>TIANLAI Lámpara Ventilador E27 2 en 1, Silenciosa, LED Alta Luminosidad 180°, Instalación Rápida, Ahorro Energético para Dormitorio y Interiores Pequeños</t>
        </is>
      </c>
      <c r="H2760" s="16" t="inlineStr">
        <is>
          <t>1 Pieza</t>
        </is>
      </c>
      <c r="I2760" s="16" t="n">
        <v>1</v>
      </c>
      <c r="J2760" s="17" t="n">
        <v>74</v>
      </c>
      <c r="K2760" s="17" t="n">
        <v>78.83</v>
      </c>
      <c r="L2760" s="17" t="n">
        <v>25.86</v>
      </c>
      <c r="M2760" s="17" t="n">
        <v>0</v>
      </c>
      <c r="N2760" s="17">
        <f>K2760*0.08+L2760*0.08</f>
        <v/>
      </c>
      <c r="O2760" s="17">
        <f>-(K2760*0.025+L2760*0.025)</f>
        <v/>
      </c>
      <c r="P2760" s="17">
        <f>32</f>
        <v/>
      </c>
      <c r="Q2760" s="17">
        <f>J2760+L2760+N2760+O2760-P2760-M2760</f>
        <v/>
      </c>
    </row>
    <row r="2761">
      <c r="A2761" s="16" t="inlineStr">
        <is>
          <t>5.22-5.28</t>
        </is>
      </c>
      <c r="B2761" s="16" t="inlineStr">
        <is>
          <t>PO-128-01205804053110397</t>
        </is>
      </c>
      <c r="C2761" s="16" t="inlineStr">
        <is>
          <t>Delivered</t>
        </is>
      </c>
      <c r="D2761" s="16" t="inlineStr">
        <is>
          <t>128-01205817160310397</t>
        </is>
      </c>
      <c r="E2761" s="16" t="inlineStr">
        <is>
          <t>Delivered</t>
        </is>
      </c>
      <c r="F2761" s="16" t="inlineStr">
        <is>
          <t>KTS-2031</t>
        </is>
      </c>
      <c r="G2761" s="16" t="inlineStr">
        <is>
          <t>Bocina inalámbrica de 3 pulgadas con linterna multifuncional y panel solar integrado.Altavoz Portátil con Linterna LED 4 Modos, Radio FM, Bluetooth, Carga Solar, Ideal para Apagones, Emergencias, Campo y Exteriores</t>
        </is>
      </c>
      <c r="H2761" s="16" t="inlineStr">
        <is>
          <t>NEGRO</t>
        </is>
      </c>
      <c r="I2761" s="16" t="n">
        <v>1</v>
      </c>
      <c r="J2761" s="17" t="n">
        <v>90</v>
      </c>
      <c r="K2761" s="17" t="n">
        <v>72.2</v>
      </c>
      <c r="L2761" s="17" t="n">
        <v>25.86</v>
      </c>
      <c r="M2761" s="17" t="n">
        <v>0</v>
      </c>
      <c r="N2761" s="17">
        <f>K2761*0.08+L2761*0.08</f>
        <v/>
      </c>
      <c r="O2761" s="17">
        <f>-(K2761*0.025+L2761*0.025)</f>
        <v/>
      </c>
      <c r="P2761" s="17">
        <f>32</f>
        <v/>
      </c>
      <c r="Q2761" s="17">
        <f>J2761+L2761+N2761+O2761-P2761-M2761</f>
        <v/>
      </c>
    </row>
    <row r="2762">
      <c r="A2762" s="16" t="inlineStr">
        <is>
          <t>5.22-5.28</t>
        </is>
      </c>
      <c r="B2762" s="16" t="inlineStr">
        <is>
          <t>PO-128-01017040077432608</t>
        </is>
      </c>
      <c r="C2762" s="16" t="inlineStr">
        <is>
          <t>Delivered</t>
        </is>
      </c>
      <c r="D2762" s="16" t="inlineStr">
        <is>
          <t>128-01017087263352608</t>
        </is>
      </c>
      <c r="E2762" s="16" t="inlineStr">
        <is>
          <t>Delivered</t>
        </is>
      </c>
      <c r="F2762" s="16" t="inlineStr">
        <is>
          <t>B03W10-10PZS</t>
        </is>
      </c>
      <c r="G276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62" s="16" t="inlineStr">
        <is>
          <t>B03W10</t>
        </is>
      </c>
      <c r="I2762" s="16" t="n">
        <v>1</v>
      </c>
      <c r="J2762" s="17" t="n">
        <v>77</v>
      </c>
      <c r="K2762" s="17" t="n">
        <v>89.94</v>
      </c>
      <c r="L2762" s="17" t="n">
        <v>25.86</v>
      </c>
      <c r="M2762" s="17" t="n">
        <v>0</v>
      </c>
      <c r="N2762" s="17">
        <f>K2762*0.08+L2762*0.08</f>
        <v/>
      </c>
      <c r="O2762" s="17">
        <f>-(K2762*0.025+L2762*0.025)</f>
        <v/>
      </c>
      <c r="P2762" s="17">
        <f>32</f>
        <v/>
      </c>
      <c r="Q2762" s="17">
        <f>J2762+L2762+N2762+O2762-P2762-M2762</f>
        <v/>
      </c>
    </row>
    <row r="2763">
      <c r="A2763" s="16" t="inlineStr">
        <is>
          <t>5.22-5.28</t>
        </is>
      </c>
      <c r="B2763" s="16" t="inlineStr">
        <is>
          <t>PO-128-01347699006070766</t>
        </is>
      </c>
      <c r="C2763" s="16" t="inlineStr">
        <is>
          <t>Delivered</t>
        </is>
      </c>
      <c r="D2763" s="16" t="inlineStr">
        <is>
          <t>128-01347704248950766</t>
        </is>
      </c>
      <c r="E2763" s="16" t="inlineStr">
        <is>
          <t>Delivered</t>
        </is>
      </c>
      <c r="F2763" s="16" t="inlineStr">
        <is>
          <t>TL1455N20B</t>
        </is>
      </c>
      <c r="G2763" s="16" t="inlineStr">
        <is>
          <t>LINK BITS Soporte para TV 14 A 55 Pulgadas, Base para TV Pantalla Articulado Inclinable y Giratorio, MAX VESA 400×400 mm, Soporta hasta 18kg, adaptarse a la mayoría de los televisores de 14 Pulgadas/20 Pulgadas/32 Pulgadas/42 Pulgadas/55 pulgadas</t>
        </is>
      </c>
      <c r="H2763" s="16" t="inlineStr">
        <is>
          <t>TL1455N20B</t>
        </is>
      </c>
      <c r="I2763" s="16" t="n">
        <v>1</v>
      </c>
      <c r="J2763" s="17" t="n">
        <v>71</v>
      </c>
      <c r="K2763" s="17" t="n">
        <v>92.06</v>
      </c>
      <c r="L2763" s="17" t="n">
        <v>25.86</v>
      </c>
      <c r="M2763" s="17" t="n">
        <v>0</v>
      </c>
      <c r="N2763" s="17">
        <f>K2763*0.08+L2763*0.08</f>
        <v/>
      </c>
      <c r="O2763" s="17">
        <f>-(K2763*0.025+L2763*0.025)</f>
        <v/>
      </c>
      <c r="P2763" s="17">
        <f>32</f>
        <v/>
      </c>
      <c r="Q2763" s="17">
        <f>J2763+L2763+N2763+O2763-P2763-M2763</f>
        <v/>
      </c>
    </row>
    <row r="2764">
      <c r="A2764" s="16" t="inlineStr">
        <is>
          <t>5.22-5.28</t>
        </is>
      </c>
      <c r="B2764" s="16" t="inlineStr">
        <is>
          <t>PO-128-01267130476150030</t>
        </is>
      </c>
      <c r="C2764" s="16" t="inlineStr">
        <is>
          <t>Delivered</t>
        </is>
      </c>
      <c r="D2764" s="16" t="inlineStr">
        <is>
          <t>128-01267151447670030</t>
        </is>
      </c>
      <c r="E2764" s="16" t="inlineStr">
        <is>
          <t>Delivered</t>
        </is>
      </c>
      <c r="F2764" s="16" t="inlineStr">
        <is>
          <t>LV54W25</t>
        </is>
      </c>
      <c r="G2764" s="16" t="inlineStr">
        <is>
          <t>TIANLAI Lámpara Ventilador E27 2 en 1, Silenciosa, LED Alta Luminosidad 180°, Instalación Rápida, Ahorro Energético para Dormitorio y Interiores Pequeños</t>
        </is>
      </c>
      <c r="H2764" s="16" t="inlineStr">
        <is>
          <t>1 Pieza</t>
        </is>
      </c>
      <c r="I2764" s="16" t="n">
        <v>1</v>
      </c>
      <c r="J2764" s="17" t="n">
        <v>74</v>
      </c>
      <c r="K2764" s="17" t="n">
        <v>77.12</v>
      </c>
      <c r="L2764" s="17" t="n">
        <v>25.86</v>
      </c>
      <c r="M2764" s="17" t="n">
        <v>0</v>
      </c>
      <c r="N2764" s="17">
        <f>K2764*0.08+L2764*0.08</f>
        <v/>
      </c>
      <c r="O2764" s="17">
        <f>-(K2764*0.025+L2764*0.025)</f>
        <v/>
      </c>
      <c r="P2764" s="17">
        <f>32</f>
        <v/>
      </c>
      <c r="Q2764" s="17">
        <f>J2764+L2764+N2764+O2764-P2764-M2764</f>
        <v/>
      </c>
    </row>
    <row r="2765">
      <c r="A2765" s="16" t="inlineStr">
        <is>
          <t>5.22-5.28</t>
        </is>
      </c>
      <c r="B2765" s="16" t="inlineStr">
        <is>
          <t>PO-128-00829723433593791</t>
        </is>
      </c>
      <c r="C2765" s="16" t="inlineStr">
        <is>
          <t>Delivered</t>
        </is>
      </c>
      <c r="D2765" s="16" t="inlineStr">
        <is>
          <t>128-00829791591033791</t>
        </is>
      </c>
      <c r="E2765" s="16" t="inlineStr">
        <is>
          <t>Delivered</t>
        </is>
      </c>
      <c r="F2765" s="16" t="inlineStr">
        <is>
          <t>i12-B</t>
        </is>
      </c>
      <c r="G2765" s="16" t="inlineStr">
        <is>
          <t>Auriculares Inalámbricos TWS - Ideales para Usuarios Android e iPhone, Entusiastas del Deporte &amp; Música, Controles Táctiles, Audífonos Para Correr y Jugar</t>
        </is>
      </c>
      <c r="H2765" s="16" t="inlineStr">
        <is>
          <t>Blanco</t>
        </is>
      </c>
      <c r="I2765" s="16" t="n">
        <v>1</v>
      </c>
      <c r="J2765" s="17" t="n">
        <v>46</v>
      </c>
      <c r="K2765" s="17" t="n">
        <v>49.74</v>
      </c>
      <c r="L2765" s="17" t="n">
        <v>25.86</v>
      </c>
      <c r="M2765" s="17" t="n">
        <v>0</v>
      </c>
      <c r="N2765" s="17">
        <f>K2765*0.08+L2765*0.08</f>
        <v/>
      </c>
      <c r="O2765" s="17">
        <f>-(K2765*0.025+L2765*0.025)</f>
        <v/>
      </c>
      <c r="P2765" s="17">
        <f>32</f>
        <v/>
      </c>
      <c r="Q2765" s="17">
        <f>J2765+L2765+N2765+O2765-P2765-M2765</f>
        <v/>
      </c>
    </row>
    <row r="2766">
      <c r="A2766" s="16" t="inlineStr">
        <is>
          <t>5.22-5.28</t>
        </is>
      </c>
      <c r="B2766" s="16" t="inlineStr">
        <is>
          <t>PO-128-01300998052470980</t>
        </is>
      </c>
      <c r="C2766" s="16" t="inlineStr">
        <is>
          <t>Delivered</t>
        </is>
      </c>
      <c r="D2766" s="16" t="inlineStr">
        <is>
          <t>128-01301066209910980</t>
        </is>
      </c>
      <c r="E2766" s="16" t="inlineStr">
        <is>
          <t>Delivered</t>
        </is>
      </c>
      <c r="F2766" s="16" t="inlineStr">
        <is>
          <t>LV54W25</t>
        </is>
      </c>
      <c r="G2766" s="16" t="inlineStr">
        <is>
          <t>TIANLAI Lámpara Ventilador E27 2 en 1, Silenciosa, LED Alta Luminosidad 180°, Instalación Rápida, Ahorro Energético para Dormitorio y Interiores Pequeños</t>
        </is>
      </c>
      <c r="H2766" s="16" t="inlineStr">
        <is>
          <t>1 Pieza</t>
        </is>
      </c>
      <c r="I2766" s="16" t="n">
        <v>3</v>
      </c>
      <c r="J2766" s="17" t="n">
        <v>222</v>
      </c>
      <c r="K2766" s="17" t="n">
        <v>231.36</v>
      </c>
      <c r="L2766" s="17" t="n">
        <v>25.86</v>
      </c>
      <c r="M2766" s="17" t="n">
        <v>0</v>
      </c>
      <c r="N2766" s="17">
        <f>K2766*0.08+L2766*0.08</f>
        <v/>
      </c>
      <c r="O2766" s="17">
        <f>-(K2766*0.025+L2766*0.025)</f>
        <v/>
      </c>
      <c r="P2766" s="17">
        <f>32</f>
        <v/>
      </c>
      <c r="Q2766" s="17">
        <f>J2766+L2766+N2766+O2766-P2766-M2766</f>
        <v/>
      </c>
    </row>
    <row r="2767">
      <c r="A2767" s="16" t="inlineStr">
        <is>
          <t>5.22-5.28</t>
        </is>
      </c>
      <c r="B2767" s="16" t="inlineStr">
        <is>
          <t>PO-128-00850192824953669</t>
        </is>
      </c>
      <c r="C2767" s="16" t="inlineStr">
        <is>
          <t>Delivered</t>
        </is>
      </c>
      <c r="D2767" s="16" t="inlineStr">
        <is>
          <t>128-00850260982393669</t>
        </is>
      </c>
      <c r="E2767" s="16" t="inlineStr">
        <is>
          <t>Delivered</t>
        </is>
      </c>
      <c r="F2767" s="16" t="inlineStr">
        <is>
          <t>LV54W25</t>
        </is>
      </c>
      <c r="G2767" s="16" t="inlineStr">
        <is>
          <t>TIANLAI Lámpara Ventilador E27 2 en 1, Silenciosa, LED Alta Luminosidad 180°, Instalación Rápida, Ahorro Energético para Dormitorio y Interiores Pequeños</t>
        </is>
      </c>
      <c r="H2767" s="16" t="inlineStr">
        <is>
          <t>1 Pieza</t>
        </is>
      </c>
      <c r="I2767" s="16" t="n">
        <v>1</v>
      </c>
      <c r="J2767" s="17" t="n">
        <v>74</v>
      </c>
      <c r="K2767" s="17" t="n">
        <v>78.83</v>
      </c>
      <c r="L2767" s="17" t="n">
        <v>25.86</v>
      </c>
      <c r="M2767" s="17" t="n">
        <v>0</v>
      </c>
      <c r="N2767" s="17">
        <f>K2767*0.08+L2767*0.08</f>
        <v/>
      </c>
      <c r="O2767" s="17">
        <f>-(K2767*0.025+L2767*0.025)</f>
        <v/>
      </c>
      <c r="P2767" s="17">
        <f>32</f>
        <v/>
      </c>
      <c r="Q2767" s="17">
        <f>J2767+L2767+N2767+O2767-P2767-M2767</f>
        <v/>
      </c>
    </row>
    <row r="2768">
      <c r="A2768" s="16" t="inlineStr">
        <is>
          <t>5.22-5.28</t>
        </is>
      </c>
      <c r="B2768" s="16" t="inlineStr">
        <is>
          <t>PO-128-01286775009910107</t>
        </is>
      </c>
      <c r="C2768" s="16" t="inlineStr">
        <is>
          <t>Delivered</t>
        </is>
      </c>
      <c r="D2768" s="16" t="inlineStr">
        <is>
          <t>128-01286733066870107</t>
        </is>
      </c>
      <c r="E2768" s="16" t="inlineStr">
        <is>
          <t>Delivered</t>
        </is>
      </c>
      <c r="F2768" s="16" t="inlineStr">
        <is>
          <t>TL1455N20B</t>
        </is>
      </c>
      <c r="G2768" s="16" t="inlineStr">
        <is>
          <t>LINK BITS Soporte para TV 14 A 55 Pulgadas, Base para TV Pantalla Articulado Inclinable y Giratorio, MAX VESA 400×400 mm, Soporta hasta 18kg, adaptarse a la mayoría de los televisores de 14 Pulgadas/20 Pulgadas/32 Pulgadas/42 Pulgadas/55 pulgadas</t>
        </is>
      </c>
      <c r="H2768" s="16" t="inlineStr">
        <is>
          <t>TL1455N20B</t>
        </is>
      </c>
      <c r="I2768" s="16" t="n">
        <v>3</v>
      </c>
      <c r="J2768" s="17" t="n">
        <v>213</v>
      </c>
      <c r="K2768" s="17" t="n">
        <v>276.18</v>
      </c>
      <c r="L2768" s="17" t="n">
        <v>0</v>
      </c>
      <c r="M2768" s="17" t="n">
        <v>0</v>
      </c>
      <c r="N2768" s="17">
        <f>K2768*0.08+L2768*0.08</f>
        <v/>
      </c>
      <c r="O2768" s="17">
        <f>-(K2768*0.025+L2768*0.025)</f>
        <v/>
      </c>
      <c r="P2768" s="17">
        <f>32</f>
        <v/>
      </c>
      <c r="Q2768" s="17">
        <f>J2768+L2768+N2768+O2768-P2768-M2768</f>
        <v/>
      </c>
    </row>
    <row r="2769">
      <c r="A2769" s="16" t="inlineStr">
        <is>
          <t>5.22-5.28</t>
        </is>
      </c>
      <c r="B2769" s="16" t="inlineStr">
        <is>
          <t>PO-128-00846395899513626</t>
        </is>
      </c>
      <c r="C2769" s="16" t="inlineStr">
        <is>
          <t>Delivered</t>
        </is>
      </c>
      <c r="D2769" s="16" t="inlineStr">
        <is>
          <t>128-00846353956473626</t>
        </is>
      </c>
      <c r="E2769" s="16" t="inlineStr">
        <is>
          <t>Delivered</t>
        </is>
      </c>
      <c r="F2769" s="16" t="inlineStr">
        <is>
          <t>LV54W25</t>
        </is>
      </c>
      <c r="G2769" s="16" t="inlineStr">
        <is>
          <t>TIANLAI Lámpara Ventilador E27 2 en 1, Silenciosa, LED Alta Luminosidad 180°, Instalación Rápida, Ahorro Energético para Dormitorio y Interiores Pequeños</t>
        </is>
      </c>
      <c r="H2769" s="16" t="inlineStr">
        <is>
          <t>1 Pieza</t>
        </is>
      </c>
      <c r="I2769" s="16" t="n">
        <v>1</v>
      </c>
      <c r="J2769" s="17" t="n">
        <v>74</v>
      </c>
      <c r="K2769" s="17" t="n">
        <v>18.49</v>
      </c>
      <c r="L2769" s="17" t="n">
        <v>25.86</v>
      </c>
      <c r="M2769" s="17" t="n">
        <v>0</v>
      </c>
      <c r="N2769" s="17">
        <f>K2769*0.08+L2769*0.08</f>
        <v/>
      </c>
      <c r="O2769" s="17">
        <f>-(K2769*0.025+L2769*0.025)</f>
        <v/>
      </c>
      <c r="P2769" s="17">
        <f>32</f>
        <v/>
      </c>
      <c r="Q2769" s="17">
        <f>J2769+L2769+N2769+O2769-P2769-M2769</f>
        <v/>
      </c>
    </row>
    <row r="2770">
      <c r="A2770" s="16" t="inlineStr">
        <is>
          <t>5.22-5.28</t>
        </is>
      </c>
      <c r="B2770" s="16" t="inlineStr">
        <is>
          <t>PO-128-00835700864633819</t>
        </is>
      </c>
      <c r="C2770" s="16" t="inlineStr">
        <is>
          <t>Delivered</t>
        </is>
      </c>
      <c r="D2770" s="16" t="inlineStr">
        <is>
          <t>128-00835721836153819</t>
        </is>
      </c>
      <c r="E2770" s="16" t="inlineStr">
        <is>
          <t>Delivered</t>
        </is>
      </c>
      <c r="F2770" s="16" t="inlineStr">
        <is>
          <t>KTS-2031</t>
        </is>
      </c>
      <c r="G2770" s="16" t="inlineStr">
        <is>
          <t>Bocina inalámbrica de 3 pulgadas con linterna multifuncional y panel solar integrado.Altavoz Portátil con Linterna LED 4 Modos, Radio FM, Bluetooth, Carga Solar, Ideal para Apagones, Emergencias, Campo y Exteriores</t>
        </is>
      </c>
      <c r="H2770" s="16" t="inlineStr">
        <is>
          <t>NEGRO</t>
        </is>
      </c>
      <c r="I2770" s="16" t="n">
        <v>1</v>
      </c>
      <c r="J2770" s="17" t="n">
        <v>90</v>
      </c>
      <c r="K2770" s="17" t="n">
        <v>99.22</v>
      </c>
      <c r="L2770" s="17" t="n">
        <v>25.86</v>
      </c>
      <c r="M2770" s="17" t="n">
        <v>0</v>
      </c>
      <c r="N2770" s="17">
        <f>K2770*0.08+L2770*0.08</f>
        <v/>
      </c>
      <c r="O2770" s="17">
        <f>-(K2770*0.025+L2770*0.025)</f>
        <v/>
      </c>
      <c r="P2770" s="17">
        <f>32</f>
        <v/>
      </c>
      <c r="Q2770" s="17">
        <f>J2770+L2770+N2770+O2770-P2770-M2770</f>
        <v/>
      </c>
    </row>
    <row r="2771">
      <c r="A2771" s="16" t="inlineStr">
        <is>
          <t>5.22-5.28</t>
        </is>
      </c>
      <c r="B2771" s="16" t="inlineStr">
        <is>
          <t>PO-128-00760707134073112</t>
        </is>
      </c>
      <c r="C2771" s="16" t="inlineStr">
        <is>
          <t>Delivered</t>
        </is>
      </c>
      <c r="D2771" s="16" t="inlineStr">
        <is>
          <t>128-00760811991673112</t>
        </is>
      </c>
      <c r="E2771" s="16" t="inlineStr">
        <is>
          <t>Delivered</t>
        </is>
      </c>
      <c r="F2771" s="16" t="inlineStr">
        <is>
          <t>TLCD06-12P-A</t>
        </is>
      </c>
      <c r="G277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771" s="16" t="inlineStr">
        <is>
          <t>AZUL/pantalla de 12 pulgadas</t>
        </is>
      </c>
      <c r="I2771" s="16" t="n">
        <v>1</v>
      </c>
      <c r="J2771" s="17" t="n">
        <v>32</v>
      </c>
      <c r="K2771" s="17" t="n">
        <v>44.01</v>
      </c>
      <c r="L2771" s="17" t="n">
        <v>25.86</v>
      </c>
      <c r="M2771" s="17" t="n">
        <v>0</v>
      </c>
      <c r="N2771" s="17">
        <f>K2771*0.08+L2771*0.08</f>
        <v/>
      </c>
      <c r="O2771" s="17">
        <f>-(K2771*0.025+L2771*0.025)</f>
        <v/>
      </c>
      <c r="P2771" s="17">
        <f>32</f>
        <v/>
      </c>
      <c r="Q2771" s="17">
        <f>J2771+L2771+N2771+O2771-P2771-M2771</f>
        <v/>
      </c>
    </row>
    <row r="2772">
      <c r="A2772" s="16" t="inlineStr">
        <is>
          <t>5.22-5.28</t>
        </is>
      </c>
      <c r="B2772" s="16" t="inlineStr">
        <is>
          <t>PO-128-00780612403834018</t>
        </is>
      </c>
      <c r="C2772" s="16" t="inlineStr">
        <is>
          <t>Delivered</t>
        </is>
      </c>
      <c r="D2772" s="16" t="inlineStr">
        <is>
          <t>128-00780570460794018</t>
        </is>
      </c>
      <c r="E2772" s="16" t="inlineStr">
        <is>
          <t>Delivered</t>
        </is>
      </c>
      <c r="F2772" s="16" t="inlineStr">
        <is>
          <t>LV54W25</t>
        </is>
      </c>
      <c r="G2772" s="16" t="inlineStr">
        <is>
          <t>TIANLAI Lámpara Ventilador E27 2 en 1, Silenciosa, LED Alta Luminosidad 180°, Instalación Rápida, Ahorro Energético para Dormitorio y Interiores Pequeños</t>
        </is>
      </c>
      <c r="H2772" s="16" t="inlineStr">
        <is>
          <t>1 Pieza</t>
        </is>
      </c>
      <c r="I2772" s="16" t="n">
        <v>2</v>
      </c>
      <c r="J2772" s="17" t="n">
        <v>148</v>
      </c>
      <c r="K2772" s="17" t="n">
        <v>154.23</v>
      </c>
      <c r="L2772" s="17" t="n">
        <v>25.86</v>
      </c>
      <c r="M2772" s="17" t="n">
        <v>0</v>
      </c>
      <c r="N2772" s="17">
        <f>K2772*0.08+L2772*0.08</f>
        <v/>
      </c>
      <c r="O2772" s="17">
        <f>-(K2772*0.025+L2772*0.025)</f>
        <v/>
      </c>
      <c r="P2772" s="17">
        <f>32</f>
        <v/>
      </c>
      <c r="Q2772" s="17">
        <f>J2772+L2772+N2772+O2772-P2772-M2772</f>
        <v/>
      </c>
    </row>
    <row r="2773">
      <c r="A2773" s="16" t="inlineStr">
        <is>
          <t>5.22-5.28</t>
        </is>
      </c>
      <c r="B2773" s="16" t="inlineStr">
        <is>
          <t>PO-128-01309562573430995</t>
        </is>
      </c>
      <c r="C2773" s="16" t="inlineStr">
        <is>
          <t>Delivered</t>
        </is>
      </c>
      <c r="D2773" s="16" t="inlineStr">
        <is>
          <t>128-01309531116150995</t>
        </is>
      </c>
      <c r="E2773" s="16" t="inlineStr">
        <is>
          <t>Delivered</t>
        </is>
      </c>
      <c r="F2773" s="16" t="inlineStr">
        <is>
          <t>LV64W25</t>
        </is>
      </c>
      <c r="G27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73" s="16" t="inlineStr">
        <is>
          <t>Blanco</t>
        </is>
      </c>
      <c r="I2773" s="16" t="n">
        <v>1</v>
      </c>
      <c r="J2773" s="17" t="n">
        <v>125</v>
      </c>
      <c r="K2773" s="17" t="n">
        <v>143.26</v>
      </c>
      <c r="L2773" s="17" t="n">
        <v>25.86</v>
      </c>
      <c r="M2773" s="17" t="n">
        <v>0</v>
      </c>
      <c r="N2773" s="17">
        <f>K2773*0.08+L2773*0.08</f>
        <v/>
      </c>
      <c r="O2773" s="17">
        <f>-(K2773*0.025+L2773*0.025)</f>
        <v/>
      </c>
      <c r="P2773" s="17">
        <f>32</f>
        <v/>
      </c>
      <c r="Q2773" s="17">
        <f>J2773+L2773+N2773+O2773-P2773-M2773</f>
        <v/>
      </c>
    </row>
    <row r="2774">
      <c r="A2774" s="16" t="inlineStr">
        <is>
          <t>5.22-5.28</t>
        </is>
      </c>
      <c r="B2774" s="16" t="inlineStr">
        <is>
          <t>PO-128-01327223445110888</t>
        </is>
      </c>
      <c r="C2774" s="16" t="inlineStr">
        <is>
          <t>Delivered</t>
        </is>
      </c>
      <c r="D2774" s="16" t="inlineStr">
        <is>
          <t>128-01327233930870888</t>
        </is>
      </c>
      <c r="E2774" s="16" t="inlineStr">
        <is>
          <t>Delivered</t>
        </is>
      </c>
      <c r="F2774" s="16" t="inlineStr">
        <is>
          <t>LV54W25</t>
        </is>
      </c>
      <c r="G2774" s="16" t="inlineStr">
        <is>
          <t>TIANLAI Lámpara Ventilador E27 2 en 1, Silenciosa, LED Alta Luminosidad 180°, Instalación Rápida, Ahorro Energético para Dormitorio y Interiores Pequeños</t>
        </is>
      </c>
      <c r="H2774" s="16" t="inlineStr">
        <is>
          <t>1 Pieza</t>
        </is>
      </c>
      <c r="I2774" s="16" t="n">
        <v>1</v>
      </c>
      <c r="J2774" s="17" t="n">
        <v>74</v>
      </c>
      <c r="K2774" s="17" t="n">
        <v>77.12</v>
      </c>
      <c r="L2774" s="17" t="n">
        <v>25.86</v>
      </c>
      <c r="M2774" s="17" t="n">
        <v>0</v>
      </c>
      <c r="N2774" s="17">
        <f>K2774*0.08+L2774*0.08</f>
        <v/>
      </c>
      <c r="O2774" s="17">
        <f>-(K2774*0.025+L2774*0.025)</f>
        <v/>
      </c>
      <c r="P2774" s="17">
        <f>32</f>
        <v/>
      </c>
      <c r="Q2774" s="17">
        <f>J2774+L2774+N2774+O2774-P2774-M2774</f>
        <v/>
      </c>
    </row>
    <row r="2775">
      <c r="A2775" s="16" t="inlineStr">
        <is>
          <t>5.22-5.28</t>
        </is>
      </c>
      <c r="B2775" s="16" t="inlineStr">
        <is>
          <t>PO-128-00790118912634091</t>
        </is>
      </c>
      <c r="C2775" s="16" t="inlineStr">
        <is>
          <t>Delivered</t>
        </is>
      </c>
      <c r="D2775" s="16" t="inlineStr">
        <is>
          <t>128-00790076969594091</t>
        </is>
      </c>
      <c r="E2775" s="16" t="inlineStr">
        <is>
          <t>Delivered</t>
        </is>
      </c>
      <c r="F2775" s="16" t="inlineStr">
        <is>
          <t>LV64W25</t>
        </is>
      </c>
      <c r="G27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75" s="16" t="inlineStr">
        <is>
          <t>Blanco</t>
        </is>
      </c>
      <c r="I2775" s="16" t="n">
        <v>2</v>
      </c>
      <c r="J2775" s="17" t="n">
        <v>250</v>
      </c>
      <c r="K2775" s="17" t="n">
        <v>286.52</v>
      </c>
      <c r="L2775" s="17" t="n">
        <v>0</v>
      </c>
      <c r="M2775" s="17" t="n">
        <v>2.2</v>
      </c>
      <c r="N2775" s="17">
        <f>K2775*0.08+L2775*0.08</f>
        <v/>
      </c>
      <c r="O2775" s="17">
        <f>-(K2775*0.025+L2775*0.025)</f>
        <v/>
      </c>
      <c r="P2775" s="17">
        <f>32</f>
        <v/>
      </c>
      <c r="Q2775" s="17">
        <f>J2775+L2775+N2775+O2775-P2775-M2775</f>
        <v/>
      </c>
    </row>
    <row r="2776">
      <c r="A2776" s="16" t="inlineStr">
        <is>
          <t>5.22-5.28</t>
        </is>
      </c>
      <c r="B2776" s="16" t="inlineStr">
        <is>
          <t>PO-128-01299089669750929</t>
        </is>
      </c>
      <c r="C2776" s="16" t="inlineStr">
        <is>
          <t>Delivered</t>
        </is>
      </c>
      <c r="D2776" s="16" t="inlineStr">
        <is>
          <t>128-01299094912630929</t>
        </is>
      </c>
      <c r="E2776" s="16" t="inlineStr">
        <is>
          <t>Delivered</t>
        </is>
      </c>
      <c r="F2776" s="16" t="inlineStr">
        <is>
          <t>TL1455N20B</t>
        </is>
      </c>
      <c r="G2776" s="16" t="inlineStr">
        <is>
          <t>LINK BITS Soporte para TV 14 A 55 Pulgadas, Base para TV Pantalla Articulado Inclinable y Giratorio, MAX VESA 400×400 mm, Soporta hasta 18kg, adaptarse a la mayoría de los televisores de 14 Pulgadas/20 Pulgadas/32 Pulgadas/42 Pulgadas/55 pulgadas</t>
        </is>
      </c>
      <c r="H2776" s="16" t="inlineStr">
        <is>
          <t>TL1455N20B</t>
        </is>
      </c>
      <c r="I2776" s="16" t="n">
        <v>1</v>
      </c>
      <c r="J2776" s="17" t="n">
        <v>71</v>
      </c>
      <c r="K2776" s="17" t="n">
        <v>92.06</v>
      </c>
      <c r="L2776" s="17" t="n">
        <v>25.86</v>
      </c>
      <c r="M2776" s="17" t="n">
        <v>0</v>
      </c>
      <c r="N2776" s="17">
        <f>K2776*0.08+L2776*0.08</f>
        <v/>
      </c>
      <c r="O2776" s="17">
        <f>-(K2776*0.025+L2776*0.025)</f>
        <v/>
      </c>
      <c r="P2776" s="17">
        <f>32</f>
        <v/>
      </c>
      <c r="Q2776" s="17">
        <f>J2776+L2776+N2776+O2776-P2776-M2776</f>
        <v/>
      </c>
    </row>
    <row r="2777">
      <c r="A2777" s="16" t="inlineStr">
        <is>
          <t>5.22-5.28</t>
        </is>
      </c>
      <c r="B2777" s="16" t="inlineStr">
        <is>
          <t>PO-128-00862007951992447</t>
        </is>
      </c>
      <c r="C2777" s="16" t="inlineStr">
        <is>
          <t>Delivered</t>
        </is>
      </c>
      <c r="D2777" s="16" t="inlineStr">
        <is>
          <t>128-00861986980472447</t>
        </is>
      </c>
      <c r="E2777" s="16" t="inlineStr">
        <is>
          <t>Delivered</t>
        </is>
      </c>
      <c r="F2777" s="16" t="inlineStr">
        <is>
          <t>LV54W25</t>
        </is>
      </c>
      <c r="G2777" s="16" t="inlineStr">
        <is>
          <t>TIANLAI Lámpara Ventilador E27 2 en 1, Silenciosa, LED Alta Luminosidad 180°, Instalación Rápida, Ahorro Energético para Dormitorio y Interiores Pequeños</t>
        </is>
      </c>
      <c r="H2777" s="16" t="inlineStr">
        <is>
          <t>1 Pieza</t>
        </is>
      </c>
      <c r="I2777" s="16" t="n">
        <v>12</v>
      </c>
      <c r="J2777" s="17" t="n">
        <v>888</v>
      </c>
      <c r="K2777" s="17" t="n">
        <v>1028.16</v>
      </c>
      <c r="L2777" s="17" t="n">
        <v>0</v>
      </c>
      <c r="M2777" s="17" t="n">
        <v>0</v>
      </c>
      <c r="N2777" s="17">
        <f>K2777*0.08+L2777*0.08</f>
        <v/>
      </c>
      <c r="O2777" s="17">
        <f>-(K2777*0.025+L2777*0.025)</f>
        <v/>
      </c>
      <c r="P2777" s="17">
        <f>32</f>
        <v/>
      </c>
      <c r="Q2777" s="17">
        <f>J2777+L2777+N2777+O2777-P2777-M2777</f>
        <v/>
      </c>
    </row>
    <row r="2778">
      <c r="A2778" s="16" t="inlineStr">
        <is>
          <t>5.22-5.28</t>
        </is>
      </c>
      <c r="B2778" s="16" t="inlineStr">
        <is>
          <t>PO-128-00862007951992447</t>
        </is>
      </c>
      <c r="C2778" s="16" t="inlineStr">
        <is>
          <t>Delivered</t>
        </is>
      </c>
      <c r="D2778" s="16" t="inlineStr">
        <is>
          <t>128-00861881928312447</t>
        </is>
      </c>
      <c r="E2778" s="16" t="inlineStr">
        <is>
          <t>Delivered</t>
        </is>
      </c>
      <c r="F2778" s="16" t="inlineStr">
        <is>
          <t>LV54W25</t>
        </is>
      </c>
      <c r="G2778" s="16" t="inlineStr">
        <is>
          <t>TIANLAI Lámpara Ventilador E27 2 en 1, Silenciosa, LED Alta Luminosidad 180°, Instalación Rápida, Ahorro Energético para Dormitorio y Interiores Pequeños</t>
        </is>
      </c>
      <c r="H2778" s="16" t="inlineStr">
        <is>
          <t>1 Pieza</t>
        </is>
      </c>
      <c r="I2778" s="16" t="n">
        <v>3</v>
      </c>
      <c r="J2778" s="17" t="n">
        <v>222</v>
      </c>
      <c r="K2778" s="17" t="n">
        <v>257.04</v>
      </c>
      <c r="L2778" s="17" t="n">
        <v>0</v>
      </c>
      <c r="M2778" s="17" t="n">
        <v>0</v>
      </c>
      <c r="N2778" s="17">
        <f>K2778*0.08+L2778*0.08</f>
        <v/>
      </c>
      <c r="O2778" s="17">
        <f>-(K2778*0.025+L2778*0.025)</f>
        <v/>
      </c>
      <c r="P2778" s="17">
        <f>32</f>
        <v/>
      </c>
      <c r="Q2778" s="17">
        <f>J2778+L2778+N2778+O2778-P2778-M2778</f>
        <v/>
      </c>
    </row>
    <row r="2779">
      <c r="A2779" s="16" t="inlineStr">
        <is>
          <t>5.22-5.28</t>
        </is>
      </c>
      <c r="B2779" s="16" t="inlineStr">
        <is>
          <t>PO-128-01231765141110307</t>
        </is>
      </c>
      <c r="C2779" s="16" t="inlineStr">
        <is>
          <t>Delivered</t>
        </is>
      </c>
      <c r="D2779" s="16" t="inlineStr">
        <is>
          <t>128-01231744169590307</t>
        </is>
      </c>
      <c r="E2779" s="16" t="inlineStr">
        <is>
          <t>Delivered</t>
        </is>
      </c>
      <c r="F2779" s="16" t="inlineStr">
        <is>
          <t>LV64W25</t>
        </is>
      </c>
      <c r="G27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79" s="16" t="inlineStr">
        <is>
          <t>Blanco</t>
        </is>
      </c>
      <c r="I2779" s="16" t="n">
        <v>1</v>
      </c>
      <c r="J2779" s="17" t="n">
        <v>125</v>
      </c>
      <c r="K2779" s="17" t="n">
        <v>106.59</v>
      </c>
      <c r="L2779" s="17" t="n">
        <v>25.86</v>
      </c>
      <c r="M2779" s="17" t="n">
        <v>0</v>
      </c>
      <c r="N2779" s="17">
        <f>K2779*0.08+L2779*0.08</f>
        <v/>
      </c>
      <c r="O2779" s="17">
        <f>-(K2779*0.025+L2779*0.025)</f>
        <v/>
      </c>
      <c r="P2779" s="17">
        <f>32</f>
        <v/>
      </c>
      <c r="Q2779" s="17">
        <f>J2779+L2779+N2779+O2779-P2779-M2779</f>
        <v/>
      </c>
    </row>
    <row r="2780">
      <c r="A2780" s="16" t="inlineStr">
        <is>
          <t>5.22-5.28</t>
        </is>
      </c>
      <c r="B2780" s="16" t="inlineStr">
        <is>
          <t>PO-128-01046468199031475</t>
        </is>
      </c>
      <c r="C2780" s="16" t="inlineStr">
        <is>
          <t>Delivered</t>
        </is>
      </c>
      <c r="D2780" s="16" t="inlineStr">
        <is>
          <t>128-01046510142071475</t>
        </is>
      </c>
      <c r="E2780" s="16" t="inlineStr">
        <is>
          <t>Delivered</t>
        </is>
      </c>
      <c r="F2780" s="16" t="inlineStr">
        <is>
          <t>LV54W25</t>
        </is>
      </c>
      <c r="G2780" s="16" t="inlineStr">
        <is>
          <t>TIANLAI Lámpara Ventilador E27 2 en 1, Silenciosa, LED Alta Luminosidad 180°, Instalación Rápida, Ahorro Energético para Dormitorio y Interiores Pequeños</t>
        </is>
      </c>
      <c r="H2780" s="16" t="inlineStr">
        <is>
          <t>1 Pieza</t>
        </is>
      </c>
      <c r="I2780" s="16" t="n">
        <v>1</v>
      </c>
      <c r="J2780" s="17" t="n">
        <v>74</v>
      </c>
      <c r="K2780" s="17" t="n">
        <v>78.83</v>
      </c>
      <c r="L2780" s="17" t="n">
        <v>25.86</v>
      </c>
      <c r="M2780" s="17" t="n">
        <v>0</v>
      </c>
      <c r="N2780" s="17">
        <f>K2780*0.08+L2780*0.08</f>
        <v/>
      </c>
      <c r="O2780" s="17">
        <f>-(K2780*0.025+L2780*0.025)</f>
        <v/>
      </c>
      <c r="P2780" s="17">
        <f>32</f>
        <v/>
      </c>
      <c r="Q2780" s="17">
        <f>J2780+L2780+N2780+O2780-P2780-M2780</f>
        <v/>
      </c>
    </row>
    <row r="2781">
      <c r="A2781" s="16" t="inlineStr">
        <is>
          <t>5.22-5.28</t>
        </is>
      </c>
      <c r="B2781" s="16" t="inlineStr">
        <is>
          <t>PO-128-01163379082871672</t>
        </is>
      </c>
      <c r="C2781" s="16" t="inlineStr">
        <is>
          <t>Delivered</t>
        </is>
      </c>
      <c r="D2781" s="16" t="inlineStr">
        <is>
          <t>128-01163413161591672</t>
        </is>
      </c>
      <c r="E2781" s="16" t="inlineStr">
        <is>
          <t>Delivered</t>
        </is>
      </c>
      <c r="F2781" s="16" t="inlineStr">
        <is>
          <t>KTS-2031</t>
        </is>
      </c>
      <c r="G2781" s="16" t="inlineStr">
        <is>
          <t>Bocina inalámbrica de 3 pulgadas con linterna multifuncional y panel solar integrado.Altavoz Portátil con Linterna LED 4 Modos, Radio FM, Bluetooth, Carga Solar, Ideal para Apagones, Emergencias, Campo y Exteriores</t>
        </is>
      </c>
      <c r="H2781" s="16" t="inlineStr">
        <is>
          <t>NEGRO</t>
        </is>
      </c>
      <c r="I2781" s="16" t="n">
        <v>1</v>
      </c>
      <c r="J2781" s="17" t="n">
        <v>90</v>
      </c>
      <c r="K2781" s="17" t="n">
        <v>99.22</v>
      </c>
      <c r="L2781" s="17" t="n">
        <v>25.86</v>
      </c>
      <c r="M2781" s="17" t="n">
        <v>0</v>
      </c>
      <c r="N2781" s="17">
        <f>K2781*0.08+L2781*0.08</f>
        <v/>
      </c>
      <c r="O2781" s="17">
        <f>-(K2781*0.025+L2781*0.025)</f>
        <v/>
      </c>
      <c r="P2781" s="17">
        <f>32</f>
        <v/>
      </c>
      <c r="Q2781" s="17">
        <f>J2781+L2781+N2781+O2781-P2781-M2781</f>
        <v/>
      </c>
    </row>
    <row r="2782">
      <c r="A2782" s="16" t="inlineStr">
        <is>
          <t>5.22-5.28</t>
        </is>
      </c>
      <c r="B2782" s="16" t="inlineStr">
        <is>
          <t>PO-128-01095715625591052</t>
        </is>
      </c>
      <c r="C2782" s="16" t="inlineStr">
        <is>
          <t>Delivered</t>
        </is>
      </c>
      <c r="D2782" s="16" t="inlineStr">
        <is>
          <t>128-01095694654071052</t>
        </is>
      </c>
      <c r="E2782" s="16" t="inlineStr">
        <is>
          <t>Delivered</t>
        </is>
      </c>
      <c r="F2782" s="16" t="inlineStr">
        <is>
          <t>LV54W25</t>
        </is>
      </c>
      <c r="G2782" s="16" t="inlineStr">
        <is>
          <t>TIANLAI Lámpara Ventilador E27 2 en 1, Silenciosa, LED Alta Luminosidad 180°, Instalación Rápida, Ahorro Energético para Dormitorio y Interiores Pequeños</t>
        </is>
      </c>
      <c r="H2782" s="16" t="inlineStr">
        <is>
          <t>1 Pieza</t>
        </is>
      </c>
      <c r="I2782" s="16" t="n">
        <v>1</v>
      </c>
      <c r="J2782" s="17" t="n">
        <v>74</v>
      </c>
      <c r="K2782" s="17" t="n">
        <v>85.68000000000001</v>
      </c>
      <c r="L2782" s="17" t="n">
        <v>25.86</v>
      </c>
      <c r="M2782" s="17" t="n">
        <v>0</v>
      </c>
      <c r="N2782" s="17">
        <f>K2782*0.08+L2782*0.08</f>
        <v/>
      </c>
      <c r="O2782" s="17">
        <f>-(K2782*0.025+L2782*0.025)</f>
        <v/>
      </c>
      <c r="P2782" s="17">
        <f>32</f>
        <v/>
      </c>
      <c r="Q2782" s="17">
        <f>J2782+L2782+N2782+O2782-P2782-M2782</f>
        <v/>
      </c>
    </row>
    <row r="2783">
      <c r="A2783" s="16" t="inlineStr">
        <is>
          <t>5.22-5.28</t>
        </is>
      </c>
      <c r="B2783" s="16" t="inlineStr">
        <is>
          <t>PO-128-01145725507191843</t>
        </is>
      </c>
      <c r="C2783" s="16" t="inlineStr">
        <is>
          <t>Delivered</t>
        </is>
      </c>
      <c r="D2783" s="16" t="inlineStr">
        <is>
          <t>128-01145751721591843</t>
        </is>
      </c>
      <c r="E2783" s="16" t="inlineStr">
        <is>
          <t>Delivered</t>
        </is>
      </c>
      <c r="F2783" s="16" t="inlineStr">
        <is>
          <t>LV54W25</t>
        </is>
      </c>
      <c r="G2783" s="16" t="inlineStr">
        <is>
          <t>TIANLAI Lámpara Ventilador E27 2 en 1, Silenciosa, LED Alta Luminosidad 180°, Instalación Rápida, Ahorro Energético para Dormitorio y Interiores Pequeños</t>
        </is>
      </c>
      <c r="H2783" s="16" t="inlineStr">
        <is>
          <t>1 Pieza</t>
        </is>
      </c>
      <c r="I2783" s="16" t="n">
        <v>1</v>
      </c>
      <c r="J2783" s="17" t="n">
        <v>74</v>
      </c>
      <c r="K2783" s="17" t="n">
        <v>77.12</v>
      </c>
      <c r="L2783" s="17" t="n">
        <v>25.86</v>
      </c>
      <c r="M2783" s="17" t="n">
        <v>0</v>
      </c>
      <c r="N2783" s="17">
        <f>K2783*0.08+L2783*0.08</f>
        <v/>
      </c>
      <c r="O2783" s="17">
        <f>-(K2783*0.025+L2783*0.025)</f>
        <v/>
      </c>
      <c r="P2783" s="17">
        <f>32</f>
        <v/>
      </c>
      <c r="Q2783" s="17">
        <f>J2783+L2783+N2783+O2783-P2783-M2783</f>
        <v/>
      </c>
    </row>
    <row r="2784">
      <c r="A2784" s="16" t="inlineStr">
        <is>
          <t>5.22-5.28</t>
        </is>
      </c>
      <c r="B2784" s="16" t="inlineStr">
        <is>
          <t>PO-128-01138411397751823</t>
        </is>
      </c>
      <c r="C2784" s="16" t="inlineStr">
        <is>
          <t>Delivered</t>
        </is>
      </c>
      <c r="D2784" s="16" t="inlineStr">
        <is>
          <t>128-01138453340791823</t>
        </is>
      </c>
      <c r="E2784" s="16" t="inlineStr">
        <is>
          <t>Delivered</t>
        </is>
      </c>
      <c r="F2784" s="16" t="inlineStr">
        <is>
          <t>KTS-2031</t>
        </is>
      </c>
      <c r="G2784" s="16" t="inlineStr">
        <is>
          <t>Bocina inalámbrica de 3 pulgadas con linterna multifuncional y panel solar integrado.Altavoz Portátil con Linterna LED 4 Modos, Radio FM, Bluetooth, Carga Solar, Ideal para Apagones, Emergencias, Campo y Exteriores</t>
        </is>
      </c>
      <c r="H2784" s="16" t="inlineStr">
        <is>
          <t>NEGRO</t>
        </is>
      </c>
      <c r="I2784" s="16" t="n">
        <v>1</v>
      </c>
      <c r="J2784" s="17" t="n">
        <v>90</v>
      </c>
      <c r="K2784" s="17" t="n">
        <v>99.22</v>
      </c>
      <c r="L2784" s="17" t="n">
        <v>25.86</v>
      </c>
      <c r="M2784" s="17" t="n">
        <v>0</v>
      </c>
      <c r="N2784" s="17">
        <f>K2784*0.08+L2784*0.08</f>
        <v/>
      </c>
      <c r="O2784" s="17">
        <f>-(K2784*0.025+L2784*0.025)</f>
        <v/>
      </c>
      <c r="P2784" s="17">
        <f>32</f>
        <v/>
      </c>
      <c r="Q2784" s="17">
        <f>J2784+L2784+N2784+O2784-P2784-M2784</f>
        <v/>
      </c>
    </row>
    <row r="2785">
      <c r="A2785" s="16" t="inlineStr">
        <is>
          <t>5.22-5.28</t>
        </is>
      </c>
      <c r="B2785" s="16" t="inlineStr">
        <is>
          <t>PO-128-01033515648631422</t>
        </is>
      </c>
      <c r="C2785" s="16" t="inlineStr">
        <is>
          <t>Delivered</t>
        </is>
      </c>
      <c r="D2785" s="16" t="inlineStr">
        <is>
          <t>128-01033505162871422</t>
        </is>
      </c>
      <c r="E2785" s="16" t="inlineStr">
        <is>
          <t>Delivered</t>
        </is>
      </c>
      <c r="F2785" s="16" t="inlineStr">
        <is>
          <t>LV64W25</t>
        </is>
      </c>
      <c r="G27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85" s="16" t="inlineStr">
        <is>
          <t>Blanco</t>
        </is>
      </c>
      <c r="I2785" s="16" t="n">
        <v>1</v>
      </c>
      <c r="J2785" s="17" t="n">
        <v>125</v>
      </c>
      <c r="K2785" s="17" t="n">
        <v>133.23</v>
      </c>
      <c r="L2785" s="17" t="n">
        <v>25.86</v>
      </c>
      <c r="M2785" s="17" t="n">
        <v>0</v>
      </c>
      <c r="N2785" s="17">
        <f>K2785*0.08+L2785*0.08</f>
        <v/>
      </c>
      <c r="O2785" s="17">
        <f>-(K2785*0.025+L2785*0.025)</f>
        <v/>
      </c>
      <c r="P2785" s="17">
        <f>32</f>
        <v/>
      </c>
      <c r="Q2785" s="17">
        <f>J2785+L2785+N2785+O2785-P2785-M2785</f>
        <v/>
      </c>
    </row>
    <row r="2786">
      <c r="A2786" s="16" t="inlineStr">
        <is>
          <t>5.22-5.28</t>
        </is>
      </c>
      <c r="B2786" s="16" t="inlineStr">
        <is>
          <t>PO-128-00812803687033954</t>
        </is>
      </c>
      <c r="C2786" s="16" t="inlineStr">
        <is>
          <t>Delivered</t>
        </is>
      </c>
      <c r="D2786" s="16" t="inlineStr">
        <is>
          <t>128-00812824658553954</t>
        </is>
      </c>
      <c r="E2786" s="16" t="inlineStr">
        <is>
          <t>Delivered</t>
        </is>
      </c>
      <c r="F2786" s="16" t="inlineStr">
        <is>
          <t>LV54W25</t>
        </is>
      </c>
      <c r="G2786" s="16" t="inlineStr">
        <is>
          <t>TIANLAI Lámpara Ventilador E27 2 en 1, Silenciosa, LED Alta Luminosidad 180°, Instalación Rápida, Ahorro Energético para Dormitorio y Interiores Pequeños</t>
        </is>
      </c>
      <c r="H2786" s="16" t="inlineStr">
        <is>
          <t>1 Pieza</t>
        </is>
      </c>
      <c r="I2786" s="16" t="n">
        <v>1</v>
      </c>
      <c r="J2786" s="17" t="n">
        <v>74</v>
      </c>
      <c r="K2786" s="17" t="n">
        <v>35.73</v>
      </c>
      <c r="L2786" s="17" t="n">
        <v>25.86</v>
      </c>
      <c r="M2786" s="17" t="n">
        <v>0</v>
      </c>
      <c r="N2786" s="17">
        <f>K2786*0.08+L2786*0.08</f>
        <v/>
      </c>
      <c r="O2786" s="17">
        <f>-(K2786*0.025+L2786*0.025)</f>
        <v/>
      </c>
      <c r="P2786" s="17">
        <f>32</f>
        <v/>
      </c>
      <c r="Q2786" s="17">
        <f>J2786+L2786+N2786+O2786-P2786-M2786</f>
        <v/>
      </c>
    </row>
    <row r="2787">
      <c r="A2787" s="16" t="inlineStr">
        <is>
          <t>5.22-5.28</t>
        </is>
      </c>
      <c r="B2787" s="16" t="inlineStr">
        <is>
          <t>PO-128-00864833864312492</t>
        </is>
      </c>
      <c r="C2787" s="16" t="inlineStr">
        <is>
          <t>Delivered</t>
        </is>
      </c>
      <c r="D2787" s="16" t="inlineStr">
        <is>
          <t>128-00864791921272492</t>
        </is>
      </c>
      <c r="E2787" s="16" t="inlineStr">
        <is>
          <t>Delivered</t>
        </is>
      </c>
      <c r="F2787" s="16" t="inlineStr">
        <is>
          <t>LV54W25</t>
        </is>
      </c>
      <c r="G2787" s="16" t="inlineStr">
        <is>
          <t>TIANLAI Lámpara Ventilador E27 2 en 1, Silenciosa, LED Alta Luminosidad 180°, Instalación Rápida, Ahorro Energético para Dormitorio y Interiores Pequeños</t>
        </is>
      </c>
      <c r="H2787" s="16" t="inlineStr">
        <is>
          <t>1 Pieza</t>
        </is>
      </c>
      <c r="I2787" s="16" t="n">
        <v>1</v>
      </c>
      <c r="J2787" s="17" t="n">
        <v>74</v>
      </c>
      <c r="K2787" s="17" t="n">
        <v>85.68000000000001</v>
      </c>
      <c r="L2787" s="17" t="n">
        <v>25.86</v>
      </c>
      <c r="M2787" s="17" t="n">
        <v>0</v>
      </c>
      <c r="N2787" s="17">
        <f>K2787*0.08+L2787*0.08</f>
        <v/>
      </c>
      <c r="O2787" s="17">
        <f>-(K2787*0.025+L2787*0.025)</f>
        <v/>
      </c>
      <c r="P2787" s="17">
        <f>32</f>
        <v/>
      </c>
      <c r="Q2787" s="17">
        <f>J2787+L2787+N2787+O2787-P2787-M2787</f>
        <v/>
      </c>
    </row>
    <row r="2788">
      <c r="A2788" s="16" t="inlineStr">
        <is>
          <t>5.22-5.28</t>
        </is>
      </c>
      <c r="B2788" s="16" t="inlineStr">
        <is>
          <t>PO-128-01013316874872569</t>
        </is>
      </c>
      <c r="C2788" s="16" t="inlineStr">
        <is>
          <t>Delivered</t>
        </is>
      </c>
      <c r="D2788" s="16" t="inlineStr">
        <is>
          <t>128-01013327360632569</t>
        </is>
      </c>
      <c r="E2788" s="16" t="inlineStr">
        <is>
          <t>Delivered</t>
        </is>
      </c>
      <c r="F2788" s="16" t="inlineStr">
        <is>
          <t>LV64W25</t>
        </is>
      </c>
      <c r="G27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88" s="16" t="inlineStr">
        <is>
          <t>Blanco</t>
        </is>
      </c>
      <c r="I2788" s="16" t="n">
        <v>1</v>
      </c>
      <c r="J2788" s="17" t="n">
        <v>125</v>
      </c>
      <c r="K2788" s="17" t="n">
        <v>115.1</v>
      </c>
      <c r="L2788" s="17" t="n">
        <v>25.86</v>
      </c>
      <c r="M2788" s="17" t="n">
        <v>0</v>
      </c>
      <c r="N2788" s="17">
        <f>K2788*0.08+L2788*0.08</f>
        <v/>
      </c>
      <c r="O2788" s="17">
        <f>-(K2788*0.025+L2788*0.025)</f>
        <v/>
      </c>
      <c r="P2788" s="17">
        <f>32</f>
        <v/>
      </c>
      <c r="Q2788" s="17">
        <f>J2788+L2788+N2788+O2788-P2788-M2788</f>
        <v/>
      </c>
    </row>
    <row r="2789">
      <c r="A2789" s="16" t="inlineStr">
        <is>
          <t>5.22-5.28</t>
        </is>
      </c>
      <c r="B2789" s="16" t="inlineStr">
        <is>
          <t>PO-128-01050037622391516</t>
        </is>
      </c>
      <c r="C2789" s="16" t="inlineStr">
        <is>
          <t>Delivered</t>
        </is>
      </c>
      <c r="D2789" s="16" t="inlineStr">
        <is>
          <t>128-01050058593911516</t>
        </is>
      </c>
      <c r="E2789" s="16" t="inlineStr">
        <is>
          <t>Delivered</t>
        </is>
      </c>
      <c r="F2789" s="16" t="inlineStr">
        <is>
          <t>LV64W25</t>
        </is>
      </c>
      <c r="G27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89" s="16" t="inlineStr">
        <is>
          <t>Blanco</t>
        </is>
      </c>
      <c r="I2789" s="16" t="n">
        <v>1</v>
      </c>
      <c r="J2789" s="17" t="n">
        <v>125</v>
      </c>
      <c r="K2789" s="17" t="n">
        <v>143.26</v>
      </c>
      <c r="L2789" s="17" t="n">
        <v>25.86</v>
      </c>
      <c r="M2789" s="17" t="n">
        <v>0</v>
      </c>
      <c r="N2789" s="17">
        <f>K2789*0.08+L2789*0.08</f>
        <v/>
      </c>
      <c r="O2789" s="17">
        <f>-(K2789*0.025+L2789*0.025)</f>
        <v/>
      </c>
      <c r="P2789" s="17">
        <f>32</f>
        <v/>
      </c>
      <c r="Q2789" s="17">
        <f>J2789+L2789+N2789+O2789-P2789-M2789</f>
        <v/>
      </c>
    </row>
    <row r="2790">
      <c r="A2790" s="16" t="inlineStr">
        <is>
          <t>5.22-5.28</t>
        </is>
      </c>
      <c r="B2790" s="16" t="inlineStr">
        <is>
          <t>PO-128-00832663255673837</t>
        </is>
      </c>
      <c r="C2790" s="16" t="inlineStr">
        <is>
          <t>Delivered</t>
        </is>
      </c>
      <c r="D2790" s="16" t="inlineStr">
        <is>
          <t>128-00832678984313837</t>
        </is>
      </c>
      <c r="E2790" s="16" t="inlineStr">
        <is>
          <t>Delivered</t>
        </is>
      </c>
      <c r="F2790" s="16" t="inlineStr">
        <is>
          <t>B03W10-10PZS</t>
        </is>
      </c>
      <c r="G279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790" s="16" t="inlineStr">
        <is>
          <t>B03W10</t>
        </is>
      </c>
      <c r="I2790" s="16" t="n">
        <v>1</v>
      </c>
      <c r="J2790" s="17" t="n">
        <v>77</v>
      </c>
      <c r="K2790" s="17" t="n">
        <v>66.93000000000001</v>
      </c>
      <c r="L2790" s="17" t="n">
        <v>25.86</v>
      </c>
      <c r="M2790" s="17" t="n">
        <v>0</v>
      </c>
      <c r="N2790" s="17">
        <f>K2790*0.08+L2790*0.08</f>
        <v/>
      </c>
      <c r="O2790" s="17">
        <f>-(K2790*0.025+L2790*0.025)</f>
        <v/>
      </c>
      <c r="P2790" s="17">
        <f>32</f>
        <v/>
      </c>
      <c r="Q2790" s="17">
        <f>J2790+L2790+N2790+O2790-P2790-M2790</f>
        <v/>
      </c>
    </row>
    <row r="2791">
      <c r="A2791" s="16" t="inlineStr">
        <is>
          <t>5.22-5.28</t>
        </is>
      </c>
      <c r="B2791" s="16" t="inlineStr">
        <is>
          <t>PO-128-01301082527350981</t>
        </is>
      </c>
      <c r="C2791" s="16" t="inlineStr">
        <is>
          <t>Delivered</t>
        </is>
      </c>
      <c r="D2791" s="16" t="inlineStr">
        <is>
          <t>128-01301234570870981</t>
        </is>
      </c>
      <c r="E2791" s="16" t="inlineStr">
        <is>
          <t>Delivered</t>
        </is>
      </c>
      <c r="F2791" s="16" t="inlineStr">
        <is>
          <t>LV54W25</t>
        </is>
      </c>
      <c r="G2791" s="16" t="inlineStr">
        <is>
          <t>TIANLAI Lámpara Ventilador E27 2 en 1, Silenciosa, LED Alta Luminosidad 180°, Instalación Rápida, Ahorro Energético para Dormitorio y Interiores Pequeños</t>
        </is>
      </c>
      <c r="H2791" s="16" t="inlineStr">
        <is>
          <t>1 Pieza</t>
        </is>
      </c>
      <c r="I2791" s="16" t="n">
        <v>1</v>
      </c>
      <c r="J2791" s="17" t="n">
        <v>74</v>
      </c>
      <c r="K2791" s="17" t="n">
        <v>2.92</v>
      </c>
      <c r="L2791" s="17" t="n">
        <v>25.86</v>
      </c>
      <c r="M2791" s="17" t="n">
        <v>0</v>
      </c>
      <c r="N2791" s="17">
        <f>K2791*0.08+L2791*0.08</f>
        <v/>
      </c>
      <c r="O2791" s="17">
        <f>-(K2791*0.025+L2791*0.025)</f>
        <v/>
      </c>
      <c r="P2791" s="17">
        <f>32</f>
        <v/>
      </c>
      <c r="Q2791" s="17">
        <f>J2791+L2791+N2791+O2791-P2791-M2791</f>
        <v/>
      </c>
    </row>
    <row r="2792">
      <c r="A2792" s="16" t="inlineStr">
        <is>
          <t>5.22-5.28</t>
        </is>
      </c>
      <c r="B2792" s="16" t="inlineStr">
        <is>
          <t>PO-128-00719236367993360</t>
        </is>
      </c>
      <c r="C2792" s="16" t="inlineStr">
        <is>
          <t>Delivered</t>
        </is>
      </c>
      <c r="D2792" s="16" t="inlineStr">
        <is>
          <t>128-00719215396473360</t>
        </is>
      </c>
      <c r="E2792" s="16" t="inlineStr">
        <is>
          <t>Delivered</t>
        </is>
      </c>
      <c r="F2792" s="16" t="inlineStr">
        <is>
          <t>KTS-2031</t>
        </is>
      </c>
      <c r="G2792" s="16" t="inlineStr">
        <is>
          <t>Bocina inalámbrica de 3 pulgadas con linterna multifuncional y panel solar integrado.Altavoz Portátil con Linterna LED 4 Modos, Radio FM, Bluetooth, Carga Solar, Ideal para Apagones, Emergencias, Campo y Exteriores</t>
        </is>
      </c>
      <c r="H2792" s="16" t="inlineStr">
        <is>
          <t>NEGRO</t>
        </is>
      </c>
      <c r="I2792" s="16" t="n">
        <v>1</v>
      </c>
      <c r="J2792" s="17" t="n">
        <v>90</v>
      </c>
      <c r="K2792" s="17" t="n">
        <v>99.22</v>
      </c>
      <c r="L2792" s="17" t="n">
        <v>25.86</v>
      </c>
      <c r="M2792" s="17" t="n">
        <v>0</v>
      </c>
      <c r="N2792" s="17">
        <f>K2792*0.08+L2792*0.08</f>
        <v/>
      </c>
      <c r="O2792" s="17">
        <f>-(K2792*0.025+L2792*0.025)</f>
        <v/>
      </c>
      <c r="P2792" s="17">
        <f>32</f>
        <v/>
      </c>
      <c r="Q2792" s="17">
        <f>J2792+L2792+N2792+O2792-P2792-M2792</f>
        <v/>
      </c>
    </row>
    <row r="2793">
      <c r="A2793" s="16" t="inlineStr">
        <is>
          <t>5.22-5.28</t>
        </is>
      </c>
      <c r="B2793" s="16" t="inlineStr">
        <is>
          <t>PO-128-00955905767033039</t>
        </is>
      </c>
      <c r="C2793" s="16" t="inlineStr">
        <is>
          <t>Delivered</t>
        </is>
      </c>
      <c r="D2793" s="16" t="inlineStr">
        <is>
          <t>128-00955926738553039</t>
        </is>
      </c>
      <c r="E2793" s="16" t="inlineStr">
        <is>
          <t>Delivered</t>
        </is>
      </c>
      <c r="F2793" s="16" t="inlineStr">
        <is>
          <t>LV54W25</t>
        </is>
      </c>
      <c r="G2793" s="16" t="inlineStr">
        <is>
          <t>TIANLAI Lámpara Ventilador E27 2 en 1, Silenciosa, LED Alta Luminosidad 180°, Instalación Rápida, Ahorro Energético para Dormitorio y Interiores Pequeños</t>
        </is>
      </c>
      <c r="H2793" s="16" t="inlineStr">
        <is>
          <t>1 Pieza</t>
        </is>
      </c>
      <c r="I2793" s="16" t="n">
        <v>2</v>
      </c>
      <c r="J2793" s="17" t="n">
        <v>148</v>
      </c>
      <c r="K2793" s="17" t="n">
        <v>154.24</v>
      </c>
      <c r="L2793" s="17" t="n">
        <v>25.86</v>
      </c>
      <c r="M2793" s="17" t="n">
        <v>0</v>
      </c>
      <c r="N2793" s="17">
        <f>K2793*0.08+L2793*0.08</f>
        <v/>
      </c>
      <c r="O2793" s="17">
        <f>-(K2793*0.025+L2793*0.025)</f>
        <v/>
      </c>
      <c r="P2793" s="17">
        <f>32</f>
        <v/>
      </c>
      <c r="Q2793" s="17">
        <f>J2793+L2793+N2793+O2793-P2793-M2793</f>
        <v/>
      </c>
    </row>
    <row r="2794">
      <c r="A2794" s="16" t="inlineStr">
        <is>
          <t>5.22-5.28</t>
        </is>
      </c>
      <c r="B2794" s="16" t="inlineStr">
        <is>
          <t>PO-128-01087705477751229</t>
        </is>
      </c>
      <c r="C2794" s="16" t="inlineStr">
        <is>
          <t>Delivered</t>
        </is>
      </c>
      <c r="D2794" s="16" t="inlineStr">
        <is>
          <t>128-01087768392311229</t>
        </is>
      </c>
      <c r="E2794" s="16" t="inlineStr">
        <is>
          <t>Delivered</t>
        </is>
      </c>
      <c r="F2794" s="16" t="inlineStr">
        <is>
          <t>KTS-2031</t>
        </is>
      </c>
      <c r="G2794" s="16" t="inlineStr">
        <is>
          <t>Bocina inalámbrica de 3 pulgadas con linterna multifuncional y panel solar integrado.Altavoz Portátil con Linterna LED 4 Modos, Radio FM, Bluetooth, Carga Solar, Ideal para Apagones, Emergencias, Campo y Exteriores</t>
        </is>
      </c>
      <c r="H2794" s="16" t="inlineStr">
        <is>
          <t>NEGRO</t>
        </is>
      </c>
      <c r="I2794" s="16" t="n">
        <v>2</v>
      </c>
      <c r="J2794" s="17" t="n">
        <v>180</v>
      </c>
      <c r="K2794" s="17" t="n">
        <v>198.44</v>
      </c>
      <c r="L2794" s="17" t="n">
        <v>0</v>
      </c>
      <c r="M2794" s="17" t="n">
        <v>0</v>
      </c>
      <c r="N2794" s="17">
        <f>K2794*0.08+L2794*0.08</f>
        <v/>
      </c>
      <c r="O2794" s="17">
        <f>-(K2794*0.025+L2794*0.025)</f>
        <v/>
      </c>
      <c r="P2794" s="17">
        <f>32</f>
        <v/>
      </c>
      <c r="Q2794" s="17">
        <f>J2794+L2794+N2794+O2794-P2794-M2794</f>
        <v/>
      </c>
    </row>
    <row r="2795">
      <c r="A2795" s="16" t="inlineStr">
        <is>
          <t>5.22-5.28</t>
        </is>
      </c>
      <c r="B2795" s="16" t="inlineStr">
        <is>
          <t>PO-128-01087705477751229</t>
        </is>
      </c>
      <c r="C2795" s="16" t="inlineStr">
        <is>
          <t>Delivered</t>
        </is>
      </c>
      <c r="D2795" s="16" t="inlineStr">
        <is>
          <t>128-01087810335351229</t>
        </is>
      </c>
      <c r="E2795" s="16" t="inlineStr">
        <is>
          <t>Delivered</t>
        </is>
      </c>
      <c r="F2795" s="16" t="inlineStr">
        <is>
          <t>KTS-1369</t>
        </is>
      </c>
      <c r="G2795" s="16" t="inlineStr">
        <is>
          <t>Bocina 3 Pulgadas Portátil Bluetooth con Luces LED, Sonido Claro y Batería Larga Duración, TWS TF USB FM, Ideal para Hogar Oficina y Exterior</t>
        </is>
      </c>
      <c r="H2795" s="16" t="inlineStr">
        <is>
          <t>NEGRO</t>
        </is>
      </c>
      <c r="I2795" s="16" t="n">
        <v>1</v>
      </c>
      <c r="J2795" s="17" t="n">
        <v>62</v>
      </c>
      <c r="K2795" s="17" t="n">
        <v>73.28</v>
      </c>
      <c r="L2795" s="17" t="n">
        <v>0</v>
      </c>
      <c r="M2795" s="17" t="n">
        <v>0</v>
      </c>
      <c r="N2795" s="17">
        <f>K2795*0.08+L2795*0.08</f>
        <v/>
      </c>
      <c r="O2795" s="17">
        <f>-(K2795*0.025+L2795*0.025)</f>
        <v/>
      </c>
      <c r="P2795" s="17">
        <f>32</f>
        <v/>
      </c>
      <c r="Q2795" s="17">
        <f>J2795+L2795+N2795+O2795-P2795-M2795</f>
        <v/>
      </c>
    </row>
    <row r="2796">
      <c r="A2796" s="16" t="inlineStr">
        <is>
          <t>5.22-5.28</t>
        </is>
      </c>
      <c r="B2796" s="16" t="inlineStr">
        <is>
          <t>PO-128-01191778883191569</t>
        </is>
      </c>
      <c r="C2796" s="16" t="inlineStr">
        <is>
          <t>Delivered</t>
        </is>
      </c>
      <c r="D2796" s="16" t="inlineStr">
        <is>
          <t>128-01191784126071569</t>
        </is>
      </c>
      <c r="E2796" s="16" t="inlineStr">
        <is>
          <t>Delivered</t>
        </is>
      </c>
      <c r="F2796" s="16" t="inlineStr">
        <is>
          <t>LV54W25</t>
        </is>
      </c>
      <c r="G2796" s="16" t="inlineStr">
        <is>
          <t>TIANLAI Lámpara Ventilador E27 2 en 1, Silenciosa, LED Alta Luminosidad 180°, Instalación Rápida, Ahorro Energético para Dormitorio y Interiores Pequeños</t>
        </is>
      </c>
      <c r="H2796" s="16" t="inlineStr">
        <is>
          <t>1 Pieza</t>
        </is>
      </c>
      <c r="I2796" s="16" t="n">
        <v>1</v>
      </c>
      <c r="J2796" s="17" t="n">
        <v>74</v>
      </c>
      <c r="K2796" s="17" t="n">
        <v>63.65</v>
      </c>
      <c r="L2796" s="17" t="n">
        <v>25.86</v>
      </c>
      <c r="M2796" s="17" t="n">
        <v>0</v>
      </c>
      <c r="N2796" s="17">
        <f>K2796*0.08+L2796*0.08</f>
        <v/>
      </c>
      <c r="O2796" s="17">
        <f>-(K2796*0.025+L2796*0.025)</f>
        <v/>
      </c>
      <c r="P2796" s="17">
        <f>32</f>
        <v/>
      </c>
      <c r="Q2796" s="17">
        <f>J2796+L2796+N2796+O2796-P2796-M2796</f>
        <v/>
      </c>
    </row>
    <row r="2797">
      <c r="A2797" s="16" t="inlineStr">
        <is>
          <t>5.22-5.28</t>
        </is>
      </c>
      <c r="B2797" s="16" t="inlineStr">
        <is>
          <t>PO-128-01244014577270360</t>
        </is>
      </c>
      <c r="C2797" s="16" t="inlineStr">
        <is>
          <t>Delivered</t>
        </is>
      </c>
      <c r="D2797" s="16" t="inlineStr">
        <is>
          <t>128-01243993605750360</t>
        </is>
      </c>
      <c r="E2797" s="16" t="inlineStr">
        <is>
          <t>Delivered</t>
        </is>
      </c>
      <c r="F2797" s="16" t="inlineStr">
        <is>
          <t>LV54W25</t>
        </is>
      </c>
      <c r="G2797" s="16" t="inlineStr">
        <is>
          <t>TIANLAI Lámpara Ventilador E27 2 en 1, Silenciosa, LED Alta Luminosidad 180°, Instalación Rápida, Ahorro Energético para Dormitorio y Interiores Pequeños</t>
        </is>
      </c>
      <c r="H2797" s="16" t="inlineStr">
        <is>
          <t>1 Pieza</t>
        </is>
      </c>
      <c r="I2797" s="16" t="n">
        <v>1</v>
      </c>
      <c r="J2797" s="17" t="n">
        <v>74</v>
      </c>
      <c r="K2797" s="17" t="n">
        <v>63.06</v>
      </c>
      <c r="L2797" s="17" t="n">
        <v>25.86</v>
      </c>
      <c r="M2797" s="17" t="n">
        <v>0</v>
      </c>
      <c r="N2797" s="17">
        <f>K2797*0.08+L2797*0.08</f>
        <v/>
      </c>
      <c r="O2797" s="17">
        <f>-(K2797*0.025+L2797*0.025)</f>
        <v/>
      </c>
      <c r="P2797" s="17">
        <f>32</f>
        <v/>
      </c>
      <c r="Q2797" s="17">
        <f>J2797+L2797+N2797+O2797-P2797-M2797</f>
        <v/>
      </c>
    </row>
    <row r="2798">
      <c r="A2798" s="16" t="inlineStr">
        <is>
          <t>5.22-5.28</t>
        </is>
      </c>
      <c r="B2798" s="16" t="inlineStr">
        <is>
          <t>PO-128-00876355466872553</t>
        </is>
      </c>
      <c r="C2798" s="16" t="inlineStr">
        <is>
          <t>Delivered</t>
        </is>
      </c>
      <c r="D2798" s="16" t="inlineStr">
        <is>
          <t>128-00876334495352553</t>
        </is>
      </c>
      <c r="E2798" s="16" t="inlineStr">
        <is>
          <t>Delivered</t>
        </is>
      </c>
      <c r="F2798" s="16" t="inlineStr">
        <is>
          <t>LV64W25</t>
        </is>
      </c>
      <c r="G27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798" s="16" t="inlineStr">
        <is>
          <t>Blanco</t>
        </is>
      </c>
      <c r="I2798" s="16" t="n">
        <v>1</v>
      </c>
      <c r="J2798" s="17" t="n">
        <v>125</v>
      </c>
      <c r="K2798" s="17" t="n">
        <v>143.26</v>
      </c>
      <c r="L2798" s="17" t="n">
        <v>25.86</v>
      </c>
      <c r="M2798" s="17" t="n">
        <v>0</v>
      </c>
      <c r="N2798" s="17">
        <f>K2798*0.08+L2798*0.08</f>
        <v/>
      </c>
      <c r="O2798" s="17">
        <f>-(K2798*0.025+L2798*0.025)</f>
        <v/>
      </c>
      <c r="P2798" s="17">
        <f>32</f>
        <v/>
      </c>
      <c r="Q2798" s="17">
        <f>J2798+L2798+N2798+O2798-P2798-M2798</f>
        <v/>
      </c>
    </row>
    <row r="2799">
      <c r="A2799" s="16" t="inlineStr">
        <is>
          <t>5.22-5.28</t>
        </is>
      </c>
      <c r="B2799" s="16" t="inlineStr">
        <is>
          <t>PO-128-01095516478071055</t>
        </is>
      </c>
      <c r="C2799" s="16" t="inlineStr">
        <is>
          <t>Delivered</t>
        </is>
      </c>
      <c r="D2799" s="16" t="inlineStr">
        <is>
          <t>128-01095542692471055</t>
        </is>
      </c>
      <c r="E2799" s="16" t="inlineStr">
        <is>
          <t>Delivered</t>
        </is>
      </c>
      <c r="F2799" s="16" t="inlineStr">
        <is>
          <t>BG-115-B</t>
        </is>
      </c>
      <c r="G2799" s="16" t="inlineStr">
        <is>
          <t>LINK BITS Audífonos Inalámbricos con Luces Multicolor, Recargables y en Adorable Forma de Orejas de Gato - Conecta a Celulares y PCs, Tiene Radio FM, Tarjeta TF y AUX - 7 Horas de Reproducción, Plegables y Perfectos para Trabajo, Juegos y Estudio</t>
        </is>
      </c>
      <c r="H2799" s="16" t="inlineStr">
        <is>
          <t>blanco</t>
        </is>
      </c>
      <c r="I2799" s="16" t="n">
        <v>1</v>
      </c>
      <c r="J2799" s="17" t="n">
        <v>78</v>
      </c>
      <c r="K2799" s="17" t="n">
        <v>88.72</v>
      </c>
      <c r="L2799" s="17" t="n">
        <v>25.86</v>
      </c>
      <c r="M2799" s="17" t="n">
        <v>0</v>
      </c>
      <c r="N2799" s="17">
        <f>K2799*0.08+L2799*0.08</f>
        <v/>
      </c>
      <c r="O2799" s="17">
        <f>-(K2799*0.025+L2799*0.025)</f>
        <v/>
      </c>
      <c r="P2799" s="17">
        <f>32</f>
        <v/>
      </c>
      <c r="Q2799" s="17">
        <f>J2799+L2799+N2799+O2799-P2799-M2799</f>
        <v/>
      </c>
    </row>
    <row r="2800">
      <c r="A2800" s="16" t="inlineStr">
        <is>
          <t>5.22-5.28</t>
        </is>
      </c>
      <c r="B2800" s="16" t="inlineStr">
        <is>
          <t>PO-128-00997207429752729</t>
        </is>
      </c>
      <c r="C2800" s="16" t="inlineStr">
        <is>
          <t>Delivered</t>
        </is>
      </c>
      <c r="D2800" s="16" t="inlineStr">
        <is>
          <t>128-00997165486712729</t>
        </is>
      </c>
      <c r="E2800" s="16" t="inlineStr">
        <is>
          <t>Delivered</t>
        </is>
      </c>
      <c r="F2800" s="16" t="inlineStr">
        <is>
          <t>VB349T</t>
        </is>
      </c>
      <c r="G2800" s="16" t="inlineStr">
        <is>
          <t>LINKBITS Altavoz Portátil de Doble Altavoz - 3 Pulgadas, Sonido HD, Emparejamiento Rápido de Bluetooth, Conectividad TWS, Reproducción Multimodo (Micro SD/USB/Radio FM) - Perfecto para Oficina, Viajes y Espacios Pequeños</t>
        </is>
      </c>
      <c r="H2800" s="16" t="inlineStr">
        <is>
          <t>NEGRO</t>
        </is>
      </c>
      <c r="I2800" s="16" t="n">
        <v>1</v>
      </c>
      <c r="J2800" s="17" t="n">
        <v>81</v>
      </c>
      <c r="K2800" s="17" t="n">
        <v>94.26000000000001</v>
      </c>
      <c r="L2800" s="17" t="n">
        <v>25.86</v>
      </c>
      <c r="M2800" s="17" t="n">
        <v>0</v>
      </c>
      <c r="N2800" s="17">
        <f>K2800*0.08+L2800*0.08</f>
        <v/>
      </c>
      <c r="O2800" s="17">
        <f>-(K2800*0.025+L2800*0.025)</f>
        <v/>
      </c>
      <c r="P2800" s="17">
        <f>32</f>
        <v/>
      </c>
      <c r="Q2800" s="17">
        <f>J2800+L2800+N2800+O2800-P2800-M2800</f>
        <v/>
      </c>
    </row>
    <row r="2801">
      <c r="A2801" s="16" t="inlineStr">
        <is>
          <t>5.22-5.28</t>
        </is>
      </c>
      <c r="B2801" s="16" t="inlineStr">
        <is>
          <t>PO-128-20544700439670969</t>
        </is>
      </c>
      <c r="C2801" s="16" t="inlineStr">
        <is>
          <t>Delivered</t>
        </is>
      </c>
      <c r="D2801" s="16" t="inlineStr">
        <is>
          <t>128-20544679468150969</t>
        </is>
      </c>
      <c r="E2801" s="16" t="inlineStr">
        <is>
          <t>Delivered</t>
        </is>
      </c>
      <c r="F2801" s="16" t="inlineStr">
        <is>
          <t>LV64W25</t>
        </is>
      </c>
      <c r="G28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01" s="16" t="inlineStr">
        <is>
          <t>Blanco</t>
        </is>
      </c>
      <c r="I2801" s="16" t="n">
        <v>1</v>
      </c>
      <c r="J2801" s="17" t="n">
        <v>125</v>
      </c>
      <c r="K2801" s="17" t="n">
        <v>143.26</v>
      </c>
      <c r="L2801" s="17" t="n">
        <v>25.86</v>
      </c>
      <c r="M2801" s="17" t="n">
        <v>0</v>
      </c>
      <c r="N2801" s="17">
        <f>K2801*0.08+L2801*0.08</f>
        <v/>
      </c>
      <c r="O2801" s="17">
        <f>-(K2801*0.025+L2801*0.025)</f>
        <v/>
      </c>
      <c r="P2801" s="17">
        <f>32</f>
        <v/>
      </c>
      <c r="Q2801" s="17">
        <f>J2801+L2801+N2801+O2801-P2801-M2801</f>
        <v/>
      </c>
    </row>
    <row r="2802">
      <c r="A2802" s="16" t="inlineStr">
        <is>
          <t>5.22-5.28</t>
        </is>
      </c>
      <c r="B2802" s="16" t="inlineStr">
        <is>
          <t>PO-128-20376660403832032</t>
        </is>
      </c>
      <c r="C2802" s="16" t="inlineStr">
        <is>
          <t>Delivered</t>
        </is>
      </c>
      <c r="D2802" s="16" t="inlineStr">
        <is>
          <t>128-20376702346872032</t>
        </is>
      </c>
      <c r="E2802" s="16" t="inlineStr">
        <is>
          <t>Delivered</t>
        </is>
      </c>
      <c r="F2802" s="16" t="inlineStr">
        <is>
          <t>VA371T</t>
        </is>
      </c>
      <c r="G2802" s="16" t="inlineStr">
        <is>
          <t>Linkbits Bocina Bluetooth Portátil 3" de Alta Gama，Hi-Res Audio y Graves Potentes，Luces LED + Soporte USB/TF/FM/TWS，Ideal para Hogar y Aire Libre</t>
        </is>
      </c>
      <c r="H2802" s="16" t="inlineStr">
        <is>
          <t>VA371T</t>
        </is>
      </c>
      <c r="I2802" s="16" t="n">
        <v>1</v>
      </c>
      <c r="J2802" s="17" t="n">
        <v>45.8</v>
      </c>
      <c r="K2802" s="17" t="n">
        <v>0.71</v>
      </c>
      <c r="L2802" s="17" t="n">
        <v>25.86</v>
      </c>
      <c r="M2802" s="17" t="n">
        <v>0</v>
      </c>
      <c r="N2802" s="17">
        <f>K2802*0.08+L2802*0.08</f>
        <v/>
      </c>
      <c r="O2802" s="17">
        <f>-(K2802*0.025+L2802*0.025)</f>
        <v/>
      </c>
      <c r="P2802" s="17">
        <f>32</f>
        <v/>
      </c>
      <c r="Q2802" s="17">
        <f>J2802+L2802+N2802+O2802-P2802-M2802</f>
        <v/>
      </c>
    </row>
    <row r="2803">
      <c r="A2803" s="16" t="inlineStr">
        <is>
          <t>5.22-5.28</t>
        </is>
      </c>
      <c r="B2803" s="16" t="inlineStr">
        <is>
          <t>PO-128-20374272312952046</t>
        </is>
      </c>
      <c r="C2803" s="16" t="inlineStr">
        <is>
          <t>Delivered</t>
        </is>
      </c>
      <c r="D2803" s="16" t="inlineStr">
        <is>
          <t>128-20374377170552046</t>
        </is>
      </c>
      <c r="E2803" s="16" t="inlineStr">
        <is>
          <t>Delivered</t>
        </is>
      </c>
      <c r="F2803" s="16" t="inlineStr">
        <is>
          <t>LV54W25</t>
        </is>
      </c>
      <c r="G2803" s="16" t="inlineStr">
        <is>
          <t>TIANLAI Lámpara Ventilador E27 2 en 1, Silenciosa, LED Alta Luminosidad 180°, Instalación Rápida, Ahorro Energético para Dormitorio y Interiores Pequeños</t>
        </is>
      </c>
      <c r="H2803" s="16" t="inlineStr">
        <is>
          <t>1 Pieza</t>
        </is>
      </c>
      <c r="I2803" s="16" t="n">
        <v>1</v>
      </c>
      <c r="J2803" s="17" t="n">
        <v>74</v>
      </c>
      <c r="K2803" s="17" t="n">
        <v>78.83</v>
      </c>
      <c r="L2803" s="17" t="n">
        <v>25.86</v>
      </c>
      <c r="M2803" s="17" t="n">
        <v>0</v>
      </c>
      <c r="N2803" s="17">
        <f>K2803*0.08+L2803*0.08</f>
        <v/>
      </c>
      <c r="O2803" s="17">
        <f>-(K2803*0.025+L2803*0.025)</f>
        <v/>
      </c>
      <c r="P2803" s="17">
        <f>32</f>
        <v/>
      </c>
      <c r="Q2803" s="17">
        <f>J2803+L2803+N2803+O2803-P2803-M2803</f>
        <v/>
      </c>
    </row>
    <row r="2804">
      <c r="A2804" s="16" t="inlineStr">
        <is>
          <t>5.22-5.28</t>
        </is>
      </c>
      <c r="B2804" s="16" t="inlineStr">
        <is>
          <t>PO-128-20457777285750463</t>
        </is>
      </c>
      <c r="C2804" s="16" t="inlineStr">
        <is>
          <t>Delivered</t>
        </is>
      </c>
      <c r="D2804" s="16" t="inlineStr">
        <is>
          <t>128-20457735342710463</t>
        </is>
      </c>
      <c r="E2804" s="16" t="inlineStr">
        <is>
          <t>Delivered</t>
        </is>
      </c>
      <c r="F2804" s="16" t="inlineStr">
        <is>
          <t>LV54W25</t>
        </is>
      </c>
      <c r="G2804" s="16" t="inlineStr">
        <is>
          <t>TIANLAI Lámpara Ventilador E27 2 en 1, Silenciosa, LED Alta Luminosidad 180°, Instalación Rápida, Ahorro Energético para Dormitorio y Interiores Pequeños</t>
        </is>
      </c>
      <c r="H2804" s="16" t="inlineStr">
        <is>
          <t>1 Pieza</t>
        </is>
      </c>
      <c r="I2804" s="16" t="n">
        <v>1</v>
      </c>
      <c r="J2804" s="17" t="n">
        <v>74</v>
      </c>
      <c r="K2804" s="17" t="n">
        <v>33.96</v>
      </c>
      <c r="L2804" s="17" t="n">
        <v>25.86</v>
      </c>
      <c r="M2804" s="17" t="n">
        <v>0</v>
      </c>
      <c r="N2804" s="17">
        <f>K2804*0.08+L2804*0.08</f>
        <v/>
      </c>
      <c r="O2804" s="17">
        <f>-(K2804*0.025+L2804*0.025)</f>
        <v/>
      </c>
      <c r="P2804" s="17">
        <f>32</f>
        <v/>
      </c>
      <c r="Q2804" s="17">
        <f>J2804+L2804+N2804+O2804-P2804-M2804</f>
        <v/>
      </c>
    </row>
    <row r="2805">
      <c r="A2805" s="16" t="inlineStr">
        <is>
          <t>5.22-5.28</t>
        </is>
      </c>
      <c r="B2805" s="16" t="inlineStr">
        <is>
          <t>PO-128-20376702170232032</t>
        </is>
      </c>
      <c r="C2805" s="16" t="inlineStr">
        <is>
          <t>Delivered</t>
        </is>
      </c>
      <c r="D2805" s="16" t="inlineStr">
        <is>
          <t>128-20376754599032032</t>
        </is>
      </c>
      <c r="E2805" s="16" t="inlineStr">
        <is>
          <t>Delivered</t>
        </is>
      </c>
      <c r="F2805" s="16" t="inlineStr">
        <is>
          <t>LV54W25</t>
        </is>
      </c>
      <c r="G2805" s="16" t="inlineStr">
        <is>
          <t>TIANLAI Lámpara Ventilador E27 2 en 1, Silenciosa, LED Alta Luminosidad 180°, Instalación Rápida, Ahorro Energético para Dormitorio y Interiores Pequeños</t>
        </is>
      </c>
      <c r="H2805" s="16" t="inlineStr">
        <is>
          <t>1 Pieza</t>
        </is>
      </c>
      <c r="I2805" s="16" t="n">
        <v>1</v>
      </c>
      <c r="J2805" s="17" t="n">
        <v>74</v>
      </c>
      <c r="K2805" s="17" t="n">
        <v>77.12</v>
      </c>
      <c r="L2805" s="17" t="n">
        <v>25.86</v>
      </c>
      <c r="M2805" s="17" t="n">
        <v>0</v>
      </c>
      <c r="N2805" s="17">
        <f>K2805*0.08+L2805*0.08</f>
        <v/>
      </c>
      <c r="O2805" s="17">
        <f>-(K2805*0.025+L2805*0.025)</f>
        <v/>
      </c>
      <c r="P2805" s="17">
        <f>32</f>
        <v/>
      </c>
      <c r="Q2805" s="17">
        <f>J2805+L2805+N2805+O2805-P2805-M2805</f>
        <v/>
      </c>
    </row>
    <row r="2806">
      <c r="A2806" s="16" t="inlineStr">
        <is>
          <t>5.22-5.28</t>
        </is>
      </c>
      <c r="B2806" s="16" t="inlineStr">
        <is>
          <t>PO-128-20027058435194052</t>
        </is>
      </c>
      <c r="C2806" s="16" t="inlineStr">
        <is>
          <t>Delivered</t>
        </is>
      </c>
      <c r="D2806" s="16" t="inlineStr">
        <is>
          <t>128-20027006006394052</t>
        </is>
      </c>
      <c r="E2806" s="16" t="inlineStr">
        <is>
          <t>Delivered</t>
        </is>
      </c>
      <c r="F2806" s="16" t="inlineStr">
        <is>
          <t>LV54W25</t>
        </is>
      </c>
      <c r="G2806" s="16" t="inlineStr">
        <is>
          <t>TIANLAI Lámpara Ventilador E27 2 en 1, Silenciosa, LED Alta Luminosidad 180°, Instalación Rápida, Ahorro Energético para Dormitorio y Interiores Pequeños</t>
        </is>
      </c>
      <c r="H2806" s="16" t="inlineStr">
        <is>
          <t>1 Pieza</t>
        </is>
      </c>
      <c r="I2806" s="16" t="n">
        <v>1</v>
      </c>
      <c r="J2806" s="17" t="n">
        <v>74</v>
      </c>
      <c r="K2806" s="17" t="n">
        <v>78.83</v>
      </c>
      <c r="L2806" s="17" t="n">
        <v>25.86</v>
      </c>
      <c r="M2806" s="17" t="n">
        <v>0</v>
      </c>
      <c r="N2806" s="17">
        <f>K2806*0.08+L2806*0.08</f>
        <v/>
      </c>
      <c r="O2806" s="17">
        <f>-(K2806*0.025+L2806*0.025)</f>
        <v/>
      </c>
      <c r="P2806" s="17">
        <f>32</f>
        <v/>
      </c>
      <c r="Q2806" s="17">
        <f>J2806+L2806+N2806+O2806-P2806-M2806</f>
        <v/>
      </c>
    </row>
    <row r="2807">
      <c r="A2807" s="16" t="inlineStr">
        <is>
          <t>5.22-5.28</t>
        </is>
      </c>
      <c r="B2807" s="16" t="inlineStr">
        <is>
          <t>PO-128-20125401590392314</t>
        </is>
      </c>
      <c r="C2807" s="16" t="inlineStr">
        <is>
          <t>Delivered</t>
        </is>
      </c>
      <c r="D2807" s="16" t="inlineStr">
        <is>
          <t>128-20125338675832314</t>
        </is>
      </c>
      <c r="E2807" s="16" t="inlineStr">
        <is>
          <t>Delivered</t>
        </is>
      </c>
      <c r="F2807" s="16" t="inlineStr">
        <is>
          <t>LV54W25</t>
        </is>
      </c>
      <c r="G2807" s="16" t="inlineStr">
        <is>
          <t>TIANLAI Lámpara Ventilador E27 2 en 1, Silenciosa, LED Alta Luminosidad 180°, Instalación Rápida, Ahorro Energético para Dormitorio y Interiores Pequeños</t>
        </is>
      </c>
      <c r="H2807" s="16" t="inlineStr">
        <is>
          <t>1 Pieza</t>
        </is>
      </c>
      <c r="I2807" s="16" t="n">
        <v>1</v>
      </c>
      <c r="J2807" s="17" t="n">
        <v>74</v>
      </c>
      <c r="K2807" s="17" t="n">
        <v>85.68000000000001</v>
      </c>
      <c r="L2807" s="17" t="n">
        <v>25.86</v>
      </c>
      <c r="M2807" s="17" t="n">
        <v>0</v>
      </c>
      <c r="N2807" s="17">
        <f>K2807*0.08+L2807*0.08</f>
        <v/>
      </c>
      <c r="O2807" s="17">
        <f>-(K2807*0.025+L2807*0.025)</f>
        <v/>
      </c>
      <c r="P2807" s="17">
        <f>32</f>
        <v/>
      </c>
      <c r="Q2807" s="17">
        <f>J2807+L2807+N2807+O2807-P2807-M2807</f>
        <v/>
      </c>
    </row>
    <row r="2808">
      <c r="A2808" s="16" t="inlineStr">
        <is>
          <t>5.22-5.28</t>
        </is>
      </c>
      <c r="B2808" s="16" t="inlineStr">
        <is>
          <t>PO-128-20409512113271708</t>
        </is>
      </c>
      <c r="C2808" s="16" t="inlineStr">
        <is>
          <t>Delivered</t>
        </is>
      </c>
      <c r="D2808" s="16" t="inlineStr">
        <is>
          <t>128-20409616970871708</t>
        </is>
      </c>
      <c r="E2808" s="16" t="inlineStr">
        <is>
          <t>Delivered</t>
        </is>
      </c>
      <c r="F2808" s="16" t="inlineStr">
        <is>
          <t>LV54W25</t>
        </is>
      </c>
      <c r="G2808" s="16" t="inlineStr">
        <is>
          <t>TIANLAI Lámpara Ventilador E27 2 en 1, Silenciosa, LED Alta Luminosidad 180°, Instalación Rápida, Ahorro Energético para Dormitorio y Interiores Pequeños</t>
        </is>
      </c>
      <c r="H2808" s="16" t="inlineStr">
        <is>
          <t>1 Pieza</t>
        </is>
      </c>
      <c r="I2808" s="16" t="n">
        <v>1</v>
      </c>
      <c r="J2808" s="17" t="n">
        <v>74</v>
      </c>
      <c r="K2808" s="17" t="n">
        <v>78.83</v>
      </c>
      <c r="L2808" s="17" t="n">
        <v>25.86</v>
      </c>
      <c r="M2808" s="17" t="n">
        <v>0</v>
      </c>
      <c r="N2808" s="17">
        <f>K2808*0.08+L2808*0.08</f>
        <v/>
      </c>
      <c r="O2808" s="17">
        <f>-(K2808*0.025+L2808*0.025)</f>
        <v/>
      </c>
      <c r="P2808" s="17">
        <f>32</f>
        <v/>
      </c>
      <c r="Q2808" s="17">
        <f>J2808+L2808+N2808+O2808-P2808-M2808</f>
        <v/>
      </c>
    </row>
    <row r="2809">
      <c r="A2809" s="16" t="inlineStr">
        <is>
          <t>5.22-5.28</t>
        </is>
      </c>
      <c r="B2809" s="16" t="inlineStr">
        <is>
          <t>PO-128-20041471734393902</t>
        </is>
      </c>
      <c r="C2809" s="16" t="inlineStr">
        <is>
          <t>Delivered</t>
        </is>
      </c>
      <c r="D2809" s="16" t="inlineStr">
        <is>
          <t>128-20041450762873902</t>
        </is>
      </c>
      <c r="E2809" s="16" t="inlineStr">
        <is>
          <t>Delivered</t>
        </is>
      </c>
      <c r="F2809" s="16" t="inlineStr">
        <is>
          <t>LV54W25</t>
        </is>
      </c>
      <c r="G2809" s="16" t="inlineStr">
        <is>
          <t>TIANLAI Lámpara Ventilador E27 2 en 1, Silenciosa, LED Alta Luminosidad 180°, Instalación Rápida, Ahorro Energético para Dormitorio y Interiores Pequeños</t>
        </is>
      </c>
      <c r="H2809" s="16" t="inlineStr">
        <is>
          <t>1 Pieza</t>
        </is>
      </c>
      <c r="I2809" s="16" t="n">
        <v>1</v>
      </c>
      <c r="J2809" s="17" t="n">
        <v>74</v>
      </c>
      <c r="K2809" s="17" t="n">
        <v>77.12</v>
      </c>
      <c r="L2809" s="17" t="n">
        <v>25.86</v>
      </c>
      <c r="M2809" s="17" t="n">
        <v>0</v>
      </c>
      <c r="N2809" s="17">
        <f>K2809*0.08+L2809*0.08</f>
        <v/>
      </c>
      <c r="O2809" s="17">
        <f>-(K2809*0.025+L2809*0.025)</f>
        <v/>
      </c>
      <c r="P2809" s="17">
        <f>32</f>
        <v/>
      </c>
      <c r="Q2809" s="17">
        <f>J2809+L2809+N2809+O2809-P2809-M2809</f>
        <v/>
      </c>
    </row>
    <row r="2810">
      <c r="A2810" s="16" t="inlineStr">
        <is>
          <t>5.22-5.28</t>
        </is>
      </c>
      <c r="B2810" s="16" t="inlineStr">
        <is>
          <t>PO-128-20167138663032067</t>
        </is>
      </c>
      <c r="C2810" s="16" t="inlineStr">
        <is>
          <t>Delivered</t>
        </is>
      </c>
      <c r="D2810" s="16" t="inlineStr">
        <is>
          <t>128-20167197645432067</t>
        </is>
      </c>
      <c r="E2810" s="16" t="inlineStr">
        <is>
          <t>Delivered</t>
        </is>
      </c>
      <c r="F2810" s="16" t="inlineStr">
        <is>
          <t>KTS-2031</t>
        </is>
      </c>
      <c r="G2810" s="16" t="inlineStr">
        <is>
          <t>Bocina inalámbrica de 3 pulgadas con linterna multifuncional y panel solar integrado.Altavoz Portátil con Linterna LED 4 Modos, Radio FM, Bluetooth, Carga Solar, Ideal para Apagones, Emergencias, Campo y Exteriores</t>
        </is>
      </c>
      <c r="H2810" s="16" t="inlineStr">
        <is>
          <t>NEGRO</t>
        </is>
      </c>
      <c r="I2810" s="16" t="n">
        <v>1</v>
      </c>
      <c r="J2810" s="17" t="n">
        <v>90</v>
      </c>
      <c r="K2810" s="17" t="n">
        <v>99.22</v>
      </c>
      <c r="L2810" s="17" t="n">
        <v>25.86</v>
      </c>
      <c r="M2810" s="17" t="n">
        <v>0</v>
      </c>
      <c r="N2810" s="17">
        <f>K2810*0.08+L2810*0.08</f>
        <v/>
      </c>
      <c r="O2810" s="17">
        <f>-(K2810*0.025+L2810*0.025)</f>
        <v/>
      </c>
      <c r="P2810" s="17">
        <f>32</f>
        <v/>
      </c>
      <c r="Q2810" s="17">
        <f>J2810+L2810+N2810+O2810-P2810-M2810</f>
        <v/>
      </c>
    </row>
    <row r="2811">
      <c r="A2811" s="16" t="inlineStr">
        <is>
          <t>5.22-5.28</t>
        </is>
      </c>
      <c r="B2811" s="16" t="inlineStr">
        <is>
          <t>PO-128-20571458734710873</t>
        </is>
      </c>
      <c r="C2811" s="16" t="inlineStr">
        <is>
          <t>Delivered</t>
        </is>
      </c>
      <c r="D2811" s="16" t="inlineStr">
        <is>
          <t>128-20571399752310873</t>
        </is>
      </c>
      <c r="E2811" s="16" t="inlineStr">
        <is>
          <t>Delivered</t>
        </is>
      </c>
      <c r="F2811" s="16" t="inlineStr">
        <is>
          <t>KTS-2031</t>
        </is>
      </c>
      <c r="G2811" s="16" t="inlineStr">
        <is>
          <t>Bocina inalámbrica de 3 pulgadas con linterna multifuncional y panel solar integrado.Altavoz Portátil con Linterna LED 4 Modos, Radio FM, Bluetooth, Carga Solar, Ideal para Apagones, Emergencias, Campo y Exteriores</t>
        </is>
      </c>
      <c r="H2811" s="16" t="inlineStr">
        <is>
          <t>NEGRO</t>
        </is>
      </c>
      <c r="I2811" s="16" t="n">
        <v>2</v>
      </c>
      <c r="J2811" s="17" t="n">
        <v>180</v>
      </c>
      <c r="K2811" s="17" t="n">
        <v>198.44</v>
      </c>
      <c r="L2811" s="17" t="n">
        <v>25.86</v>
      </c>
      <c r="M2811" s="17" t="n">
        <v>0</v>
      </c>
      <c r="N2811" s="17">
        <f>K2811*0.08+L2811*0.08</f>
        <v/>
      </c>
      <c r="O2811" s="17">
        <f>-(K2811*0.025+L2811*0.025)</f>
        <v/>
      </c>
      <c r="P2811" s="17">
        <f>32</f>
        <v/>
      </c>
      <c r="Q2811" s="17">
        <f>J2811+L2811+N2811+O2811-P2811-M2811</f>
        <v/>
      </c>
    </row>
    <row r="2812">
      <c r="A2812" s="16" t="inlineStr">
        <is>
          <t>5.22-5.28</t>
        </is>
      </c>
      <c r="B2812" s="16" t="inlineStr">
        <is>
          <t>PO-128-20105013033592437</t>
        </is>
      </c>
      <c r="C2812" s="16" t="inlineStr">
        <is>
          <t>Delivered</t>
        </is>
      </c>
      <c r="D2812" s="16" t="inlineStr">
        <is>
          <t>128-20105117891192437</t>
        </is>
      </c>
      <c r="E2812" s="16" t="inlineStr">
        <is>
          <t>Delivered</t>
        </is>
      </c>
      <c r="F2812" s="16" t="inlineStr">
        <is>
          <t>LV64W25</t>
        </is>
      </c>
      <c r="G28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12" s="16" t="inlineStr">
        <is>
          <t>Blanco</t>
        </is>
      </c>
      <c r="I2812" s="16" t="n">
        <v>2</v>
      </c>
      <c r="J2812" s="17" t="n">
        <v>250</v>
      </c>
      <c r="K2812" s="17" t="n">
        <v>266.46</v>
      </c>
      <c r="L2812" s="17" t="n">
        <v>0</v>
      </c>
      <c r="M2812" s="17" t="n">
        <v>0</v>
      </c>
      <c r="N2812" s="17">
        <f>K2812*0.08+L2812*0.08</f>
        <v/>
      </c>
      <c r="O2812" s="17">
        <f>-(K2812*0.025+L2812*0.025)</f>
        <v/>
      </c>
      <c r="P2812" s="17">
        <f>32</f>
        <v/>
      </c>
      <c r="Q2812" s="17">
        <f>J2812+L2812+N2812+O2812-P2812-M2812</f>
        <v/>
      </c>
    </row>
    <row r="2813">
      <c r="A2813" s="16" t="inlineStr">
        <is>
          <t>5.22-5.28</t>
        </is>
      </c>
      <c r="B2813" s="16" t="inlineStr">
        <is>
          <t>PO-128-20082273751673597</t>
        </is>
      </c>
      <c r="C2813" s="16" t="inlineStr">
        <is>
          <t>Delivered</t>
        </is>
      </c>
      <c r="D2813" s="16" t="inlineStr">
        <is>
          <t>128-20082294723193597</t>
        </is>
      </c>
      <c r="E2813" s="16" t="inlineStr">
        <is>
          <t>Delivered</t>
        </is>
      </c>
      <c r="F2813" s="16" t="inlineStr">
        <is>
          <t>LV64W25</t>
        </is>
      </c>
      <c r="G28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13" s="16" t="inlineStr">
        <is>
          <t>Blanco</t>
        </is>
      </c>
      <c r="I2813" s="16" t="n">
        <v>1</v>
      </c>
      <c r="J2813" s="17" t="n">
        <v>125</v>
      </c>
      <c r="K2813" s="17" t="n">
        <v>133.23</v>
      </c>
      <c r="L2813" s="17" t="n">
        <v>25.86</v>
      </c>
      <c r="M2813" s="17" t="n">
        <v>0</v>
      </c>
      <c r="N2813" s="17">
        <f>K2813*0.08+L2813*0.08</f>
        <v/>
      </c>
      <c r="O2813" s="17">
        <f>-(K2813*0.025+L2813*0.025)</f>
        <v/>
      </c>
      <c r="P2813" s="17">
        <f>32</f>
        <v/>
      </c>
      <c r="Q2813" s="17">
        <f>J2813+L2813+N2813+O2813-P2813-M2813</f>
        <v/>
      </c>
    </row>
    <row r="2814">
      <c r="A2814" s="16" t="inlineStr">
        <is>
          <t>5.22-5.28</t>
        </is>
      </c>
      <c r="B2814" s="16" t="inlineStr">
        <is>
          <t>PO-128-20121155116152533</t>
        </is>
      </c>
      <c r="C2814" s="16" t="inlineStr">
        <is>
          <t>Delivered</t>
        </is>
      </c>
      <c r="D2814" s="16" t="inlineStr">
        <is>
          <t>128-20121197059192533</t>
        </is>
      </c>
      <c r="E2814" s="16" t="inlineStr">
        <is>
          <t>Delivered</t>
        </is>
      </c>
      <c r="F2814" s="16" t="inlineStr">
        <is>
          <t>BSC04</t>
        </is>
      </c>
      <c r="G2814" s="16" t="inlineStr">
        <is>
          <t>TIANLAI Báscula Digital BSC04/BSC07, Alta Precisión, Fácil Operación, Ligera y Portátil, Función Tara, Unidad Dual oz/g, Ideal para Cocina, Control de Porciones, Sellos y Objetos Pequeños, Uso en Hogar y Viaje</t>
        </is>
      </c>
      <c r="H2814" s="16" t="inlineStr">
        <is>
          <t>5g/White</t>
        </is>
      </c>
      <c r="I2814" s="16" t="n">
        <v>1</v>
      </c>
      <c r="J2814" s="17" t="n">
        <v>58</v>
      </c>
      <c r="K2814" s="17" t="n">
        <v>74.29000000000001</v>
      </c>
      <c r="L2814" s="17" t="n">
        <v>25.86</v>
      </c>
      <c r="M2814" s="17" t="n">
        <v>0</v>
      </c>
      <c r="N2814" s="17">
        <f>K2814*0.08+L2814*0.08</f>
        <v/>
      </c>
      <c r="O2814" s="17">
        <f>-(K2814*0.025+L2814*0.025)</f>
        <v/>
      </c>
      <c r="P2814" s="17">
        <f>32</f>
        <v/>
      </c>
      <c r="Q2814" s="17">
        <f>J2814+L2814+N2814+O2814-P2814-M2814</f>
        <v/>
      </c>
    </row>
    <row r="2815">
      <c r="A2815" s="16" t="inlineStr">
        <is>
          <t>5.22-5.28</t>
        </is>
      </c>
      <c r="B2815" s="16" t="inlineStr">
        <is>
          <t>PO-128-19944071601273525</t>
        </is>
      </c>
      <c r="C2815" s="16" t="inlineStr">
        <is>
          <t>Delivered</t>
        </is>
      </c>
      <c r="D2815" s="16" t="inlineStr">
        <is>
          <t>128-19944029658233525</t>
        </is>
      </c>
      <c r="E2815" s="16" t="inlineStr">
        <is>
          <t>Delivered</t>
        </is>
      </c>
      <c r="F2815" s="16" t="inlineStr">
        <is>
          <t>LV64W25</t>
        </is>
      </c>
      <c r="G28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15" s="16" t="inlineStr">
        <is>
          <t>Blanco</t>
        </is>
      </c>
      <c r="I2815" s="16" t="n">
        <v>1</v>
      </c>
      <c r="J2815" s="17" t="n">
        <v>125</v>
      </c>
      <c r="K2815" s="17" t="n">
        <v>143.26</v>
      </c>
      <c r="L2815" s="17" t="n">
        <v>25.86</v>
      </c>
      <c r="M2815" s="17" t="n">
        <v>0</v>
      </c>
      <c r="N2815" s="17">
        <f>K2815*0.08+L2815*0.08</f>
        <v/>
      </c>
      <c r="O2815" s="17">
        <f>-(K2815*0.025+L2815*0.025)</f>
        <v/>
      </c>
      <c r="P2815" s="17">
        <f>32</f>
        <v/>
      </c>
      <c r="Q2815" s="17">
        <f>J2815+L2815+N2815+O2815-P2815-M2815</f>
        <v/>
      </c>
    </row>
    <row r="2816">
      <c r="A2816" s="16" t="inlineStr">
        <is>
          <t>5.22-5.28</t>
        </is>
      </c>
      <c r="B2816" s="16" t="inlineStr">
        <is>
          <t>PO-128-20284599404151495</t>
        </is>
      </c>
      <c r="C2816" s="16" t="inlineStr">
        <is>
          <t>Delivered</t>
        </is>
      </c>
      <c r="D2816" s="16" t="inlineStr">
        <is>
          <t>128-20284553528951495</t>
        </is>
      </c>
      <c r="E2816" s="16" t="inlineStr">
        <is>
          <t>Delivered</t>
        </is>
      </c>
      <c r="F2816" s="16" t="inlineStr">
        <is>
          <t>LV64W25</t>
        </is>
      </c>
      <c r="G28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16" s="16" t="inlineStr">
        <is>
          <t>Blanco</t>
        </is>
      </c>
      <c r="I2816" s="16" t="n">
        <v>1</v>
      </c>
      <c r="J2816" s="17" t="n">
        <v>125</v>
      </c>
      <c r="K2816" s="17" t="n">
        <v>143.26</v>
      </c>
      <c r="L2816" s="17" t="n">
        <v>25.86</v>
      </c>
      <c r="M2816" s="17" t="n">
        <v>0</v>
      </c>
      <c r="N2816" s="17">
        <f>K2816*0.08+L2816*0.08</f>
        <v/>
      </c>
      <c r="O2816" s="17">
        <f>-(K2816*0.025+L2816*0.025)</f>
        <v/>
      </c>
      <c r="P2816" s="17">
        <f>32</f>
        <v/>
      </c>
      <c r="Q2816" s="17">
        <f>J2816+L2816+N2816+O2816-P2816-M2816</f>
        <v/>
      </c>
    </row>
    <row r="2817">
      <c r="A2817" s="16" t="inlineStr">
        <is>
          <t>5.22-5.28</t>
        </is>
      </c>
      <c r="B2817" s="16" t="inlineStr">
        <is>
          <t>PO-128-20332024576631274</t>
        </is>
      </c>
      <c r="C2817" s="16" t="inlineStr">
        <is>
          <t>Delivered</t>
        </is>
      </c>
      <c r="D2817" s="16" t="inlineStr">
        <is>
          <t>128-20331987876471274</t>
        </is>
      </c>
      <c r="E2817" s="16" t="inlineStr">
        <is>
          <t>Delivered</t>
        </is>
      </c>
      <c r="F2817" s="16" t="inlineStr">
        <is>
          <t>LV54W25</t>
        </is>
      </c>
      <c r="G2817" s="16" t="inlineStr">
        <is>
          <t>TIANLAI Lámpara Ventilador E27 2 en 1, Silenciosa, LED Alta Luminosidad 180°, Instalación Rápida, Ahorro Energético para Dormitorio y Interiores Pequeños</t>
        </is>
      </c>
      <c r="H2817" s="16" t="inlineStr">
        <is>
          <t>1 Pieza</t>
        </is>
      </c>
      <c r="I2817" s="16" t="n">
        <v>1</v>
      </c>
      <c r="J2817" s="17" t="n">
        <v>74</v>
      </c>
      <c r="K2817" s="17" t="n">
        <v>72.44</v>
      </c>
      <c r="L2817" s="17" t="n">
        <v>25.86</v>
      </c>
      <c r="M2817" s="17" t="n">
        <v>0</v>
      </c>
      <c r="N2817" s="17">
        <f>K2817*0.08+L2817*0.08</f>
        <v/>
      </c>
      <c r="O2817" s="17">
        <f>-(K2817*0.025+L2817*0.025)</f>
        <v/>
      </c>
      <c r="P2817" s="17">
        <f>32</f>
        <v/>
      </c>
      <c r="Q2817" s="17">
        <f>J2817+L2817+N2817+O2817-P2817-M2817</f>
        <v/>
      </c>
    </row>
    <row r="2818">
      <c r="A2818" s="16" t="inlineStr">
        <is>
          <t>5.22-5.28</t>
        </is>
      </c>
      <c r="B2818" s="16" t="inlineStr">
        <is>
          <t>PO-128-20242310782072771</t>
        </is>
      </c>
      <c r="C2818" s="16" t="inlineStr">
        <is>
          <t>Delivered</t>
        </is>
      </c>
      <c r="D2818" s="16" t="inlineStr">
        <is>
          <t>128-20242363210872771</t>
        </is>
      </c>
      <c r="E2818" s="16" t="inlineStr">
        <is>
          <t>Delivered</t>
        </is>
      </c>
      <c r="F2818" s="16" t="inlineStr">
        <is>
          <t>KTS-2031</t>
        </is>
      </c>
      <c r="G2818" s="16" t="inlineStr">
        <is>
          <t>Bocina inalámbrica de 3 pulgadas con linterna multifuncional y panel solar integrado.Altavoz Portátil con Linterna LED 4 Modos, Radio FM, Bluetooth, Carga Solar, Ideal para Apagones, Emergencias, Campo y Exteriores</t>
        </is>
      </c>
      <c r="H2818" s="16" t="inlineStr">
        <is>
          <t>NEGRO</t>
        </is>
      </c>
      <c r="I2818" s="16" t="n">
        <v>1</v>
      </c>
      <c r="J2818" s="17" t="n">
        <v>90</v>
      </c>
      <c r="K2818" s="17" t="n">
        <v>99.22</v>
      </c>
      <c r="L2818" s="17" t="n">
        <v>25.86</v>
      </c>
      <c r="M2818" s="17" t="n">
        <v>0</v>
      </c>
      <c r="N2818" s="17">
        <f>K2818*0.08+L2818*0.08</f>
        <v/>
      </c>
      <c r="O2818" s="17">
        <f>-(K2818*0.025+L2818*0.025)</f>
        <v/>
      </c>
      <c r="P2818" s="17">
        <f>32</f>
        <v/>
      </c>
      <c r="Q2818" s="17">
        <f>J2818+L2818+N2818+O2818-P2818-M2818</f>
        <v/>
      </c>
    </row>
    <row r="2819">
      <c r="A2819" s="16" t="inlineStr">
        <is>
          <t>5.22-5.28</t>
        </is>
      </c>
      <c r="B2819" s="16" t="inlineStr">
        <is>
          <t>PO-128-20205039719033057</t>
        </is>
      </c>
      <c r="C2819" s="16" t="inlineStr">
        <is>
          <t>Delivered</t>
        </is>
      </c>
      <c r="D2819" s="16" t="inlineStr">
        <is>
          <t>128-20205018747513057</t>
        </is>
      </c>
      <c r="E2819" s="16" t="inlineStr">
        <is>
          <t>Delivered</t>
        </is>
      </c>
      <c r="F2819" s="16" t="inlineStr">
        <is>
          <t>LV54W25</t>
        </is>
      </c>
      <c r="G2819" s="16" t="inlineStr">
        <is>
          <t>TIANLAI Lámpara Ventilador E27 2 en 1, Silenciosa, LED Alta Luminosidad 180°, Instalación Rápida, Ahorro Energético para Dormitorio y Interiores Pequeños</t>
        </is>
      </c>
      <c r="H2819" s="16" t="inlineStr">
        <is>
          <t>1 Pieza</t>
        </is>
      </c>
      <c r="I2819" s="16" t="n">
        <v>1</v>
      </c>
      <c r="J2819" s="17" t="n">
        <v>74</v>
      </c>
      <c r="K2819" s="17" t="n">
        <v>77.12</v>
      </c>
      <c r="L2819" s="17" t="n">
        <v>25.86</v>
      </c>
      <c r="M2819" s="17" t="n">
        <v>0</v>
      </c>
      <c r="N2819" s="17">
        <f>K2819*0.08+L2819*0.08</f>
        <v/>
      </c>
      <c r="O2819" s="17">
        <f>-(K2819*0.025+L2819*0.025)</f>
        <v/>
      </c>
      <c r="P2819" s="17">
        <f>32</f>
        <v/>
      </c>
      <c r="Q2819" s="17">
        <f>J2819+L2819+N2819+O2819-P2819-M2819</f>
        <v/>
      </c>
    </row>
    <row r="2820">
      <c r="A2820" s="16" t="inlineStr">
        <is>
          <t>5.22-5.28</t>
        </is>
      </c>
      <c r="B2820" s="16" t="inlineStr">
        <is>
          <t>PO-128-20379907313271823</t>
        </is>
      </c>
      <c r="C2820" s="16" t="inlineStr">
        <is>
          <t>Delivered</t>
        </is>
      </c>
      <c r="D2820" s="16" t="inlineStr">
        <is>
          <t>128-20379928284791823</t>
        </is>
      </c>
      <c r="E2820" s="16" t="inlineStr">
        <is>
          <t>Delivered</t>
        </is>
      </c>
      <c r="F2820" s="16" t="inlineStr">
        <is>
          <t>TLCD06-12P-N</t>
        </is>
      </c>
      <c r="G282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820" s="16" t="inlineStr">
        <is>
          <t>NEGRO/pantalla de 12 pulgadas</t>
        </is>
      </c>
      <c r="I2820" s="16" t="n">
        <v>1</v>
      </c>
      <c r="J2820" s="17" t="n">
        <v>32</v>
      </c>
      <c r="K2820" s="17" t="n">
        <v>44.01</v>
      </c>
      <c r="L2820" s="17" t="n">
        <v>25.86</v>
      </c>
      <c r="M2820" s="17" t="n">
        <v>0</v>
      </c>
      <c r="N2820" s="17">
        <f>K2820*0.08+L2820*0.08</f>
        <v/>
      </c>
      <c r="O2820" s="17">
        <f>-(K2820*0.025+L2820*0.025)</f>
        <v/>
      </c>
      <c r="P2820" s="17">
        <f>32</f>
        <v/>
      </c>
      <c r="Q2820" s="17">
        <f>J2820+L2820+N2820+O2820-P2820-M2820</f>
        <v/>
      </c>
    </row>
    <row r="2821">
      <c r="A2821" s="16" t="inlineStr">
        <is>
          <t>5.22-5.28</t>
        </is>
      </c>
      <c r="B2821" s="16" t="inlineStr">
        <is>
          <t>PO-128-20591752110710750</t>
        </is>
      </c>
      <c r="C2821" s="16" t="inlineStr">
        <is>
          <t>Delivered</t>
        </is>
      </c>
      <c r="D2821" s="16" t="inlineStr">
        <is>
          <t>128-20591736136310750</t>
        </is>
      </c>
      <c r="E2821" s="16" t="inlineStr">
        <is>
          <t>Delivered</t>
        </is>
      </c>
      <c r="F2821" s="16" t="inlineStr">
        <is>
          <t>B03W10-10PZS</t>
        </is>
      </c>
      <c r="G282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821" s="16" t="inlineStr">
        <is>
          <t>B03W10</t>
        </is>
      </c>
      <c r="I2821" s="16" t="n">
        <v>1</v>
      </c>
      <c r="J2821" s="17" t="n">
        <v>77</v>
      </c>
      <c r="K2821" s="17" t="n">
        <v>80.95</v>
      </c>
      <c r="L2821" s="17" t="n">
        <v>25.86</v>
      </c>
      <c r="M2821" s="17" t="n">
        <v>0</v>
      </c>
      <c r="N2821" s="17">
        <f>K2821*0.08+L2821*0.08</f>
        <v/>
      </c>
      <c r="O2821" s="17">
        <f>-(K2821*0.025+L2821*0.025)</f>
        <v/>
      </c>
      <c r="P2821" s="17">
        <f>32</f>
        <v/>
      </c>
      <c r="Q2821" s="17">
        <f>J2821+L2821+N2821+O2821-P2821-M2821</f>
        <v/>
      </c>
    </row>
    <row r="2822">
      <c r="A2822" s="16" t="inlineStr">
        <is>
          <t>5.22-5.28</t>
        </is>
      </c>
      <c r="B2822" s="16" t="inlineStr">
        <is>
          <t>PO-128-20376090261112036</t>
        </is>
      </c>
      <c r="C2822" s="16" t="inlineStr">
        <is>
          <t>Delivered</t>
        </is>
      </c>
      <c r="D2822" s="16" t="inlineStr">
        <is>
          <t>128-20376048318072036</t>
        </is>
      </c>
      <c r="E2822" s="16" t="inlineStr">
        <is>
          <t>Delivered</t>
        </is>
      </c>
      <c r="F2822" s="16" t="inlineStr">
        <is>
          <t>LV54W25</t>
        </is>
      </c>
      <c r="G2822" s="16" t="inlineStr">
        <is>
          <t>TIANLAI Lámpara Ventilador E27 2 en 1, Silenciosa, LED Alta Luminosidad 180°, Instalación Rápida, Ahorro Energético para Dormitorio y Interiores Pequeños</t>
        </is>
      </c>
      <c r="H2822" s="16" t="inlineStr">
        <is>
          <t>1 Pieza</t>
        </is>
      </c>
      <c r="I2822" s="16" t="n">
        <v>1</v>
      </c>
      <c r="J2822" s="17" t="n">
        <v>74</v>
      </c>
      <c r="K2822" s="17" t="n">
        <v>34.02</v>
      </c>
      <c r="L2822" s="17" t="n">
        <v>25.86</v>
      </c>
      <c r="M2822" s="17" t="n">
        <v>0</v>
      </c>
      <c r="N2822" s="17">
        <f>K2822*0.08+L2822*0.08</f>
        <v/>
      </c>
      <c r="O2822" s="17">
        <f>-(K2822*0.025+L2822*0.025)</f>
        <v/>
      </c>
      <c r="P2822" s="17">
        <f>32</f>
        <v/>
      </c>
      <c r="Q2822" s="17">
        <f>J2822+L2822+N2822+O2822-P2822-M2822</f>
        <v/>
      </c>
    </row>
    <row r="2823">
      <c r="A2823" s="16" t="inlineStr">
        <is>
          <t>5.22-5.28</t>
        </is>
      </c>
      <c r="B2823" s="16" t="inlineStr">
        <is>
          <t>PO-128-20062072725113717</t>
        </is>
      </c>
      <c r="C2823" s="16" t="inlineStr">
        <is>
          <t>Delivered</t>
        </is>
      </c>
      <c r="D2823" s="16" t="inlineStr">
        <is>
          <t>128-20062114668153717</t>
        </is>
      </c>
      <c r="E2823" s="16" t="inlineStr">
        <is>
          <t>Delivered</t>
        </is>
      </c>
      <c r="F2823" s="16" t="inlineStr">
        <is>
          <t>KTS-2031</t>
        </is>
      </c>
      <c r="G2823" s="16" t="inlineStr">
        <is>
          <t>Bocina inalámbrica de 3 pulgadas con linterna multifuncional y panel solar integrado.Altavoz Portátil con Linterna LED 4 Modos, Radio FM, Bluetooth, Carga Solar, Ideal para Apagones, Emergencias, Campo y Exteriores</t>
        </is>
      </c>
      <c r="H2823" s="16" t="inlineStr">
        <is>
          <t>NEGRO</t>
        </is>
      </c>
      <c r="I2823" s="16" t="n">
        <v>1</v>
      </c>
      <c r="J2823" s="17" t="n">
        <v>90</v>
      </c>
      <c r="K2823" s="17" t="n">
        <v>99.22</v>
      </c>
      <c r="L2823" s="17" t="n">
        <v>25.86</v>
      </c>
      <c r="M2823" s="17" t="n">
        <v>0</v>
      </c>
      <c r="N2823" s="17">
        <f>K2823*0.08+L2823*0.08</f>
        <v/>
      </c>
      <c r="O2823" s="17">
        <f>-(K2823*0.025+L2823*0.025)</f>
        <v/>
      </c>
      <c r="P2823" s="17">
        <f>32</f>
        <v/>
      </c>
      <c r="Q2823" s="17">
        <f>J2823+L2823+N2823+O2823-P2823-M2823</f>
        <v/>
      </c>
    </row>
    <row r="2824">
      <c r="A2824" s="16" t="inlineStr">
        <is>
          <t>5.22-5.28</t>
        </is>
      </c>
      <c r="B2824" s="16" t="inlineStr">
        <is>
          <t>PO-128-20102247834232452</t>
        </is>
      </c>
      <c r="C2824" s="16" t="inlineStr">
        <is>
          <t>Delivered</t>
        </is>
      </c>
      <c r="D2824" s="16" t="inlineStr">
        <is>
          <t>128-20102216376952452</t>
        </is>
      </c>
      <c r="E2824" s="16" t="inlineStr">
        <is>
          <t>Delivered</t>
        </is>
      </c>
      <c r="F2824" s="16" t="inlineStr">
        <is>
          <t>LV64W25</t>
        </is>
      </c>
      <c r="G28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24" s="16" t="inlineStr">
        <is>
          <t>Blanco</t>
        </is>
      </c>
      <c r="I2824" s="16" t="n">
        <v>1</v>
      </c>
      <c r="J2824" s="17" t="n">
        <v>125</v>
      </c>
      <c r="K2824" s="17" t="n">
        <v>133.23</v>
      </c>
      <c r="L2824" s="17" t="n">
        <v>25.86</v>
      </c>
      <c r="M2824" s="17" t="n">
        <v>0</v>
      </c>
      <c r="N2824" s="17">
        <f>K2824*0.08+L2824*0.08</f>
        <v/>
      </c>
      <c r="O2824" s="17">
        <f>-(K2824*0.025+L2824*0.025)</f>
        <v/>
      </c>
      <c r="P2824" s="17">
        <f>32</f>
        <v/>
      </c>
      <c r="Q2824" s="17">
        <f>J2824+L2824+N2824+O2824-P2824-M2824</f>
        <v/>
      </c>
    </row>
    <row r="2825">
      <c r="A2825" s="16" t="inlineStr">
        <is>
          <t>5.22-5.28</t>
        </is>
      </c>
      <c r="B2825" s="16" t="inlineStr">
        <is>
          <t>PO-128-20450773525110438</t>
        </is>
      </c>
      <c r="C2825" s="16" t="inlineStr">
        <is>
          <t>Delivered</t>
        </is>
      </c>
      <c r="D2825" s="16" t="inlineStr">
        <is>
          <t>128-20450804982390438</t>
        </is>
      </c>
      <c r="E2825" s="16" t="inlineStr">
        <is>
          <t>Delivered</t>
        </is>
      </c>
      <c r="F2825" s="16" t="inlineStr">
        <is>
          <t>LV54W25</t>
        </is>
      </c>
      <c r="G2825" s="16" t="inlineStr">
        <is>
          <t>TIANLAI Lámpara Ventilador E27 2 en 1, Silenciosa, LED Alta Luminosidad 180°, Instalación Rápida, Ahorro Energético para Dormitorio y Interiores Pequeños</t>
        </is>
      </c>
      <c r="H2825" s="16" t="inlineStr">
        <is>
          <t>1 Pieza</t>
        </is>
      </c>
      <c r="I2825" s="16" t="n">
        <v>1</v>
      </c>
      <c r="J2825" s="17" t="n">
        <v>74</v>
      </c>
      <c r="K2825" s="17" t="n">
        <v>77.12</v>
      </c>
      <c r="L2825" s="17" t="n">
        <v>25.86</v>
      </c>
      <c r="M2825" s="17" t="n">
        <v>0</v>
      </c>
      <c r="N2825" s="17">
        <f>K2825*0.08+L2825*0.08</f>
        <v/>
      </c>
      <c r="O2825" s="17">
        <f>-(K2825*0.025+L2825*0.025)</f>
        <v/>
      </c>
      <c r="P2825" s="17">
        <f>32</f>
        <v/>
      </c>
      <c r="Q2825" s="17">
        <f>J2825+L2825+N2825+O2825-P2825-M2825</f>
        <v/>
      </c>
    </row>
    <row r="2826">
      <c r="A2826" s="16" t="inlineStr">
        <is>
          <t>5.22-5.28</t>
        </is>
      </c>
      <c r="B2826" s="16" t="inlineStr">
        <is>
          <t>PO-128-20291025864311521</t>
        </is>
      </c>
      <c r="C2826" s="16" t="inlineStr">
        <is>
          <t>Delivered</t>
        </is>
      </c>
      <c r="D2826" s="16" t="inlineStr">
        <is>
          <t>128-20291035858551521</t>
        </is>
      </c>
      <c r="E2826" s="16" t="inlineStr">
        <is>
          <t>Delivered</t>
        </is>
      </c>
      <c r="F2826" s="16" t="inlineStr">
        <is>
          <t>KTS-2031</t>
        </is>
      </c>
      <c r="G2826" s="16" t="inlineStr">
        <is>
          <t>Bocina inalámbrica de 3 pulgadas con linterna multifuncional y panel solar integrado.Altavoz Portátil con Linterna LED 4 Modos, Radio FM, Bluetooth, Carga Solar, Ideal para Apagones, Emergencias, Campo y Exteriores</t>
        </is>
      </c>
      <c r="H2826" s="16" t="inlineStr">
        <is>
          <t>NEGRO</t>
        </is>
      </c>
      <c r="I2826" s="16" t="n">
        <v>1</v>
      </c>
      <c r="J2826" s="17" t="n">
        <v>90</v>
      </c>
      <c r="K2826" s="17" t="n">
        <v>99.22</v>
      </c>
      <c r="L2826" s="17" t="n">
        <v>25.86</v>
      </c>
      <c r="M2826" s="17" t="n">
        <v>0</v>
      </c>
      <c r="N2826" s="17">
        <f>K2826*0.08+L2826*0.08</f>
        <v/>
      </c>
      <c r="O2826" s="17">
        <f>-(K2826*0.025+L2826*0.025)</f>
        <v/>
      </c>
      <c r="P2826" s="17">
        <f>32</f>
        <v/>
      </c>
      <c r="Q2826" s="17">
        <f>J2826+L2826+N2826+O2826-P2826-M2826</f>
        <v/>
      </c>
    </row>
    <row r="2827">
      <c r="A2827" s="16" t="inlineStr">
        <is>
          <t>5.22-5.28</t>
        </is>
      </c>
      <c r="B2827" s="16" t="inlineStr">
        <is>
          <t>PO-128-20570210750070878</t>
        </is>
      </c>
      <c r="C2827" s="16" t="inlineStr">
        <is>
          <t>Delivered</t>
        </is>
      </c>
      <c r="D2827" s="16" t="inlineStr">
        <is>
          <t>128-20570374590070878</t>
        </is>
      </c>
      <c r="E2827" s="16" t="inlineStr">
        <is>
          <t>Delivered</t>
        </is>
      </c>
      <c r="F2827" s="16" t="inlineStr">
        <is>
          <t>LV64W25</t>
        </is>
      </c>
      <c r="G28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27" s="16" t="inlineStr">
        <is>
          <t>Blanco</t>
        </is>
      </c>
      <c r="I2827" s="16" t="n">
        <v>3</v>
      </c>
      <c r="J2827" s="17" t="n">
        <v>375</v>
      </c>
      <c r="K2827" s="17" t="n">
        <v>429.78</v>
      </c>
      <c r="L2827" s="17" t="n">
        <v>0</v>
      </c>
      <c r="M2827" s="17" t="n">
        <v>0</v>
      </c>
      <c r="N2827" s="17">
        <f>K2827*0.08+L2827*0.08</f>
        <v/>
      </c>
      <c r="O2827" s="17">
        <f>-(K2827*0.025+L2827*0.025)</f>
        <v/>
      </c>
      <c r="P2827" s="17">
        <f>32</f>
        <v/>
      </c>
      <c r="Q2827" s="17">
        <f>J2827+L2827+N2827+O2827-P2827-M2827</f>
        <v/>
      </c>
    </row>
    <row r="2828">
      <c r="A2828" s="16" t="inlineStr">
        <is>
          <t>5.22-5.28</t>
        </is>
      </c>
      <c r="B2828" s="16" t="inlineStr">
        <is>
          <t>PO-128-20419782037111777</t>
        </is>
      </c>
      <c r="C2828" s="16" t="inlineStr">
        <is>
          <t>Delivered</t>
        </is>
      </c>
      <c r="D2828" s="16" t="inlineStr">
        <is>
          <t>128-20419823980151777</t>
        </is>
      </c>
      <c r="E2828" s="16" t="inlineStr">
        <is>
          <t>Delivered</t>
        </is>
      </c>
      <c r="F2828" s="16" t="inlineStr">
        <is>
          <t>LV64W25</t>
        </is>
      </c>
      <c r="G28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28" s="16" t="inlineStr">
        <is>
          <t>Blanco</t>
        </is>
      </c>
      <c r="I2828" s="16" t="n">
        <v>1</v>
      </c>
      <c r="J2828" s="17" t="n">
        <v>125</v>
      </c>
      <c r="K2828" s="17" t="n">
        <v>143.26</v>
      </c>
      <c r="L2828" s="17" t="n">
        <v>25.86</v>
      </c>
      <c r="M2828" s="17" t="n">
        <v>0</v>
      </c>
      <c r="N2828" s="17">
        <f>K2828*0.08+L2828*0.08</f>
        <v/>
      </c>
      <c r="O2828" s="17">
        <f>-(K2828*0.025+L2828*0.025)</f>
        <v/>
      </c>
      <c r="P2828" s="17">
        <f>32</f>
        <v/>
      </c>
      <c r="Q2828" s="17">
        <f>J2828+L2828+N2828+O2828-P2828-M2828</f>
        <v/>
      </c>
    </row>
    <row r="2829">
      <c r="A2829" s="16" t="inlineStr">
        <is>
          <t>5.22-5.28</t>
        </is>
      </c>
      <c r="B2829" s="16" t="inlineStr">
        <is>
          <t>PO-128-19944062362233525</t>
        </is>
      </c>
      <c r="C2829" s="16" t="inlineStr">
        <is>
          <t>Delivered</t>
        </is>
      </c>
      <c r="D2829" s="16" t="inlineStr">
        <is>
          <t>128-19944083210873525</t>
        </is>
      </c>
      <c r="E2829" s="16" t="inlineStr">
        <is>
          <t>Delivered</t>
        </is>
      </c>
      <c r="F2829" s="16" t="inlineStr">
        <is>
          <t>LV54W25</t>
        </is>
      </c>
      <c r="G2829" s="16" t="inlineStr">
        <is>
          <t>TIANLAI Lámpara Ventilador E27 2 en 1, Silenciosa, LED Alta Luminosidad 180°, Instalación Rápida, Ahorro Energético para Dormitorio y Interiores Pequeños</t>
        </is>
      </c>
      <c r="H2829" s="16" t="inlineStr">
        <is>
          <t>1 Pieza</t>
        </is>
      </c>
      <c r="I2829" s="16" t="n">
        <v>1</v>
      </c>
      <c r="J2829" s="17" t="n">
        <v>74</v>
      </c>
      <c r="K2829" s="17" t="n">
        <v>85.68000000000001</v>
      </c>
      <c r="L2829" s="17" t="n">
        <v>25.86</v>
      </c>
      <c r="M2829" s="17" t="n">
        <v>0</v>
      </c>
      <c r="N2829" s="17">
        <f>K2829*0.08+L2829*0.08</f>
        <v/>
      </c>
      <c r="O2829" s="17">
        <f>-(K2829*0.025+L2829*0.025)</f>
        <v/>
      </c>
      <c r="P2829" s="17">
        <f>32</f>
        <v/>
      </c>
      <c r="Q2829" s="17">
        <f>J2829+L2829+N2829+O2829-P2829-M2829</f>
        <v/>
      </c>
    </row>
    <row r="2830">
      <c r="A2830" s="16" t="inlineStr">
        <is>
          <t>5.22-5.28</t>
        </is>
      </c>
      <c r="B2830" s="16" t="inlineStr">
        <is>
          <t>PO-128-20078576896633811</t>
        </is>
      </c>
      <c r="C2830" s="16" t="inlineStr">
        <is>
          <t>Delivered</t>
        </is>
      </c>
      <c r="D2830" s="16" t="inlineStr">
        <is>
          <t>128-20078597868153811</t>
        </is>
      </c>
      <c r="E2830" s="16" t="inlineStr">
        <is>
          <t>Delivered</t>
        </is>
      </c>
      <c r="F2830" s="16" t="inlineStr">
        <is>
          <t>KTS-2031</t>
        </is>
      </c>
      <c r="G2830" s="16" t="inlineStr">
        <is>
          <t>Bocina inalámbrica de 3 pulgadas con linterna multifuncional y panel solar integrado.Altavoz Portátil con Linterna LED 4 Modos, Radio FM, Bluetooth, Carga Solar, Ideal para Apagones, Emergencias, Campo y Exteriores</t>
        </is>
      </c>
      <c r="H2830" s="16" t="inlineStr">
        <is>
          <t>NEGRO</t>
        </is>
      </c>
      <c r="I2830" s="16" t="n">
        <v>1</v>
      </c>
      <c r="J2830" s="17" t="n">
        <v>90</v>
      </c>
      <c r="K2830" s="17" t="n">
        <v>99.22</v>
      </c>
      <c r="L2830" s="17" t="n">
        <v>25.86</v>
      </c>
      <c r="M2830" s="17" t="n">
        <v>0</v>
      </c>
      <c r="N2830" s="17">
        <f>K2830*0.08+L2830*0.08</f>
        <v/>
      </c>
      <c r="O2830" s="17">
        <f>-(K2830*0.025+L2830*0.025)</f>
        <v/>
      </c>
      <c r="P2830" s="17">
        <f>32</f>
        <v/>
      </c>
      <c r="Q2830" s="17">
        <f>J2830+L2830+N2830+O2830-P2830-M2830</f>
        <v/>
      </c>
    </row>
    <row r="2831">
      <c r="A2831" s="16" t="inlineStr">
        <is>
          <t>5.22-5.28</t>
        </is>
      </c>
      <c r="B2831" s="16" t="inlineStr">
        <is>
          <t>PO-128-20271900856952659</t>
        </is>
      </c>
      <c r="C2831" s="16" t="inlineStr">
        <is>
          <t>Delivered</t>
        </is>
      </c>
      <c r="D2831" s="16" t="inlineStr">
        <is>
          <t>128-20271879885432659</t>
        </is>
      </c>
      <c r="E2831" s="16" t="inlineStr">
        <is>
          <t>Delivered</t>
        </is>
      </c>
      <c r="F2831" s="16" t="inlineStr">
        <is>
          <t>BSC04</t>
        </is>
      </c>
      <c r="G2831" s="16" t="inlineStr">
        <is>
          <t>TIANLAI Báscula Digital BSC04/BSC07, Alta Precisión, Fácil Operación, Ligera y Portátil, Función Tara, Unidad Dual oz/g, Ideal para Cocina, Control de Porciones, Sellos y Objetos Pequeños, Uso en Hogar y Viaje</t>
        </is>
      </c>
      <c r="H2831" s="16" t="inlineStr">
        <is>
          <t>5g/White</t>
        </is>
      </c>
      <c r="I2831" s="16" t="n">
        <v>1</v>
      </c>
      <c r="J2831" s="17" t="n">
        <v>58</v>
      </c>
      <c r="K2831" s="17" t="n">
        <v>74.29000000000001</v>
      </c>
      <c r="L2831" s="17" t="n">
        <v>25.86</v>
      </c>
      <c r="M2831" s="17" t="n">
        <v>0</v>
      </c>
      <c r="N2831" s="17">
        <f>K2831*0.08+L2831*0.08</f>
        <v/>
      </c>
      <c r="O2831" s="17">
        <f>-(K2831*0.025+L2831*0.025)</f>
        <v/>
      </c>
      <c r="P2831" s="17">
        <f>32</f>
        <v/>
      </c>
      <c r="Q2831" s="17">
        <f>J2831+L2831+N2831+O2831-P2831-M2831</f>
        <v/>
      </c>
    </row>
    <row r="2832">
      <c r="A2832" s="16" t="inlineStr">
        <is>
          <t>5.22-5.28</t>
        </is>
      </c>
      <c r="B2832" s="16" t="inlineStr">
        <is>
          <t>PO-128-20331164278391217</t>
        </is>
      </c>
      <c r="C2832" s="16" t="inlineStr">
        <is>
          <t>Delivered</t>
        </is>
      </c>
      <c r="D2832" s="16" t="inlineStr">
        <is>
          <t>128-20331269135991217</t>
        </is>
      </c>
      <c r="E2832" s="16" t="inlineStr">
        <is>
          <t>Delivered</t>
        </is>
      </c>
      <c r="F2832" s="16" t="inlineStr">
        <is>
          <t>LV54W25</t>
        </is>
      </c>
      <c r="G2832" s="16" t="inlineStr">
        <is>
          <t>TIANLAI Lámpara Ventilador E27 2 en 1, Silenciosa, LED Alta Luminosidad 180°, Instalación Rápida, Ahorro Energético para Dormitorio y Interiores Pequeños</t>
        </is>
      </c>
      <c r="H2832" s="16" t="inlineStr">
        <is>
          <t>1 Pieza</t>
        </is>
      </c>
      <c r="I2832" s="16" t="n">
        <v>1</v>
      </c>
      <c r="J2832" s="17" t="n">
        <v>74</v>
      </c>
      <c r="K2832" s="17" t="n">
        <v>77.12</v>
      </c>
      <c r="L2832" s="17" t="n">
        <v>25.86</v>
      </c>
      <c r="M2832" s="17" t="n">
        <v>0</v>
      </c>
      <c r="N2832" s="17">
        <f>K2832*0.08+L2832*0.08</f>
        <v/>
      </c>
      <c r="O2832" s="17">
        <f>-(K2832*0.025+L2832*0.025)</f>
        <v/>
      </c>
      <c r="P2832" s="17">
        <f>32</f>
        <v/>
      </c>
      <c r="Q2832" s="17">
        <f>J2832+L2832+N2832+O2832-P2832-M2832</f>
        <v/>
      </c>
    </row>
    <row r="2833">
      <c r="A2833" s="16" t="inlineStr">
        <is>
          <t>5.22-5.28</t>
        </is>
      </c>
      <c r="B2833" s="16" t="inlineStr">
        <is>
          <t>PO-128-20365125837431975</t>
        </is>
      </c>
      <c r="C2833" s="16" t="inlineStr">
        <is>
          <t>Delivered</t>
        </is>
      </c>
      <c r="D2833" s="16" t="inlineStr">
        <is>
          <t>128-20365178266231975</t>
        </is>
      </c>
      <c r="E2833" s="16" t="inlineStr">
        <is>
          <t>Delivered</t>
        </is>
      </c>
      <c r="F2833" s="16" t="inlineStr">
        <is>
          <t>LV54W25</t>
        </is>
      </c>
      <c r="G2833" s="16" t="inlineStr">
        <is>
          <t>TIANLAI Lámpara Ventilador E27 2 en 1, Silenciosa, LED Alta Luminosidad 180°, Instalación Rápida, Ahorro Energético para Dormitorio y Interiores Pequeños</t>
        </is>
      </c>
      <c r="H2833" s="16" t="inlineStr">
        <is>
          <t>1 Pieza</t>
        </is>
      </c>
      <c r="I2833" s="16" t="n">
        <v>1</v>
      </c>
      <c r="J2833" s="17" t="n">
        <v>74</v>
      </c>
      <c r="K2833" s="17" t="n">
        <v>2.92</v>
      </c>
      <c r="L2833" s="17" t="n">
        <v>25.86</v>
      </c>
      <c r="M2833" s="17" t="n">
        <v>0</v>
      </c>
      <c r="N2833" s="17">
        <f>K2833*0.08+L2833*0.08</f>
        <v/>
      </c>
      <c r="O2833" s="17">
        <f>-(K2833*0.025+L2833*0.025)</f>
        <v/>
      </c>
      <c r="P2833" s="17">
        <f>32</f>
        <v/>
      </c>
      <c r="Q2833" s="17">
        <f>J2833+L2833+N2833+O2833-P2833-M2833</f>
        <v/>
      </c>
    </row>
    <row r="2834">
      <c r="A2834" s="16" t="inlineStr">
        <is>
          <t>5.22-5.28</t>
        </is>
      </c>
      <c r="B2834" s="16" t="inlineStr">
        <is>
          <t>PO-128-20152609608312216</t>
        </is>
      </c>
      <c r="C2834" s="16" t="inlineStr">
        <is>
          <t>Delivered</t>
        </is>
      </c>
      <c r="D2834" s="16" t="inlineStr">
        <is>
          <t>128-20152567665272216</t>
        </is>
      </c>
      <c r="E2834" s="16" t="inlineStr">
        <is>
          <t>Delivered</t>
        </is>
      </c>
      <c r="F2834" s="16" t="inlineStr">
        <is>
          <t>TL2663N18C</t>
        </is>
      </c>
      <c r="G2834" s="16" t="inlineStr">
        <is>
          <t>Linkbits，Soporte de pared fijo para televisores de 26"-63", Ultra-Delgado Compatible con VESA 400x400mm, Capacidad de Peso Fuerte de 25KG, Instalación Fácil Sin Electricidad</t>
        </is>
      </c>
      <c r="H2834" s="16" t="inlineStr">
        <is>
          <t>NEGRO</t>
        </is>
      </c>
      <c r="I2834" s="16" t="n">
        <v>1</v>
      </c>
      <c r="J2834" s="17" t="n">
        <v>53.8</v>
      </c>
      <c r="K2834" s="17" t="n">
        <v>68.77</v>
      </c>
      <c r="L2834" s="17" t="n">
        <v>25.86</v>
      </c>
      <c r="M2834" s="17" t="n">
        <v>0</v>
      </c>
      <c r="N2834" s="17">
        <f>K2834*0.08+L2834*0.08</f>
        <v/>
      </c>
      <c r="O2834" s="17">
        <f>-(K2834*0.025+L2834*0.025)</f>
        <v/>
      </c>
      <c r="P2834" s="17">
        <f>32</f>
        <v/>
      </c>
      <c r="Q2834" s="17">
        <f>J2834+L2834+N2834+O2834-P2834-M2834</f>
        <v/>
      </c>
    </row>
    <row r="2835">
      <c r="A2835" s="16" t="inlineStr">
        <is>
          <t>5.22-5.28</t>
        </is>
      </c>
      <c r="B2835" s="16" t="inlineStr">
        <is>
          <t>PO-128-20013021880953176</t>
        </is>
      </c>
      <c r="C2835" s="16" t="inlineStr">
        <is>
          <t>Delivered</t>
        </is>
      </c>
      <c r="D2835" s="16" t="inlineStr">
        <is>
          <t>128-20012979937913176</t>
        </is>
      </c>
      <c r="E2835" s="16" t="inlineStr">
        <is>
          <t>Delivered</t>
        </is>
      </c>
      <c r="F2835" s="16" t="inlineStr">
        <is>
          <t>TL1455N20B</t>
        </is>
      </c>
      <c r="G2835" s="16" t="inlineStr">
        <is>
          <t>LINK BITS Soporte para TV 14 A 55 Pulgadas, Base para TV Pantalla Articulado Inclinable y Giratorio, MAX VESA 400×400 mm, Soporta hasta 18kg, adaptarse a la mayoría de los televisores de 14 Pulgadas/20 Pulgadas/32 Pulgadas/42 Pulgadas/55 pulgadas</t>
        </is>
      </c>
      <c r="H2835" s="16" t="inlineStr">
        <is>
          <t>TL1455N20B</t>
        </is>
      </c>
      <c r="I2835" s="16" t="n">
        <v>1</v>
      </c>
      <c r="J2835" s="17" t="n">
        <v>71</v>
      </c>
      <c r="K2835" s="17" t="n">
        <v>92.06</v>
      </c>
      <c r="L2835" s="17" t="n">
        <v>25.86</v>
      </c>
      <c r="M2835" s="17" t="n">
        <v>0</v>
      </c>
      <c r="N2835" s="17">
        <f>K2835*0.08+L2835*0.08</f>
        <v/>
      </c>
      <c r="O2835" s="17">
        <f>-(K2835*0.025+L2835*0.025)</f>
        <v/>
      </c>
      <c r="P2835" s="17">
        <f>32</f>
        <v/>
      </c>
      <c r="Q2835" s="17">
        <f>J2835+L2835+N2835+O2835-P2835-M2835</f>
        <v/>
      </c>
    </row>
    <row r="2836">
      <c r="A2836" s="16" t="inlineStr">
        <is>
          <t>5.22-5.28</t>
        </is>
      </c>
      <c r="B2836" s="16" t="inlineStr">
        <is>
          <t>PO-128-20237268736632737</t>
        </is>
      </c>
      <c r="C2836" s="16" t="inlineStr">
        <is>
          <t>Delivered</t>
        </is>
      </c>
      <c r="D2836" s="16" t="inlineStr">
        <is>
          <t>128-20237344758392737</t>
        </is>
      </c>
      <c r="E2836" s="16" t="inlineStr">
        <is>
          <t>Delivered</t>
        </is>
      </c>
      <c r="F2836" s="16" t="inlineStr">
        <is>
          <t>LV54W25</t>
        </is>
      </c>
      <c r="G2836" s="16" t="inlineStr">
        <is>
          <t>TIANLAI Lámpara Ventilador E27 2 en 1, Silenciosa, LED Alta Luminosidad 180°, Instalación Rápida, Ahorro Energético para Dormitorio y Interiores Pequeños</t>
        </is>
      </c>
      <c r="H2836" s="16" t="inlineStr">
        <is>
          <t>1 Pieza</t>
        </is>
      </c>
      <c r="I2836" s="16" t="n">
        <v>5</v>
      </c>
      <c r="J2836" s="17" t="n">
        <v>370</v>
      </c>
      <c r="K2836" s="17" t="n">
        <v>394.15</v>
      </c>
      <c r="L2836" s="17" t="n">
        <v>0</v>
      </c>
      <c r="M2836" s="17" t="n">
        <v>0</v>
      </c>
      <c r="N2836" s="17">
        <f>K2836*0.08+L2836*0.08</f>
        <v/>
      </c>
      <c r="O2836" s="17">
        <f>-(K2836*0.025+L2836*0.025)</f>
        <v/>
      </c>
      <c r="P2836" s="17">
        <f>32</f>
        <v/>
      </c>
      <c r="Q2836" s="17">
        <f>J2836+L2836+N2836+O2836-P2836-M2836</f>
        <v/>
      </c>
    </row>
    <row r="2837">
      <c r="A2837" s="16" t="inlineStr">
        <is>
          <t>5.22-5.28</t>
        </is>
      </c>
      <c r="B2837" s="16" t="inlineStr">
        <is>
          <t>PO-128-20491188183670134</t>
        </is>
      </c>
      <c r="C2837" s="16" t="inlineStr">
        <is>
          <t>Delivered</t>
        </is>
      </c>
      <c r="D2837" s="16" t="inlineStr">
        <is>
          <t>128-20491146240630134</t>
        </is>
      </c>
      <c r="E2837" s="16" t="inlineStr">
        <is>
          <t>Delivered</t>
        </is>
      </c>
      <c r="F2837" s="16" t="inlineStr">
        <is>
          <t>LV64W25</t>
        </is>
      </c>
      <c r="G28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37" s="16" t="inlineStr">
        <is>
          <t>Blanco</t>
        </is>
      </c>
      <c r="I2837" s="16" t="n">
        <v>1</v>
      </c>
      <c r="J2837" s="17" t="n">
        <v>125</v>
      </c>
      <c r="K2837" s="17" t="n">
        <v>121.78</v>
      </c>
      <c r="L2837" s="17" t="n">
        <v>25.86</v>
      </c>
      <c r="M2837" s="17" t="n">
        <v>0</v>
      </c>
      <c r="N2837" s="17">
        <f>K2837*0.08+L2837*0.08</f>
        <v/>
      </c>
      <c r="O2837" s="17">
        <f>-(K2837*0.025+L2837*0.025)</f>
        <v/>
      </c>
      <c r="P2837" s="17">
        <f>32</f>
        <v/>
      </c>
      <c r="Q2837" s="17">
        <f>J2837+L2837+N2837+O2837-P2837-M2837</f>
        <v/>
      </c>
    </row>
    <row r="2838">
      <c r="A2838" s="16" t="inlineStr">
        <is>
          <t>5.22-5.28</t>
        </is>
      </c>
      <c r="B2838" s="16" t="inlineStr">
        <is>
          <t>PO-128-19950867497593354</t>
        </is>
      </c>
      <c r="C2838" s="16" t="inlineStr">
        <is>
          <t>Delivered</t>
        </is>
      </c>
      <c r="D2838" s="16" t="inlineStr">
        <is>
          <t>128-19950846526073354</t>
        </is>
      </c>
      <c r="E2838" s="16" t="inlineStr">
        <is>
          <t>Delivered</t>
        </is>
      </c>
      <c r="F2838" s="16" t="inlineStr">
        <is>
          <t>EM12W12</t>
        </is>
      </c>
      <c r="G2838" s="16" t="inlineStr">
        <is>
          <t>TIANLAI Lámpara Solar de Emergencia, 1pc 960lm IP4 5 Modos con SOS, Recargable USB+Solar con Gancho, Linterna Portátil para Camping Hogar Senderismo Pesca</t>
        </is>
      </c>
      <c r="H2838" s="16" t="inlineStr">
        <is>
          <t>BLANCO</t>
        </is>
      </c>
      <c r="I2838" s="16" t="n">
        <v>3</v>
      </c>
      <c r="J2838" s="17" t="n">
        <v>226.5</v>
      </c>
      <c r="K2838" s="17" t="n">
        <v>228.5</v>
      </c>
      <c r="L2838" s="17" t="n">
        <v>0</v>
      </c>
      <c r="M2838" s="17" t="n">
        <v>0</v>
      </c>
      <c r="N2838" s="17">
        <f>K2838*0.08+L2838*0.08</f>
        <v/>
      </c>
      <c r="O2838" s="17">
        <f>-(K2838*0.025+L2838*0.025)</f>
        <v/>
      </c>
      <c r="P2838" s="17">
        <f>32</f>
        <v/>
      </c>
      <c r="Q2838" s="17">
        <f>J2838+L2838+N2838+O2838-P2838-M2838</f>
        <v/>
      </c>
    </row>
    <row r="2839">
      <c r="A2839" s="16" t="inlineStr">
        <is>
          <t>5.22-5.28</t>
        </is>
      </c>
      <c r="B2839" s="16" t="inlineStr">
        <is>
          <t>PO-128-20218905336952908</t>
        </is>
      </c>
      <c r="C2839" s="16" t="inlineStr">
        <is>
          <t>Delivered</t>
        </is>
      </c>
      <c r="D2839" s="16" t="inlineStr">
        <is>
          <t>128-20218915822712908</t>
        </is>
      </c>
      <c r="E2839" s="16" t="inlineStr">
        <is>
          <t>Delivered</t>
        </is>
      </c>
      <c r="F2839" s="16" t="inlineStr">
        <is>
          <t>KTS-2031</t>
        </is>
      </c>
      <c r="G2839" s="16" t="inlineStr">
        <is>
          <t>Bocina inalámbrica de 3 pulgadas con linterna multifuncional y panel solar integrado.Altavoz Portátil con Linterna LED 4 Modos, Radio FM, Bluetooth, Carga Solar, Ideal para Apagones, Emergencias, Campo y Exteriores</t>
        </is>
      </c>
      <c r="H2839" s="16" t="inlineStr">
        <is>
          <t>NEGRO</t>
        </is>
      </c>
      <c r="I2839" s="16" t="n">
        <v>2</v>
      </c>
      <c r="J2839" s="17" t="n">
        <v>180</v>
      </c>
      <c r="K2839" s="17" t="n">
        <v>198.44</v>
      </c>
      <c r="L2839" s="17" t="n">
        <v>25.86</v>
      </c>
      <c r="M2839" s="17" t="n">
        <v>0</v>
      </c>
      <c r="N2839" s="17">
        <f>K2839*0.08+L2839*0.08</f>
        <v/>
      </c>
      <c r="O2839" s="17">
        <f>-(K2839*0.025+L2839*0.025)</f>
        <v/>
      </c>
      <c r="P2839" s="17">
        <f>32</f>
        <v/>
      </c>
      <c r="Q2839" s="17">
        <f>J2839+L2839+N2839+O2839-P2839-M2839</f>
        <v/>
      </c>
    </row>
    <row r="2840">
      <c r="A2840" s="16" t="inlineStr">
        <is>
          <t>5.22-5.28</t>
        </is>
      </c>
      <c r="B2840" s="16" t="inlineStr">
        <is>
          <t>PO-128-19977884099193259</t>
        </is>
      </c>
      <c r="C2840" s="16" t="inlineStr">
        <is>
          <t>Delivered</t>
        </is>
      </c>
      <c r="D2840" s="16" t="inlineStr">
        <is>
          <t>128-19977844777593259</t>
        </is>
      </c>
      <c r="E2840" s="16" t="inlineStr">
        <is>
          <t>Delivered</t>
        </is>
      </c>
      <c r="F2840" s="16" t="inlineStr">
        <is>
          <t>KTS-2031</t>
        </is>
      </c>
      <c r="G2840" s="16" t="inlineStr">
        <is>
          <t>Bocina inalámbrica de 3 pulgadas con linterna multifuncional y panel solar integrado.Altavoz Portátil con Linterna LED 4 Modos, Radio FM, Bluetooth, Carga Solar, Ideal para Apagones, Emergencias, Campo y Exteriores</t>
        </is>
      </c>
      <c r="H2840" s="16" t="inlineStr">
        <is>
          <t>NEGRO</t>
        </is>
      </c>
      <c r="I2840" s="16" t="n">
        <v>3</v>
      </c>
      <c r="J2840" s="17" t="n">
        <v>270</v>
      </c>
      <c r="K2840" s="17" t="n">
        <v>236.03</v>
      </c>
      <c r="L2840" s="17" t="n">
        <v>0</v>
      </c>
      <c r="M2840" s="17" t="n">
        <v>0</v>
      </c>
      <c r="N2840" s="17">
        <f>K2840*0.08+L2840*0.08</f>
        <v/>
      </c>
      <c r="O2840" s="17">
        <f>-(K2840*0.025+L2840*0.025)</f>
        <v/>
      </c>
      <c r="P2840" s="17">
        <f>32</f>
        <v/>
      </c>
      <c r="Q2840" s="17">
        <f>J2840+L2840+N2840+O2840-P2840-M2840</f>
        <v/>
      </c>
    </row>
    <row r="2841">
      <c r="A2841" s="16" t="inlineStr">
        <is>
          <t>5.22-5.28</t>
        </is>
      </c>
      <c r="B2841" s="16" t="inlineStr">
        <is>
          <t>PO-128-20032662789754085</t>
        </is>
      </c>
      <c r="C2841" s="16" t="inlineStr">
        <is>
          <t>Delivered</t>
        </is>
      </c>
      <c r="D2841" s="16" t="inlineStr">
        <is>
          <t>128-20032620846714085</t>
        </is>
      </c>
      <c r="E2841" s="16" t="inlineStr">
        <is>
          <t>Delivered</t>
        </is>
      </c>
      <c r="F2841" s="16" t="inlineStr">
        <is>
          <t>LV54W25</t>
        </is>
      </c>
      <c r="G2841" s="16" t="inlineStr">
        <is>
          <t>TIANLAI Lámpara Ventilador E27 2 en 1, Silenciosa, LED Alta Luminosidad 180°, Instalación Rápida, Ahorro Energético para Dormitorio y Interiores Pequeños</t>
        </is>
      </c>
      <c r="H2841" s="16" t="inlineStr">
        <is>
          <t>1 Pieza</t>
        </is>
      </c>
      <c r="I2841" s="16" t="n">
        <v>1</v>
      </c>
      <c r="J2841" s="17" t="n">
        <v>74</v>
      </c>
      <c r="K2841" s="17" t="n">
        <v>34.02</v>
      </c>
      <c r="L2841" s="17" t="n">
        <v>25.86</v>
      </c>
      <c r="M2841" s="17" t="n">
        <v>0</v>
      </c>
      <c r="N2841" s="17">
        <f>K2841*0.08+L2841*0.08</f>
        <v/>
      </c>
      <c r="O2841" s="17">
        <f>-(K2841*0.025+L2841*0.025)</f>
        <v/>
      </c>
      <c r="P2841" s="17">
        <f>32</f>
        <v/>
      </c>
      <c r="Q2841" s="17">
        <f>J2841+L2841+N2841+O2841-P2841-M2841</f>
        <v/>
      </c>
    </row>
    <row r="2842">
      <c r="A2842" s="16" t="inlineStr">
        <is>
          <t>5.22-5.28</t>
        </is>
      </c>
      <c r="B2842" s="16" t="inlineStr">
        <is>
          <t>PO-128-20109869650552470</t>
        </is>
      </c>
      <c r="C2842" s="16" t="inlineStr">
        <is>
          <t>Delivered</t>
        </is>
      </c>
      <c r="D2842" s="16" t="inlineStr">
        <is>
          <t>128-20109890622072470</t>
        </is>
      </c>
      <c r="E2842" s="16" t="inlineStr">
        <is>
          <t>Delivered</t>
        </is>
      </c>
      <c r="F2842" s="16" t="inlineStr">
        <is>
          <t>BG-115-B</t>
        </is>
      </c>
      <c r="G2842" s="16" t="inlineStr">
        <is>
          <t>LINK BITS Audífonos Inalámbricos con Luces Multicolor, Recargables y en Adorable Forma de Orejas de Gato - Conecta a Celulares y PCs, Tiene Radio FM, Tarjeta TF y AUX - 7 Horas de Reproducción, Plegables y Perfectos para Trabajo, Juegos y Estudio</t>
        </is>
      </c>
      <c r="H2842" s="16" t="inlineStr">
        <is>
          <t>blanco</t>
        </is>
      </c>
      <c r="I2842" s="16" t="n">
        <v>1</v>
      </c>
      <c r="J2842" s="17" t="n">
        <v>78</v>
      </c>
      <c r="K2842" s="17" t="n">
        <v>84.29000000000001</v>
      </c>
      <c r="L2842" s="17" t="n">
        <v>25.86</v>
      </c>
      <c r="M2842" s="17" t="n">
        <v>0</v>
      </c>
      <c r="N2842" s="17">
        <f>K2842*0.08+L2842*0.08</f>
        <v/>
      </c>
      <c r="O2842" s="17">
        <f>-(K2842*0.025+L2842*0.025)</f>
        <v/>
      </c>
      <c r="P2842" s="17">
        <f>32</f>
        <v/>
      </c>
      <c r="Q2842" s="17">
        <f>J2842+L2842+N2842+O2842-P2842-M2842</f>
        <v/>
      </c>
    </row>
    <row r="2843">
      <c r="A2843" s="16" t="inlineStr">
        <is>
          <t>5.22-5.28</t>
        </is>
      </c>
      <c r="B2843" s="16" t="inlineStr">
        <is>
          <t>PO-128-20302508790391322</t>
        </is>
      </c>
      <c r="C2843" s="16" t="inlineStr">
        <is>
          <t>Delivered</t>
        </is>
      </c>
      <c r="D2843" s="16" t="inlineStr">
        <is>
          <t>128-20302550733431322</t>
        </is>
      </c>
      <c r="E2843" s="16" t="inlineStr">
        <is>
          <t>Delivered</t>
        </is>
      </c>
      <c r="F2843" s="16" t="inlineStr">
        <is>
          <t>LV54W25</t>
        </is>
      </c>
      <c r="G2843" s="16" t="inlineStr">
        <is>
          <t>TIANLAI Lámpara Ventilador E27 2 en 1, Silenciosa, LED Alta Luminosidad 180°, Instalación Rápida, Ahorro Energético para Dormitorio y Interiores Pequeños</t>
        </is>
      </c>
      <c r="H2843" s="16" t="inlineStr">
        <is>
          <t>1 Pieza</t>
        </is>
      </c>
      <c r="I2843" s="16" t="n">
        <v>1</v>
      </c>
      <c r="J2843" s="17" t="n">
        <v>74</v>
      </c>
      <c r="K2843" s="17" t="n">
        <v>85.68000000000001</v>
      </c>
      <c r="L2843" s="17" t="n">
        <v>25.86</v>
      </c>
      <c r="M2843" s="17" t="n">
        <v>0</v>
      </c>
      <c r="N2843" s="17">
        <f>K2843*0.08+L2843*0.08</f>
        <v/>
      </c>
      <c r="O2843" s="17">
        <f>-(K2843*0.025+L2843*0.025)</f>
        <v/>
      </c>
      <c r="P2843" s="17">
        <f>32</f>
        <v/>
      </c>
      <c r="Q2843" s="17">
        <f>J2843+L2843+N2843+O2843-P2843-M2843</f>
        <v/>
      </c>
    </row>
    <row r="2844">
      <c r="A2844" s="16" t="inlineStr">
        <is>
          <t>5.22-5.28</t>
        </is>
      </c>
      <c r="B2844" s="16" t="inlineStr">
        <is>
          <t>PO-128-20538066063990942</t>
        </is>
      </c>
      <c r="C2844" s="16" t="inlineStr">
        <is>
          <t>Delivered</t>
        </is>
      </c>
      <c r="D2844" s="16" t="inlineStr">
        <is>
          <t>128-20538045092470942</t>
        </is>
      </c>
      <c r="E2844" s="16" t="inlineStr">
        <is>
          <t>Delivered</t>
        </is>
      </c>
      <c r="F2844" s="16" t="inlineStr">
        <is>
          <t>KTS-2031</t>
        </is>
      </c>
      <c r="G2844" s="16" t="inlineStr">
        <is>
          <t>Bocina inalámbrica de 3 pulgadas con linterna multifuncional y panel solar integrado.Altavoz Portátil con Linterna LED 4 Modos, Radio FM, Bluetooth, Carga Solar, Ideal para Apagones, Emergencias, Campo y Exteriores</t>
        </is>
      </c>
      <c r="H2844" s="16" t="inlineStr">
        <is>
          <t>NEGRO</t>
        </is>
      </c>
      <c r="I2844" s="16" t="n">
        <v>1</v>
      </c>
      <c r="J2844" s="17" t="n">
        <v>90</v>
      </c>
      <c r="K2844" s="17" t="n">
        <v>99.22</v>
      </c>
      <c r="L2844" s="17" t="n">
        <v>25.86</v>
      </c>
      <c r="M2844" s="17" t="n">
        <v>0</v>
      </c>
      <c r="N2844" s="17">
        <f>K2844*0.08+L2844*0.08</f>
        <v/>
      </c>
      <c r="O2844" s="17">
        <f>-(K2844*0.025+L2844*0.025)</f>
        <v/>
      </c>
      <c r="P2844" s="17">
        <f>32</f>
        <v/>
      </c>
      <c r="Q2844" s="17">
        <f>J2844+L2844+N2844+O2844-P2844-M2844</f>
        <v/>
      </c>
    </row>
    <row r="2845">
      <c r="A2845" s="16" t="inlineStr">
        <is>
          <t>5.22-5.28</t>
        </is>
      </c>
      <c r="B2845" s="16" t="inlineStr">
        <is>
          <t>PO-128-20398428232311902</t>
        </is>
      </c>
      <c r="C2845" s="16" t="inlineStr">
        <is>
          <t>Delivered</t>
        </is>
      </c>
      <c r="D2845" s="16" t="inlineStr">
        <is>
          <t>128-20398443960951902</t>
        </is>
      </c>
      <c r="E2845" s="16" t="inlineStr">
        <is>
          <t>Delivered</t>
        </is>
      </c>
      <c r="F2845" s="16" t="inlineStr">
        <is>
          <t>LV54W25</t>
        </is>
      </c>
      <c r="G2845" s="16" t="inlineStr">
        <is>
          <t>TIANLAI Lámpara Ventilador E27 2 en 1, Silenciosa, LED Alta Luminosidad 180°, Instalación Rápida, Ahorro Energético para Dormitorio y Interiores Pequeños</t>
        </is>
      </c>
      <c r="H2845" s="16" t="inlineStr">
        <is>
          <t>1 Pieza</t>
        </is>
      </c>
      <c r="I2845" s="16" t="n">
        <v>13</v>
      </c>
      <c r="J2845" s="17" t="n">
        <v>962</v>
      </c>
      <c r="K2845" s="17" t="n">
        <v>1028.19</v>
      </c>
      <c r="L2845" s="17" t="n">
        <v>0</v>
      </c>
      <c r="M2845" s="17" t="n">
        <v>0</v>
      </c>
      <c r="N2845" s="17">
        <f>K2845*0.08+L2845*0.08</f>
        <v/>
      </c>
      <c r="O2845" s="17">
        <f>-(K2845*0.025+L2845*0.025)</f>
        <v/>
      </c>
      <c r="P2845" s="17">
        <f>32</f>
        <v/>
      </c>
      <c r="Q2845" s="17">
        <f>J2845+L2845+N2845+O2845-P2845-M2845</f>
        <v/>
      </c>
    </row>
    <row r="2846">
      <c r="A2846" s="16" t="inlineStr">
        <is>
          <t>5.22-5.28</t>
        </is>
      </c>
      <c r="B2846" s="16" t="inlineStr">
        <is>
          <t>PO-128-20412973962871752</t>
        </is>
      </c>
      <c r="C2846" s="16" t="inlineStr">
        <is>
          <t>Delivered</t>
        </is>
      </c>
      <c r="D2846" s="16" t="inlineStr">
        <is>
          <t>128-20412932019831752</t>
        </is>
      </c>
      <c r="E2846" s="16" t="inlineStr">
        <is>
          <t>Delivered</t>
        </is>
      </c>
      <c r="F2846" s="16" t="inlineStr">
        <is>
          <t>LV64W25</t>
        </is>
      </c>
      <c r="G28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46" s="16" t="inlineStr">
        <is>
          <t>Blanco</t>
        </is>
      </c>
      <c r="I2846" s="16" t="n">
        <v>1</v>
      </c>
      <c r="J2846" s="17" t="n">
        <v>125</v>
      </c>
      <c r="K2846" s="17" t="n">
        <v>143.26</v>
      </c>
      <c r="L2846" s="17" t="n">
        <v>25.86</v>
      </c>
      <c r="M2846" s="17" t="n">
        <v>0</v>
      </c>
      <c r="N2846" s="17">
        <f>K2846*0.08+L2846*0.08</f>
        <v/>
      </c>
      <c r="O2846" s="17">
        <f>-(K2846*0.025+L2846*0.025)</f>
        <v/>
      </c>
      <c r="P2846" s="17">
        <f>32</f>
        <v/>
      </c>
      <c r="Q2846" s="17">
        <f>J2846+L2846+N2846+O2846-P2846-M2846</f>
        <v/>
      </c>
    </row>
    <row r="2847">
      <c r="A2847" s="16" t="inlineStr">
        <is>
          <t>5.22-5.28</t>
        </is>
      </c>
      <c r="B2847" s="16" t="inlineStr">
        <is>
          <t>PO-128-20351488128631094</t>
        </is>
      </c>
      <c r="C2847" s="16" t="inlineStr">
        <is>
          <t>Delivered</t>
        </is>
      </c>
      <c r="D2847" s="16" t="inlineStr">
        <is>
          <t>128-20351473710711094</t>
        </is>
      </c>
      <c r="E2847" s="16" t="inlineStr">
        <is>
          <t>Delivered</t>
        </is>
      </c>
      <c r="F2847" s="16" t="inlineStr">
        <is>
          <t>LV54W25</t>
        </is>
      </c>
      <c r="G2847" s="16" t="inlineStr">
        <is>
          <t>TIANLAI Lámpara Ventilador E27 2 en 1, Silenciosa, LED Alta Luminosidad 180°, Instalación Rápida, Ahorro Energético para Dormitorio y Interiores Pequeños</t>
        </is>
      </c>
      <c r="H2847" s="16" t="inlineStr">
        <is>
          <t>1 Pieza</t>
        </is>
      </c>
      <c r="I2847" s="16" t="n">
        <v>1</v>
      </c>
      <c r="J2847" s="17" t="n">
        <v>74</v>
      </c>
      <c r="K2847" s="17" t="n">
        <v>68.78</v>
      </c>
      <c r="L2847" s="17" t="n">
        <v>25.86</v>
      </c>
      <c r="M2847" s="17" t="n">
        <v>0</v>
      </c>
      <c r="N2847" s="17">
        <f>K2847*0.08+L2847*0.08</f>
        <v/>
      </c>
      <c r="O2847" s="17">
        <f>-(K2847*0.025+L2847*0.025)</f>
        <v/>
      </c>
      <c r="P2847" s="17">
        <f>32</f>
        <v/>
      </c>
      <c r="Q2847" s="17">
        <f>J2847+L2847+N2847+O2847-P2847-M2847</f>
        <v/>
      </c>
    </row>
    <row r="2848">
      <c r="A2848" s="16" t="inlineStr">
        <is>
          <t>5.22-5.28</t>
        </is>
      </c>
      <c r="B2848" s="16" t="inlineStr">
        <is>
          <t>PO-128-20366460503671967</t>
        </is>
      </c>
      <c r="C2848" s="16" t="inlineStr">
        <is>
          <t>Delivered</t>
        </is>
      </c>
      <c r="D2848" s="16" t="inlineStr">
        <is>
          <t>128-20366512932471967</t>
        </is>
      </c>
      <c r="E2848" s="16" t="inlineStr">
        <is>
          <t>Delivered</t>
        </is>
      </c>
      <c r="F2848" s="16" t="inlineStr">
        <is>
          <t>TLCD02-8P-A</t>
        </is>
      </c>
      <c r="G284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848" s="16" t="inlineStr">
        <is>
          <t>AZUL/pantalla de 8.5 pulgadas</t>
        </is>
      </c>
      <c r="I2848" s="16" t="n">
        <v>21</v>
      </c>
      <c r="J2848" s="17" t="n">
        <v>525</v>
      </c>
      <c r="K2848" s="17" t="n">
        <v>618.87</v>
      </c>
      <c r="L2848" s="17" t="n">
        <v>0</v>
      </c>
      <c r="M2848" s="17" t="n">
        <v>0</v>
      </c>
      <c r="N2848" s="17">
        <f>K2848*0.08+L2848*0.08</f>
        <v/>
      </c>
      <c r="O2848" s="17">
        <f>-(K2848*0.025+L2848*0.025)</f>
        <v/>
      </c>
      <c r="P2848" s="17">
        <f>32</f>
        <v/>
      </c>
      <c r="Q2848" s="17">
        <f>J2848+L2848+N2848+O2848-P2848-M2848</f>
        <v/>
      </c>
    </row>
    <row r="2849">
      <c r="A2849" s="16" t="inlineStr">
        <is>
          <t>5.22-5.28</t>
        </is>
      </c>
      <c r="B2849" s="16" t="inlineStr">
        <is>
          <t>PO-128-20476283771510350</t>
        </is>
      </c>
      <c r="C2849" s="16" t="inlineStr">
        <is>
          <t>Delivered</t>
        </is>
      </c>
      <c r="D2849" s="16" t="inlineStr">
        <is>
          <t>128-20476388629110350</t>
        </is>
      </c>
      <c r="E2849" s="16" t="inlineStr">
        <is>
          <t>Delivered</t>
        </is>
      </c>
      <c r="F2849" s="16" t="inlineStr">
        <is>
          <t>BG-115-B</t>
        </is>
      </c>
      <c r="G2849" s="16" t="inlineStr">
        <is>
          <t>LINK BITS Audífonos Inalámbricos con Luces Multicolor, Recargables y en Adorable Forma de Orejas de Gato - Conecta a Celulares y PCs, Tiene Radio FM, Tarjeta TF y AUX - 7 Horas de Reproducción, Plegables y Perfectos para Trabajo, Juegos y Estudio</t>
        </is>
      </c>
      <c r="H2849" s="16" t="inlineStr">
        <is>
          <t>blanco</t>
        </is>
      </c>
      <c r="I2849" s="16" t="n">
        <v>1</v>
      </c>
      <c r="J2849" s="17" t="n">
        <v>78</v>
      </c>
      <c r="K2849" s="17" t="n">
        <v>88.72</v>
      </c>
      <c r="L2849" s="17" t="n">
        <v>25.86</v>
      </c>
      <c r="M2849" s="17" t="n">
        <v>0</v>
      </c>
      <c r="N2849" s="17">
        <f>K2849*0.08+L2849*0.08</f>
        <v/>
      </c>
      <c r="O2849" s="17">
        <f>-(K2849*0.025+L2849*0.025)</f>
        <v/>
      </c>
      <c r="P2849" s="17">
        <f>32</f>
        <v/>
      </c>
      <c r="Q2849" s="17">
        <f>J2849+L2849+N2849+O2849-P2849-M2849</f>
        <v/>
      </c>
    </row>
    <row r="2850">
      <c r="A2850" s="16" t="inlineStr">
        <is>
          <t>5.22-5.28</t>
        </is>
      </c>
      <c r="B2850" s="16" t="inlineStr">
        <is>
          <t>PO-128-19994995359353093</t>
        </is>
      </c>
      <c r="C2850" s="16" t="inlineStr">
        <is>
          <t>Delivered</t>
        </is>
      </c>
      <c r="D2850" s="16" t="inlineStr">
        <is>
          <t>128-19994953416313093</t>
        </is>
      </c>
      <c r="E2850" s="16" t="inlineStr">
        <is>
          <t>Delivered</t>
        </is>
      </c>
      <c r="F2850" s="16" t="inlineStr">
        <is>
          <t>BSC07</t>
        </is>
      </c>
      <c r="G2850" s="16" t="inlineStr">
        <is>
          <t>TIANLAI Báscula Digital BSC04/BSC07, Alta Precisión, Fácil Operación, Ligera y Portátil, Función Tara, Unidad Dual oz/g, Ideal para Cocina, Control de Porciones, Sellos y Objetos Pequeños, Uso en Hogar y Viaje</t>
        </is>
      </c>
      <c r="H2850" s="16" t="inlineStr">
        <is>
          <t>1g/White</t>
        </is>
      </c>
      <c r="I2850" s="16" t="n">
        <v>1</v>
      </c>
      <c r="J2850" s="17" t="n">
        <v>38</v>
      </c>
      <c r="K2850" s="17" t="n">
        <v>47.57</v>
      </c>
      <c r="L2850" s="17" t="n">
        <v>25.86</v>
      </c>
      <c r="M2850" s="17" t="n">
        <v>0</v>
      </c>
      <c r="N2850" s="17">
        <f>K2850*0.08+L2850*0.08</f>
        <v/>
      </c>
      <c r="O2850" s="17">
        <f>-(K2850*0.025+L2850*0.025)</f>
        <v/>
      </c>
      <c r="P2850" s="17">
        <f>32</f>
        <v/>
      </c>
      <c r="Q2850" s="17">
        <f>J2850+L2850+N2850+O2850-P2850-M2850</f>
        <v/>
      </c>
    </row>
    <row r="2851">
      <c r="A2851" s="16" t="inlineStr">
        <is>
          <t>5.22-5.28</t>
        </is>
      </c>
      <c r="B2851" s="16" t="inlineStr">
        <is>
          <t>PO-128-20336712996471054</t>
        </is>
      </c>
      <c r="C2851" s="16" t="inlineStr">
        <is>
          <t>Delivered</t>
        </is>
      </c>
      <c r="D2851" s="16" t="inlineStr">
        <is>
          <t>128-20336726759031054</t>
        </is>
      </c>
      <c r="E2851" s="16" t="inlineStr">
        <is>
          <t>Delivered</t>
        </is>
      </c>
      <c r="F2851" s="16" t="inlineStr">
        <is>
          <t>B03W10-10PZS</t>
        </is>
      </c>
      <c r="G285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851" s="16" t="inlineStr">
        <is>
          <t>B03W10</t>
        </is>
      </c>
      <c r="I2851" s="16" t="n">
        <v>1</v>
      </c>
      <c r="J2851" s="17" t="n">
        <v>77</v>
      </c>
      <c r="K2851" s="17" t="n">
        <v>83.65000000000001</v>
      </c>
      <c r="L2851" s="17" t="n">
        <v>25.86</v>
      </c>
      <c r="M2851" s="17" t="n">
        <v>0</v>
      </c>
      <c r="N2851" s="17">
        <f>K2851*0.08+L2851*0.08</f>
        <v/>
      </c>
      <c r="O2851" s="17">
        <f>-(K2851*0.025+L2851*0.025)</f>
        <v/>
      </c>
      <c r="P2851" s="17">
        <f>32</f>
        <v/>
      </c>
      <c r="Q2851" s="17">
        <f>J2851+L2851+N2851+O2851-P2851-M2851</f>
        <v/>
      </c>
    </row>
    <row r="2852">
      <c r="A2852" s="16" t="inlineStr">
        <is>
          <t>5.22-5.28</t>
        </is>
      </c>
      <c r="B2852" s="16" t="inlineStr">
        <is>
          <t>PO-128-20409438321271711</t>
        </is>
      </c>
      <c r="C2852" s="16" t="inlineStr">
        <is>
          <t>Delivered</t>
        </is>
      </c>
      <c r="D2852" s="16" t="inlineStr">
        <is>
          <t>128-20409375406711711</t>
        </is>
      </c>
      <c r="E2852" s="16" t="inlineStr">
        <is>
          <t>Delivered</t>
        </is>
      </c>
      <c r="F2852" s="16" t="inlineStr">
        <is>
          <t>LV64W25</t>
        </is>
      </c>
      <c r="G28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52" s="16" t="inlineStr">
        <is>
          <t>Blanco</t>
        </is>
      </c>
      <c r="I2852" s="16" t="n">
        <v>1</v>
      </c>
      <c r="J2852" s="17" t="n">
        <v>125</v>
      </c>
      <c r="K2852" s="17" t="n">
        <v>143.26</v>
      </c>
      <c r="L2852" s="17" t="n">
        <v>25.86</v>
      </c>
      <c r="M2852" s="17" t="n">
        <v>0</v>
      </c>
      <c r="N2852" s="17">
        <f>K2852*0.08+L2852*0.08</f>
        <v/>
      </c>
      <c r="O2852" s="17">
        <f>-(K2852*0.025+L2852*0.025)</f>
        <v/>
      </c>
      <c r="P2852" s="17">
        <f>32</f>
        <v/>
      </c>
      <c r="Q2852" s="17">
        <f>J2852+L2852+N2852+O2852-P2852-M2852</f>
        <v/>
      </c>
    </row>
    <row r="2853">
      <c r="A2853" s="16" t="inlineStr">
        <is>
          <t>5.22-5.28</t>
        </is>
      </c>
      <c r="B2853" s="16" t="inlineStr">
        <is>
          <t>PO-128-20246610156152809</t>
        </is>
      </c>
      <c r="C2853" s="16" t="inlineStr">
        <is>
          <t>Delivered</t>
        </is>
      </c>
      <c r="D2853" s="16" t="inlineStr">
        <is>
          <t>128-20246715013752809</t>
        </is>
      </c>
      <c r="E2853" s="16" t="inlineStr">
        <is>
          <t>Delivered</t>
        </is>
      </c>
      <c r="F2853" s="16" t="inlineStr">
        <is>
          <t>LV54W25</t>
        </is>
      </c>
      <c r="G2853" s="16" t="inlineStr">
        <is>
          <t>TIANLAI Lámpara Ventilador E27 2 en 1, Silenciosa, LED Alta Luminosidad 180°, Instalación Rápida, Ahorro Energético para Dormitorio y Interiores Pequeños</t>
        </is>
      </c>
      <c r="H2853" s="16" t="inlineStr">
        <is>
          <t>1 Pieza</t>
        </is>
      </c>
      <c r="I2853" s="16" t="n">
        <v>1</v>
      </c>
      <c r="J2853" s="17" t="n">
        <v>74</v>
      </c>
      <c r="K2853" s="17" t="n">
        <v>77.12</v>
      </c>
      <c r="L2853" s="17" t="n">
        <v>25.86</v>
      </c>
      <c r="M2853" s="17" t="n">
        <v>0</v>
      </c>
      <c r="N2853" s="17">
        <f>K2853*0.08+L2853*0.08</f>
        <v/>
      </c>
      <c r="O2853" s="17">
        <f>-(K2853*0.025+L2853*0.025)</f>
        <v/>
      </c>
      <c r="P2853" s="17">
        <f>32</f>
        <v/>
      </c>
      <c r="Q2853" s="17">
        <f>J2853+L2853+N2853+O2853-P2853-M2853</f>
        <v/>
      </c>
    </row>
    <row r="2854">
      <c r="A2854" s="16" t="inlineStr">
        <is>
          <t>5.22-5.28</t>
        </is>
      </c>
      <c r="B2854" s="16" t="inlineStr">
        <is>
          <t>PO-128-20140360909432419</t>
        </is>
      </c>
      <c r="C2854" s="16" t="inlineStr">
        <is>
          <t>Delivered</t>
        </is>
      </c>
      <c r="D2854" s="16" t="inlineStr">
        <is>
          <t>128-20140318966392419</t>
        </is>
      </c>
      <c r="E2854" s="16" t="inlineStr">
        <is>
          <t>Delivered</t>
        </is>
      </c>
      <c r="F2854" s="16" t="inlineStr">
        <is>
          <t>LV54W25</t>
        </is>
      </c>
      <c r="G2854" s="16" t="inlineStr">
        <is>
          <t>TIANLAI Lámpara Ventilador E27 2 en 1, Silenciosa, LED Alta Luminosidad 180°, Instalación Rápida, Ahorro Energético para Dormitorio y Interiores Pequeños</t>
        </is>
      </c>
      <c r="H2854" s="16" t="inlineStr">
        <is>
          <t>1 Pieza</t>
        </is>
      </c>
      <c r="I2854" s="16" t="n">
        <v>1</v>
      </c>
      <c r="J2854" s="17" t="n">
        <v>74</v>
      </c>
      <c r="K2854" s="17" t="n">
        <v>77.12</v>
      </c>
      <c r="L2854" s="17" t="n">
        <v>25.86</v>
      </c>
      <c r="M2854" s="17" t="n">
        <v>0</v>
      </c>
      <c r="N2854" s="17">
        <f>K2854*0.08+L2854*0.08</f>
        <v/>
      </c>
      <c r="O2854" s="17">
        <f>-(K2854*0.025+L2854*0.025)</f>
        <v/>
      </c>
      <c r="P2854" s="17">
        <f>32</f>
        <v/>
      </c>
      <c r="Q2854" s="17">
        <f>J2854+L2854+N2854+O2854-P2854-M2854</f>
        <v/>
      </c>
    </row>
    <row r="2855">
      <c r="A2855" s="16" t="inlineStr">
        <is>
          <t>5.22-5.28</t>
        </is>
      </c>
      <c r="B2855" s="16" t="inlineStr">
        <is>
          <t>PO-128-20122200694392335</t>
        </is>
      </c>
      <c r="C2855" s="16" t="inlineStr">
        <is>
          <t>Delivered</t>
        </is>
      </c>
      <c r="D2855" s="16" t="inlineStr">
        <is>
          <t>128-20122221665912335</t>
        </is>
      </c>
      <c r="E2855" s="16" t="inlineStr">
        <is>
          <t>Delivered</t>
        </is>
      </c>
      <c r="F2855" s="16" t="inlineStr">
        <is>
          <t>TL1455N20B</t>
        </is>
      </c>
      <c r="G2855" s="16" t="inlineStr">
        <is>
          <t>LINK BITS Soporte para TV 14 A 55 Pulgadas, Base para TV Pantalla Articulado Inclinable y Giratorio, MAX VESA 400×400 mm, Soporta hasta 18kg, adaptarse a la mayoría de los televisores de 14 Pulgadas/20 Pulgadas/32 Pulgadas/42 Pulgadas/55 pulgadas</t>
        </is>
      </c>
      <c r="H2855" s="16" t="inlineStr">
        <is>
          <t>TL1455N20B</t>
        </is>
      </c>
      <c r="I2855" s="16" t="n">
        <v>2</v>
      </c>
      <c r="J2855" s="17" t="n">
        <v>142</v>
      </c>
      <c r="K2855" s="17" t="n">
        <v>151.91</v>
      </c>
      <c r="L2855" s="17" t="n">
        <v>25.86</v>
      </c>
      <c r="M2855" s="17" t="n">
        <v>0</v>
      </c>
      <c r="N2855" s="17">
        <f>K2855*0.08+L2855*0.08</f>
        <v/>
      </c>
      <c r="O2855" s="17">
        <f>-(K2855*0.025+L2855*0.025)</f>
        <v/>
      </c>
      <c r="P2855" s="17">
        <f>32</f>
        <v/>
      </c>
      <c r="Q2855" s="17">
        <f>J2855+L2855+N2855+O2855-P2855-M2855</f>
        <v/>
      </c>
    </row>
    <row r="2856">
      <c r="A2856" s="16" t="inlineStr">
        <is>
          <t>5.22-5.28</t>
        </is>
      </c>
      <c r="B2856" s="16" t="inlineStr">
        <is>
          <t>PO-128-20174967890552082</t>
        </is>
      </c>
      <c r="C2856" s="16" t="inlineStr">
        <is>
          <t>Delivered</t>
        </is>
      </c>
      <c r="D2856" s="16" t="inlineStr">
        <is>
          <t>128-20174988862072082</t>
        </is>
      </c>
      <c r="E2856" s="16" t="inlineStr">
        <is>
          <t>Delivered</t>
        </is>
      </c>
      <c r="F2856" s="16" t="inlineStr">
        <is>
          <t>KTS-2031</t>
        </is>
      </c>
      <c r="G2856" s="16" t="inlineStr">
        <is>
          <t>Bocina inalámbrica de 3 pulgadas con linterna multifuncional y panel solar integrado.Altavoz Portátil con Linterna LED 4 Modos, Radio FM, Bluetooth, Carga Solar, Ideal para Apagones, Emergencias, Campo y Exteriores</t>
        </is>
      </c>
      <c r="H2856" s="16" t="inlineStr">
        <is>
          <t>NEGRO</t>
        </is>
      </c>
      <c r="I2856" s="16" t="n">
        <v>1</v>
      </c>
      <c r="J2856" s="17" t="n">
        <v>90</v>
      </c>
      <c r="K2856" s="17" t="n">
        <v>99.22</v>
      </c>
      <c r="L2856" s="17" t="n">
        <v>25.86</v>
      </c>
      <c r="M2856" s="17" t="n">
        <v>0</v>
      </c>
      <c r="N2856" s="17">
        <f>K2856*0.08+L2856*0.08</f>
        <v/>
      </c>
      <c r="O2856" s="17">
        <f>-(K2856*0.025+L2856*0.025)</f>
        <v/>
      </c>
      <c r="P2856" s="17">
        <f>32</f>
        <v/>
      </c>
      <c r="Q2856" s="17">
        <f>J2856+L2856+N2856+O2856-P2856-M2856</f>
        <v/>
      </c>
    </row>
    <row r="2857">
      <c r="A2857" s="16" t="inlineStr">
        <is>
          <t>5.22-5.28</t>
        </is>
      </c>
      <c r="B2857" s="16" t="inlineStr">
        <is>
          <t>PO-128-20340961403511031</t>
        </is>
      </c>
      <c r="C2857" s="16" t="inlineStr">
        <is>
          <t>Delivered</t>
        </is>
      </c>
      <c r="D2857" s="16" t="inlineStr">
        <is>
          <t>128-20341013832311031</t>
        </is>
      </c>
      <c r="E2857" s="16" t="inlineStr">
        <is>
          <t>Delivered</t>
        </is>
      </c>
      <c r="F2857" s="16" t="inlineStr">
        <is>
          <t>TLCD06-12P-R</t>
        </is>
      </c>
      <c r="G285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857" s="16" t="inlineStr">
        <is>
          <t>ROJO/pantalla de 12 pulgadas</t>
        </is>
      </c>
      <c r="I2857" s="16" t="n">
        <v>1</v>
      </c>
      <c r="J2857" s="17" t="n">
        <v>32</v>
      </c>
      <c r="K2857" s="17" t="n">
        <v>0.91</v>
      </c>
      <c r="L2857" s="17" t="n">
        <v>25.86</v>
      </c>
      <c r="M2857" s="17" t="n">
        <v>0</v>
      </c>
      <c r="N2857" s="17">
        <f>K2857*0.08+L2857*0.08</f>
        <v/>
      </c>
      <c r="O2857" s="17">
        <f>-(K2857*0.025+L2857*0.025)</f>
        <v/>
      </c>
      <c r="P2857" s="17">
        <f>32</f>
        <v/>
      </c>
      <c r="Q2857" s="17">
        <f>J2857+L2857+N2857+O2857-P2857-M2857</f>
        <v/>
      </c>
    </row>
    <row r="2858">
      <c r="A2858" s="16" t="inlineStr">
        <is>
          <t>5.22-5.28</t>
        </is>
      </c>
      <c r="B2858" s="16" t="inlineStr">
        <is>
          <t>PO-128-20229746494072716</t>
        </is>
      </c>
      <c r="C2858" s="16" t="inlineStr">
        <is>
          <t>Delivered</t>
        </is>
      </c>
      <c r="D2858" s="16" t="inlineStr">
        <is>
          <t>128-20229767465592716</t>
        </is>
      </c>
      <c r="E2858" s="16" t="inlineStr">
        <is>
          <t>Delivered</t>
        </is>
      </c>
      <c r="F2858" s="16" t="inlineStr">
        <is>
          <t>LV54W25</t>
        </is>
      </c>
      <c r="G2858" s="16" t="inlineStr">
        <is>
          <t>TIANLAI Lámpara Ventilador E27 2 en 1, Silenciosa, LED Alta Luminosidad 180°, Instalación Rápida, Ahorro Energético para Dormitorio y Interiores Pequeños</t>
        </is>
      </c>
      <c r="H2858" s="16" t="inlineStr">
        <is>
          <t>1 Pieza</t>
        </is>
      </c>
      <c r="I2858" s="16" t="n">
        <v>3</v>
      </c>
      <c r="J2858" s="17" t="n">
        <v>222</v>
      </c>
      <c r="K2858" s="17" t="n">
        <v>257.04</v>
      </c>
      <c r="L2858" s="17" t="n">
        <v>25.86</v>
      </c>
      <c r="M2858" s="17" t="n">
        <v>0</v>
      </c>
      <c r="N2858" s="17">
        <f>K2858*0.08+L2858*0.08</f>
        <v/>
      </c>
      <c r="O2858" s="17">
        <f>-(K2858*0.025+L2858*0.025)</f>
        <v/>
      </c>
      <c r="P2858" s="17">
        <f>32</f>
        <v/>
      </c>
      <c r="Q2858" s="17">
        <f>J2858+L2858+N2858+O2858-P2858-M2858</f>
        <v/>
      </c>
    </row>
    <row r="2859">
      <c r="A2859" s="16" t="inlineStr">
        <is>
          <t>5.22-5.28</t>
        </is>
      </c>
      <c r="B2859" s="16" t="inlineStr">
        <is>
          <t>PO-128-19959242404473368</t>
        </is>
      </c>
      <c r="C2859" s="16" t="inlineStr">
        <is>
          <t>Delivered</t>
        </is>
      </c>
      <c r="D2859" s="16" t="inlineStr">
        <is>
          <t>128-19959252890233368</t>
        </is>
      </c>
      <c r="E2859" s="16" t="inlineStr">
        <is>
          <t>Delivered</t>
        </is>
      </c>
      <c r="F2859" s="16" t="inlineStr">
        <is>
          <t>LV54W25</t>
        </is>
      </c>
      <c r="G2859" s="16" t="inlineStr">
        <is>
          <t>TIANLAI Lámpara Ventilador E27 2 en 1, Silenciosa, LED Alta Luminosidad 180°, Instalación Rápida, Ahorro Energético para Dormitorio y Interiores Pequeños</t>
        </is>
      </c>
      <c r="H2859" s="16" t="inlineStr">
        <is>
          <t>1 Pieza</t>
        </is>
      </c>
      <c r="I2859" s="16" t="n">
        <v>2</v>
      </c>
      <c r="J2859" s="17" t="n">
        <v>148</v>
      </c>
      <c r="K2859" s="17" t="n">
        <v>157.66</v>
      </c>
      <c r="L2859" s="17" t="n">
        <v>25.86</v>
      </c>
      <c r="M2859" s="17" t="n">
        <v>0</v>
      </c>
      <c r="N2859" s="17">
        <f>K2859*0.08+L2859*0.08</f>
        <v/>
      </c>
      <c r="O2859" s="17">
        <f>-(K2859*0.025+L2859*0.025)</f>
        <v/>
      </c>
      <c r="P2859" s="17">
        <f>32</f>
        <v/>
      </c>
      <c r="Q2859" s="17">
        <f>J2859+L2859+N2859+O2859-P2859-M2859</f>
        <v/>
      </c>
    </row>
    <row r="2860">
      <c r="A2860" s="16" t="inlineStr">
        <is>
          <t>5.22-5.28</t>
        </is>
      </c>
      <c r="B2860" s="16" t="inlineStr">
        <is>
          <t>PO-128-20270722540152664</t>
        </is>
      </c>
      <c r="C2860" s="16" t="inlineStr">
        <is>
          <t>Delivered</t>
        </is>
      </c>
      <c r="D2860" s="16" t="inlineStr">
        <is>
          <t>128-20270701568632664</t>
        </is>
      </c>
      <c r="E2860" s="16" t="inlineStr">
        <is>
          <t>Delivered</t>
        </is>
      </c>
      <c r="F2860" s="16" t="inlineStr">
        <is>
          <t>LV54W25</t>
        </is>
      </c>
      <c r="G2860" s="16" t="inlineStr">
        <is>
          <t>TIANLAI Lámpara Ventilador E27 2 en 1, Silenciosa, LED Alta Luminosidad 180°, Instalación Rápida, Ahorro Energético para Dormitorio y Interiores Pequeños</t>
        </is>
      </c>
      <c r="H2860" s="16" t="inlineStr">
        <is>
          <t>1 Pieza</t>
        </is>
      </c>
      <c r="I2860" s="16" t="n">
        <v>1</v>
      </c>
      <c r="J2860" s="17" t="n">
        <v>74</v>
      </c>
      <c r="K2860" s="17" t="n">
        <v>85.68000000000001</v>
      </c>
      <c r="L2860" s="17" t="n">
        <v>25.86</v>
      </c>
      <c r="M2860" s="17" t="n">
        <v>0</v>
      </c>
      <c r="N2860" s="17">
        <f>K2860*0.08+L2860*0.08</f>
        <v/>
      </c>
      <c r="O2860" s="17">
        <f>-(K2860*0.025+L2860*0.025)</f>
        <v/>
      </c>
      <c r="P2860" s="17">
        <f>32</f>
        <v/>
      </c>
      <c r="Q2860" s="17">
        <f>J2860+L2860+N2860+O2860-P2860-M2860</f>
        <v/>
      </c>
    </row>
    <row r="2861">
      <c r="A2861" s="16" t="inlineStr">
        <is>
          <t>5.22-5.28</t>
        </is>
      </c>
      <c r="B2861" s="16" t="inlineStr">
        <is>
          <t>PO-128-20111186673272526</t>
        </is>
      </c>
      <c r="C2861" s="16" t="inlineStr">
        <is>
          <t>Delivered</t>
        </is>
      </c>
      <c r="D2861" s="16" t="inlineStr">
        <is>
          <t>128-20111245655672526</t>
        </is>
      </c>
      <c r="E2861" s="16" t="inlineStr">
        <is>
          <t>Delivered</t>
        </is>
      </c>
      <c r="F2861" s="16" t="inlineStr">
        <is>
          <t>TL1455N20B</t>
        </is>
      </c>
      <c r="G2861" s="16" t="inlineStr">
        <is>
          <t>LINK BITS Soporte para TV 14 A 55 Pulgadas, Base para TV Pantalla Articulado Inclinable y Giratorio, MAX VESA 400×400 mm, Soporta hasta 18kg, adaptarse a la mayoría de los televisores de 14 Pulgadas/20 Pulgadas/32 Pulgadas/42 Pulgadas/55 pulgadas</t>
        </is>
      </c>
      <c r="H2861" s="16" t="inlineStr">
        <is>
          <t>TL1455N20B</t>
        </is>
      </c>
      <c r="I2861" s="16" t="n">
        <v>1</v>
      </c>
      <c r="J2861" s="17" t="n">
        <v>71</v>
      </c>
      <c r="K2861" s="17" t="n">
        <v>92.06</v>
      </c>
      <c r="L2861" s="17" t="n">
        <v>25.86</v>
      </c>
      <c r="M2861" s="17" t="n">
        <v>0</v>
      </c>
      <c r="N2861" s="17">
        <f>K2861*0.08+L2861*0.08</f>
        <v/>
      </c>
      <c r="O2861" s="17">
        <f>-(K2861*0.025+L2861*0.025)</f>
        <v/>
      </c>
      <c r="P2861" s="17">
        <f>32</f>
        <v/>
      </c>
      <c r="Q2861" s="17">
        <f>J2861+L2861+N2861+O2861-P2861-M2861</f>
        <v/>
      </c>
    </row>
    <row r="2862">
      <c r="A2862" s="16" t="inlineStr">
        <is>
          <t>5.22-5.28</t>
        </is>
      </c>
      <c r="B2862" s="16" t="inlineStr">
        <is>
          <t>PO-128-20521597553270080</t>
        </is>
      </c>
      <c r="C2862" s="16" t="inlineStr">
        <is>
          <t>Delivered</t>
        </is>
      </c>
      <c r="D2862" s="16" t="inlineStr">
        <is>
          <t>128-20521596570230080</t>
        </is>
      </c>
      <c r="E2862" s="16" t="inlineStr">
        <is>
          <t>Delivered</t>
        </is>
      </c>
      <c r="F2862" s="16" t="inlineStr">
        <is>
          <t>LV54W25</t>
        </is>
      </c>
      <c r="G2862" s="16" t="inlineStr">
        <is>
          <t>TIANLAI Lámpara Ventilador E27 2 en 1, Silenciosa, LED Alta Luminosidad 180°, Instalación Rápida, Ahorro Energético para Dormitorio y Interiores Pequeños</t>
        </is>
      </c>
      <c r="H2862" s="16" t="inlineStr">
        <is>
          <t>1 Pieza</t>
        </is>
      </c>
      <c r="I2862" s="16" t="n">
        <v>1</v>
      </c>
      <c r="J2862" s="17" t="n">
        <v>74</v>
      </c>
      <c r="K2862" s="17" t="n">
        <v>77.12</v>
      </c>
      <c r="L2862" s="17" t="n">
        <v>25.86</v>
      </c>
      <c r="M2862" s="17" t="n">
        <v>0</v>
      </c>
      <c r="N2862" s="17">
        <f>K2862*0.08+L2862*0.08</f>
        <v/>
      </c>
      <c r="O2862" s="17">
        <f>-(K2862*0.025+L2862*0.025)</f>
        <v/>
      </c>
      <c r="P2862" s="17">
        <f>32</f>
        <v/>
      </c>
      <c r="Q2862" s="17">
        <f>J2862+L2862+N2862+O2862-P2862-M2862</f>
        <v/>
      </c>
    </row>
    <row r="2863">
      <c r="A2863" s="16" t="inlineStr">
        <is>
          <t>5.22-5.28</t>
        </is>
      </c>
      <c r="B2863" s="16" t="inlineStr">
        <is>
          <t>PO-128-20213312865912878</t>
        </is>
      </c>
      <c r="C2863" s="16" t="inlineStr">
        <is>
          <t>Delivered</t>
        </is>
      </c>
      <c r="D2863" s="16" t="inlineStr">
        <is>
          <t>128-20213333837432878</t>
        </is>
      </c>
      <c r="E2863" s="16" t="inlineStr">
        <is>
          <t>Delivered</t>
        </is>
      </c>
      <c r="F2863" s="16" t="inlineStr">
        <is>
          <t>SB428T</t>
        </is>
      </c>
      <c r="G2863" s="16" t="inlineStr">
        <is>
          <t>LINK BITS Bocina Portátil con 2 Altavoces de 4" (5W×2), Sonido Potente, Luces LED, Bluetooth, USB/TF/FM - Ideal para Reuniones, Fiestas y Picnics en México</t>
        </is>
      </c>
      <c r="H2863" s="16" t="inlineStr">
        <is>
          <t>SB428T</t>
        </is>
      </c>
      <c r="I2863" s="16" t="n">
        <v>1</v>
      </c>
      <c r="J2863" s="17" t="n">
        <v>97</v>
      </c>
      <c r="K2863" s="17" t="n">
        <v>29.28</v>
      </c>
      <c r="L2863" s="17" t="n">
        <v>25.86</v>
      </c>
      <c r="M2863" s="17" t="n">
        <v>0</v>
      </c>
      <c r="N2863" s="17">
        <f>K2863*0.08+L2863*0.08</f>
        <v/>
      </c>
      <c r="O2863" s="17">
        <f>-(K2863*0.025+L2863*0.025)</f>
        <v/>
      </c>
      <c r="P2863" s="17">
        <f>32</f>
        <v/>
      </c>
      <c r="Q2863" s="17">
        <f>J2863+L2863+N2863+O2863-P2863-M2863</f>
        <v/>
      </c>
    </row>
    <row r="2864">
      <c r="A2864" s="16" t="inlineStr">
        <is>
          <t>5.22-5.28</t>
        </is>
      </c>
      <c r="B2864" s="16" t="inlineStr">
        <is>
          <t>PO-128-20454836526710478</t>
        </is>
      </c>
      <c r="C2864" s="16" t="inlineStr">
        <is>
          <t>Delivered</t>
        </is>
      </c>
      <c r="D2864" s="16" t="inlineStr">
        <is>
          <t>128-20454794583670478</t>
        </is>
      </c>
      <c r="E2864" s="16" t="inlineStr">
        <is>
          <t>Delivered</t>
        </is>
      </c>
      <c r="F2864" s="16" t="inlineStr">
        <is>
          <t>LV54W25</t>
        </is>
      </c>
      <c r="G2864" s="16" t="inlineStr">
        <is>
          <t>TIANLAI Lámpara Ventilador E27 2 en 1, Silenciosa, LED Alta Luminosidad 180°, Instalación Rápida, Ahorro Energético para Dormitorio y Interiores Pequeños</t>
        </is>
      </c>
      <c r="H2864" s="16" t="inlineStr">
        <is>
          <t>1 Pieza</t>
        </is>
      </c>
      <c r="I2864" s="16" t="n">
        <v>3</v>
      </c>
      <c r="J2864" s="17" t="n">
        <v>222</v>
      </c>
      <c r="K2864" s="17" t="n">
        <v>231.36</v>
      </c>
      <c r="L2864" s="17" t="n">
        <v>25.86</v>
      </c>
      <c r="M2864" s="17" t="n">
        <v>0</v>
      </c>
      <c r="N2864" s="17">
        <f>K2864*0.08+L2864*0.08</f>
        <v/>
      </c>
      <c r="O2864" s="17">
        <f>-(K2864*0.025+L2864*0.025)</f>
        <v/>
      </c>
      <c r="P2864" s="17">
        <f>32</f>
        <v/>
      </c>
      <c r="Q2864" s="17">
        <f>J2864+L2864+N2864+O2864-P2864-M2864</f>
        <v/>
      </c>
    </row>
    <row r="2865">
      <c r="A2865" s="16" t="inlineStr">
        <is>
          <t>5.22-5.28</t>
        </is>
      </c>
      <c r="B2865" s="16" t="inlineStr">
        <is>
          <t>PO-128-20255106010232567</t>
        </is>
      </c>
      <c r="C2865" s="16" t="inlineStr">
        <is>
          <t>Delivered</t>
        </is>
      </c>
      <c r="D2865" s="16" t="inlineStr">
        <is>
          <t>128-20255064067192567</t>
        </is>
      </c>
      <c r="E2865" s="16" t="inlineStr">
        <is>
          <t>Delivered</t>
        </is>
      </c>
      <c r="F2865" s="16" t="inlineStr">
        <is>
          <t>LV54W25</t>
        </is>
      </c>
      <c r="G2865" s="16" t="inlineStr">
        <is>
          <t>TIANLAI Lámpara Ventilador E27 2 en 1, Silenciosa, LED Alta Luminosidad 180°, Instalación Rápida, Ahorro Energético para Dormitorio y Interiores Pequeños</t>
        </is>
      </c>
      <c r="H2865" s="16" t="inlineStr">
        <is>
          <t>1 Pieza</t>
        </is>
      </c>
      <c r="I2865" s="16" t="n">
        <v>1</v>
      </c>
      <c r="J2865" s="17" t="n">
        <v>74</v>
      </c>
      <c r="K2865" s="17" t="n">
        <v>77.12</v>
      </c>
      <c r="L2865" s="17" t="n">
        <v>25.86</v>
      </c>
      <c r="M2865" s="17" t="n">
        <v>0</v>
      </c>
      <c r="N2865" s="17">
        <f>K2865*0.08+L2865*0.08</f>
        <v/>
      </c>
      <c r="O2865" s="17">
        <f>-(K2865*0.025+L2865*0.025)</f>
        <v/>
      </c>
      <c r="P2865" s="17">
        <f>32</f>
        <v/>
      </c>
      <c r="Q2865" s="17">
        <f>J2865+L2865+N2865+O2865-P2865-M2865</f>
        <v/>
      </c>
    </row>
    <row r="2866">
      <c r="A2866" s="16" t="inlineStr">
        <is>
          <t>5.22-5.28</t>
        </is>
      </c>
      <c r="B2866" s="16" t="inlineStr">
        <is>
          <t>PO-128-20238676019832729</t>
        </is>
      </c>
      <c r="C2866" s="16" t="inlineStr">
        <is>
          <t>Delivered</t>
        </is>
      </c>
      <c r="D2866" s="16" t="inlineStr">
        <is>
          <t>128-20238634076792729</t>
        </is>
      </c>
      <c r="E2866" s="16" t="inlineStr">
        <is>
          <t>Delivered</t>
        </is>
      </c>
      <c r="F2866" s="16" t="inlineStr">
        <is>
          <t>KTS-2031</t>
        </is>
      </c>
      <c r="G2866" s="16" t="inlineStr">
        <is>
          <t>Bocina inalámbrica de 3 pulgadas con linterna multifuncional y panel solar integrado.Altavoz Portátil con Linterna LED 4 Modos, Radio FM, Bluetooth, Carga Solar, Ideal para Apagones, Emergencias, Campo y Exteriores</t>
        </is>
      </c>
      <c r="H2866" s="16" t="inlineStr">
        <is>
          <t>NEGRO</t>
        </is>
      </c>
      <c r="I2866" s="16" t="n">
        <v>1</v>
      </c>
      <c r="J2866" s="17" t="n">
        <v>90</v>
      </c>
      <c r="K2866" s="17" t="n">
        <v>99.22</v>
      </c>
      <c r="L2866" s="17" t="n">
        <v>25.86</v>
      </c>
      <c r="M2866" s="17" t="n">
        <v>0</v>
      </c>
      <c r="N2866" s="17">
        <f>K2866*0.08+L2866*0.08</f>
        <v/>
      </c>
      <c r="O2866" s="17">
        <f>-(K2866*0.025+L2866*0.025)</f>
        <v/>
      </c>
      <c r="P2866" s="17">
        <f>32</f>
        <v/>
      </c>
      <c r="Q2866" s="17">
        <f>J2866+L2866+N2866+O2866-P2866-M2866</f>
        <v/>
      </c>
    </row>
    <row r="2867">
      <c r="A2867" s="16" t="inlineStr">
        <is>
          <t>5.22-5.28</t>
        </is>
      </c>
      <c r="B2867" s="16" t="inlineStr">
        <is>
          <t>PO-128-20491144187510134</t>
        </is>
      </c>
      <c r="C2867" s="16" t="inlineStr">
        <is>
          <t>Delivered</t>
        </is>
      </c>
      <c r="D2867" s="16" t="inlineStr">
        <is>
          <t>128-20491112730230134</t>
        </is>
      </c>
      <c r="E2867" s="16" t="inlineStr">
        <is>
          <t>Delivered</t>
        </is>
      </c>
      <c r="F2867" s="16" t="inlineStr">
        <is>
          <t>TLCD02-8P-N</t>
        </is>
      </c>
      <c r="G286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867" s="16" t="inlineStr">
        <is>
          <t>NEGRO/pantalla de 8.5 pulgadas</t>
        </is>
      </c>
      <c r="I2867" s="16" t="n">
        <v>1</v>
      </c>
      <c r="J2867" s="17" t="n">
        <v>25</v>
      </c>
      <c r="K2867" s="17" t="n">
        <v>33.98</v>
      </c>
      <c r="L2867" s="17" t="n">
        <v>25.86</v>
      </c>
      <c r="M2867" s="17" t="n">
        <v>0</v>
      </c>
      <c r="N2867" s="17">
        <f>K2867*0.08+L2867*0.08</f>
        <v/>
      </c>
      <c r="O2867" s="17">
        <f>-(K2867*0.025+L2867*0.025)</f>
        <v/>
      </c>
      <c r="P2867" s="17">
        <f>32</f>
        <v/>
      </c>
      <c r="Q2867" s="17">
        <f>J2867+L2867+N2867+O2867-P2867-M2867</f>
        <v/>
      </c>
    </row>
    <row r="2868">
      <c r="A2868" s="16" t="inlineStr">
        <is>
          <t>5.22-5.28</t>
        </is>
      </c>
      <c r="B2868" s="16" t="inlineStr">
        <is>
          <t>PO-128-20078329815673810</t>
        </is>
      </c>
      <c r="C2868" s="16" t="inlineStr">
        <is>
          <t>Delivered</t>
        </is>
      </c>
      <c r="D2868" s="16" t="inlineStr">
        <is>
          <t>128-20078324572793810</t>
        </is>
      </c>
      <c r="E2868" s="16" t="inlineStr">
        <is>
          <t>Delivered</t>
        </is>
      </c>
      <c r="F2868" s="16" t="inlineStr">
        <is>
          <t>TL1455N20B</t>
        </is>
      </c>
      <c r="G2868" s="16" t="inlineStr">
        <is>
          <t>LINK BITS Soporte para TV 14 A 55 Pulgadas, Base para TV Pantalla Articulado Inclinable y Giratorio, MAX VESA 400×400 mm, Soporta hasta 18kg, adaptarse a la mayoría de los televisores de 14 Pulgadas/20 Pulgadas/32 Pulgadas/42 Pulgadas/55 pulgadas</t>
        </is>
      </c>
      <c r="H2868" s="16" t="inlineStr">
        <is>
          <t>TL1455N20B</t>
        </is>
      </c>
      <c r="I2868" s="16" t="n">
        <v>1</v>
      </c>
      <c r="J2868" s="17" t="n">
        <v>71</v>
      </c>
      <c r="K2868" s="17" t="n">
        <v>92.06</v>
      </c>
      <c r="L2868" s="17" t="n">
        <v>25.86</v>
      </c>
      <c r="M2868" s="17" t="n">
        <v>0</v>
      </c>
      <c r="N2868" s="17">
        <f>K2868*0.08+L2868*0.08</f>
        <v/>
      </c>
      <c r="O2868" s="17">
        <f>-(K2868*0.025+L2868*0.025)</f>
        <v/>
      </c>
      <c r="P2868" s="17">
        <f>32</f>
        <v/>
      </c>
      <c r="Q2868" s="17">
        <f>J2868+L2868+N2868+O2868-P2868-M2868</f>
        <v/>
      </c>
    </row>
    <row r="2869">
      <c r="A2869" s="16" t="inlineStr">
        <is>
          <t>5.22-5.28</t>
        </is>
      </c>
      <c r="B2869" s="16" t="inlineStr">
        <is>
          <t>PO-128-20540722110070990</t>
        </is>
      </c>
      <c r="C2869" s="16" t="inlineStr">
        <is>
          <t>Delivered</t>
        </is>
      </c>
      <c r="D2869" s="16" t="inlineStr">
        <is>
          <t>128-20540826967670990</t>
        </is>
      </c>
      <c r="E2869" s="16" t="inlineStr">
        <is>
          <t>Delivered</t>
        </is>
      </c>
      <c r="F2869" s="16" t="inlineStr">
        <is>
          <t>LV54W25</t>
        </is>
      </c>
      <c r="G2869" s="16" t="inlineStr">
        <is>
          <t>TIANLAI Lámpara Ventilador E27 2 en 1, Silenciosa, LED Alta Luminosidad 180°, Instalación Rápida, Ahorro Energético para Dormitorio y Interiores Pequeños</t>
        </is>
      </c>
      <c r="H2869" s="16" t="inlineStr">
        <is>
          <t>1 Pieza</t>
        </is>
      </c>
      <c r="I2869" s="16" t="n">
        <v>10</v>
      </c>
      <c r="J2869" s="17" t="n">
        <v>740</v>
      </c>
      <c r="K2869" s="17" t="n">
        <v>598.8</v>
      </c>
      <c r="L2869" s="17" t="n">
        <v>0</v>
      </c>
      <c r="M2869" s="17" t="n">
        <v>0</v>
      </c>
      <c r="N2869" s="17">
        <f>K2869*0.08+L2869*0.08</f>
        <v/>
      </c>
      <c r="O2869" s="17">
        <f>-(K2869*0.025+L2869*0.025)</f>
        <v/>
      </c>
      <c r="P2869" s="17">
        <f>32</f>
        <v/>
      </c>
      <c r="Q2869" s="17">
        <f>J2869+L2869+N2869+O2869-P2869-M2869</f>
        <v/>
      </c>
    </row>
    <row r="2870">
      <c r="A2870" s="16" t="inlineStr">
        <is>
          <t>5.22-5.28</t>
        </is>
      </c>
      <c r="B2870" s="16" t="inlineStr">
        <is>
          <t>PO-128-20028492903034045</t>
        </is>
      </c>
      <c r="C2870" s="16" t="inlineStr">
        <is>
          <t>Delivered</t>
        </is>
      </c>
      <c r="D2870" s="16" t="inlineStr">
        <is>
          <t>128-20028545331834045</t>
        </is>
      </c>
      <c r="E2870" s="16" t="inlineStr">
        <is>
          <t>Delivered</t>
        </is>
      </c>
      <c r="F2870" s="16" t="inlineStr">
        <is>
          <t>LV64W25</t>
        </is>
      </c>
      <c r="G28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70" s="16" t="inlineStr">
        <is>
          <t>Blanco</t>
        </is>
      </c>
      <c r="I2870" s="16" t="n">
        <v>1</v>
      </c>
      <c r="J2870" s="17" t="n">
        <v>125</v>
      </c>
      <c r="K2870" s="17" t="n">
        <v>143.26</v>
      </c>
      <c r="L2870" s="17" t="n">
        <v>25.86</v>
      </c>
      <c r="M2870" s="17" t="n">
        <v>0</v>
      </c>
      <c r="N2870" s="17">
        <f>K2870*0.08+L2870*0.08</f>
        <v/>
      </c>
      <c r="O2870" s="17">
        <f>-(K2870*0.025+L2870*0.025)</f>
        <v/>
      </c>
      <c r="P2870" s="17">
        <f>32</f>
        <v/>
      </c>
      <c r="Q2870" s="17">
        <f>J2870+L2870+N2870+O2870-P2870-M2870</f>
        <v/>
      </c>
    </row>
    <row r="2871">
      <c r="A2871" s="16" t="inlineStr">
        <is>
          <t>5.22-5.28</t>
        </is>
      </c>
      <c r="B2871" s="16" t="inlineStr">
        <is>
          <t>PO-128-20561329367670805</t>
        </is>
      </c>
      <c r="C2871" s="16" t="inlineStr">
        <is>
          <t>Delivered</t>
        </is>
      </c>
      <c r="D2871" s="16" t="inlineStr">
        <is>
          <t>128-20561465682550805</t>
        </is>
      </c>
      <c r="E2871" s="16" t="inlineStr">
        <is>
          <t>Delivered</t>
        </is>
      </c>
      <c r="F2871" s="16" t="inlineStr">
        <is>
          <t>LV54W25</t>
        </is>
      </c>
      <c r="G2871" s="16" t="inlineStr">
        <is>
          <t>TIANLAI Lámpara Ventilador E27 2 en 1, Silenciosa, LED Alta Luminosidad 180°, Instalación Rápida, Ahorro Energético para Dormitorio y Interiores Pequeños</t>
        </is>
      </c>
      <c r="H2871" s="16" t="inlineStr">
        <is>
          <t>1 Pieza</t>
        </is>
      </c>
      <c r="I2871" s="16" t="n">
        <v>1</v>
      </c>
      <c r="J2871" s="17" t="n">
        <v>74</v>
      </c>
      <c r="K2871" s="17" t="n">
        <v>77.12</v>
      </c>
      <c r="L2871" s="17" t="n">
        <v>25.86</v>
      </c>
      <c r="M2871" s="17" t="n">
        <v>0</v>
      </c>
      <c r="N2871" s="17">
        <f>K2871*0.08+L2871*0.08</f>
        <v/>
      </c>
      <c r="O2871" s="17">
        <f>-(K2871*0.025+L2871*0.025)</f>
        <v/>
      </c>
      <c r="P2871" s="17">
        <f>32</f>
        <v/>
      </c>
      <c r="Q2871" s="17">
        <f>J2871+L2871+N2871+O2871-P2871-M2871</f>
        <v/>
      </c>
    </row>
    <row r="2872">
      <c r="A2872" s="16" t="inlineStr">
        <is>
          <t>5.22-5.28</t>
        </is>
      </c>
      <c r="B2872" s="16" t="inlineStr">
        <is>
          <t>PO-128-20546950436471019</t>
        </is>
      </c>
      <c r="C2872" s="16" t="inlineStr">
        <is>
          <t>Delivered</t>
        </is>
      </c>
      <c r="D2872" s="16" t="inlineStr">
        <is>
          <t>128-20546992379511019</t>
        </is>
      </c>
      <c r="E2872" s="16" t="inlineStr">
        <is>
          <t>Delivered</t>
        </is>
      </c>
      <c r="F2872" s="16" t="inlineStr">
        <is>
          <t>LV54W25</t>
        </is>
      </c>
      <c r="G2872" s="16" t="inlineStr">
        <is>
          <t>TIANLAI Lámpara Ventilador E27 2 en 1, Silenciosa, LED Alta Luminosidad 180°, Instalación Rápida, Ahorro Energético para Dormitorio y Interiores Pequeños</t>
        </is>
      </c>
      <c r="H2872" s="16" t="inlineStr">
        <is>
          <t>1 Pieza</t>
        </is>
      </c>
      <c r="I2872" s="16" t="n">
        <v>1</v>
      </c>
      <c r="J2872" s="17" t="n">
        <v>74</v>
      </c>
      <c r="K2872" s="17" t="n">
        <v>77.12</v>
      </c>
      <c r="L2872" s="17" t="n">
        <v>25.86</v>
      </c>
      <c r="M2872" s="17" t="n">
        <v>0</v>
      </c>
      <c r="N2872" s="17">
        <f>K2872*0.08+L2872*0.08</f>
        <v/>
      </c>
      <c r="O2872" s="17">
        <f>-(K2872*0.025+L2872*0.025)</f>
        <v/>
      </c>
      <c r="P2872" s="17">
        <f>32</f>
        <v/>
      </c>
      <c r="Q2872" s="17">
        <f>J2872+L2872+N2872+O2872-P2872-M2872</f>
        <v/>
      </c>
    </row>
    <row r="2873">
      <c r="A2873" s="16" t="inlineStr">
        <is>
          <t>5.22-5.28</t>
        </is>
      </c>
      <c r="B2873" s="16" t="inlineStr">
        <is>
          <t>PO-128-20223488609912883</t>
        </is>
      </c>
      <c r="C2873" s="16" t="inlineStr">
        <is>
          <t>Delivered</t>
        </is>
      </c>
      <c r="D2873" s="16" t="inlineStr">
        <is>
          <t>128-20223547592312883</t>
        </is>
      </c>
      <c r="E2873" s="16" t="inlineStr">
        <is>
          <t>Delivered</t>
        </is>
      </c>
      <c r="F2873" s="16" t="inlineStr">
        <is>
          <t>TL1455N20B</t>
        </is>
      </c>
      <c r="G2873" s="16" t="inlineStr">
        <is>
          <t>LINK BITS Soporte para TV 14 A 55 Pulgadas, Base para TV Pantalla Articulado Inclinable y Giratorio, MAX VESA 400×400 mm, Soporta hasta 18kg, adaptarse a la mayoría de los televisores de 14 Pulgadas/20 Pulgadas/32 Pulgadas/42 Pulgadas/55 pulgadas</t>
        </is>
      </c>
      <c r="H2873" s="16" t="inlineStr">
        <is>
          <t>TL1455N20B</t>
        </is>
      </c>
      <c r="I2873" s="16" t="n">
        <v>13</v>
      </c>
      <c r="J2873" s="17" t="n">
        <v>923</v>
      </c>
      <c r="K2873" s="17" t="n">
        <v>1038.44</v>
      </c>
      <c r="L2873" s="17" t="n">
        <v>0</v>
      </c>
      <c r="M2873" s="17" t="n">
        <v>0</v>
      </c>
      <c r="N2873" s="17">
        <f>K2873*0.08+L2873*0.08</f>
        <v/>
      </c>
      <c r="O2873" s="17">
        <f>-(K2873*0.025+L2873*0.025)</f>
        <v/>
      </c>
      <c r="P2873" s="17">
        <f>32</f>
        <v/>
      </c>
      <c r="Q2873" s="17">
        <f>J2873+L2873+N2873+O2873-P2873-M2873</f>
        <v/>
      </c>
    </row>
    <row r="2874">
      <c r="A2874" s="16" t="inlineStr">
        <is>
          <t>5.22-5.28</t>
        </is>
      </c>
      <c r="B2874" s="16" t="inlineStr">
        <is>
          <t>PO-128-20316239724151176</t>
        </is>
      </c>
      <c r="C2874" s="16" t="inlineStr">
        <is>
          <t>Delivered</t>
        </is>
      </c>
      <c r="D2874" s="16" t="inlineStr">
        <is>
          <t>128-20316344581751176</t>
        </is>
      </c>
      <c r="E2874" s="16" t="inlineStr">
        <is>
          <t>Delivered</t>
        </is>
      </c>
      <c r="F2874" s="16" t="inlineStr">
        <is>
          <t>LV64W25</t>
        </is>
      </c>
      <c r="G28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74" s="16" t="inlineStr">
        <is>
          <t>Blanco</t>
        </is>
      </c>
      <c r="I2874" s="16" t="n">
        <v>2</v>
      </c>
      <c r="J2874" s="17" t="n">
        <v>250</v>
      </c>
      <c r="K2874" s="17" t="n">
        <v>286.52</v>
      </c>
      <c r="L2874" s="17" t="n">
        <v>0</v>
      </c>
      <c r="M2874" s="17" t="n">
        <v>0</v>
      </c>
      <c r="N2874" s="17">
        <f>K2874*0.08+L2874*0.08</f>
        <v/>
      </c>
      <c r="O2874" s="17">
        <f>-(K2874*0.025+L2874*0.025)</f>
        <v/>
      </c>
      <c r="P2874" s="17">
        <f>32</f>
        <v/>
      </c>
      <c r="Q2874" s="17">
        <f>J2874+L2874+N2874+O2874-P2874-M2874</f>
        <v/>
      </c>
    </row>
    <row r="2875">
      <c r="A2875" s="16" t="inlineStr">
        <is>
          <t>5.22-5.28</t>
        </is>
      </c>
      <c r="B2875" s="16" t="inlineStr">
        <is>
          <t>PO-128-20554714931830781</t>
        </is>
      </c>
      <c r="C2875" s="16" t="inlineStr">
        <is>
          <t>Delivered</t>
        </is>
      </c>
      <c r="D2875" s="16" t="inlineStr">
        <is>
          <t>128-20554735903350781</t>
        </is>
      </c>
      <c r="E2875" s="16" t="inlineStr">
        <is>
          <t>Delivered</t>
        </is>
      </c>
      <c r="F2875" s="16" t="inlineStr">
        <is>
          <t>TL1455N20B</t>
        </is>
      </c>
      <c r="G2875" s="16" t="inlineStr">
        <is>
          <t>LINK BITS Soporte para TV 14 A 55 Pulgadas, Base para TV Pantalla Articulado Inclinable y Giratorio, MAX VESA 400×400 mm, Soporta hasta 18kg, adaptarse a la mayoría de los televisores de 14 Pulgadas/20 Pulgadas/32 Pulgadas/42 Pulgadas/55 pulgadas</t>
        </is>
      </c>
      <c r="H2875" s="16" t="inlineStr">
        <is>
          <t>TL1455N20B</t>
        </is>
      </c>
      <c r="I2875" s="16" t="n">
        <v>1</v>
      </c>
      <c r="J2875" s="17" t="n">
        <v>71</v>
      </c>
      <c r="K2875" s="17" t="n">
        <v>92.06</v>
      </c>
      <c r="L2875" s="17" t="n">
        <v>25.86</v>
      </c>
      <c r="M2875" s="17" t="n">
        <v>0</v>
      </c>
      <c r="N2875" s="17">
        <f>K2875*0.08+L2875*0.08</f>
        <v/>
      </c>
      <c r="O2875" s="17">
        <f>-(K2875*0.025+L2875*0.025)</f>
        <v/>
      </c>
      <c r="P2875" s="17">
        <f>32</f>
        <v/>
      </c>
      <c r="Q2875" s="17">
        <f>J2875+L2875+N2875+O2875-P2875-M2875</f>
        <v/>
      </c>
    </row>
    <row r="2876">
      <c r="A2876" s="16" t="inlineStr">
        <is>
          <t>5.22-5.28</t>
        </is>
      </c>
      <c r="B2876" s="16" t="inlineStr">
        <is>
          <t>PO-128-20553278003830789</t>
        </is>
      </c>
      <c r="C2876" s="16" t="inlineStr">
        <is>
          <t>Delivered</t>
        </is>
      </c>
      <c r="D2876" s="16" t="inlineStr">
        <is>
          <t>128-20553288489590789</t>
        </is>
      </c>
      <c r="E2876" s="16" t="inlineStr">
        <is>
          <t>Delivered</t>
        </is>
      </c>
      <c r="F2876" s="16" t="inlineStr">
        <is>
          <t>VB349T</t>
        </is>
      </c>
      <c r="G2876" s="16" t="inlineStr">
        <is>
          <t>LINKBITS Altavoz Portátil de Doble Altavoz - 3 Pulgadas, Sonido HD, Emparejamiento Rápido de Bluetooth, Conectividad TWS, Reproducción Multimodo (Micro SD/USB/Radio FM) - Perfecto para Oficina, Viajes y Espacios Pequeños</t>
        </is>
      </c>
      <c r="H2876" s="16" t="inlineStr">
        <is>
          <t>NEGRO</t>
        </is>
      </c>
      <c r="I2876" s="16" t="n">
        <v>2</v>
      </c>
      <c r="J2876" s="17" t="n">
        <v>162</v>
      </c>
      <c r="K2876" s="17" t="n">
        <v>135.73</v>
      </c>
      <c r="L2876" s="17" t="n">
        <v>25.86</v>
      </c>
      <c r="M2876" s="17" t="n">
        <v>0</v>
      </c>
      <c r="N2876" s="17">
        <f>K2876*0.08+L2876*0.08</f>
        <v/>
      </c>
      <c r="O2876" s="17">
        <f>-(K2876*0.025+L2876*0.025)</f>
        <v/>
      </c>
      <c r="P2876" s="17">
        <f>32</f>
        <v/>
      </c>
      <c r="Q2876" s="17">
        <f>J2876+L2876+N2876+O2876-P2876-M2876</f>
        <v/>
      </c>
    </row>
    <row r="2877">
      <c r="A2877" s="16" t="inlineStr">
        <is>
          <t>5.22-5.28</t>
        </is>
      </c>
      <c r="B2877" s="16" t="inlineStr">
        <is>
          <t>PO-128-19961427779193421</t>
        </is>
      </c>
      <c r="C2877" s="16" t="inlineStr">
        <is>
          <t>Delivered</t>
        </is>
      </c>
      <c r="D2877" s="16" t="inlineStr">
        <is>
          <t>128-19961385836153421</t>
        </is>
      </c>
      <c r="E2877" s="16" t="inlineStr">
        <is>
          <t>Delivered</t>
        </is>
      </c>
      <c r="F2877" s="16" t="inlineStr">
        <is>
          <t>LV54W25</t>
        </is>
      </c>
      <c r="G2877" s="16" t="inlineStr">
        <is>
          <t>TIANLAI Lámpara Ventilador E27 2 en 1, Silenciosa, LED Alta Luminosidad 180°, Instalación Rápida, Ahorro Energético para Dormitorio y Interiores Pequeños</t>
        </is>
      </c>
      <c r="H2877" s="16" t="inlineStr">
        <is>
          <t>1 Pieza</t>
        </is>
      </c>
      <c r="I2877" s="16" t="n">
        <v>1</v>
      </c>
      <c r="J2877" s="17" t="n">
        <v>74</v>
      </c>
      <c r="K2877" s="17" t="n">
        <v>77.12</v>
      </c>
      <c r="L2877" s="17" t="n">
        <v>25.86</v>
      </c>
      <c r="M2877" s="17" t="n">
        <v>0</v>
      </c>
      <c r="N2877" s="17">
        <f>K2877*0.08+L2877*0.08</f>
        <v/>
      </c>
      <c r="O2877" s="17">
        <f>-(K2877*0.025+L2877*0.025)</f>
        <v/>
      </c>
      <c r="P2877" s="17">
        <f>32</f>
        <v/>
      </c>
      <c r="Q2877" s="17">
        <f>J2877+L2877+N2877+O2877-P2877-M2877</f>
        <v/>
      </c>
    </row>
    <row r="2878">
      <c r="A2878" s="16" t="inlineStr">
        <is>
          <t>5.22-5.28</t>
        </is>
      </c>
      <c r="B2878" s="16" t="inlineStr">
        <is>
          <t>PO-128-19979168425593251</t>
        </is>
      </c>
      <c r="C2878" s="16" t="inlineStr">
        <is>
          <t>Delivered</t>
        </is>
      </c>
      <c r="D2878" s="16" t="inlineStr">
        <is>
          <t>128-19979199882873251</t>
        </is>
      </c>
      <c r="E2878" s="16" t="inlineStr">
        <is>
          <t>Delivered</t>
        </is>
      </c>
      <c r="F2878" s="16" t="inlineStr">
        <is>
          <t>TL1412N17C</t>
        </is>
      </c>
      <c r="G2878" s="16" t="inlineStr">
        <is>
          <t>Linkbits, Soporte de Pared Fijo para TV y Monitor de 14"-43", Ultra Delgado 2.3cm, Fuerte Capacidad de Peso de 25KG, Fácil Instalación con Accesorios Completos</t>
        </is>
      </c>
      <c r="H2878" s="16" t="inlineStr">
        <is>
          <t>NEGRO</t>
        </is>
      </c>
      <c r="I2878" s="16" t="n">
        <v>1</v>
      </c>
      <c r="J2878" s="17" t="n">
        <v>36.84</v>
      </c>
      <c r="K2878" s="17" t="n">
        <v>43.69</v>
      </c>
      <c r="L2878" s="17" t="n">
        <v>25.86</v>
      </c>
      <c r="M2878" s="17" t="n">
        <v>0</v>
      </c>
      <c r="N2878" s="17">
        <f>K2878*0.08+L2878*0.08</f>
        <v/>
      </c>
      <c r="O2878" s="17">
        <f>-(K2878*0.025+L2878*0.025)</f>
        <v/>
      </c>
      <c r="P2878" s="17">
        <f>32</f>
        <v/>
      </c>
      <c r="Q2878" s="17">
        <f>J2878+L2878+N2878+O2878-P2878-M2878</f>
        <v/>
      </c>
    </row>
    <row r="2879">
      <c r="A2879" s="16" t="inlineStr">
        <is>
          <t>5.22-5.28</t>
        </is>
      </c>
      <c r="B2879" s="16" t="inlineStr">
        <is>
          <t>PO-128-09148843571832205</t>
        </is>
      </c>
      <c r="C2879" s="16" t="inlineStr">
        <is>
          <t>Delivered</t>
        </is>
      </c>
      <c r="D2879" s="16" t="inlineStr">
        <is>
          <t>128-09148885514872205</t>
        </is>
      </c>
      <c r="E2879" s="16" t="inlineStr">
        <is>
          <t>Delivered</t>
        </is>
      </c>
      <c r="F2879" s="16" t="inlineStr">
        <is>
          <t>LV54W25</t>
        </is>
      </c>
      <c r="G2879" s="16" t="inlineStr">
        <is>
          <t>TIANLAI Lámpara Ventilador E27 2 en 1, Silenciosa, LED Alta Luminosidad 180°, Instalación Rápida, Ahorro Energético para Dormitorio y Interiores Pequeños</t>
        </is>
      </c>
      <c r="H2879" s="16" t="inlineStr">
        <is>
          <t>1 Pieza</t>
        </is>
      </c>
      <c r="I2879" s="16" t="n">
        <v>1</v>
      </c>
      <c r="J2879" s="17" t="n">
        <v>74</v>
      </c>
      <c r="K2879" s="17" t="n">
        <v>85.68000000000001</v>
      </c>
      <c r="L2879" s="17" t="n">
        <v>25.86</v>
      </c>
      <c r="M2879" s="17" t="n">
        <v>0</v>
      </c>
      <c r="N2879" s="17">
        <f>K2879*0.08+L2879*0.08</f>
        <v/>
      </c>
      <c r="O2879" s="17">
        <f>-(K2879*0.025+L2879*0.025)</f>
        <v/>
      </c>
      <c r="P2879" s="17">
        <f>32</f>
        <v/>
      </c>
      <c r="Q2879" s="17">
        <f>J2879+L2879+N2879+O2879-P2879-M2879</f>
        <v/>
      </c>
    </row>
    <row r="2880">
      <c r="A2880" s="16" t="inlineStr">
        <is>
          <t>5.22-5.28</t>
        </is>
      </c>
      <c r="B2880" s="16" t="inlineStr">
        <is>
          <t>PO-128-09143875564152427</t>
        </is>
      </c>
      <c r="C2880" s="16" t="inlineStr">
        <is>
          <t>Delivered</t>
        </is>
      </c>
      <c r="D2880" s="16" t="inlineStr">
        <is>
          <t>128-09143896535672427</t>
        </is>
      </c>
      <c r="E2880" s="16" t="inlineStr">
        <is>
          <t>Delivered</t>
        </is>
      </c>
      <c r="F2880" s="16" t="inlineStr">
        <is>
          <t>LV54W25</t>
        </is>
      </c>
      <c r="G2880" s="16" t="inlineStr">
        <is>
          <t>TIANLAI Lámpara Ventilador E27 2 en 1, Silenciosa, LED Alta Luminosidad 180°, Instalación Rápida, Ahorro Energético para Dormitorio y Interiores Pequeños</t>
        </is>
      </c>
      <c r="H2880" s="16" t="inlineStr">
        <is>
          <t>1 Pieza</t>
        </is>
      </c>
      <c r="I2880" s="16" t="n">
        <v>2</v>
      </c>
      <c r="J2880" s="17" t="n">
        <v>148</v>
      </c>
      <c r="K2880" s="17" t="n">
        <v>137.09</v>
      </c>
      <c r="L2880" s="17" t="n">
        <v>25.86</v>
      </c>
      <c r="M2880" s="17" t="n">
        <v>0</v>
      </c>
      <c r="N2880" s="17">
        <f>K2880*0.08+L2880*0.08</f>
        <v/>
      </c>
      <c r="O2880" s="17">
        <f>-(K2880*0.025+L2880*0.025)</f>
        <v/>
      </c>
      <c r="P2880" s="17">
        <f>32</f>
        <v/>
      </c>
      <c r="Q2880" s="17">
        <f>J2880+L2880+N2880+O2880-P2880-M2880</f>
        <v/>
      </c>
    </row>
    <row r="2881">
      <c r="A2881" s="16" t="inlineStr">
        <is>
          <t>5.22-5.28</t>
        </is>
      </c>
      <c r="B2881" s="16" t="inlineStr">
        <is>
          <t>PO-128-09211935862393045</t>
        </is>
      </c>
      <c r="C2881" s="16" t="inlineStr">
        <is>
          <t>Delivered</t>
        </is>
      </c>
      <c r="D2881" s="16" t="inlineStr">
        <is>
          <t>128-09211998776953045</t>
        </is>
      </c>
      <c r="E2881" s="16" t="inlineStr">
        <is>
          <t>Delivered</t>
        </is>
      </c>
      <c r="F2881" s="16" t="inlineStr">
        <is>
          <t>BG-115-B</t>
        </is>
      </c>
      <c r="G2881" s="16" t="inlineStr">
        <is>
          <t>LINK BITS Audífonos Inalámbricos con Luces Multicolor, Recargables y en Adorable Forma de Orejas de Gato - Conecta a Celulares y PCs, Tiene Radio FM, Tarjeta TF y AUX - 7 Horas de Reproducción, Plegables y Perfectos para Trabajo, Juegos y Estudio</t>
        </is>
      </c>
      <c r="H2881" s="16" t="inlineStr">
        <is>
          <t>blanco</t>
        </is>
      </c>
      <c r="I2881" s="16" t="n">
        <v>1</v>
      </c>
      <c r="J2881" s="17" t="n">
        <v>78</v>
      </c>
      <c r="K2881" s="17" t="n">
        <v>88.72</v>
      </c>
      <c r="L2881" s="17" t="n">
        <v>0</v>
      </c>
      <c r="M2881" s="17" t="n">
        <v>0</v>
      </c>
      <c r="N2881" s="17">
        <f>K2881*0.08+L2881*0.08</f>
        <v/>
      </c>
      <c r="O2881" s="17">
        <f>-(K2881*0.025+L2881*0.025)</f>
        <v/>
      </c>
      <c r="P2881" s="17">
        <f>32</f>
        <v/>
      </c>
      <c r="Q2881" s="17">
        <f>J2881+L2881+N2881+O2881-P2881-M2881</f>
        <v/>
      </c>
    </row>
    <row r="2882">
      <c r="A2882" s="16" t="inlineStr">
        <is>
          <t>5.22-5.28</t>
        </is>
      </c>
      <c r="B2882" s="16" t="inlineStr">
        <is>
          <t>PO-128-09211935862393045</t>
        </is>
      </c>
      <c r="C2882" s="16" t="inlineStr">
        <is>
          <t>Delivered</t>
        </is>
      </c>
      <c r="D2882" s="16" t="inlineStr">
        <is>
          <t>128-09211977805433045</t>
        </is>
      </c>
      <c r="E2882" s="16" t="inlineStr">
        <is>
          <t>Delivered</t>
        </is>
      </c>
      <c r="F2882" s="16" t="inlineStr">
        <is>
          <t>LV54W25</t>
        </is>
      </c>
      <c r="G2882" s="16" t="inlineStr">
        <is>
          <t>TIANLAI Lámpara Ventilador E27 2 en 1, Silenciosa, LED Alta Luminosidad 180°, Instalación Rápida, Ahorro Energético para Dormitorio y Interiores Pequeños</t>
        </is>
      </c>
      <c r="H2882" s="16" t="inlineStr">
        <is>
          <t>1 Pieza</t>
        </is>
      </c>
      <c r="I2882" s="16" t="n">
        <v>2</v>
      </c>
      <c r="J2882" s="17" t="n">
        <v>148</v>
      </c>
      <c r="K2882" s="17" t="n">
        <v>137.09</v>
      </c>
      <c r="L2882" s="17" t="n">
        <v>0</v>
      </c>
      <c r="M2882" s="17" t="n">
        <v>0</v>
      </c>
      <c r="N2882" s="17">
        <f>K2882*0.08+L2882*0.08</f>
        <v/>
      </c>
      <c r="O2882" s="17">
        <f>-(K2882*0.025+L2882*0.025)</f>
        <v/>
      </c>
      <c r="P2882" s="17">
        <f>32</f>
        <v/>
      </c>
      <c r="Q2882" s="17">
        <f>J2882+L2882+N2882+O2882-P2882-M2882</f>
        <v/>
      </c>
    </row>
    <row r="2883">
      <c r="A2883" s="16" t="inlineStr">
        <is>
          <t>5.22-5.28</t>
        </is>
      </c>
      <c r="B2883" s="16" t="inlineStr">
        <is>
          <t>PO-128-09530840064630118</t>
        </is>
      </c>
      <c r="C2883" s="16" t="inlineStr">
        <is>
          <t>Delivered</t>
        </is>
      </c>
      <c r="D2883" s="16" t="inlineStr">
        <is>
          <t>128-09530944922230118</t>
        </is>
      </c>
      <c r="E2883" s="16" t="inlineStr">
        <is>
          <t>Delivered</t>
        </is>
      </c>
      <c r="F2883" s="16" t="inlineStr">
        <is>
          <t>LV54W25</t>
        </is>
      </c>
      <c r="G2883" s="16" t="inlineStr">
        <is>
          <t>TIANLAI Lámpara Ventilador E27 2 en 1, Silenciosa, LED Alta Luminosidad 180°, Instalación Rápida, Ahorro Energético para Dormitorio y Interiores Pequeños</t>
        </is>
      </c>
      <c r="H2883" s="16" t="inlineStr">
        <is>
          <t>1 Pieza</t>
        </is>
      </c>
      <c r="I2883" s="16" t="n">
        <v>1</v>
      </c>
      <c r="J2883" s="17" t="n">
        <v>74</v>
      </c>
      <c r="K2883" s="17" t="n">
        <v>77.12</v>
      </c>
      <c r="L2883" s="17" t="n">
        <v>25.86</v>
      </c>
      <c r="M2883" s="17" t="n">
        <v>0</v>
      </c>
      <c r="N2883" s="17">
        <f>K2883*0.08+L2883*0.08</f>
        <v/>
      </c>
      <c r="O2883" s="17">
        <f>-(K2883*0.025+L2883*0.025)</f>
        <v/>
      </c>
      <c r="P2883" s="17">
        <f>32</f>
        <v/>
      </c>
      <c r="Q2883" s="17">
        <f>J2883+L2883+N2883+O2883-P2883-M2883</f>
        <v/>
      </c>
    </row>
    <row r="2884">
      <c r="A2884" s="16" t="inlineStr">
        <is>
          <t>5.22-5.28</t>
        </is>
      </c>
      <c r="B2884" s="16" t="inlineStr">
        <is>
          <t>PO-128-09275841895032662</t>
        </is>
      </c>
      <c r="C2884" s="16" t="inlineStr">
        <is>
          <t>Delivered</t>
        </is>
      </c>
      <c r="D2884" s="16" t="inlineStr">
        <is>
          <t>128-09275831409272662</t>
        </is>
      </c>
      <c r="E2884" s="16" t="inlineStr">
        <is>
          <t>Delivered</t>
        </is>
      </c>
      <c r="F2884" s="16" t="inlineStr">
        <is>
          <t>LV54W25</t>
        </is>
      </c>
      <c r="G2884" s="16" t="inlineStr">
        <is>
          <t>TIANLAI Lámpara Ventilador E27 2 en 1, Silenciosa, LED Alta Luminosidad 180°, Instalación Rápida, Ahorro Energético para Dormitorio y Interiores Pequeños</t>
        </is>
      </c>
      <c r="H2884" s="16" t="inlineStr">
        <is>
          <t>1 Pieza</t>
        </is>
      </c>
      <c r="I2884" s="16" t="n">
        <v>2</v>
      </c>
      <c r="J2884" s="17" t="n">
        <v>148</v>
      </c>
      <c r="K2884" s="17" t="n">
        <v>171.36</v>
      </c>
      <c r="L2884" s="17" t="n">
        <v>25.86</v>
      </c>
      <c r="M2884" s="17" t="n">
        <v>0</v>
      </c>
      <c r="N2884" s="17">
        <f>K2884*0.08+L2884*0.08</f>
        <v/>
      </c>
      <c r="O2884" s="17">
        <f>-(K2884*0.025+L2884*0.025)</f>
        <v/>
      </c>
      <c r="P2884" s="17">
        <f>32</f>
        <v/>
      </c>
      <c r="Q2884" s="17">
        <f>J2884+L2884+N2884+O2884-P2884-M2884</f>
        <v/>
      </c>
    </row>
    <row r="2885">
      <c r="A2885" s="16" t="inlineStr">
        <is>
          <t>5.22-5.28</t>
        </is>
      </c>
      <c r="B2885" s="16" t="inlineStr">
        <is>
          <t>PO-128-09430604708471548</t>
        </is>
      </c>
      <c r="C2885" s="16" t="inlineStr">
        <is>
          <t>Delivered</t>
        </is>
      </c>
      <c r="D2885" s="16" t="inlineStr">
        <is>
          <t>128-09430630922871548</t>
        </is>
      </c>
      <c r="E2885" s="16" t="inlineStr">
        <is>
          <t>Delivered</t>
        </is>
      </c>
      <c r="F2885" s="16" t="inlineStr">
        <is>
          <t>LV54W25</t>
        </is>
      </c>
      <c r="G2885" s="16" t="inlineStr">
        <is>
          <t>TIANLAI Lámpara Ventilador E27 2 en 1, Silenciosa, LED Alta Luminosidad 180°, Instalación Rápida, Ahorro Energético para Dormitorio y Interiores Pequeños</t>
        </is>
      </c>
      <c r="H2885" s="16" t="inlineStr">
        <is>
          <t>1 Pieza</t>
        </is>
      </c>
      <c r="I2885" s="16" t="n">
        <v>1</v>
      </c>
      <c r="J2885" s="17" t="n">
        <v>74</v>
      </c>
      <c r="K2885" s="17" t="n">
        <v>85.68000000000001</v>
      </c>
      <c r="L2885" s="17" t="n">
        <v>25.86</v>
      </c>
      <c r="M2885" s="17" t="n">
        <v>0</v>
      </c>
      <c r="N2885" s="17">
        <f>K2885*0.08+L2885*0.08</f>
        <v/>
      </c>
      <c r="O2885" s="17">
        <f>-(K2885*0.025+L2885*0.025)</f>
        <v/>
      </c>
      <c r="P2885" s="17">
        <f>32</f>
        <v/>
      </c>
      <c r="Q2885" s="17">
        <f>J2885+L2885+N2885+O2885-P2885-M2885</f>
        <v/>
      </c>
    </row>
    <row r="2886">
      <c r="A2886" s="16" t="inlineStr">
        <is>
          <t>5.22-5.28</t>
        </is>
      </c>
      <c r="B2886" s="16" t="inlineStr">
        <is>
          <t>PO-128-09151553792632189</t>
        </is>
      </c>
      <c r="C2886" s="16" t="inlineStr">
        <is>
          <t>Delivered</t>
        </is>
      </c>
      <c r="D2886" s="16" t="inlineStr">
        <is>
          <t>128-09151633746552189</t>
        </is>
      </c>
      <c r="E2886" s="16" t="inlineStr">
        <is>
          <t>Delivered</t>
        </is>
      </c>
      <c r="F2886" s="16" t="inlineStr">
        <is>
          <t>LV54W25</t>
        </is>
      </c>
      <c r="G2886" s="16" t="inlineStr">
        <is>
          <t>TIANLAI Lámpara Ventilador E27 2 en 1, Silenciosa, LED Alta Luminosidad 180°, Instalación Rápida, Ahorro Energético para Dormitorio y Interiores Pequeños</t>
        </is>
      </c>
      <c r="H2886" s="16" t="inlineStr">
        <is>
          <t>1 Pieza</t>
        </is>
      </c>
      <c r="I2886" s="16" t="n">
        <v>1</v>
      </c>
      <c r="J2886" s="17" t="n">
        <v>74</v>
      </c>
      <c r="K2886" s="17" t="n">
        <v>85.68000000000001</v>
      </c>
      <c r="L2886" s="17" t="n">
        <v>25.86</v>
      </c>
      <c r="M2886" s="17" t="n">
        <v>0</v>
      </c>
      <c r="N2886" s="17">
        <f>K2886*0.08+L2886*0.08</f>
        <v/>
      </c>
      <c r="O2886" s="17">
        <f>-(K2886*0.025+L2886*0.025)</f>
        <v/>
      </c>
      <c r="P2886" s="17">
        <f>32</f>
        <v/>
      </c>
      <c r="Q2886" s="17">
        <f>J2886+L2886+N2886+O2886-P2886-M2886</f>
        <v/>
      </c>
    </row>
    <row r="2887">
      <c r="A2887" s="16" t="inlineStr">
        <is>
          <t>5.22-5.28</t>
        </is>
      </c>
      <c r="B2887" s="16" t="inlineStr">
        <is>
          <t>PO-128-09530810698870118</t>
        </is>
      </c>
      <c r="C2887" s="16" t="inlineStr">
        <is>
          <t>Delivered</t>
        </is>
      </c>
      <c r="D2887" s="16" t="inlineStr">
        <is>
          <t>128-09530962742390118</t>
        </is>
      </c>
      <c r="E2887" s="16" t="inlineStr">
        <is>
          <t>Delivered</t>
        </is>
      </c>
      <c r="F2887" s="16" t="inlineStr">
        <is>
          <t>LV54W25</t>
        </is>
      </c>
      <c r="G2887" s="16" t="inlineStr">
        <is>
          <t>TIANLAI Lámpara Ventilador E27 2 en 1, Silenciosa, LED Alta Luminosidad 180°, Instalación Rápida, Ahorro Energético para Dormitorio y Interiores Pequeños</t>
        </is>
      </c>
      <c r="H2887" s="16" t="inlineStr">
        <is>
          <t>1 Pieza</t>
        </is>
      </c>
      <c r="I2887" s="16" t="n">
        <v>2</v>
      </c>
      <c r="J2887" s="17" t="n">
        <v>148</v>
      </c>
      <c r="K2887" s="17" t="n">
        <v>154.24</v>
      </c>
      <c r="L2887" s="17" t="n">
        <v>25.86</v>
      </c>
      <c r="M2887" s="17" t="n">
        <v>0</v>
      </c>
      <c r="N2887" s="17">
        <f>K2887*0.08+L2887*0.08</f>
        <v/>
      </c>
      <c r="O2887" s="17">
        <f>-(K2887*0.025+L2887*0.025)</f>
        <v/>
      </c>
      <c r="P2887" s="17">
        <f>32</f>
        <v/>
      </c>
      <c r="Q2887" s="17">
        <f>J2887+L2887+N2887+O2887-P2887-M2887</f>
        <v/>
      </c>
    </row>
    <row r="2888">
      <c r="A2888" s="16" t="inlineStr">
        <is>
          <t>5.22-5.28</t>
        </is>
      </c>
      <c r="B2888" s="16" t="inlineStr">
        <is>
          <t>PO-128-09552309740151014</t>
        </is>
      </c>
      <c r="C2888" s="16" t="inlineStr">
        <is>
          <t>Delivered</t>
        </is>
      </c>
      <c r="D2888" s="16" t="inlineStr">
        <is>
          <t>128-09552288768631014</t>
        </is>
      </c>
      <c r="E2888" s="16" t="inlineStr">
        <is>
          <t>Delivered</t>
        </is>
      </c>
      <c r="F2888" s="16" t="inlineStr">
        <is>
          <t>LV64W25</t>
        </is>
      </c>
      <c r="G28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88" s="16" t="inlineStr">
        <is>
          <t>Blanco</t>
        </is>
      </c>
      <c r="I2888" s="16" t="n">
        <v>1</v>
      </c>
      <c r="J2888" s="17" t="n">
        <v>125</v>
      </c>
      <c r="K2888" s="17" t="n">
        <v>143.26</v>
      </c>
      <c r="L2888" s="17" t="n">
        <v>25.86</v>
      </c>
      <c r="M2888" s="17" t="n">
        <v>0</v>
      </c>
      <c r="N2888" s="17">
        <f>K2888*0.08+L2888*0.08</f>
        <v/>
      </c>
      <c r="O2888" s="17">
        <f>-(K2888*0.025+L2888*0.025)</f>
        <v/>
      </c>
      <c r="P2888" s="17">
        <f>32</f>
        <v/>
      </c>
      <c r="Q2888" s="17">
        <f>J2888+L2888+N2888+O2888-P2888-M2888</f>
        <v/>
      </c>
    </row>
    <row r="2889">
      <c r="A2889" s="16" t="inlineStr">
        <is>
          <t>5.22-5.28</t>
        </is>
      </c>
      <c r="B2889" s="16" t="inlineStr">
        <is>
          <t>PO-128-09366970634871929</t>
        </is>
      </c>
      <c r="C2889" s="16" t="inlineStr">
        <is>
          <t>Delivered</t>
        </is>
      </c>
      <c r="D2889" s="16" t="inlineStr">
        <is>
          <t>128-09366928691831929</t>
        </is>
      </c>
      <c r="E2889" s="16" t="inlineStr">
        <is>
          <t>Delivered</t>
        </is>
      </c>
      <c r="F2889" s="16" t="inlineStr">
        <is>
          <t>LV64W25</t>
        </is>
      </c>
      <c r="G28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89" s="16" t="inlineStr">
        <is>
          <t>Blanco</t>
        </is>
      </c>
      <c r="I2889" s="16" t="n">
        <v>1</v>
      </c>
      <c r="J2889" s="17" t="n">
        <v>125</v>
      </c>
      <c r="K2889" s="17" t="n">
        <v>130.37</v>
      </c>
      <c r="L2889" s="17" t="n">
        <v>25.86</v>
      </c>
      <c r="M2889" s="17" t="n">
        <v>0</v>
      </c>
      <c r="N2889" s="17">
        <f>K2889*0.08+L2889*0.08</f>
        <v/>
      </c>
      <c r="O2889" s="17">
        <f>-(K2889*0.025+L2889*0.025)</f>
        <v/>
      </c>
      <c r="P2889" s="17">
        <f>32</f>
        <v/>
      </c>
      <c r="Q2889" s="17">
        <f>J2889+L2889+N2889+O2889-P2889-M2889</f>
        <v/>
      </c>
    </row>
    <row r="2890">
      <c r="A2890" s="16" t="inlineStr">
        <is>
          <t>5.22-5.28</t>
        </is>
      </c>
      <c r="B2890" s="16" t="inlineStr">
        <is>
          <t>PO-128-09608645714550553</t>
        </is>
      </c>
      <c r="C2890" s="16" t="inlineStr">
        <is>
          <t>Delivered</t>
        </is>
      </c>
      <c r="D2890" s="16" t="inlineStr">
        <is>
          <t>128-09608624743030553</t>
        </is>
      </c>
      <c r="E2890" s="16" t="inlineStr">
        <is>
          <t>Delivered</t>
        </is>
      </c>
      <c r="F2890" s="16" t="inlineStr">
        <is>
          <t>LV64W25</t>
        </is>
      </c>
      <c r="G28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90" s="16" t="inlineStr">
        <is>
          <t>Blanco</t>
        </is>
      </c>
      <c r="I2890" s="16" t="n">
        <v>1</v>
      </c>
      <c r="J2890" s="17" t="n">
        <v>125</v>
      </c>
      <c r="K2890" s="17" t="n">
        <v>128.94</v>
      </c>
      <c r="L2890" s="17" t="n">
        <v>25.86</v>
      </c>
      <c r="M2890" s="17" t="n">
        <v>0</v>
      </c>
      <c r="N2890" s="17">
        <f>K2890*0.08+L2890*0.08</f>
        <v/>
      </c>
      <c r="O2890" s="17">
        <f>-(K2890*0.025+L2890*0.025)</f>
        <v/>
      </c>
      <c r="P2890" s="17">
        <f>32</f>
        <v/>
      </c>
      <c r="Q2890" s="17">
        <f>J2890+L2890+N2890+O2890-P2890-M2890</f>
        <v/>
      </c>
    </row>
    <row r="2891">
      <c r="A2891" s="16" t="inlineStr">
        <is>
          <t>5.22-5.28</t>
        </is>
      </c>
      <c r="B2891" s="16" t="inlineStr">
        <is>
          <t>PO-128-08969645476473401</t>
        </is>
      </c>
      <c r="C2891" s="16" t="inlineStr">
        <is>
          <t>Delivered</t>
        </is>
      </c>
      <c r="D2891" s="16" t="inlineStr">
        <is>
          <t>128-08969687419513401</t>
        </is>
      </c>
      <c r="E2891" s="16" t="inlineStr">
        <is>
          <t>Delivered</t>
        </is>
      </c>
      <c r="F2891" s="16" t="inlineStr">
        <is>
          <t>LV54W25</t>
        </is>
      </c>
      <c r="G2891" s="16" t="inlineStr">
        <is>
          <t>TIANLAI Lámpara Ventilador E27 2 en 1, Silenciosa, LED Alta Luminosidad 180°, Instalación Rápida, Ahorro Energético para Dormitorio y Interiores Pequeños</t>
        </is>
      </c>
      <c r="H2891" s="16" t="inlineStr">
        <is>
          <t>1 Pieza</t>
        </is>
      </c>
      <c r="I2891" s="16" t="n">
        <v>1</v>
      </c>
      <c r="J2891" s="17" t="n">
        <v>74</v>
      </c>
      <c r="K2891" s="17" t="n">
        <v>77.12</v>
      </c>
      <c r="L2891" s="17" t="n">
        <v>25.86</v>
      </c>
      <c r="M2891" s="17" t="n">
        <v>0</v>
      </c>
      <c r="N2891" s="17">
        <f>K2891*0.08+L2891*0.08</f>
        <v/>
      </c>
      <c r="O2891" s="17">
        <f>-(K2891*0.025+L2891*0.025)</f>
        <v/>
      </c>
      <c r="P2891" s="17">
        <f>32</f>
        <v/>
      </c>
      <c r="Q2891" s="17">
        <f>J2891+L2891+N2891+O2891-P2891-M2891</f>
        <v/>
      </c>
    </row>
    <row r="2892">
      <c r="A2892" s="16" t="inlineStr">
        <is>
          <t>5.22-5.28</t>
        </is>
      </c>
      <c r="B2892" s="16" t="inlineStr">
        <is>
          <t>PO-128-14964956726390496</t>
        </is>
      </c>
      <c r="C2892" s="16" t="inlineStr">
        <is>
          <t>Delivered</t>
        </is>
      </c>
      <c r="D2892" s="16" t="inlineStr">
        <is>
          <t>128-14964959347830496</t>
        </is>
      </c>
      <c r="E2892" s="16" t="inlineStr">
        <is>
          <t>Delivered</t>
        </is>
      </c>
      <c r="F2892" s="16" t="inlineStr">
        <is>
          <t>LV64W25</t>
        </is>
      </c>
      <c r="G28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92" s="16" t="inlineStr">
        <is>
          <t>Blanco</t>
        </is>
      </c>
      <c r="I2892" s="16" t="n">
        <v>2</v>
      </c>
      <c r="J2892" s="17" t="n">
        <v>250</v>
      </c>
      <c r="K2892" s="17" t="n">
        <v>250.7</v>
      </c>
      <c r="L2892" s="17" t="n">
        <v>0</v>
      </c>
      <c r="M2892" s="17" t="n">
        <v>0</v>
      </c>
      <c r="N2892" s="17">
        <f>K2892*0.08+L2892*0.08</f>
        <v/>
      </c>
      <c r="O2892" s="17">
        <f>-(K2892*0.025+L2892*0.025)</f>
        <v/>
      </c>
      <c r="P2892" s="17">
        <f>32</f>
        <v/>
      </c>
      <c r="Q2892" s="17">
        <f>J2892+L2892+N2892+O2892-P2892-M2892</f>
        <v/>
      </c>
    </row>
    <row r="2893">
      <c r="A2893" s="16" t="inlineStr">
        <is>
          <t>5.22-5.28</t>
        </is>
      </c>
      <c r="B2893" s="16" t="inlineStr">
        <is>
          <t>PO-128-15112684398710576</t>
        </is>
      </c>
      <c r="C2893" s="16" t="inlineStr">
        <is>
          <t>Delivered</t>
        </is>
      </c>
      <c r="D2893" s="16" t="inlineStr">
        <is>
          <t>128-15112736827510576</t>
        </is>
      </c>
      <c r="E2893" s="16" t="inlineStr">
        <is>
          <t>Delivered</t>
        </is>
      </c>
      <c r="F2893" s="16" t="inlineStr">
        <is>
          <t>SB428T</t>
        </is>
      </c>
      <c r="G2893" s="16" t="inlineStr">
        <is>
          <t>LINK BITS Bocina Portátil con 2 Altavoces de 4" (5W×2), Sonido Potente, Luces LED, Bluetooth, USB/TF/FM - Ideal para Reuniones, Fiestas y Picnics en México</t>
        </is>
      </c>
      <c r="H2893" s="16" t="inlineStr">
        <is>
          <t>SB428T</t>
        </is>
      </c>
      <c r="I2893" s="16" t="n">
        <v>1</v>
      </c>
      <c r="J2893" s="17" t="n">
        <v>97</v>
      </c>
      <c r="K2893" s="17" t="n">
        <v>115.49</v>
      </c>
      <c r="L2893" s="17" t="n">
        <v>25.86</v>
      </c>
      <c r="M2893" s="17" t="n">
        <v>0</v>
      </c>
      <c r="N2893" s="17">
        <f>K2893*0.08+L2893*0.08</f>
        <v/>
      </c>
      <c r="O2893" s="17">
        <f>-(K2893*0.025+L2893*0.025)</f>
        <v/>
      </c>
      <c r="P2893" s="17">
        <f>32</f>
        <v/>
      </c>
      <c r="Q2893" s="17">
        <f>J2893+L2893+N2893+O2893-P2893-M2893</f>
        <v/>
      </c>
    </row>
    <row r="2894">
      <c r="A2894" s="16" t="inlineStr">
        <is>
          <t>5.22-5.28</t>
        </is>
      </c>
      <c r="B2894" s="16" t="inlineStr">
        <is>
          <t>PO-128-14808908398711365</t>
        </is>
      </c>
      <c r="C2894" s="16" t="inlineStr">
        <is>
          <t>Delivered</t>
        </is>
      </c>
      <c r="D2894" s="16" t="inlineStr">
        <is>
          <t>128-14808866455671365</t>
        </is>
      </c>
      <c r="E2894" s="16" t="inlineStr">
        <is>
          <t>Delivered</t>
        </is>
      </c>
      <c r="F2894" s="16" t="inlineStr">
        <is>
          <t>LV64W25</t>
        </is>
      </c>
      <c r="G28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94" s="16" t="inlineStr">
        <is>
          <t>Blanco</t>
        </is>
      </c>
      <c r="I2894" s="16" t="n">
        <v>12</v>
      </c>
      <c r="J2894" s="17" t="n">
        <v>1500</v>
      </c>
      <c r="K2894" s="17" t="n">
        <v>1187.98</v>
      </c>
      <c r="L2894" s="17" t="n">
        <v>0</v>
      </c>
      <c r="M2894" s="17" t="n">
        <v>0</v>
      </c>
      <c r="N2894" s="17">
        <f>K2894*0.08+L2894*0.08</f>
        <v/>
      </c>
      <c r="O2894" s="17">
        <f>-(K2894*0.025+L2894*0.025)</f>
        <v/>
      </c>
      <c r="P2894" s="17">
        <f>32</f>
        <v/>
      </c>
      <c r="Q2894" s="17">
        <f>J2894+L2894+N2894+O2894-P2894-M2894</f>
        <v/>
      </c>
    </row>
    <row r="2895">
      <c r="A2895" s="16" t="inlineStr">
        <is>
          <t>5.22-5.28</t>
        </is>
      </c>
      <c r="B2895" s="16" t="inlineStr">
        <is>
          <t>PO-128-14733272743032711</t>
        </is>
      </c>
      <c r="C2895" s="16" t="inlineStr">
        <is>
          <t>Delivered</t>
        </is>
      </c>
      <c r="D2895" s="16" t="inlineStr">
        <is>
          <t>128-14733377600632711</t>
        </is>
      </c>
      <c r="E2895" s="16" t="inlineStr">
        <is>
          <t>Delivered</t>
        </is>
      </c>
      <c r="F2895" s="16" t="inlineStr">
        <is>
          <t>LV54W25</t>
        </is>
      </c>
      <c r="G2895" s="16" t="inlineStr">
        <is>
          <t>TIANLAI Lámpara Ventilador E27 2 en 1, Silenciosa, LED Alta Luminosidad 180°, Instalación Rápida, Ahorro Energético para Dormitorio y Interiores Pequeños</t>
        </is>
      </c>
      <c r="H2895" s="16" t="inlineStr">
        <is>
          <t>1 Pieza</t>
        </is>
      </c>
      <c r="I2895" s="16" t="n">
        <v>1</v>
      </c>
      <c r="J2895" s="17" t="n">
        <v>74</v>
      </c>
      <c r="K2895" s="17" t="n">
        <v>77.12</v>
      </c>
      <c r="L2895" s="17" t="n">
        <v>25.86</v>
      </c>
      <c r="M2895" s="17" t="n">
        <v>0</v>
      </c>
      <c r="N2895" s="17">
        <f>K2895*0.08+L2895*0.08</f>
        <v/>
      </c>
      <c r="O2895" s="17">
        <f>-(K2895*0.025+L2895*0.025)</f>
        <v/>
      </c>
      <c r="P2895" s="17">
        <f>32</f>
        <v/>
      </c>
      <c r="Q2895" s="17">
        <f>J2895+L2895+N2895+O2895-P2895-M2895</f>
        <v/>
      </c>
    </row>
    <row r="2896">
      <c r="A2896" s="16" t="inlineStr">
        <is>
          <t>5.22-5.28</t>
        </is>
      </c>
      <c r="B2896" s="16" t="inlineStr">
        <is>
          <t>PO-128-14807565653111373</t>
        </is>
      </c>
      <c r="C2896" s="16" t="inlineStr">
        <is>
          <t>Delivered</t>
        </is>
      </c>
      <c r="D2896" s="16" t="inlineStr">
        <is>
          <t>128-14807544681591373</t>
        </is>
      </c>
      <c r="E2896" s="16" t="inlineStr">
        <is>
          <t>Delivered</t>
        </is>
      </c>
      <c r="F2896" s="16" t="inlineStr">
        <is>
          <t>LV64W25</t>
        </is>
      </c>
      <c r="G28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896" s="16" t="inlineStr">
        <is>
          <t>Blanco</t>
        </is>
      </c>
      <c r="I2896" s="16" t="n">
        <v>6</v>
      </c>
      <c r="J2896" s="17" t="n">
        <v>750</v>
      </c>
      <c r="K2896" s="17" t="n">
        <v>782.22</v>
      </c>
      <c r="L2896" s="17" t="n">
        <v>0</v>
      </c>
      <c r="M2896" s="17" t="n">
        <v>0</v>
      </c>
      <c r="N2896" s="17">
        <f>K2896*0.08+L2896*0.08</f>
        <v/>
      </c>
      <c r="O2896" s="17">
        <f>-(K2896*0.025+L2896*0.025)</f>
        <v/>
      </c>
      <c r="P2896" s="17">
        <f>32</f>
        <v/>
      </c>
      <c r="Q2896" s="17">
        <f>J2896+L2896+N2896+O2896-P2896-M2896</f>
        <v/>
      </c>
    </row>
    <row r="2897">
      <c r="A2897" s="16" t="inlineStr">
        <is>
          <t>5.22-5.28</t>
        </is>
      </c>
      <c r="B2897" s="16" t="inlineStr">
        <is>
          <t>PO-128-05459802913910640</t>
        </is>
      </c>
      <c r="C2897" s="16" t="inlineStr">
        <is>
          <t>Partially delivered</t>
        </is>
      </c>
      <c r="D2897" s="16" t="inlineStr">
        <is>
          <t>128-05459781942390640</t>
        </is>
      </c>
      <c r="E2897" s="16" t="inlineStr">
        <is>
          <t>Shipped</t>
        </is>
      </c>
      <c r="F2897" s="16" t="inlineStr">
        <is>
          <t>KTS-2031</t>
        </is>
      </c>
      <c r="G2897" s="16" t="inlineStr">
        <is>
          <t>Bocina inalámbrica de 3 pulgadas con linterna multifuncional y panel solar integrado.Altavoz Portátil con Linterna LED 4 Modos, Radio FM, Bluetooth, Carga Solar, Ideal para Apagones, Emergencias, Campo y Exteriores</t>
        </is>
      </c>
      <c r="H2897" s="16" t="inlineStr">
        <is>
          <t>NEGRO</t>
        </is>
      </c>
      <c r="I2897" s="16" t="n">
        <v>1</v>
      </c>
      <c r="J2897" s="17" t="n">
        <v>90</v>
      </c>
      <c r="K2897" s="17" t="n">
        <v>99.22</v>
      </c>
      <c r="L2897" s="17" t="n">
        <v>0</v>
      </c>
      <c r="M2897" s="17" t="n">
        <v>0</v>
      </c>
      <c r="N2897" s="17">
        <f>K2897*0.08+L2897*0.08</f>
        <v/>
      </c>
      <c r="O2897" s="17">
        <f>-(K2897*0.025+L2897*0.025)</f>
        <v/>
      </c>
      <c r="P2897" s="17">
        <f>32</f>
        <v/>
      </c>
      <c r="Q2897" s="17">
        <f>J2897+L2897+N2897+O2897-P2897-M2897</f>
        <v/>
      </c>
    </row>
    <row r="2898">
      <c r="A2898" s="16" t="inlineStr">
        <is>
          <t>5.22-5.28</t>
        </is>
      </c>
      <c r="B2898" s="16" t="inlineStr">
        <is>
          <t>PO-128-05459802913910640</t>
        </is>
      </c>
      <c r="C2898" s="16" t="inlineStr">
        <is>
          <t>Partially delivered</t>
        </is>
      </c>
      <c r="D2898" s="16" t="inlineStr">
        <is>
          <t>128-05459760970870640</t>
        </is>
      </c>
      <c r="E2898" s="16" t="inlineStr">
        <is>
          <t>Delivered</t>
        </is>
      </c>
      <c r="F2898" s="16" t="inlineStr">
        <is>
          <t>LV54W25</t>
        </is>
      </c>
      <c r="G2898" s="16" t="inlineStr">
        <is>
          <t>TIANLAI Lámpara Ventilador E27 2 en 1, Silenciosa, LED Alta Luminosidad 180°, Instalación Rápida, Ahorro Energético para Dormitorio y Interiores Pequeños</t>
        </is>
      </c>
      <c r="H2898" s="16" t="inlineStr">
        <is>
          <t>1 Pieza</t>
        </is>
      </c>
      <c r="I2898" s="16" t="n">
        <v>2</v>
      </c>
      <c r="J2898" s="17" t="n">
        <v>148</v>
      </c>
      <c r="K2898" s="17" t="n">
        <v>152.52</v>
      </c>
      <c r="L2898" s="17" t="n">
        <v>0</v>
      </c>
      <c r="M2898" s="17" t="n">
        <v>0</v>
      </c>
      <c r="N2898" s="17">
        <f>K2898*0.08+L2898*0.08</f>
        <v/>
      </c>
      <c r="O2898" s="17">
        <f>-(K2898*0.025+L2898*0.025)</f>
        <v/>
      </c>
      <c r="P2898" s="17">
        <f>32</f>
        <v/>
      </c>
      <c r="Q2898" s="17">
        <f>J2898+L2898+N2898+O2898-P2898-M2898</f>
        <v/>
      </c>
    </row>
    <row r="2899">
      <c r="A2899" s="16" t="inlineStr">
        <is>
          <t>5.29-6.4</t>
        </is>
      </c>
      <c r="B2899" s="16" t="inlineStr">
        <is>
          <t>PO-128-14312043285113748</t>
        </is>
      </c>
      <c r="C2899" s="16" t="inlineStr">
        <is>
          <t>Shipped</t>
        </is>
      </c>
      <c r="D2899" s="16" t="inlineStr">
        <is>
          <t>128-14312085228153748</t>
        </is>
      </c>
      <c r="E2899" s="16" t="inlineStr">
        <is>
          <t>Shipped</t>
        </is>
      </c>
      <c r="F2899" s="16" t="inlineStr">
        <is>
          <t>LV54W25</t>
        </is>
      </c>
      <c r="G2899" s="16" t="inlineStr">
        <is>
          <t>TIANLAI Lámpara Ventilador E27 2 en 1, Silenciosa, LED Alta Luminosidad 180°, Instalación Rápida, Ahorro Energético para Dormitorio y Interiores Pequeños</t>
        </is>
      </c>
      <c r="H2899" s="16" t="inlineStr">
        <is>
          <t>1 Pieza</t>
        </is>
      </c>
      <c r="I2899" s="16" t="n">
        <v>3</v>
      </c>
      <c r="J2899" s="17" t="n">
        <v>223.5</v>
      </c>
      <c r="K2899" s="17" t="n">
        <v>230.13</v>
      </c>
      <c r="L2899" s="17" t="n">
        <v>0</v>
      </c>
      <c r="M2899" s="17" t="n">
        <v>0</v>
      </c>
      <c r="N2899" s="17">
        <f>K2899*0.08+L2899*0.08</f>
        <v/>
      </c>
      <c r="O2899" s="17">
        <f>-(K2899*0.025+L2899*0.025)</f>
        <v/>
      </c>
      <c r="P2899" s="17">
        <f>32</f>
        <v/>
      </c>
      <c r="Q2899" s="17">
        <f>J2899+L2899+N2899+O2899-P2899-M2899</f>
        <v/>
      </c>
    </row>
    <row r="2900">
      <c r="A2900" s="16" t="inlineStr">
        <is>
          <t>5.29-6.4</t>
        </is>
      </c>
      <c r="B2900" s="16" t="inlineStr">
        <is>
          <t>PO-128-13907004047990082</t>
        </is>
      </c>
      <c r="C2900" s="16" t="inlineStr">
        <is>
          <t>Shipped</t>
        </is>
      </c>
      <c r="D2900" s="16" t="inlineStr">
        <is>
          <t>128-13907025019510082</t>
        </is>
      </c>
      <c r="E2900" s="16" t="inlineStr">
        <is>
          <t>Shipped</t>
        </is>
      </c>
      <c r="F2900" s="16" t="inlineStr">
        <is>
          <t>TLCD01-4P-nN</t>
        </is>
      </c>
      <c r="G290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00" s="16" t="inlineStr">
        <is>
          <t>NEGRO/pantalla de 4.5 pulgadas</t>
        </is>
      </c>
      <c r="I2900" s="16" t="n">
        <v>1</v>
      </c>
      <c r="J2900" s="17" t="n">
        <v>20</v>
      </c>
      <c r="K2900" s="17" t="n">
        <v>14.34</v>
      </c>
      <c r="L2900" s="17" t="n">
        <v>25.86</v>
      </c>
      <c r="M2900" s="17" t="n">
        <v>0</v>
      </c>
      <c r="N2900" s="17">
        <f>K2900*0.08+L2900*0.08</f>
        <v/>
      </c>
      <c r="O2900" s="17">
        <f>-(K2900*0.025+L2900*0.025)</f>
        <v/>
      </c>
      <c r="P2900" s="17">
        <f>32</f>
        <v/>
      </c>
      <c r="Q2900" s="17">
        <f>J2900+L2900+N2900+O2900-P2900-M2900</f>
        <v/>
      </c>
    </row>
    <row r="2901">
      <c r="A2901" s="16" t="inlineStr">
        <is>
          <t>5.29-6.4</t>
        </is>
      </c>
      <c r="B2901" s="16" t="inlineStr">
        <is>
          <t>PO-128-14071955313271085</t>
        </is>
      </c>
      <c r="C2901" s="16" t="inlineStr">
        <is>
          <t>Shipped</t>
        </is>
      </c>
      <c r="D2901" s="16" t="inlineStr">
        <is>
          <t>128-14071913370231085</t>
        </is>
      </c>
      <c r="E2901" s="16" t="inlineStr">
        <is>
          <t>Shipped</t>
        </is>
      </c>
      <c r="F2901" s="16" t="inlineStr">
        <is>
          <t>LV64W25</t>
        </is>
      </c>
      <c r="G29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1" s="16" t="inlineStr">
        <is>
          <t>Blanco</t>
        </is>
      </c>
      <c r="I2901" s="16" t="n">
        <v>1</v>
      </c>
      <c r="J2901" s="17" t="n">
        <v>123</v>
      </c>
      <c r="K2901" s="17" t="n">
        <v>128.56</v>
      </c>
      <c r="L2901" s="17" t="n">
        <v>25.86</v>
      </c>
      <c r="M2901" s="17" t="n">
        <v>0</v>
      </c>
      <c r="N2901" s="17">
        <f>K2901*0.08+L2901*0.08</f>
        <v/>
      </c>
      <c r="O2901" s="17">
        <f>-(K2901*0.025+L2901*0.025)</f>
        <v/>
      </c>
      <c r="P2901" s="17">
        <f>32</f>
        <v/>
      </c>
      <c r="Q2901" s="17">
        <f>J2901+L2901+N2901+O2901-P2901-M2901</f>
        <v/>
      </c>
    </row>
    <row r="2902">
      <c r="A2902" s="16" t="inlineStr">
        <is>
          <t>5.29-6.4</t>
        </is>
      </c>
      <c r="B2902" s="16" t="inlineStr">
        <is>
          <t>PO-128-14410532741753099</t>
        </is>
      </c>
      <c r="C2902" s="16" t="inlineStr">
        <is>
          <t>Shipped</t>
        </is>
      </c>
      <c r="D2902" s="16" t="inlineStr">
        <is>
          <t>128-14410480312953099</t>
        </is>
      </c>
      <c r="E2902" s="16" t="inlineStr">
        <is>
          <t>Shipped</t>
        </is>
      </c>
      <c r="F2902" s="16" t="inlineStr">
        <is>
          <t>LV64W25</t>
        </is>
      </c>
      <c r="G29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2" s="16" t="inlineStr">
        <is>
          <t>Blanco</t>
        </is>
      </c>
      <c r="I2902" s="16" t="n">
        <v>1</v>
      </c>
      <c r="J2902" s="17" t="n">
        <v>123</v>
      </c>
      <c r="K2902" s="17" t="n">
        <v>79.03</v>
      </c>
      <c r="L2902" s="17" t="n">
        <v>25.86</v>
      </c>
      <c r="M2902" s="17" t="n">
        <v>0</v>
      </c>
      <c r="N2902" s="17">
        <f>K2902*0.08+L2902*0.08</f>
        <v/>
      </c>
      <c r="O2902" s="17">
        <f>-(K2902*0.025+L2902*0.025)</f>
        <v/>
      </c>
      <c r="P2902" s="17">
        <f>32</f>
        <v/>
      </c>
      <c r="Q2902" s="17">
        <f>J2902+L2902+N2902+O2902-P2902-M2902</f>
        <v/>
      </c>
    </row>
    <row r="2903">
      <c r="A2903" s="16" t="inlineStr">
        <is>
          <t>5.29-6.4</t>
        </is>
      </c>
      <c r="B2903" s="16" t="inlineStr">
        <is>
          <t>PO-128-13861641467510291</t>
        </is>
      </c>
      <c r="C2903" s="16" t="inlineStr">
        <is>
          <t>Shipped</t>
        </is>
      </c>
      <c r="D2903" s="16" t="inlineStr">
        <is>
          <t>128-13861599524470291</t>
        </is>
      </c>
      <c r="E2903" s="16" t="inlineStr">
        <is>
          <t>Shipped</t>
        </is>
      </c>
      <c r="F2903" s="16" t="inlineStr">
        <is>
          <t>LV64W25</t>
        </is>
      </c>
      <c r="G29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3" s="16" t="inlineStr">
        <is>
          <t>Blanco</t>
        </is>
      </c>
      <c r="I2903" s="16" t="n">
        <v>1</v>
      </c>
      <c r="J2903" s="17" t="n">
        <v>123</v>
      </c>
      <c r="K2903" s="17" t="n">
        <v>131.38</v>
      </c>
      <c r="L2903" s="17" t="n">
        <v>25.86</v>
      </c>
      <c r="M2903" s="17" t="n">
        <v>0</v>
      </c>
      <c r="N2903" s="17">
        <f>K2903*0.08+L2903*0.08</f>
        <v/>
      </c>
      <c r="O2903" s="17">
        <f>-(K2903*0.025+L2903*0.025)</f>
        <v/>
      </c>
      <c r="P2903" s="17">
        <f>32</f>
        <v/>
      </c>
      <c r="Q2903" s="17">
        <f>J2903+L2903+N2903+O2903-P2903-M2903</f>
        <v/>
      </c>
    </row>
    <row r="2904">
      <c r="A2904" s="16" t="inlineStr">
        <is>
          <t>5.29-6.4</t>
        </is>
      </c>
      <c r="B2904" s="16" t="inlineStr">
        <is>
          <t>PO-128-14299610481273950</t>
        </is>
      </c>
      <c r="C2904" s="16" t="inlineStr">
        <is>
          <t>Shipped</t>
        </is>
      </c>
      <c r="D2904" s="16" t="inlineStr">
        <is>
          <t>128-14299652424313950</t>
        </is>
      </c>
      <c r="E2904" s="16" t="inlineStr">
        <is>
          <t>Shipped</t>
        </is>
      </c>
      <c r="F2904" s="16" t="inlineStr">
        <is>
          <t>LV54W25</t>
        </is>
      </c>
      <c r="G2904" s="16" t="inlineStr">
        <is>
          <t>TIANLAI Lámpara Ventilador E27 2 en 1, Silenciosa, LED Alta Luminosidad 180°, Instalación Rápida, Ahorro Energético para Dormitorio y Interiores Pequeños</t>
        </is>
      </c>
      <c r="H2904" s="16" t="inlineStr">
        <is>
          <t>1 Pieza</t>
        </is>
      </c>
      <c r="I2904" s="16" t="n">
        <v>1</v>
      </c>
      <c r="J2904" s="17" t="n">
        <v>74.5</v>
      </c>
      <c r="K2904" s="17" t="n">
        <v>79.29000000000001</v>
      </c>
      <c r="L2904" s="17" t="n">
        <v>25.86</v>
      </c>
      <c r="M2904" s="17" t="n">
        <v>0</v>
      </c>
      <c r="N2904" s="17">
        <f>K2904*0.08+L2904*0.08</f>
        <v/>
      </c>
      <c r="O2904" s="17">
        <f>-(K2904*0.025+L2904*0.025)</f>
        <v/>
      </c>
      <c r="P2904" s="17">
        <f>32</f>
        <v/>
      </c>
      <c r="Q2904" s="17">
        <f>J2904+L2904+N2904+O2904-P2904-M2904</f>
        <v/>
      </c>
    </row>
    <row r="2905">
      <c r="A2905" s="16" t="inlineStr">
        <is>
          <t>5.29-6.4</t>
        </is>
      </c>
      <c r="B2905" s="16" t="inlineStr">
        <is>
          <t>PO-128-14089885727352960</t>
        </is>
      </c>
      <c r="C2905" s="16" t="inlineStr">
        <is>
          <t>Shipped</t>
        </is>
      </c>
      <c r="D2905" s="16" t="inlineStr">
        <is>
          <t>128-14089927670392960</t>
        </is>
      </c>
      <c r="E2905" s="16" t="inlineStr">
        <is>
          <t>Shipped</t>
        </is>
      </c>
      <c r="F2905" s="16" t="inlineStr">
        <is>
          <t>TLCD02-8P-R</t>
        </is>
      </c>
      <c r="G290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05" s="16" t="inlineStr">
        <is>
          <t>ROJO/pantalla de 8.5 pulgadas</t>
        </is>
      </c>
      <c r="I2905" s="16" t="n">
        <v>1</v>
      </c>
      <c r="J2905" s="17" t="n">
        <v>25</v>
      </c>
      <c r="K2905" s="17" t="n">
        <v>33.98</v>
      </c>
      <c r="L2905" s="17" t="n">
        <v>25.86</v>
      </c>
      <c r="M2905" s="17" t="n">
        <v>0</v>
      </c>
      <c r="N2905" s="17">
        <f>K2905*0.08+L2905*0.08</f>
        <v/>
      </c>
      <c r="O2905" s="17">
        <f>-(K2905*0.025+L2905*0.025)</f>
        <v/>
      </c>
      <c r="P2905" s="17">
        <f>32</f>
        <v/>
      </c>
      <c r="Q2905" s="17">
        <f>J2905+L2905+N2905+O2905-P2905-M2905</f>
        <v/>
      </c>
    </row>
    <row r="2906">
      <c r="A2906" s="16" t="inlineStr">
        <is>
          <t>5.29-6.4</t>
        </is>
      </c>
      <c r="B2906" s="16" t="inlineStr">
        <is>
          <t>PO-128-14257647360632152</t>
        </is>
      </c>
      <c r="C2906" s="16" t="inlineStr">
        <is>
          <t>Shipped</t>
        </is>
      </c>
      <c r="D2906" s="16" t="inlineStr">
        <is>
          <t>128-14257752218232152</t>
        </is>
      </c>
      <c r="E2906" s="16" t="inlineStr">
        <is>
          <t>Shipped</t>
        </is>
      </c>
      <c r="F2906" s="16" t="inlineStr">
        <is>
          <t>LV54W25</t>
        </is>
      </c>
      <c r="G2906" s="16" t="inlineStr">
        <is>
          <t>TIANLAI Lámpara Ventilador E27 2 en 1, Silenciosa, LED Alta Luminosidad 180°, Instalación Rápida, Ahorro Energético para Dormitorio y Interiores Pequeños</t>
        </is>
      </c>
      <c r="H2906" s="16" t="inlineStr">
        <is>
          <t>1 Pieza</t>
        </is>
      </c>
      <c r="I2906" s="16" t="n">
        <v>2</v>
      </c>
      <c r="J2906" s="17" t="n">
        <v>149</v>
      </c>
      <c r="K2906" s="17" t="n">
        <v>153.42</v>
      </c>
      <c r="L2906" s="17" t="n">
        <v>25.86</v>
      </c>
      <c r="M2906" s="17" t="n">
        <v>0</v>
      </c>
      <c r="N2906" s="17">
        <f>K2906*0.08+L2906*0.08</f>
        <v/>
      </c>
      <c r="O2906" s="17">
        <f>-(K2906*0.025+L2906*0.025)</f>
        <v/>
      </c>
      <c r="P2906" s="17">
        <f>32</f>
        <v/>
      </c>
      <c r="Q2906" s="17">
        <f>J2906+L2906+N2906+O2906-P2906-M2906</f>
        <v/>
      </c>
    </row>
    <row r="2907">
      <c r="A2907" s="16" t="inlineStr">
        <is>
          <t>5.29-6.4</t>
        </is>
      </c>
      <c r="B2907" s="16" t="inlineStr">
        <is>
          <t>PO-128-14174141809272458</t>
        </is>
      </c>
      <c r="C2907" s="16" t="inlineStr">
        <is>
          <t>Shipped</t>
        </is>
      </c>
      <c r="D2907" s="16" t="inlineStr">
        <is>
          <t>128-14174183752312458</t>
        </is>
      </c>
      <c r="E2907" s="16" t="inlineStr">
        <is>
          <t>Shipped</t>
        </is>
      </c>
      <c r="F2907" s="16" t="inlineStr">
        <is>
          <t>BG-139-P</t>
        </is>
      </c>
      <c r="G2907" s="16" t="inlineStr">
        <is>
          <t>LINK BITS Audífonos Inalámbricos con Luces Multicolor, Recargables y en Adorable Forma de Orejas de Gato - Conecta a Celulares y PCs, Tiene Radio FM, Tarjeta TF y AUX - 7 Horas de Reproducción, Plegables y Perfectos para Trabajo, Juegos y Estudio</t>
        </is>
      </c>
      <c r="H2907" s="16" t="inlineStr">
        <is>
          <t>rosa</t>
        </is>
      </c>
      <c r="I2907" s="16" t="n">
        <v>1</v>
      </c>
      <c r="J2907" s="17" t="n">
        <v>69</v>
      </c>
      <c r="K2907" s="17" t="n">
        <v>36.73</v>
      </c>
      <c r="L2907" s="17" t="n">
        <v>25.86</v>
      </c>
      <c r="M2907" s="17" t="n">
        <v>0</v>
      </c>
      <c r="N2907" s="17">
        <f>K2907*0.08+L2907*0.08</f>
        <v/>
      </c>
      <c r="O2907" s="17">
        <f>-(K2907*0.025+L2907*0.025)</f>
        <v/>
      </c>
      <c r="P2907" s="17">
        <f>32</f>
        <v/>
      </c>
      <c r="Q2907" s="17">
        <f>J2907+L2907+N2907+O2907-P2907-M2907</f>
        <v/>
      </c>
    </row>
    <row r="2908">
      <c r="A2908" s="16" t="inlineStr">
        <is>
          <t>5.29-6.4</t>
        </is>
      </c>
      <c r="B2908" s="16" t="inlineStr">
        <is>
          <t>PO-128-13785586606710870</t>
        </is>
      </c>
      <c r="C2908" s="16" t="inlineStr">
        <is>
          <t>Shipped</t>
        </is>
      </c>
      <c r="D2908" s="16" t="inlineStr">
        <is>
          <t>128-13785523692150870</t>
        </is>
      </c>
      <c r="E2908" s="16" t="inlineStr">
        <is>
          <t>Shipped</t>
        </is>
      </c>
      <c r="F2908" s="16" t="inlineStr">
        <is>
          <t>LV64W25</t>
        </is>
      </c>
      <c r="G29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8" s="16" t="inlineStr">
        <is>
          <t>Blanco</t>
        </is>
      </c>
      <c r="I2908" s="16" t="n">
        <v>1</v>
      </c>
      <c r="J2908" s="17" t="n">
        <v>123</v>
      </c>
      <c r="K2908" s="17" t="n">
        <v>131.38</v>
      </c>
      <c r="L2908" s="17" t="n">
        <v>25.86</v>
      </c>
      <c r="M2908" s="17" t="n">
        <v>0</v>
      </c>
      <c r="N2908" s="17">
        <f>K2908*0.08+L2908*0.08</f>
        <v/>
      </c>
      <c r="O2908" s="17">
        <f>-(K2908*0.025+L2908*0.025)</f>
        <v/>
      </c>
      <c r="P2908" s="17">
        <f>32</f>
        <v/>
      </c>
      <c r="Q2908" s="17">
        <f>J2908+L2908+N2908+O2908-P2908-M2908</f>
        <v/>
      </c>
    </row>
    <row r="2909">
      <c r="A2909" s="16" t="inlineStr">
        <is>
          <t>5.29-6.4</t>
        </is>
      </c>
      <c r="B2909" s="16" t="inlineStr">
        <is>
          <t>PO-128-13964046792311726</t>
        </is>
      </c>
      <c r="C2909" s="16" t="inlineStr">
        <is>
          <t>Shipped</t>
        </is>
      </c>
      <c r="D2909" s="16" t="inlineStr">
        <is>
          <t>128-13964151649911726</t>
        </is>
      </c>
      <c r="E2909" s="16" t="inlineStr">
        <is>
          <t>Shipped</t>
        </is>
      </c>
      <c r="F2909" s="16" t="inlineStr">
        <is>
          <t>LV64W25</t>
        </is>
      </c>
      <c r="G29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09" s="16" t="inlineStr">
        <is>
          <t>Blanco</t>
        </is>
      </c>
      <c r="I2909" s="16" t="n">
        <v>1</v>
      </c>
      <c r="J2909" s="17" t="n">
        <v>123</v>
      </c>
      <c r="K2909" s="17" t="n">
        <v>45.17</v>
      </c>
      <c r="L2909" s="17" t="n">
        <v>25.86</v>
      </c>
      <c r="M2909" s="17" t="n">
        <v>0</v>
      </c>
      <c r="N2909" s="17">
        <f>K2909*0.08+L2909*0.08</f>
        <v/>
      </c>
      <c r="O2909" s="17">
        <f>-(K2909*0.025+L2909*0.025)</f>
        <v/>
      </c>
      <c r="P2909" s="17">
        <f>32</f>
        <v/>
      </c>
      <c r="Q2909" s="17">
        <f>J2909+L2909+N2909+O2909-P2909-M2909</f>
        <v/>
      </c>
    </row>
    <row r="2910">
      <c r="A2910" s="16" t="inlineStr">
        <is>
          <t>5.29-6.4</t>
        </is>
      </c>
      <c r="B2910" s="16" t="inlineStr">
        <is>
          <t>PO-128-14243589079672108</t>
        </is>
      </c>
      <c r="C2910" s="16" t="inlineStr">
        <is>
          <t>Shipped</t>
        </is>
      </c>
      <c r="D2910" s="16" t="inlineStr">
        <is>
          <t>128-14243604562552108</t>
        </is>
      </c>
      <c r="E2910" s="16" t="inlineStr">
        <is>
          <t>Shipped</t>
        </is>
      </c>
      <c r="F2910" s="16" t="inlineStr">
        <is>
          <t>LV54W25</t>
        </is>
      </c>
      <c r="G2910" s="16" t="inlineStr">
        <is>
          <t>TIANLAI Lámpara Ventilador E27 2 en 1, Silenciosa, LED Alta Luminosidad 180°, Instalación Rápida, Ahorro Energético para Dormitorio y Interiores Pequeños</t>
        </is>
      </c>
      <c r="H2910" s="16" t="inlineStr">
        <is>
          <t>1 Pieza</t>
        </is>
      </c>
      <c r="I2910" s="16" t="n">
        <v>1</v>
      </c>
      <c r="J2910" s="17" t="n">
        <v>74.5</v>
      </c>
      <c r="K2910" s="17" t="n">
        <v>86.18000000000001</v>
      </c>
      <c r="L2910" s="17" t="n">
        <v>25.86</v>
      </c>
      <c r="M2910" s="17" t="n">
        <v>0</v>
      </c>
      <c r="N2910" s="17">
        <f>K2910*0.08+L2910*0.08</f>
        <v/>
      </c>
      <c r="O2910" s="17">
        <f>-(K2910*0.025+L2910*0.025)</f>
        <v/>
      </c>
      <c r="P2910" s="17">
        <f>32</f>
        <v/>
      </c>
      <c r="Q2910" s="17">
        <f>J2910+L2910+N2910+O2910-P2910-M2910</f>
        <v/>
      </c>
    </row>
    <row r="2911">
      <c r="A2911" s="16" t="inlineStr">
        <is>
          <t>5.29-6.4</t>
        </is>
      </c>
      <c r="B2911" s="16" t="inlineStr">
        <is>
          <t>PO-128-14201097953912363</t>
        </is>
      </c>
      <c r="C2911" s="16" t="inlineStr">
        <is>
          <t>Shipped</t>
        </is>
      </c>
      <c r="D2911" s="16" t="inlineStr">
        <is>
          <t>128-14201202811512363</t>
        </is>
      </c>
      <c r="E2911" s="16" t="inlineStr">
        <is>
          <t>Shipped</t>
        </is>
      </c>
      <c r="F2911" s="16" t="inlineStr">
        <is>
          <t>TLCD04-10P-R</t>
        </is>
      </c>
      <c r="G291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11" s="16" t="inlineStr">
        <is>
          <t>ROJO/pantalla de 10.5 pulgadas</t>
        </is>
      </c>
      <c r="I2911" s="16" t="n">
        <v>1</v>
      </c>
      <c r="J2911" s="17" t="n">
        <v>39</v>
      </c>
      <c r="K2911" s="17" t="n">
        <v>69.23</v>
      </c>
      <c r="L2911" s="17" t="n">
        <v>25.86</v>
      </c>
      <c r="M2911" s="17" t="n">
        <v>0</v>
      </c>
      <c r="N2911" s="17">
        <f>K2911*0.08+L2911*0.08</f>
        <v/>
      </c>
      <c r="O2911" s="17">
        <f>-(K2911*0.025+L2911*0.025)</f>
        <v/>
      </c>
      <c r="P2911" s="17">
        <f>32</f>
        <v/>
      </c>
      <c r="Q2911" s="17">
        <f>J2911+L2911+N2911+O2911-P2911-M2911</f>
        <v/>
      </c>
    </row>
    <row r="2912">
      <c r="A2912" s="16" t="inlineStr">
        <is>
          <t>5.29-6.4</t>
        </is>
      </c>
      <c r="B2912" s="16" t="inlineStr">
        <is>
          <t>PO-128-13749723100790956</t>
        </is>
      </c>
      <c r="C2912" s="16" t="inlineStr">
        <is>
          <t>Shipped</t>
        </is>
      </c>
      <c r="D2912" s="16" t="inlineStr">
        <is>
          <t>128-13749744072310956</t>
        </is>
      </c>
      <c r="E2912" s="16" t="inlineStr">
        <is>
          <t>Shipped</t>
        </is>
      </c>
      <c r="F2912" s="16" t="inlineStr">
        <is>
          <t>LV54W25</t>
        </is>
      </c>
      <c r="G2912" s="16" t="inlineStr">
        <is>
          <t>TIANLAI Lámpara Ventilador E27 2 en 1, Silenciosa, LED Alta Luminosidad 180°, Instalación Rápida, Ahorro Energético para Dormitorio y Interiores Pequeños</t>
        </is>
      </c>
      <c r="H2912" s="16" t="inlineStr">
        <is>
          <t>1 Pieza</t>
        </is>
      </c>
      <c r="I2912" s="16" t="n">
        <v>1</v>
      </c>
      <c r="J2912" s="17" t="n">
        <v>74.5</v>
      </c>
      <c r="K2912" s="17" t="n">
        <v>79.29000000000001</v>
      </c>
      <c r="L2912" s="17" t="n">
        <v>25.86</v>
      </c>
      <c r="M2912" s="17" t="n">
        <v>0</v>
      </c>
      <c r="N2912" s="17">
        <f>K2912*0.08+L2912*0.08</f>
        <v/>
      </c>
      <c r="O2912" s="17">
        <f>-(K2912*0.025+L2912*0.025)</f>
        <v/>
      </c>
      <c r="P2912" s="17">
        <f>32</f>
        <v/>
      </c>
      <c r="Q2912" s="17">
        <f>J2912+L2912+N2912+O2912-P2912-M2912</f>
        <v/>
      </c>
    </row>
    <row r="2913">
      <c r="A2913" s="16" t="inlineStr">
        <is>
          <t>5.29-6.4</t>
        </is>
      </c>
      <c r="B2913" s="16" t="inlineStr">
        <is>
          <t>PO-128-14128270398072925</t>
        </is>
      </c>
      <c r="C2913" s="16" t="inlineStr">
        <is>
          <t>Shipped</t>
        </is>
      </c>
      <c r="D2913" s="16" t="inlineStr">
        <is>
          <t>128-14128338555512925</t>
        </is>
      </c>
      <c r="E2913" s="16" t="inlineStr">
        <is>
          <t>Shipped</t>
        </is>
      </c>
      <c r="F2913" s="16" t="inlineStr">
        <is>
          <t>LV54W25</t>
        </is>
      </c>
      <c r="G2913" s="16" t="inlineStr">
        <is>
          <t>TIANLAI Lámpara Ventilador E27 2 en 1, Silenciosa, LED Alta Luminosidad 180°, Instalación Rápida, Ahorro Energético para Dormitorio y Interiores Pequeños</t>
        </is>
      </c>
      <c r="H2913" s="16" t="inlineStr">
        <is>
          <t>1 Pieza</t>
        </is>
      </c>
      <c r="I2913" s="16" t="n">
        <v>1</v>
      </c>
      <c r="J2913" s="17" t="n">
        <v>74.5</v>
      </c>
      <c r="K2913" s="17" t="n">
        <v>79.29000000000001</v>
      </c>
      <c r="L2913" s="17" t="n">
        <v>25.86</v>
      </c>
      <c r="M2913" s="17" t="n">
        <v>0</v>
      </c>
      <c r="N2913" s="17">
        <f>K2913*0.08+L2913*0.08</f>
        <v/>
      </c>
      <c r="O2913" s="17">
        <f>-(K2913*0.025+L2913*0.025)</f>
        <v/>
      </c>
      <c r="P2913" s="17">
        <f>32</f>
        <v/>
      </c>
      <c r="Q2913" s="17">
        <f>J2913+L2913+N2913+O2913-P2913-M2913</f>
        <v/>
      </c>
    </row>
    <row r="2914">
      <c r="A2914" s="16" t="inlineStr">
        <is>
          <t>5.29-6.4</t>
        </is>
      </c>
      <c r="B2914" s="16" t="inlineStr">
        <is>
          <t>PO-128-13745450404470919</t>
        </is>
      </c>
      <c r="C2914" s="16" t="inlineStr">
        <is>
          <t>Shipped</t>
        </is>
      </c>
      <c r="D2914" s="16" t="inlineStr">
        <is>
          <t>128-13745442540150919</t>
        </is>
      </c>
      <c r="E2914" s="16" t="inlineStr">
        <is>
          <t>Shipped</t>
        </is>
      </c>
      <c r="F2914" s="16" t="inlineStr">
        <is>
          <t>LV54W25</t>
        </is>
      </c>
      <c r="G2914" s="16" t="inlineStr">
        <is>
          <t>TIANLAI Lámpara Ventilador E27 2 en 1, Silenciosa, LED Alta Luminosidad 180°, Instalación Rápida, Ahorro Energético para Dormitorio y Interiores Pequeños</t>
        </is>
      </c>
      <c r="H2914" s="16" t="inlineStr">
        <is>
          <t>1 Pieza</t>
        </is>
      </c>
      <c r="I2914" s="16" t="n">
        <v>2</v>
      </c>
      <c r="J2914" s="17" t="n">
        <v>149</v>
      </c>
      <c r="K2914" s="17" t="n">
        <v>158.58</v>
      </c>
      <c r="L2914" s="17" t="n">
        <v>25.86</v>
      </c>
      <c r="M2914" s="17" t="n">
        <v>0</v>
      </c>
      <c r="N2914" s="17">
        <f>K2914*0.08+L2914*0.08</f>
        <v/>
      </c>
      <c r="O2914" s="17">
        <f>-(K2914*0.025+L2914*0.025)</f>
        <v/>
      </c>
      <c r="P2914" s="17">
        <f>32</f>
        <v/>
      </c>
      <c r="Q2914" s="17">
        <f>J2914+L2914+N2914+O2914-P2914-M2914</f>
        <v/>
      </c>
    </row>
    <row r="2915">
      <c r="A2915" s="16" t="inlineStr">
        <is>
          <t>5.29-6.4</t>
        </is>
      </c>
      <c r="B2915" s="16" t="inlineStr">
        <is>
          <t>PO-128-13855209472630265</t>
        </is>
      </c>
      <c r="C2915" s="16" t="inlineStr">
        <is>
          <t>Shipped</t>
        </is>
      </c>
      <c r="D2915" s="16" t="inlineStr">
        <is>
          <t>128-13855251415670265</t>
        </is>
      </c>
      <c r="E2915" s="16" t="inlineStr">
        <is>
          <t>Shipped</t>
        </is>
      </c>
      <c r="F2915" s="16" t="inlineStr">
        <is>
          <t>LV54W25</t>
        </is>
      </c>
      <c r="G2915" s="16" t="inlineStr">
        <is>
          <t>TIANLAI Lámpara Ventilador E27 2 en 1, Silenciosa, LED Alta Luminosidad 180°, Instalación Rápida, Ahorro Energético para Dormitorio y Interiores Pequeños</t>
        </is>
      </c>
      <c r="H2915" s="16" t="inlineStr">
        <is>
          <t>1 Pieza</t>
        </is>
      </c>
      <c r="I2915" s="16" t="n">
        <v>1</v>
      </c>
      <c r="J2915" s="17" t="n">
        <v>74.5</v>
      </c>
      <c r="K2915" s="17" t="n">
        <v>0</v>
      </c>
      <c r="L2915" s="17" t="n">
        <v>0</v>
      </c>
      <c r="M2915" s="17" t="n">
        <v>0</v>
      </c>
      <c r="N2915" s="17">
        <f>K2915*0.08+L2915*0.08</f>
        <v/>
      </c>
      <c r="O2915" s="17">
        <f>-(K2915*0.025+L2915*0.025)</f>
        <v/>
      </c>
      <c r="P2915" s="17">
        <f>32</f>
        <v/>
      </c>
      <c r="Q2915" s="17">
        <f>J2915+L2915+N2915+O2915-P2915-M2915</f>
        <v/>
      </c>
    </row>
    <row r="2916">
      <c r="A2916" s="16" t="inlineStr">
        <is>
          <t>5.29-6.4</t>
        </is>
      </c>
      <c r="B2916" s="16" t="inlineStr">
        <is>
          <t>PO-128-13904446710390034</t>
        </is>
      </c>
      <c r="C2916" s="16" t="inlineStr">
        <is>
          <t>Shipped</t>
        </is>
      </c>
      <c r="D2916" s="16" t="inlineStr">
        <is>
          <t>128-13904404767350034</t>
        </is>
      </c>
      <c r="E2916" s="16" t="inlineStr">
        <is>
          <t>Shipped</t>
        </is>
      </c>
      <c r="F2916" s="16" t="inlineStr">
        <is>
          <t>TL1455N20B</t>
        </is>
      </c>
      <c r="G2916" s="16" t="inlineStr">
        <is>
          <t>LINK BITS Soporte para TV 14 A 55 Pulgadas, Base para TV Pantalla Articulado Inclinable y Giratorio, MAX VESA 400×400 mm, Soporta hasta 18kg, adaptarse a la mayoría de los televisores de 14 Pulgadas/20 Pulgadas/32 Pulgadas/42 Pulgadas/55 pulgadas</t>
        </is>
      </c>
      <c r="H2916" s="16" t="inlineStr">
        <is>
          <t>TL1455N20B</t>
        </is>
      </c>
      <c r="I2916" s="16" t="n">
        <v>2</v>
      </c>
      <c r="J2916" s="17" t="n">
        <v>170</v>
      </c>
      <c r="K2916" s="17" t="n">
        <v>138.32</v>
      </c>
      <c r="L2916" s="17" t="n">
        <v>25.86</v>
      </c>
      <c r="M2916" s="17" t="n">
        <v>0</v>
      </c>
      <c r="N2916" s="17">
        <f>K2916*0.08+L2916*0.08</f>
        <v/>
      </c>
      <c r="O2916" s="17">
        <f>-(K2916*0.025+L2916*0.025)</f>
        <v/>
      </c>
      <c r="P2916" s="17">
        <f>32</f>
        <v/>
      </c>
      <c r="Q2916" s="17">
        <f>J2916+L2916+N2916+O2916-P2916-M2916</f>
        <v/>
      </c>
    </row>
    <row r="2917">
      <c r="A2917" s="16" t="inlineStr">
        <is>
          <t>5.29-6.4</t>
        </is>
      </c>
      <c r="B2917" s="16" t="inlineStr">
        <is>
          <t>PO-128-13991268803191628</t>
        </is>
      </c>
      <c r="C2917" s="16" t="inlineStr">
        <is>
          <t>Shipped</t>
        </is>
      </c>
      <c r="D2917" s="16" t="inlineStr">
        <is>
          <t>128-13991310746231628</t>
        </is>
      </c>
      <c r="E2917" s="16" t="inlineStr">
        <is>
          <t>Shipped</t>
        </is>
      </c>
      <c r="F2917" s="16" t="inlineStr">
        <is>
          <t>LV54W25</t>
        </is>
      </c>
      <c r="G2917" s="16" t="inlineStr">
        <is>
          <t>TIANLAI Lámpara Ventilador E27 2 en 1, Silenciosa, LED Alta Luminosidad 180°, Instalación Rápida, Ahorro Energético para Dormitorio y Interiores Pequeños</t>
        </is>
      </c>
      <c r="H2917" s="16" t="inlineStr">
        <is>
          <t>1 Pieza</t>
        </is>
      </c>
      <c r="I2917" s="16" t="n">
        <v>1</v>
      </c>
      <c r="J2917" s="17" t="n">
        <v>74.5</v>
      </c>
      <c r="K2917" s="17" t="n">
        <v>79.29000000000001</v>
      </c>
      <c r="L2917" s="17" t="n">
        <v>25.86</v>
      </c>
      <c r="M2917" s="17" t="n">
        <v>0</v>
      </c>
      <c r="N2917" s="17">
        <f>K2917*0.08+L2917*0.08</f>
        <v/>
      </c>
      <c r="O2917" s="17">
        <f>-(K2917*0.025+L2917*0.025)</f>
        <v/>
      </c>
      <c r="P2917" s="17">
        <f>32</f>
        <v/>
      </c>
      <c r="Q2917" s="17">
        <f>J2917+L2917+N2917+O2917-P2917-M2917</f>
        <v/>
      </c>
    </row>
    <row r="2918">
      <c r="A2918" s="16" t="inlineStr">
        <is>
          <t>5.29-6.4</t>
        </is>
      </c>
      <c r="B2918" s="16" t="inlineStr">
        <is>
          <t>PO-128-13797322998390672</t>
        </is>
      </c>
      <c r="C2918" s="16" t="inlineStr">
        <is>
          <t>Shipped</t>
        </is>
      </c>
      <c r="D2918" s="16" t="inlineStr">
        <is>
          <t>128-13797281055350672</t>
        </is>
      </c>
      <c r="E2918" s="16" t="inlineStr">
        <is>
          <t>Shipped</t>
        </is>
      </c>
      <c r="F2918" s="16" t="inlineStr">
        <is>
          <t>LV64W25</t>
        </is>
      </c>
      <c r="G29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18" s="16" t="inlineStr">
        <is>
          <t>Blanco</t>
        </is>
      </c>
      <c r="I2918" s="16" t="n">
        <v>2</v>
      </c>
      <c r="J2918" s="17" t="n">
        <v>246</v>
      </c>
      <c r="K2918" s="17" t="n">
        <v>262.76</v>
      </c>
      <c r="L2918" s="17" t="n">
        <v>0</v>
      </c>
      <c r="M2918" s="17" t="n">
        <v>0</v>
      </c>
      <c r="N2918" s="17">
        <f>K2918*0.08+L2918*0.08</f>
        <v/>
      </c>
      <c r="O2918" s="17">
        <f>-(K2918*0.025+L2918*0.025)</f>
        <v/>
      </c>
      <c r="P2918" s="17">
        <f>32</f>
        <v/>
      </c>
      <c r="Q2918" s="17">
        <f>J2918+L2918+N2918+O2918-P2918-M2918</f>
        <v/>
      </c>
    </row>
    <row r="2919">
      <c r="A2919" s="16" t="inlineStr">
        <is>
          <t>5.29-6.4</t>
        </is>
      </c>
      <c r="B2919" s="16" t="inlineStr">
        <is>
          <t>PO-128-13855320238710262</t>
        </is>
      </c>
      <c r="C2919" s="16" t="inlineStr">
        <is>
          <t>Shipped</t>
        </is>
      </c>
      <c r="D2919" s="16" t="inlineStr">
        <is>
          <t>128-13855341210230262</t>
        </is>
      </c>
      <c r="E2919" s="16" t="inlineStr">
        <is>
          <t>Shipped</t>
        </is>
      </c>
      <c r="F2919" s="16" t="inlineStr">
        <is>
          <t>LV54W25</t>
        </is>
      </c>
      <c r="G2919" s="16" t="inlineStr">
        <is>
          <t>TIANLAI Lámpara Ventilador E27 2 en 1, Silenciosa, LED Alta Luminosidad 180°, Instalación Rápida, Ahorro Energético para Dormitorio y Interiores Pequeños</t>
        </is>
      </c>
      <c r="H2919" s="16" t="inlineStr">
        <is>
          <t>1 Pieza</t>
        </is>
      </c>
      <c r="I2919" s="16" t="n">
        <v>1</v>
      </c>
      <c r="J2919" s="17" t="n">
        <v>74.5</v>
      </c>
      <c r="K2919" s="17" t="n">
        <v>79.29000000000001</v>
      </c>
      <c r="L2919" s="17" t="n">
        <v>25.86</v>
      </c>
      <c r="M2919" s="17" t="n">
        <v>0</v>
      </c>
      <c r="N2919" s="17">
        <f>K2919*0.08+L2919*0.08</f>
        <v/>
      </c>
      <c r="O2919" s="17">
        <f>-(K2919*0.025+L2919*0.025)</f>
        <v/>
      </c>
      <c r="P2919" s="17">
        <f>32</f>
        <v/>
      </c>
      <c r="Q2919" s="17">
        <f>J2919+L2919+N2919+O2919-P2919-M2919</f>
        <v/>
      </c>
    </row>
    <row r="2920">
      <c r="A2920" s="16" t="inlineStr">
        <is>
          <t>5.29-6.4</t>
        </is>
      </c>
      <c r="B2920" s="16" t="inlineStr">
        <is>
          <t>PO-128-13861135278710292</t>
        </is>
      </c>
      <c r="C2920" s="16" t="inlineStr">
        <is>
          <t>Shipped</t>
        </is>
      </c>
      <c r="D2920" s="16" t="inlineStr">
        <is>
          <t>128-13861093335670292</t>
        </is>
      </c>
      <c r="E2920" s="16" t="inlineStr">
        <is>
          <t>Shipped</t>
        </is>
      </c>
      <c r="F2920" s="16" t="inlineStr">
        <is>
          <t>BG-115-B</t>
        </is>
      </c>
      <c r="G2920" s="16" t="inlineStr">
        <is>
          <t>LINK BITS Audífonos Inalámbricos con Luces Multicolor, Recargables y en Adorable Forma de Orejas de Gato - Conecta a Celulares y PCs, Tiene Radio FM, Tarjeta TF y AUX - 7 Horas de Reproducción, Plegables y Perfectos para Trabajo, Juegos y Estudio</t>
        </is>
      </c>
      <c r="H2920" s="16" t="inlineStr">
        <is>
          <t>blanco</t>
        </is>
      </c>
      <c r="I2920" s="16" t="n">
        <v>1</v>
      </c>
      <c r="J2920" s="17" t="n">
        <v>80</v>
      </c>
      <c r="K2920" s="17" t="n">
        <v>90.72</v>
      </c>
      <c r="L2920" s="17" t="n">
        <v>12.93</v>
      </c>
      <c r="M2920" s="17" t="n">
        <v>0</v>
      </c>
      <c r="N2920" s="17">
        <f>K2920*0.08+L2920*0.08</f>
        <v/>
      </c>
      <c r="O2920" s="17">
        <f>-(K2920*0.025+L2920*0.025)</f>
        <v/>
      </c>
      <c r="P2920" s="17">
        <f>32</f>
        <v/>
      </c>
      <c r="Q2920" s="17">
        <f>J2920+L2920+N2920+O2920-P2920-M2920</f>
        <v/>
      </c>
    </row>
    <row r="2921">
      <c r="A2921" s="16" t="inlineStr">
        <is>
          <t>5.29-6.4</t>
        </is>
      </c>
      <c r="B2921" s="16" t="inlineStr">
        <is>
          <t>PO-128-13861135278710292</t>
        </is>
      </c>
      <c r="C2921" s="16" t="inlineStr">
        <is>
          <t>Shipped</t>
        </is>
      </c>
      <c r="D2921" s="16" t="inlineStr">
        <is>
          <t>128-13861072364150292</t>
        </is>
      </c>
      <c r="E2921" s="16" t="inlineStr">
        <is>
          <t>Shipped</t>
        </is>
      </c>
      <c r="F2921" s="16" t="inlineStr">
        <is>
          <t>BG-115-B</t>
        </is>
      </c>
      <c r="G2921" s="16" t="inlineStr">
        <is>
          <t>LINK BITS Audífonos Inalámbricos con Luces Multicolor, Recargables y en Adorable Forma de Orejas de Gato - Conecta a Celulares y PCs, Tiene Radio FM, Tarjeta TF y AUX - 7 Horas de Reproducción, Plegables y Perfectos para Trabajo, Juegos y Estudio</t>
        </is>
      </c>
      <c r="H2921" s="16" t="inlineStr">
        <is>
          <t>blanco</t>
        </is>
      </c>
      <c r="I2921" s="16" t="n">
        <v>1</v>
      </c>
      <c r="J2921" s="17" t="n">
        <v>80</v>
      </c>
      <c r="K2921" s="17" t="n">
        <v>90.72</v>
      </c>
      <c r="L2921" s="17" t="n">
        <v>12.93</v>
      </c>
      <c r="M2921" s="17" t="n">
        <v>0</v>
      </c>
      <c r="N2921" s="17">
        <f>K2921*0.08+L2921*0.08</f>
        <v/>
      </c>
      <c r="O2921" s="17">
        <f>-(K2921*0.025+L2921*0.025)</f>
        <v/>
      </c>
      <c r="P2921" s="17">
        <f>32</f>
        <v/>
      </c>
      <c r="Q2921" s="17">
        <f>J2921+L2921+N2921+O2921-P2921-M2921</f>
        <v/>
      </c>
    </row>
    <row r="2922">
      <c r="A2922" s="16" t="inlineStr">
        <is>
          <t>5.29-6.4</t>
        </is>
      </c>
      <c r="B2922" s="16" t="inlineStr">
        <is>
          <t>PO-128-13805966971510751</t>
        </is>
      </c>
      <c r="C2922" s="16" t="inlineStr">
        <is>
          <t>Shipped</t>
        </is>
      </c>
      <c r="D2922" s="16" t="inlineStr">
        <is>
          <t>128-13805945999990751</t>
        </is>
      </c>
      <c r="E2922" s="16" t="inlineStr">
        <is>
          <t>Shipped</t>
        </is>
      </c>
      <c r="F2922" s="16" t="inlineStr">
        <is>
          <t>LV54W25</t>
        </is>
      </c>
      <c r="G2922" s="16" t="inlineStr">
        <is>
          <t>TIANLAI Lámpara Ventilador E27 2 en 1, Silenciosa, LED Alta Luminosidad 180°, Instalación Rápida, Ahorro Energético para Dormitorio y Interiores Pequeños</t>
        </is>
      </c>
      <c r="H2922" s="16" t="inlineStr">
        <is>
          <t>1 Pieza</t>
        </is>
      </c>
      <c r="I2922" s="16" t="n">
        <v>1</v>
      </c>
      <c r="J2922" s="17" t="n">
        <v>74.5</v>
      </c>
      <c r="K2922" s="17" t="n">
        <v>61.37</v>
      </c>
      <c r="L2922" s="17" t="n">
        <v>25.86</v>
      </c>
      <c r="M2922" s="17" t="n">
        <v>0</v>
      </c>
      <c r="N2922" s="17">
        <f>K2922*0.08+L2922*0.08</f>
        <v/>
      </c>
      <c r="O2922" s="17">
        <f>-(K2922*0.025+L2922*0.025)</f>
        <v/>
      </c>
      <c r="P2922" s="17">
        <f>32</f>
        <v/>
      </c>
      <c r="Q2922" s="17">
        <f>J2922+L2922+N2922+O2922-P2922-M2922</f>
        <v/>
      </c>
    </row>
    <row r="2923">
      <c r="A2923" s="16" t="inlineStr">
        <is>
          <t>5.29-6.4</t>
        </is>
      </c>
      <c r="B2923" s="16" t="inlineStr">
        <is>
          <t>PO-128-14190339564152555</t>
        </is>
      </c>
      <c r="C2923" s="16" t="inlineStr">
        <is>
          <t>Shipped</t>
        </is>
      </c>
      <c r="D2923" s="16" t="inlineStr">
        <is>
          <t>128-14190503404152555</t>
        </is>
      </c>
      <c r="E2923" s="16" t="inlineStr">
        <is>
          <t>Shipped</t>
        </is>
      </c>
      <c r="F2923" s="16" t="inlineStr">
        <is>
          <t>LV54W25</t>
        </is>
      </c>
      <c r="G2923" s="16" t="inlineStr">
        <is>
          <t>TIANLAI Lámpara Ventilador E27 2 en 1, Silenciosa, LED Alta Luminosidad 180°, Instalación Rápida, Ahorro Energético para Dormitorio y Interiores Pequeños</t>
        </is>
      </c>
      <c r="H2923" s="16" t="inlineStr">
        <is>
          <t>1 Pieza</t>
        </is>
      </c>
      <c r="I2923" s="16" t="n">
        <v>1</v>
      </c>
      <c r="J2923" s="17" t="n">
        <v>74.5</v>
      </c>
      <c r="K2923" s="17" t="n">
        <v>76.70999999999999</v>
      </c>
      <c r="L2923" s="17" t="n">
        <v>25.86</v>
      </c>
      <c r="M2923" s="17" t="n">
        <v>0</v>
      </c>
      <c r="N2923" s="17">
        <f>K2923*0.08+L2923*0.08</f>
        <v/>
      </c>
      <c r="O2923" s="17">
        <f>-(K2923*0.025+L2923*0.025)</f>
        <v/>
      </c>
      <c r="P2923" s="17">
        <f>32</f>
        <v/>
      </c>
      <c r="Q2923" s="17">
        <f>J2923+L2923+N2923+O2923-P2923-M2923</f>
        <v/>
      </c>
    </row>
    <row r="2924">
      <c r="A2924" s="16" t="inlineStr">
        <is>
          <t>5.29-6.4</t>
        </is>
      </c>
      <c r="B2924" s="16" t="inlineStr">
        <is>
          <t>PO-128-14139173745272730</t>
        </is>
      </c>
      <c r="C2924" s="16" t="inlineStr">
        <is>
          <t>Shipped</t>
        </is>
      </c>
      <c r="D2924" s="16" t="inlineStr">
        <is>
          <t>128-14139220931192730</t>
        </is>
      </c>
      <c r="E2924" s="16" t="inlineStr">
        <is>
          <t>Shipped</t>
        </is>
      </c>
      <c r="F2924" s="16" t="inlineStr">
        <is>
          <t>LV54W25</t>
        </is>
      </c>
      <c r="G2924" s="16" t="inlineStr">
        <is>
          <t>TIANLAI Lámpara Ventilador E27 2 en 1, Silenciosa, LED Alta Luminosidad 180°, Instalación Rápida, Ahorro Energético para Dormitorio y Interiores Pequeños</t>
        </is>
      </c>
      <c r="H2924" s="16" t="inlineStr">
        <is>
          <t>1 Pieza</t>
        </is>
      </c>
      <c r="I2924" s="16" t="n">
        <v>1</v>
      </c>
      <c r="J2924" s="17" t="n">
        <v>74.5</v>
      </c>
      <c r="K2924" s="17" t="n">
        <v>79.29000000000001</v>
      </c>
      <c r="L2924" s="17" t="n">
        <v>25.86</v>
      </c>
      <c r="M2924" s="17" t="n">
        <v>0</v>
      </c>
      <c r="N2924" s="17">
        <f>K2924*0.08+L2924*0.08</f>
        <v/>
      </c>
      <c r="O2924" s="17">
        <f>-(K2924*0.025+L2924*0.025)</f>
        <v/>
      </c>
      <c r="P2924" s="17">
        <f>32</f>
        <v/>
      </c>
      <c r="Q2924" s="17">
        <f>J2924+L2924+N2924+O2924-P2924-M2924</f>
        <v/>
      </c>
    </row>
    <row r="2925">
      <c r="A2925" s="16" t="inlineStr">
        <is>
          <t>5.29-6.4</t>
        </is>
      </c>
      <c r="B2925" s="16" t="inlineStr">
        <is>
          <t>PO-128-13771576320630826</t>
        </is>
      </c>
      <c r="C2925" s="16" t="inlineStr">
        <is>
          <t>Shipped</t>
        </is>
      </c>
      <c r="D2925" s="16" t="inlineStr">
        <is>
          <t>128-13771534377590826</t>
        </is>
      </c>
      <c r="E2925" s="16" t="inlineStr">
        <is>
          <t>Shipped</t>
        </is>
      </c>
      <c r="F2925" s="16" t="inlineStr">
        <is>
          <t>LV54W25</t>
        </is>
      </c>
      <c r="G2925" s="16" t="inlineStr">
        <is>
          <t>TIANLAI Lámpara Ventilador E27 2 en 1, Silenciosa, LED Alta Luminosidad 180°, Instalación Rápida, Ahorro Energético para Dormitorio y Interiores Pequeños</t>
        </is>
      </c>
      <c r="H2925" s="16" t="inlineStr">
        <is>
          <t>1 Pieza</t>
        </is>
      </c>
      <c r="I2925" s="16" t="n">
        <v>1</v>
      </c>
      <c r="J2925" s="17" t="n">
        <v>74.5</v>
      </c>
      <c r="K2925" s="17" t="n">
        <v>76.70999999999999</v>
      </c>
      <c r="L2925" s="17" t="n">
        <v>25.86</v>
      </c>
      <c r="M2925" s="17" t="n">
        <v>0</v>
      </c>
      <c r="N2925" s="17">
        <f>K2925*0.08+L2925*0.08</f>
        <v/>
      </c>
      <c r="O2925" s="17">
        <f>-(K2925*0.025+L2925*0.025)</f>
        <v/>
      </c>
      <c r="P2925" s="17">
        <f>32</f>
        <v/>
      </c>
      <c r="Q2925" s="17">
        <f>J2925+L2925+N2925+O2925-P2925-M2925</f>
        <v/>
      </c>
    </row>
    <row r="2926">
      <c r="A2926" s="16" t="inlineStr">
        <is>
          <t>5.29-6.4</t>
        </is>
      </c>
      <c r="B2926" s="16" t="inlineStr">
        <is>
          <t>PO-128-14054476964471189</t>
        </is>
      </c>
      <c r="C2926" s="16" t="inlineStr">
        <is>
          <t>Shipped</t>
        </is>
      </c>
      <c r="D2926" s="16" t="inlineStr">
        <is>
          <t>128-14054466478711189</t>
        </is>
      </c>
      <c r="E2926" s="16" t="inlineStr">
        <is>
          <t>Shipped</t>
        </is>
      </c>
      <c r="F2926" s="16" t="inlineStr">
        <is>
          <t>LV54W25</t>
        </is>
      </c>
      <c r="G2926" s="16" t="inlineStr">
        <is>
          <t>TIANLAI Lámpara Ventilador E27 2 en 1, Silenciosa, LED Alta Luminosidad 180°, Instalación Rápida, Ahorro Energético para Dormitorio y Interiores Pequeños</t>
        </is>
      </c>
      <c r="H2926" s="16" t="inlineStr">
        <is>
          <t>1 Pieza</t>
        </is>
      </c>
      <c r="I2926" s="16" t="n">
        <v>1</v>
      </c>
      <c r="J2926" s="17" t="n">
        <v>74.5</v>
      </c>
      <c r="K2926" s="17" t="n">
        <v>79.29000000000001</v>
      </c>
      <c r="L2926" s="17" t="n">
        <v>25.86</v>
      </c>
      <c r="M2926" s="17" t="n">
        <v>0</v>
      </c>
      <c r="N2926" s="17">
        <f>K2926*0.08+L2926*0.08</f>
        <v/>
      </c>
      <c r="O2926" s="17">
        <f>-(K2926*0.025+L2926*0.025)</f>
        <v/>
      </c>
      <c r="P2926" s="17">
        <f>32</f>
        <v/>
      </c>
      <c r="Q2926" s="17">
        <f>J2926+L2926+N2926+O2926-P2926-M2926</f>
        <v/>
      </c>
    </row>
    <row r="2927">
      <c r="A2927" s="16" t="inlineStr">
        <is>
          <t>5.29-6.4</t>
        </is>
      </c>
      <c r="B2927" s="16" t="inlineStr">
        <is>
          <t>PO-128-14175593370232451</t>
        </is>
      </c>
      <c r="C2927" s="16" t="inlineStr">
        <is>
          <t>Shipped</t>
        </is>
      </c>
      <c r="D2927" s="16" t="inlineStr">
        <is>
          <t>128-14175645799032451</t>
        </is>
      </c>
      <c r="E2927" s="16" t="inlineStr">
        <is>
          <t>Shipped</t>
        </is>
      </c>
      <c r="F2927" s="16" t="inlineStr">
        <is>
          <t>LV54W25</t>
        </is>
      </c>
      <c r="G2927" s="16" t="inlineStr">
        <is>
          <t>TIANLAI Lámpara Ventilador E27 2 en 1, Silenciosa, LED Alta Luminosidad 180°, Instalación Rápida, Ahorro Energético para Dormitorio y Interiores Pequeños</t>
        </is>
      </c>
      <c r="H2927" s="16" t="inlineStr">
        <is>
          <t>1 Pieza</t>
        </is>
      </c>
      <c r="I2927" s="16" t="n">
        <v>1</v>
      </c>
      <c r="J2927" s="17" t="n">
        <v>74.5</v>
      </c>
      <c r="K2927" s="17" t="n">
        <v>86.18000000000001</v>
      </c>
      <c r="L2927" s="17" t="n">
        <v>25.86</v>
      </c>
      <c r="M2927" s="17" t="n">
        <v>0</v>
      </c>
      <c r="N2927" s="17">
        <f>K2927*0.08+L2927*0.08</f>
        <v/>
      </c>
      <c r="O2927" s="17">
        <f>-(K2927*0.025+L2927*0.025)</f>
        <v/>
      </c>
      <c r="P2927" s="17">
        <f>32</f>
        <v/>
      </c>
      <c r="Q2927" s="17">
        <f>J2927+L2927+N2927+O2927-P2927-M2927</f>
        <v/>
      </c>
    </row>
    <row r="2928">
      <c r="A2928" s="16" t="inlineStr">
        <is>
          <t>5.29-6.4</t>
        </is>
      </c>
      <c r="B2928" s="16" t="inlineStr">
        <is>
          <t>PO-128-14203230556792351</t>
        </is>
      </c>
      <c r="C2928" s="16" t="inlineStr">
        <is>
          <t>Shipped</t>
        </is>
      </c>
      <c r="D2928" s="16" t="inlineStr">
        <is>
          <t>128-14203146670712351</t>
        </is>
      </c>
      <c r="E2928" s="16" t="inlineStr">
        <is>
          <t>Shipped</t>
        </is>
      </c>
      <c r="F2928" s="16" t="inlineStr">
        <is>
          <t>LV54W25</t>
        </is>
      </c>
      <c r="G2928" s="16" t="inlineStr">
        <is>
          <t>TIANLAI Lámpara Ventilador E27 2 en 1, Silenciosa, LED Alta Luminosidad 180°, Instalación Rápida, Ahorro Energético para Dormitorio y Interiores Pequeños</t>
        </is>
      </c>
      <c r="H2928" s="16" t="inlineStr">
        <is>
          <t>1 Pieza</t>
        </is>
      </c>
      <c r="I2928" s="16" t="n">
        <v>1</v>
      </c>
      <c r="J2928" s="17" t="n">
        <v>74.5</v>
      </c>
      <c r="K2928" s="17" t="n">
        <v>86.18000000000001</v>
      </c>
      <c r="L2928" s="17" t="n">
        <v>25.86</v>
      </c>
      <c r="M2928" s="17" t="n">
        <v>0</v>
      </c>
      <c r="N2928" s="17">
        <f>K2928*0.08+L2928*0.08</f>
        <v/>
      </c>
      <c r="O2928" s="17">
        <f>-(K2928*0.025+L2928*0.025)</f>
        <v/>
      </c>
      <c r="P2928" s="17">
        <f>32</f>
        <v/>
      </c>
      <c r="Q2928" s="17">
        <f>J2928+L2928+N2928+O2928-P2928-M2928</f>
        <v/>
      </c>
    </row>
    <row r="2929">
      <c r="A2929" s="16" t="inlineStr">
        <is>
          <t>5.29-6.4</t>
        </is>
      </c>
      <c r="B2929" s="16" t="inlineStr">
        <is>
          <t>PO-128-13851328369270286</t>
        </is>
      </c>
      <c r="C2929" s="16" t="inlineStr">
        <is>
          <t>Shipped</t>
        </is>
      </c>
      <c r="D2929" s="16" t="inlineStr">
        <is>
          <t>128-13851317883510286</t>
        </is>
      </c>
      <c r="E2929" s="16" t="inlineStr">
        <is>
          <t>Shipped</t>
        </is>
      </c>
      <c r="F2929" s="16" t="inlineStr">
        <is>
          <t>LV54W25</t>
        </is>
      </c>
      <c r="G2929" s="16" t="inlineStr">
        <is>
          <t>TIANLAI Lámpara Ventilador E27 2 en 1, Silenciosa, LED Alta Luminosidad 180°, Instalación Rápida, Ahorro Energético para Dormitorio y Interiores Pequeños</t>
        </is>
      </c>
      <c r="H2929" s="16" t="inlineStr">
        <is>
          <t>1 Pieza</t>
        </is>
      </c>
      <c r="I2929" s="16" t="n">
        <v>2</v>
      </c>
      <c r="J2929" s="17" t="n">
        <v>149</v>
      </c>
      <c r="K2929" s="17" t="n">
        <v>158.58</v>
      </c>
      <c r="L2929" s="17" t="n">
        <v>25.86</v>
      </c>
      <c r="M2929" s="17" t="n">
        <v>0</v>
      </c>
      <c r="N2929" s="17">
        <f>K2929*0.08+L2929*0.08</f>
        <v/>
      </c>
      <c r="O2929" s="17">
        <f>-(K2929*0.025+L2929*0.025)</f>
        <v/>
      </c>
      <c r="P2929" s="17">
        <f>32</f>
        <v/>
      </c>
      <c r="Q2929" s="17">
        <f>J2929+L2929+N2929+O2929-P2929-M2929</f>
        <v/>
      </c>
    </row>
    <row r="2930">
      <c r="A2930" s="16" t="inlineStr">
        <is>
          <t>5.29-6.4</t>
        </is>
      </c>
      <c r="B2930" s="16" t="inlineStr">
        <is>
          <t>PO-128-13829590805110608</t>
        </is>
      </c>
      <c r="C2930" s="16" t="inlineStr">
        <is>
          <t>Shipped</t>
        </is>
      </c>
      <c r="D2930" s="16" t="inlineStr">
        <is>
          <t>128-13829548862070608</t>
        </is>
      </c>
      <c r="E2930" s="16" t="inlineStr">
        <is>
          <t>Shipped</t>
        </is>
      </c>
      <c r="F2930" s="16" t="inlineStr">
        <is>
          <t>LV64W25</t>
        </is>
      </c>
      <c r="G29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30" s="16" t="inlineStr">
        <is>
          <t>Blanco</t>
        </is>
      </c>
      <c r="I2930" s="16" t="n">
        <v>1</v>
      </c>
      <c r="J2930" s="17" t="n">
        <v>123</v>
      </c>
      <c r="K2930" s="17" t="n">
        <v>88.28</v>
      </c>
      <c r="L2930" s="17" t="n">
        <v>25.86</v>
      </c>
      <c r="M2930" s="17" t="n">
        <v>0</v>
      </c>
      <c r="N2930" s="17">
        <f>K2930*0.08+L2930*0.08</f>
        <v/>
      </c>
      <c r="O2930" s="17">
        <f>-(K2930*0.025+L2930*0.025)</f>
        <v/>
      </c>
      <c r="P2930" s="17">
        <f>32</f>
        <v/>
      </c>
      <c r="Q2930" s="17">
        <f>J2930+L2930+N2930+O2930-P2930-M2930</f>
        <v/>
      </c>
    </row>
    <row r="2931">
      <c r="A2931" s="16" t="inlineStr">
        <is>
          <t>5.29-6.4</t>
        </is>
      </c>
      <c r="B2931" s="16" t="inlineStr">
        <is>
          <t>PO-128-14011156480631447</t>
        </is>
      </c>
      <c r="C2931" s="16" t="inlineStr">
        <is>
          <t>Shipped</t>
        </is>
      </c>
      <c r="D2931" s="16" t="inlineStr">
        <is>
          <t>128-14011177206391447</t>
        </is>
      </c>
      <c r="E2931" s="16" t="inlineStr">
        <is>
          <t>Shipped</t>
        </is>
      </c>
      <c r="F2931" s="16" t="inlineStr">
        <is>
          <t>LV54W25</t>
        </is>
      </c>
      <c r="G2931" s="16" t="inlineStr">
        <is>
          <t>TIANLAI Lámpara Ventilador E27 2 en 1, Silenciosa, LED Alta Luminosidad 180°, Instalación Rápida, Ahorro Energético para Dormitorio y Interiores Pequeños</t>
        </is>
      </c>
      <c r="H2931" s="16" t="inlineStr">
        <is>
          <t>1 Pieza</t>
        </is>
      </c>
      <c r="I2931" s="16" t="n">
        <v>1</v>
      </c>
      <c r="J2931" s="17" t="n">
        <v>74.5</v>
      </c>
      <c r="K2931" s="17" t="n">
        <v>79.29000000000001</v>
      </c>
      <c r="L2931" s="17" t="n">
        <v>25.86</v>
      </c>
      <c r="M2931" s="17" t="n">
        <v>0</v>
      </c>
      <c r="N2931" s="17">
        <f>K2931*0.08+L2931*0.08</f>
        <v/>
      </c>
      <c r="O2931" s="17">
        <f>-(K2931*0.025+L2931*0.025)</f>
        <v/>
      </c>
      <c r="P2931" s="17">
        <f>32</f>
        <v/>
      </c>
      <c r="Q2931" s="17">
        <f>J2931+L2931+N2931+O2931-P2931-M2931</f>
        <v/>
      </c>
    </row>
    <row r="2932">
      <c r="A2932" s="16" t="inlineStr">
        <is>
          <t>5.29-6.4</t>
        </is>
      </c>
      <c r="B2932" s="16" t="inlineStr">
        <is>
          <t>PO-128-14015655957111485</t>
        </is>
      </c>
      <c r="C2932" s="16" t="inlineStr">
        <is>
          <t>Shipped</t>
        </is>
      </c>
      <c r="D2932" s="16" t="inlineStr">
        <is>
          <t>128-14015614014071485</t>
        </is>
      </c>
      <c r="E2932" s="16" t="inlineStr">
        <is>
          <t>Shipped</t>
        </is>
      </c>
      <c r="F2932" s="16" t="inlineStr">
        <is>
          <t>VB349T</t>
        </is>
      </c>
      <c r="G2932" s="16" t="inlineStr">
        <is>
          <t>LINKBITS Altavoz Portátil de Doble Altavoz - 3 Pulgadas, Sonido HD, Emparejamiento Rápido de Bluetooth, Conectividad TWS, Reproducción Multimodo (Micro SD/USB/Radio FM) - Perfecto para Oficina, Viajes y Espacios Pequeños</t>
        </is>
      </c>
      <c r="H2932" s="16" t="inlineStr">
        <is>
          <t>NEGRO</t>
        </is>
      </c>
      <c r="I2932" s="16" t="n">
        <v>1</v>
      </c>
      <c r="J2932" s="17" t="n">
        <v>81</v>
      </c>
      <c r="K2932" s="17" t="n">
        <v>94.26000000000001</v>
      </c>
      <c r="L2932" s="17" t="n">
        <v>25.86</v>
      </c>
      <c r="M2932" s="17" t="n">
        <v>0</v>
      </c>
      <c r="N2932" s="17">
        <f>K2932*0.08+L2932*0.08</f>
        <v/>
      </c>
      <c r="O2932" s="17">
        <f>-(K2932*0.025+L2932*0.025)</f>
        <v/>
      </c>
      <c r="P2932" s="17">
        <f>32</f>
        <v/>
      </c>
      <c r="Q2932" s="17">
        <f>J2932+L2932+N2932+O2932-P2932-M2932</f>
        <v/>
      </c>
    </row>
    <row r="2933">
      <c r="A2933" s="16" t="inlineStr">
        <is>
          <t>5.29-6.4</t>
        </is>
      </c>
      <c r="B2933" s="16" t="inlineStr">
        <is>
          <t>PO-128-14403880735353267</t>
        </is>
      </c>
      <c r="C2933" s="16" t="inlineStr">
        <is>
          <t>Shipped</t>
        </is>
      </c>
      <c r="D2933" s="16" t="inlineStr">
        <is>
          <t>128-14403838792313267</t>
        </is>
      </c>
      <c r="E2933" s="16" t="inlineStr">
        <is>
          <t>Shipped</t>
        </is>
      </c>
      <c r="F2933" s="16" t="inlineStr">
        <is>
          <t>LV54W25</t>
        </is>
      </c>
      <c r="G2933" s="16" t="inlineStr">
        <is>
          <t>TIANLAI Lámpara Ventilador E27 2 en 1, Silenciosa, LED Alta Luminosidad 180°, Instalación Rápida, Ahorro Energético para Dormitorio y Interiores Pequeños</t>
        </is>
      </c>
      <c r="H2933" s="16" t="inlineStr">
        <is>
          <t>1 Pieza</t>
        </is>
      </c>
      <c r="I2933" s="16" t="n">
        <v>1</v>
      </c>
      <c r="J2933" s="17" t="n">
        <v>74.5</v>
      </c>
      <c r="K2933" s="17" t="n">
        <v>76.70999999999999</v>
      </c>
      <c r="L2933" s="17" t="n">
        <v>25.86</v>
      </c>
      <c r="M2933" s="17" t="n">
        <v>0</v>
      </c>
      <c r="N2933" s="17">
        <f>K2933*0.08+L2933*0.08</f>
        <v/>
      </c>
      <c r="O2933" s="17">
        <f>-(K2933*0.025+L2933*0.025)</f>
        <v/>
      </c>
      <c r="P2933" s="17">
        <f>32</f>
        <v/>
      </c>
      <c r="Q2933" s="17">
        <f>J2933+L2933+N2933+O2933-P2933-M2933</f>
        <v/>
      </c>
    </row>
    <row r="2934">
      <c r="A2934" s="16" t="inlineStr">
        <is>
          <t>5.29-6.4</t>
        </is>
      </c>
      <c r="B2934" s="16" t="inlineStr">
        <is>
          <t>PO-128-14347151442553477</t>
        </is>
      </c>
      <c r="C2934" s="16" t="inlineStr">
        <is>
          <t>Shipped</t>
        </is>
      </c>
      <c r="D2934" s="16" t="inlineStr">
        <is>
          <t>128-14347088527993477</t>
        </is>
      </c>
      <c r="E2934" s="16" t="inlineStr">
        <is>
          <t>Shipped</t>
        </is>
      </c>
      <c r="F2934" s="16" t="inlineStr">
        <is>
          <t>BSC07</t>
        </is>
      </c>
      <c r="G2934" s="16" t="inlineStr">
        <is>
          <t>TIANLAI Báscula Digital BSC04/BSC07, Alta Precisión, Fácil Operación, Ligera y Portátil, Función Tara, Unidad Dual oz/g, Ideal para Cocina, Control de Porciones, Sellos y Objetos Pequeños, Uso en Hogar y Viaje</t>
        </is>
      </c>
      <c r="H2934" s="16" t="inlineStr">
        <is>
          <t>1g/White</t>
        </is>
      </c>
      <c r="I2934" s="16" t="n">
        <v>1</v>
      </c>
      <c r="J2934" s="17" t="n">
        <v>38</v>
      </c>
      <c r="K2934" s="17" t="n">
        <v>50.22</v>
      </c>
      <c r="L2934" s="17" t="n">
        <v>25.86</v>
      </c>
      <c r="M2934" s="17" t="n">
        <v>0</v>
      </c>
      <c r="N2934" s="17">
        <f>K2934*0.08+L2934*0.08</f>
        <v/>
      </c>
      <c r="O2934" s="17">
        <f>-(K2934*0.025+L2934*0.025)</f>
        <v/>
      </c>
      <c r="P2934" s="17">
        <f>32</f>
        <v/>
      </c>
      <c r="Q2934" s="17">
        <f>J2934+L2934+N2934+O2934-P2934-M2934</f>
        <v/>
      </c>
    </row>
    <row r="2935">
      <c r="A2935" s="16" t="inlineStr">
        <is>
          <t>5.29-6.4</t>
        </is>
      </c>
      <c r="B2935" s="16" t="inlineStr">
        <is>
          <t>PO-128-14093794673273003</t>
        </is>
      </c>
      <c r="C2935" s="16" t="inlineStr">
        <is>
          <t>Shipped</t>
        </is>
      </c>
      <c r="D2935" s="16" t="inlineStr">
        <is>
          <t>128-14093784187513003</t>
        </is>
      </c>
      <c r="E2935" s="16" t="inlineStr">
        <is>
          <t>Shipped</t>
        </is>
      </c>
      <c r="F2935" s="16" t="inlineStr">
        <is>
          <t>B03W10-10PZS</t>
        </is>
      </c>
      <c r="G293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2935" s="16" t="inlineStr">
        <is>
          <t>B03W10</t>
        </is>
      </c>
      <c r="I2935" s="16" t="n">
        <v>1</v>
      </c>
      <c r="J2935" s="17" t="n">
        <v>77</v>
      </c>
      <c r="K2935" s="17" t="n">
        <v>89.94</v>
      </c>
      <c r="L2935" s="17" t="n">
        <v>25.86</v>
      </c>
      <c r="M2935" s="17" t="n">
        <v>0</v>
      </c>
      <c r="N2935" s="17">
        <f>K2935*0.08+L2935*0.08</f>
        <v/>
      </c>
      <c r="O2935" s="17">
        <f>-(K2935*0.025+L2935*0.025)</f>
        <v/>
      </c>
      <c r="P2935" s="17">
        <f>32</f>
        <v/>
      </c>
      <c r="Q2935" s="17">
        <f>J2935+L2935+N2935+O2935-P2935-M2935</f>
        <v/>
      </c>
    </row>
    <row r="2936">
      <c r="A2936" s="16" t="inlineStr">
        <is>
          <t>5.29-6.4</t>
        </is>
      </c>
      <c r="B2936" s="16" t="inlineStr">
        <is>
          <t>PO-128-02941734633592016</t>
        </is>
      </c>
      <c r="C2936" s="16" t="inlineStr">
        <is>
          <t>Shipped</t>
        </is>
      </c>
      <c r="D2936" s="16" t="inlineStr">
        <is>
          <t>128-02941724147832016</t>
        </is>
      </c>
      <c r="E2936" s="16" t="inlineStr">
        <is>
          <t>Shipped</t>
        </is>
      </c>
      <c r="F2936" s="16" t="inlineStr">
        <is>
          <t>LV54W25</t>
        </is>
      </c>
      <c r="G2936" s="16" t="inlineStr">
        <is>
          <t>TIANLAI Lámpara Ventilador E27 2 en 1, Silenciosa, LED Alta Luminosidad 180°, Instalación Rápida, Ahorro Energético para Dormitorio y Interiores Pequeños</t>
        </is>
      </c>
      <c r="H2936" s="16" t="inlineStr">
        <is>
          <t>1 Pieza</t>
        </is>
      </c>
      <c r="I2936" s="16" t="n">
        <v>2</v>
      </c>
      <c r="J2936" s="17" t="n">
        <v>149</v>
      </c>
      <c r="K2936" s="17" t="n">
        <v>153.42</v>
      </c>
      <c r="L2936" s="17" t="n">
        <v>25.86</v>
      </c>
      <c r="M2936" s="17" t="n">
        <v>0</v>
      </c>
      <c r="N2936" s="17">
        <f>K2936*0.08+L2936*0.08</f>
        <v/>
      </c>
      <c r="O2936" s="17">
        <f>-(K2936*0.025+L2936*0.025)</f>
        <v/>
      </c>
      <c r="P2936" s="17">
        <f>32</f>
        <v/>
      </c>
      <c r="Q2936" s="17">
        <f>J2936+L2936+N2936+O2936-P2936-M2936</f>
        <v/>
      </c>
    </row>
    <row r="2937">
      <c r="A2937" s="16" t="inlineStr">
        <is>
          <t>5.29-6.4</t>
        </is>
      </c>
      <c r="B2937" s="16" t="inlineStr">
        <is>
          <t>PO-128-03023839875191529</t>
        </is>
      </c>
      <c r="C2937" s="16" t="inlineStr">
        <is>
          <t>Shipped</t>
        </is>
      </c>
      <c r="D2937" s="16" t="inlineStr">
        <is>
          <t>128-03023881818231529</t>
        </is>
      </c>
      <c r="E2937" s="16" t="inlineStr">
        <is>
          <t>Shipped</t>
        </is>
      </c>
      <c r="F2937" s="16" t="inlineStr">
        <is>
          <t>LV54W25</t>
        </is>
      </c>
      <c r="G2937" s="16" t="inlineStr">
        <is>
          <t>TIANLAI Lámpara Ventilador E27 2 en 1, Silenciosa, LED Alta Luminosidad 180°, Instalación Rápida, Ahorro Energético para Dormitorio y Interiores Pequeños</t>
        </is>
      </c>
      <c r="H2937" s="16" t="inlineStr">
        <is>
          <t>1 Pieza</t>
        </is>
      </c>
      <c r="I2937" s="16" t="n">
        <v>1</v>
      </c>
      <c r="J2937" s="17" t="n">
        <v>74.5</v>
      </c>
      <c r="K2937" s="17" t="n">
        <v>36.19</v>
      </c>
      <c r="L2937" s="17" t="n">
        <v>25.86</v>
      </c>
      <c r="M2937" s="17" t="n">
        <v>0</v>
      </c>
      <c r="N2937" s="17">
        <f>K2937*0.08+L2937*0.08</f>
        <v/>
      </c>
      <c r="O2937" s="17">
        <f>-(K2937*0.025+L2937*0.025)</f>
        <v/>
      </c>
      <c r="P2937" s="17">
        <f>32</f>
        <v/>
      </c>
      <c r="Q2937" s="17">
        <f>J2937+L2937+N2937+O2937-P2937-M2937</f>
        <v/>
      </c>
    </row>
    <row r="2938">
      <c r="A2938" s="16" t="inlineStr">
        <is>
          <t>5.29-6.4</t>
        </is>
      </c>
      <c r="B2938" s="16" t="inlineStr">
        <is>
          <t>PO-128-03396760359033208</t>
        </is>
      </c>
      <c r="C2938" s="16" t="inlineStr">
        <is>
          <t>Shipped</t>
        </is>
      </c>
      <c r="D2938" s="16" t="inlineStr">
        <is>
          <t>128-03396752494713208</t>
        </is>
      </c>
      <c r="E2938" s="16" t="inlineStr">
        <is>
          <t>Shipped</t>
        </is>
      </c>
      <c r="F2938" s="16" t="inlineStr">
        <is>
          <t>LV64W25</t>
        </is>
      </c>
      <c r="G29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38" s="16" t="inlineStr">
        <is>
          <t>Blanco</t>
        </is>
      </c>
      <c r="I2938" s="16" t="n">
        <v>3</v>
      </c>
      <c r="J2938" s="17" t="n">
        <v>369</v>
      </c>
      <c r="K2938" s="17" t="n">
        <v>394.14</v>
      </c>
      <c r="L2938" s="17" t="n">
        <v>0</v>
      </c>
      <c r="M2938" s="17" t="n">
        <v>0</v>
      </c>
      <c r="N2938" s="17">
        <f>K2938*0.08+L2938*0.08</f>
        <v/>
      </c>
      <c r="O2938" s="17">
        <f>-(K2938*0.025+L2938*0.025)</f>
        <v/>
      </c>
      <c r="P2938" s="17">
        <f>32</f>
        <v/>
      </c>
      <c r="Q2938" s="17">
        <f>J2938+L2938+N2938+O2938-P2938-M2938</f>
        <v/>
      </c>
    </row>
    <row r="2939">
      <c r="A2939" s="16" t="inlineStr">
        <is>
          <t>5.29-6.4</t>
        </is>
      </c>
      <c r="B2939" s="16" t="inlineStr">
        <is>
          <t>PO-128-02937588278392043</t>
        </is>
      </c>
      <c r="C2939" s="16" t="inlineStr">
        <is>
          <t>Shipped</t>
        </is>
      </c>
      <c r="D2939" s="16" t="inlineStr">
        <is>
          <t>128-02937584346232043</t>
        </is>
      </c>
      <c r="E2939" s="16" t="inlineStr">
        <is>
          <t>Shipped</t>
        </is>
      </c>
      <c r="F2939" s="16" t="inlineStr">
        <is>
          <t>LV54W25</t>
        </is>
      </c>
      <c r="G2939" s="16" t="inlineStr">
        <is>
          <t>TIANLAI Lámpara Ventilador E27 2 en 1, Silenciosa, LED Alta Luminosidad 180°, Instalación Rápida, Ahorro Energético para Dormitorio y Interiores Pequeños</t>
        </is>
      </c>
      <c r="H2939" s="16" t="inlineStr">
        <is>
          <t>1 Pieza</t>
        </is>
      </c>
      <c r="I2939" s="16" t="n">
        <v>1</v>
      </c>
      <c r="J2939" s="17" t="n">
        <v>74.5</v>
      </c>
      <c r="K2939" s="17" t="n">
        <v>79.29000000000001</v>
      </c>
      <c r="L2939" s="17" t="n">
        <v>25.86</v>
      </c>
      <c r="M2939" s="17" t="n">
        <v>0</v>
      </c>
      <c r="N2939" s="17">
        <f>K2939*0.08+L2939*0.08</f>
        <v/>
      </c>
      <c r="O2939" s="17">
        <f>-(K2939*0.025+L2939*0.025)</f>
        <v/>
      </c>
      <c r="P2939" s="17">
        <f>32</f>
        <v/>
      </c>
      <c r="Q2939" s="17">
        <f>J2939+L2939+N2939+O2939-P2939-M2939</f>
        <v/>
      </c>
    </row>
    <row r="2940">
      <c r="A2940" s="16" t="inlineStr">
        <is>
          <t>5.29-6.4</t>
        </is>
      </c>
      <c r="B2940" s="16" t="inlineStr">
        <is>
          <t>PO-128-03043466386551346</t>
        </is>
      </c>
      <c r="C2940" s="16" t="inlineStr">
        <is>
          <t>Shipped</t>
        </is>
      </c>
      <c r="D2940" s="16" t="inlineStr">
        <is>
          <t>128-03043445415031346</t>
        </is>
      </c>
      <c r="E2940" s="16" t="inlineStr">
        <is>
          <t>Shipped</t>
        </is>
      </c>
      <c r="F2940" s="16" t="inlineStr">
        <is>
          <t>LV54W25</t>
        </is>
      </c>
      <c r="G2940" s="16" t="inlineStr">
        <is>
          <t>TIANLAI Lámpara Ventilador E27 2 en 1, Silenciosa, LED Alta Luminosidad 180°, Instalación Rápida, Ahorro Energético para Dormitorio y Interiores Pequeños</t>
        </is>
      </c>
      <c r="H2940" s="16" t="inlineStr">
        <is>
          <t>1 Pieza</t>
        </is>
      </c>
      <c r="I2940" s="16" t="n">
        <v>1</v>
      </c>
      <c r="J2940" s="17" t="n">
        <v>74.5</v>
      </c>
      <c r="K2940" s="17" t="n">
        <v>86.18000000000001</v>
      </c>
      <c r="L2940" s="17" t="n">
        <v>25.86</v>
      </c>
      <c r="M2940" s="17" t="n">
        <v>0</v>
      </c>
      <c r="N2940" s="17">
        <f>K2940*0.08+L2940*0.08</f>
        <v/>
      </c>
      <c r="O2940" s="17">
        <f>-(K2940*0.025+L2940*0.025)</f>
        <v/>
      </c>
      <c r="P2940" s="17">
        <f>32</f>
        <v/>
      </c>
      <c r="Q2940" s="17">
        <f>J2940+L2940+N2940+O2940-P2940-M2940</f>
        <v/>
      </c>
    </row>
    <row r="2941">
      <c r="A2941" s="16" t="inlineStr">
        <is>
          <t>5.29-6.4</t>
        </is>
      </c>
      <c r="B2941" s="16" t="inlineStr">
        <is>
          <t>PO-128-03407499891833272</t>
        </is>
      </c>
      <c r="C2941" s="16" t="inlineStr">
        <is>
          <t>Shipped</t>
        </is>
      </c>
      <c r="D2941" s="16" t="inlineStr">
        <is>
          <t>128-03407463191673272</t>
        </is>
      </c>
      <c r="E2941" s="16" t="inlineStr">
        <is>
          <t>Shipped</t>
        </is>
      </c>
      <c r="F2941" s="16" t="inlineStr">
        <is>
          <t>LV54W25</t>
        </is>
      </c>
      <c r="G2941" s="16" t="inlineStr">
        <is>
          <t>TIANLAI Lámpara Ventilador E27 2 en 1, Silenciosa, LED Alta Luminosidad 180°, Instalación Rápida, Ahorro Energético para Dormitorio y Interiores Pequeños</t>
        </is>
      </c>
      <c r="H2941" s="16" t="inlineStr">
        <is>
          <t>1 Pieza</t>
        </is>
      </c>
      <c r="I2941" s="16" t="n">
        <v>2</v>
      </c>
      <c r="J2941" s="17" t="n">
        <v>149</v>
      </c>
      <c r="K2941" s="17" t="n">
        <v>137.46</v>
      </c>
      <c r="L2941" s="17" t="n">
        <v>25.86</v>
      </c>
      <c r="M2941" s="17" t="n">
        <v>0</v>
      </c>
      <c r="N2941" s="17">
        <f>K2941*0.08+L2941*0.08</f>
        <v/>
      </c>
      <c r="O2941" s="17">
        <f>-(K2941*0.025+L2941*0.025)</f>
        <v/>
      </c>
      <c r="P2941" s="17">
        <f>32</f>
        <v/>
      </c>
      <c r="Q2941" s="17">
        <f>J2941+L2941+N2941+O2941-P2941-M2941</f>
        <v/>
      </c>
    </row>
    <row r="2942">
      <c r="A2942" s="16" t="inlineStr">
        <is>
          <t>5.29-6.4</t>
        </is>
      </c>
      <c r="B2942" s="16" t="inlineStr">
        <is>
          <t>PO-128-03326091605113823</t>
        </is>
      </c>
      <c r="C2942" s="16" t="inlineStr">
        <is>
          <t>Shipped</t>
        </is>
      </c>
      <c r="D2942" s="16" t="inlineStr">
        <is>
          <t>128-03326096847993823</t>
        </is>
      </c>
      <c r="E2942" s="16" t="inlineStr">
        <is>
          <t>Shipped</t>
        </is>
      </c>
      <c r="F2942" s="16" t="inlineStr">
        <is>
          <t>LV64W25</t>
        </is>
      </c>
      <c r="G29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42" s="16" t="inlineStr">
        <is>
          <t>Blanco</t>
        </is>
      </c>
      <c r="I2942" s="16" t="n">
        <v>3</v>
      </c>
      <c r="J2942" s="17" t="n">
        <v>369</v>
      </c>
      <c r="K2942" s="17" t="n">
        <v>385.68</v>
      </c>
      <c r="L2942" s="17" t="n">
        <v>0</v>
      </c>
      <c r="M2942" s="17" t="n">
        <v>0</v>
      </c>
      <c r="N2942" s="17">
        <f>K2942*0.08+L2942*0.08</f>
        <v/>
      </c>
      <c r="O2942" s="17">
        <f>-(K2942*0.025+L2942*0.025)</f>
        <v/>
      </c>
      <c r="P2942" s="17">
        <f>32</f>
        <v/>
      </c>
      <c r="Q2942" s="17">
        <f>J2942+L2942+N2942+O2942-P2942-M2942</f>
        <v/>
      </c>
    </row>
    <row r="2943">
      <c r="A2943" s="16" t="inlineStr">
        <is>
          <t>5.29-6.4</t>
        </is>
      </c>
      <c r="B2943" s="16" t="inlineStr">
        <is>
          <t>PO-128-03315915226233754</t>
        </is>
      </c>
      <c r="C2943" s="16" t="inlineStr">
        <is>
          <t>Shipped</t>
        </is>
      </c>
      <c r="D2943" s="16" t="inlineStr">
        <is>
          <t>128-03315957169273754</t>
        </is>
      </c>
      <c r="E2943" s="16" t="inlineStr">
        <is>
          <t>Shipped</t>
        </is>
      </c>
      <c r="F2943" s="16" t="inlineStr">
        <is>
          <t>LV54W25</t>
        </is>
      </c>
      <c r="G2943" s="16" t="inlineStr">
        <is>
          <t>TIANLAI Lámpara Ventilador E27 2 en 1, Silenciosa, LED Alta Luminosidad 180°, Instalación Rápida, Ahorro Energético para Dormitorio y Interiores Pequeños</t>
        </is>
      </c>
      <c r="H2943" s="16" t="inlineStr">
        <is>
          <t>1 Pieza</t>
        </is>
      </c>
      <c r="I2943" s="16" t="n">
        <v>1</v>
      </c>
      <c r="J2943" s="17" t="n">
        <v>74.5</v>
      </c>
      <c r="K2943" s="17" t="n">
        <v>43.08</v>
      </c>
      <c r="L2943" s="17" t="n">
        <v>25.86</v>
      </c>
      <c r="M2943" s="17" t="n">
        <v>0</v>
      </c>
      <c r="N2943" s="17">
        <f>K2943*0.08+L2943*0.08</f>
        <v/>
      </c>
      <c r="O2943" s="17">
        <f>-(K2943*0.025+L2943*0.025)</f>
        <v/>
      </c>
      <c r="P2943" s="17">
        <f>32</f>
        <v/>
      </c>
      <c r="Q2943" s="17">
        <f>J2943+L2943+N2943+O2943-P2943-M2943</f>
        <v/>
      </c>
    </row>
    <row r="2944">
      <c r="A2944" s="16" t="inlineStr">
        <is>
          <t>5.29-6.4</t>
        </is>
      </c>
      <c r="B2944" s="16" t="inlineStr">
        <is>
          <t>PO-128-03314623291513762</t>
        </is>
      </c>
      <c r="C2944" s="16" t="inlineStr">
        <is>
          <t>Shipped</t>
        </is>
      </c>
      <c r="D2944" s="16" t="inlineStr">
        <is>
          <t>128-03314537439353762</t>
        </is>
      </c>
      <c r="E2944" s="16" t="inlineStr">
        <is>
          <t>Shipped</t>
        </is>
      </c>
      <c r="F2944" s="16" t="inlineStr">
        <is>
          <t>BG-139-N</t>
        </is>
      </c>
      <c r="G2944" s="16" t="inlineStr">
        <is>
          <t>LINK BITS Audífonos Inalámbricos con Luces Multicolor, Recargables y en Adorable Forma de Orejas de Gato - Conecta a Celulares y PCs, Tiene Radio FM, Tarjeta TF y AUX - 7 Horas de Reproducción, Plegables y Perfectos para Trabajo, Juegos y Estudio</t>
        </is>
      </c>
      <c r="H2944" s="16" t="inlineStr">
        <is>
          <t>negro</t>
        </is>
      </c>
      <c r="I2944" s="16" t="n">
        <v>1</v>
      </c>
      <c r="J2944" s="17" t="n">
        <v>44</v>
      </c>
      <c r="K2944" s="17" t="n">
        <v>68.41</v>
      </c>
      <c r="L2944" s="17" t="n">
        <v>25.86</v>
      </c>
      <c r="M2944" s="17" t="n">
        <v>0</v>
      </c>
      <c r="N2944" s="17">
        <f>K2944*0.08+L2944*0.08</f>
        <v/>
      </c>
      <c r="O2944" s="17">
        <f>-(K2944*0.025+L2944*0.025)</f>
        <v/>
      </c>
      <c r="P2944" s="17">
        <f>32</f>
        <v/>
      </c>
      <c r="Q2944" s="17">
        <f>J2944+L2944+N2944+O2944-P2944-M2944</f>
        <v/>
      </c>
    </row>
    <row r="2945">
      <c r="A2945" s="16" t="inlineStr">
        <is>
          <t>5.29-6.4</t>
        </is>
      </c>
      <c r="B2945" s="16" t="inlineStr">
        <is>
          <t>PO-128-02781007573110862</t>
        </is>
      </c>
      <c r="C2945" s="16" t="inlineStr">
        <is>
          <t>Shipped</t>
        </is>
      </c>
      <c r="D2945" s="16" t="inlineStr">
        <is>
          <t>128-02781143887990862</t>
        </is>
      </c>
      <c r="E2945" s="16" t="inlineStr">
        <is>
          <t>Shipped</t>
        </is>
      </c>
      <c r="F2945" s="16" t="inlineStr">
        <is>
          <t>LV54W25</t>
        </is>
      </c>
      <c r="G2945" s="16" t="inlineStr">
        <is>
          <t>TIANLAI Lámpara Ventilador E27 2 en 1, Silenciosa, LED Alta Luminosidad 180°, Instalación Rápida, Ahorro Energético para Dormitorio y Interiores Pequeños</t>
        </is>
      </c>
      <c r="H2945" s="16" t="inlineStr">
        <is>
          <t>1 Pieza</t>
        </is>
      </c>
      <c r="I2945" s="16" t="n">
        <v>3</v>
      </c>
      <c r="J2945" s="17" t="n">
        <v>223.5</v>
      </c>
      <c r="K2945" s="17" t="n">
        <v>177.53</v>
      </c>
      <c r="L2945" s="17" t="n">
        <v>0</v>
      </c>
      <c r="M2945" s="17" t="n">
        <v>0</v>
      </c>
      <c r="N2945" s="17">
        <f>K2945*0.08+L2945*0.08</f>
        <v/>
      </c>
      <c r="O2945" s="17">
        <f>-(K2945*0.025+L2945*0.025)</f>
        <v/>
      </c>
      <c r="P2945" s="17">
        <f>32</f>
        <v/>
      </c>
      <c r="Q2945" s="17">
        <f>J2945+L2945+N2945+O2945-P2945-M2945</f>
        <v/>
      </c>
    </row>
    <row r="2946">
      <c r="A2946" s="16" t="inlineStr">
        <is>
          <t>5.29-6.4</t>
        </is>
      </c>
      <c r="B2946" s="16" t="inlineStr">
        <is>
          <t>PO-128-02999182861431610</t>
        </is>
      </c>
      <c r="C2946" s="16" t="inlineStr">
        <is>
          <t>Shipped</t>
        </is>
      </c>
      <c r="D2946" s="16" t="inlineStr">
        <is>
          <t>128-02999195968631610</t>
        </is>
      </c>
      <c r="E2946" s="16" t="inlineStr">
        <is>
          <t>Shipped</t>
        </is>
      </c>
      <c r="F2946" s="16" t="inlineStr">
        <is>
          <t>LV64W25</t>
        </is>
      </c>
      <c r="G29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46" s="16" t="inlineStr">
        <is>
          <t>Blanco</t>
        </is>
      </c>
      <c r="I2946" s="16" t="n">
        <v>1</v>
      </c>
      <c r="J2946" s="17" t="n">
        <v>123</v>
      </c>
      <c r="K2946" s="17" t="n">
        <v>131.38</v>
      </c>
      <c r="L2946" s="17" t="n">
        <v>25.86</v>
      </c>
      <c r="M2946" s="17" t="n">
        <v>0</v>
      </c>
      <c r="N2946" s="17">
        <f>K2946*0.08+L2946*0.08</f>
        <v/>
      </c>
      <c r="O2946" s="17">
        <f>-(K2946*0.025+L2946*0.025)</f>
        <v/>
      </c>
      <c r="P2946" s="17">
        <f>32</f>
        <v/>
      </c>
      <c r="Q2946" s="17">
        <f>J2946+L2946+N2946+O2946-P2946-M2946</f>
        <v/>
      </c>
    </row>
    <row r="2947">
      <c r="A2947" s="16" t="inlineStr">
        <is>
          <t>5.29-6.4</t>
        </is>
      </c>
      <c r="B2947" s="16" t="inlineStr">
        <is>
          <t>PO-128-03019228393591490</t>
        </is>
      </c>
      <c r="C2947" s="16" t="inlineStr">
        <is>
          <t>Shipped</t>
        </is>
      </c>
      <c r="D2947" s="16" t="inlineStr">
        <is>
          <t>128-03019248382071490</t>
        </is>
      </c>
      <c r="E2947" s="16" t="inlineStr">
        <is>
          <t>Shipped</t>
        </is>
      </c>
      <c r="F2947" s="16" t="inlineStr">
        <is>
          <t>LV54W25</t>
        </is>
      </c>
      <c r="G2947" s="16" t="inlineStr">
        <is>
          <t>TIANLAI Lámpara Ventilador E27 2 en 1, Silenciosa, LED Alta Luminosidad 180°, Instalación Rápida, Ahorro Energético para Dormitorio y Interiores Pequeños</t>
        </is>
      </c>
      <c r="H2947" s="16" t="inlineStr">
        <is>
          <t>1 Pieza</t>
        </is>
      </c>
      <c r="I2947" s="16" t="n">
        <v>1</v>
      </c>
      <c r="J2947" s="17" t="n">
        <v>74.5</v>
      </c>
      <c r="K2947" s="17" t="n">
        <v>86.18000000000001</v>
      </c>
      <c r="L2947" s="17" t="n">
        <v>25.86</v>
      </c>
      <c r="M2947" s="17" t="n">
        <v>0</v>
      </c>
      <c r="N2947" s="17">
        <f>K2947*0.08+L2947*0.08</f>
        <v/>
      </c>
      <c r="O2947" s="17">
        <f>-(K2947*0.025+L2947*0.025)</f>
        <v/>
      </c>
      <c r="P2947" s="17">
        <f>32</f>
        <v/>
      </c>
      <c r="Q2947" s="17">
        <f>J2947+L2947+N2947+O2947-P2947-M2947</f>
        <v/>
      </c>
    </row>
    <row r="2948">
      <c r="A2948" s="16" t="inlineStr">
        <is>
          <t>5.29-6.4</t>
        </is>
      </c>
      <c r="B2948" s="16" t="inlineStr">
        <is>
          <t>PO-128-03055842066551208</t>
        </is>
      </c>
      <c r="C2948" s="16" t="inlineStr">
        <is>
          <t>Shipped</t>
        </is>
      </c>
      <c r="D2948" s="16" t="inlineStr">
        <is>
          <t>128-03055946924151208</t>
        </is>
      </c>
      <c r="E2948" s="16" t="inlineStr">
        <is>
          <t>Shipped</t>
        </is>
      </c>
      <c r="F2948" s="16" t="inlineStr">
        <is>
          <t>BG-139-V</t>
        </is>
      </c>
      <c r="G2948" s="16" t="inlineStr">
        <is>
          <t>LINK BITS Audífonos Inalámbricos con Luces Multicolor, Recargables y en Adorable Forma de Orejas de Gato - Conecta a Celulares y PCs, Tiene Radio FM, Tarjeta TF y AUX - 7 Horas de Reproducción, Plegables y Perfectos para Trabajo, Juegos y Estudio</t>
        </is>
      </c>
      <c r="H2948" s="16" t="inlineStr">
        <is>
          <t>verde</t>
        </is>
      </c>
      <c r="I2948" s="16" t="n">
        <v>1</v>
      </c>
      <c r="J2948" s="17" t="n">
        <v>69</v>
      </c>
      <c r="K2948" s="17" t="n">
        <v>93.41</v>
      </c>
      <c r="L2948" s="17" t="n">
        <v>25.86</v>
      </c>
      <c r="M2948" s="17" t="n">
        <v>0</v>
      </c>
      <c r="N2948" s="17">
        <f>K2948*0.08+L2948*0.08</f>
        <v/>
      </c>
      <c r="O2948" s="17">
        <f>-(K2948*0.025+L2948*0.025)</f>
        <v/>
      </c>
      <c r="P2948" s="17">
        <f>32</f>
        <v/>
      </c>
      <c r="Q2948" s="17">
        <f>J2948+L2948+N2948+O2948-P2948-M2948</f>
        <v/>
      </c>
    </row>
    <row r="2949">
      <c r="A2949" s="16" t="inlineStr">
        <is>
          <t>5.29-6.4</t>
        </is>
      </c>
      <c r="B2949" s="16" t="inlineStr">
        <is>
          <t>PO-128-02770564457590799</t>
        </is>
      </c>
      <c r="C2949" s="16" t="inlineStr">
        <is>
          <t>Shipped</t>
        </is>
      </c>
      <c r="D2949" s="16" t="inlineStr">
        <is>
          <t>128-02770522514550799</t>
        </is>
      </c>
      <c r="E2949" s="16" t="inlineStr">
        <is>
          <t>Shipped</t>
        </is>
      </c>
      <c r="F2949" s="16" t="inlineStr">
        <is>
          <t>TL1455N20B</t>
        </is>
      </c>
      <c r="G2949" s="16" t="inlineStr">
        <is>
          <t>LINK BITS Soporte para TV 14 A 55 Pulgadas, Base para TV Pantalla Articulado Inclinable y Giratorio, MAX VESA 400×400 mm, Soporta hasta 18kg, adaptarse a la mayoría de los televisores de 14 Pulgadas/20 Pulgadas/32 Pulgadas/42 Pulgadas/55 pulgadas</t>
        </is>
      </c>
      <c r="H2949" s="16" t="inlineStr">
        <is>
          <t>TL1455N20B</t>
        </is>
      </c>
      <c r="I2949" s="16" t="n">
        <v>1</v>
      </c>
      <c r="J2949" s="17" t="n">
        <v>85</v>
      </c>
      <c r="K2949" s="17" t="n">
        <v>95.02</v>
      </c>
      <c r="L2949" s="17" t="n">
        <v>25.86</v>
      </c>
      <c r="M2949" s="17" t="n">
        <v>0</v>
      </c>
      <c r="N2949" s="17">
        <f>K2949*0.08+L2949*0.08</f>
        <v/>
      </c>
      <c r="O2949" s="17">
        <f>-(K2949*0.025+L2949*0.025)</f>
        <v/>
      </c>
      <c r="P2949" s="17">
        <f>32</f>
        <v/>
      </c>
      <c r="Q2949" s="17">
        <f>J2949+L2949+N2949+O2949-P2949-M2949</f>
        <v/>
      </c>
    </row>
    <row r="2950">
      <c r="A2950" s="16" t="inlineStr">
        <is>
          <t>5.29-6.4</t>
        </is>
      </c>
      <c r="B2950" s="16" t="inlineStr">
        <is>
          <t>PO-128-03339869361273677</t>
        </is>
      </c>
      <c r="C2950" s="16" t="inlineStr">
        <is>
          <t>Shipped</t>
        </is>
      </c>
      <c r="D2950" s="16" t="inlineStr">
        <is>
          <t>128-03339853632633677</t>
        </is>
      </c>
      <c r="E2950" s="16" t="inlineStr">
        <is>
          <t>Shipped</t>
        </is>
      </c>
      <c r="F2950" s="16" t="inlineStr">
        <is>
          <t>LV54W25</t>
        </is>
      </c>
      <c r="G2950" s="16" t="inlineStr">
        <is>
          <t>TIANLAI Lámpara Ventilador E27 2 en 1, Silenciosa, LED Alta Luminosidad 180°, Instalación Rápida, Ahorro Energético para Dormitorio y Interiores Pequeños</t>
        </is>
      </c>
      <c r="H2950" s="16" t="inlineStr">
        <is>
          <t>1 Pieza</t>
        </is>
      </c>
      <c r="I2950" s="16" t="n">
        <v>3</v>
      </c>
      <c r="J2950" s="17" t="n">
        <v>223.5</v>
      </c>
      <c r="K2950" s="17" t="n">
        <v>190.89</v>
      </c>
      <c r="L2950" s="17" t="n">
        <v>0</v>
      </c>
      <c r="M2950" s="17" t="n">
        <v>0</v>
      </c>
      <c r="N2950" s="17">
        <f>K2950*0.08+L2950*0.08</f>
        <v/>
      </c>
      <c r="O2950" s="17">
        <f>-(K2950*0.025+L2950*0.025)</f>
        <v/>
      </c>
      <c r="P2950" s="17">
        <f>32</f>
        <v/>
      </c>
      <c r="Q2950" s="17">
        <f>J2950+L2950+N2950+O2950-P2950-M2950</f>
        <v/>
      </c>
    </row>
    <row r="2951">
      <c r="A2951" s="16" t="inlineStr">
        <is>
          <t>5.29-6.4</t>
        </is>
      </c>
      <c r="B2951" s="16" t="inlineStr">
        <is>
          <t>PO-128-02960087017591909</t>
        </is>
      </c>
      <c r="C2951" s="16" t="inlineStr">
        <is>
          <t>Shipped</t>
        </is>
      </c>
      <c r="D2951" s="16" t="inlineStr">
        <is>
          <t>128-02960128960631909</t>
        </is>
      </c>
      <c r="E2951" s="16" t="inlineStr">
        <is>
          <t>Shipped</t>
        </is>
      </c>
      <c r="F2951" s="16" t="inlineStr">
        <is>
          <t>LV54W25</t>
        </is>
      </c>
      <c r="G2951" s="16" t="inlineStr">
        <is>
          <t>TIANLAI Lámpara Ventilador E27 2 en 1, Silenciosa, LED Alta Luminosidad 180°, Instalación Rápida, Ahorro Energético para Dormitorio y Interiores Pequeños</t>
        </is>
      </c>
      <c r="H2951" s="16" t="inlineStr">
        <is>
          <t>1 Pieza</t>
        </is>
      </c>
      <c r="I2951" s="16" t="n">
        <v>2</v>
      </c>
      <c r="J2951" s="17" t="n">
        <v>149</v>
      </c>
      <c r="K2951" s="17" t="n">
        <v>158.58</v>
      </c>
      <c r="L2951" s="17" t="n">
        <v>25.86</v>
      </c>
      <c r="M2951" s="17" t="n">
        <v>0</v>
      </c>
      <c r="N2951" s="17">
        <f>K2951*0.08+L2951*0.08</f>
        <v/>
      </c>
      <c r="O2951" s="17">
        <f>-(K2951*0.025+L2951*0.025)</f>
        <v/>
      </c>
      <c r="P2951" s="17">
        <f>32</f>
        <v/>
      </c>
      <c r="Q2951" s="17">
        <f>J2951+L2951+N2951+O2951-P2951-M2951</f>
        <v/>
      </c>
    </row>
    <row r="2952">
      <c r="A2952" s="16" t="inlineStr">
        <is>
          <t>5.29-6.4</t>
        </is>
      </c>
      <c r="B2952" s="16" t="inlineStr">
        <is>
          <t>PO-128-03396839140473208</t>
        </is>
      </c>
      <c r="C2952" s="16" t="inlineStr">
        <is>
          <t>Shipped</t>
        </is>
      </c>
      <c r="D2952" s="16" t="inlineStr">
        <is>
          <t>128-03396860111993208</t>
        </is>
      </c>
      <c r="E2952" s="16" t="inlineStr">
        <is>
          <t>Shipped</t>
        </is>
      </c>
      <c r="F2952" s="16" t="inlineStr">
        <is>
          <t>KTS-2031</t>
        </is>
      </c>
      <c r="G2952" s="16" t="inlineStr">
        <is>
          <t>Bocina inalámbrica de 3 pulgadas con linterna multifuncional y panel solar integrado.Altavoz Portátil con Linterna LED 4 Modos, Radio FM, Bluetooth, Carga Solar, Ideal para Apagones, Emergencias, Campo y Exteriores</t>
        </is>
      </c>
      <c r="H2952" s="16" t="inlineStr">
        <is>
          <t>NEGRO</t>
        </is>
      </c>
      <c r="I2952" s="16" t="n">
        <v>1</v>
      </c>
      <c r="J2952" s="17" t="n">
        <v>90</v>
      </c>
      <c r="K2952" s="17" t="n">
        <v>99.43000000000001</v>
      </c>
      <c r="L2952" s="17" t="n">
        <v>25.86</v>
      </c>
      <c r="M2952" s="17" t="n">
        <v>0</v>
      </c>
      <c r="N2952" s="17">
        <f>K2952*0.08+L2952*0.08</f>
        <v/>
      </c>
      <c r="O2952" s="17">
        <f>-(K2952*0.025+L2952*0.025)</f>
        <v/>
      </c>
      <c r="P2952" s="17">
        <f>32</f>
        <v/>
      </c>
      <c r="Q2952" s="17">
        <f>J2952+L2952+N2952+O2952-P2952-M2952</f>
        <v/>
      </c>
    </row>
    <row r="2953">
      <c r="A2953" s="16" t="inlineStr">
        <is>
          <t>5.29-6.4</t>
        </is>
      </c>
      <c r="B2953" s="16" t="inlineStr">
        <is>
          <t>PO-128-03354993032313459</t>
        </is>
      </c>
      <c r="C2953" s="16" t="inlineStr">
        <is>
          <t>Shipped</t>
        </is>
      </c>
      <c r="D2953" s="16" t="inlineStr">
        <is>
          <t>128-03355034975353459</t>
        </is>
      </c>
      <c r="E2953" s="16" t="inlineStr">
        <is>
          <t>Shipped</t>
        </is>
      </c>
      <c r="F2953" s="16" t="inlineStr">
        <is>
          <t>LV54W25</t>
        </is>
      </c>
      <c r="G2953" s="16" t="inlineStr">
        <is>
          <t>TIANLAI Lámpara Ventilador E27 2 en 1, Silenciosa, LED Alta Luminosidad 180°, Instalación Rápida, Ahorro Energético para Dormitorio y Interiores Pequeños</t>
        </is>
      </c>
      <c r="H2953" s="16" t="inlineStr">
        <is>
          <t>1 Pieza</t>
        </is>
      </c>
      <c r="I2953" s="16" t="n">
        <v>3</v>
      </c>
      <c r="J2953" s="17" t="n">
        <v>223.5</v>
      </c>
      <c r="K2953" s="17" t="n">
        <v>230.13</v>
      </c>
      <c r="L2953" s="17" t="n">
        <v>0</v>
      </c>
      <c r="M2953" s="17" t="n">
        <v>0</v>
      </c>
      <c r="N2953" s="17">
        <f>K2953*0.08+L2953*0.08</f>
        <v/>
      </c>
      <c r="O2953" s="17">
        <f>-(K2953*0.025+L2953*0.025)</f>
        <v/>
      </c>
      <c r="P2953" s="17">
        <f>32</f>
        <v/>
      </c>
      <c r="Q2953" s="17">
        <f>J2953+L2953+N2953+O2953-P2953-M2953</f>
        <v/>
      </c>
    </row>
    <row r="2954">
      <c r="A2954" s="16" t="inlineStr">
        <is>
          <t>5.29-6.4</t>
        </is>
      </c>
      <c r="B2954" s="16" t="inlineStr">
        <is>
          <t>PO-128-03230524260472217</t>
        </is>
      </c>
      <c r="C2954" s="16" t="inlineStr">
        <is>
          <t>Shipped</t>
        </is>
      </c>
      <c r="D2954" s="16" t="inlineStr">
        <is>
          <t>128-03230566203512217</t>
        </is>
      </c>
      <c r="E2954" s="16" t="inlineStr">
        <is>
          <t>Shipped</t>
        </is>
      </c>
      <c r="F2954" s="16" t="inlineStr">
        <is>
          <t>TLCD02-8P-V</t>
        </is>
      </c>
      <c r="G295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54" s="16" t="inlineStr">
        <is>
          <t>VERDE/pantalla de 8.5 pulgadas</t>
        </is>
      </c>
      <c r="I2954" s="16" t="n">
        <v>1</v>
      </c>
      <c r="J2954" s="17" t="n">
        <v>25</v>
      </c>
      <c r="K2954" s="17" t="n">
        <v>29.47</v>
      </c>
      <c r="L2954" s="17" t="n">
        <v>25.86</v>
      </c>
      <c r="M2954" s="17" t="n">
        <v>0</v>
      </c>
      <c r="N2954" s="17">
        <f>K2954*0.08+L2954*0.08</f>
        <v/>
      </c>
      <c r="O2954" s="17">
        <f>-(K2954*0.025+L2954*0.025)</f>
        <v/>
      </c>
      <c r="P2954" s="17">
        <f>32</f>
        <v/>
      </c>
      <c r="Q2954" s="17">
        <f>J2954+L2954+N2954+O2954-P2954-M2954</f>
        <v/>
      </c>
    </row>
    <row r="2955">
      <c r="A2955" s="16" t="inlineStr">
        <is>
          <t>5.29-6.4</t>
        </is>
      </c>
      <c r="B2955" s="16" t="inlineStr">
        <is>
          <t>PO-128-03406982991993277</t>
        </is>
      </c>
      <c r="C2955" s="16" t="inlineStr">
        <is>
          <t>Shipped</t>
        </is>
      </c>
      <c r="D2955" s="16" t="inlineStr">
        <is>
          <t>128-03407087849593277</t>
        </is>
      </c>
      <c r="E2955" s="16" t="inlineStr">
        <is>
          <t>Shipped</t>
        </is>
      </c>
      <c r="F2955" s="16" t="inlineStr">
        <is>
          <t>TLCD06-12P-A</t>
        </is>
      </c>
      <c r="G295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55" s="16" t="inlineStr">
        <is>
          <t>AZUL/pantalla de 12 pulgadas</t>
        </is>
      </c>
      <c r="I2955" s="16" t="n">
        <v>1</v>
      </c>
      <c r="J2955" s="17" t="n">
        <v>35</v>
      </c>
      <c r="K2955" s="17" t="n">
        <v>64.61</v>
      </c>
      <c r="L2955" s="17" t="n">
        <v>25.86</v>
      </c>
      <c r="M2955" s="17" t="n">
        <v>0</v>
      </c>
      <c r="N2955" s="17">
        <f>K2955*0.08+L2955*0.08</f>
        <v/>
      </c>
      <c r="O2955" s="17">
        <f>-(K2955*0.025+L2955*0.025)</f>
        <v/>
      </c>
      <c r="P2955" s="17">
        <f>32</f>
        <v/>
      </c>
      <c r="Q2955" s="17">
        <f>J2955+L2955+N2955+O2955-P2955-M2955</f>
        <v/>
      </c>
    </row>
    <row r="2956">
      <c r="A2956" s="16" t="inlineStr">
        <is>
          <t>5.29-6.4</t>
        </is>
      </c>
      <c r="B2956" s="16" t="inlineStr">
        <is>
          <t>PO-128-02800161866870684</t>
        </is>
      </c>
      <c r="C2956" s="16" t="inlineStr">
        <is>
          <t>Shipped</t>
        </is>
      </c>
      <c r="D2956" s="16" t="inlineStr">
        <is>
          <t>128-02800136963190684</t>
        </is>
      </c>
      <c r="E2956" s="16" t="inlineStr">
        <is>
          <t>Shipped</t>
        </is>
      </c>
      <c r="F2956" s="16" t="inlineStr">
        <is>
          <t>LV64W25</t>
        </is>
      </c>
      <c r="G29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56" s="16" t="inlineStr">
        <is>
          <t>Blanco</t>
        </is>
      </c>
      <c r="I2956" s="16" t="n">
        <v>1</v>
      </c>
      <c r="J2956" s="17" t="n">
        <v>123</v>
      </c>
      <c r="K2956" s="17" t="n">
        <v>128.56</v>
      </c>
      <c r="L2956" s="17" t="n">
        <v>25.86</v>
      </c>
      <c r="M2956" s="17" t="n">
        <v>0</v>
      </c>
      <c r="N2956" s="17">
        <f>K2956*0.08+L2956*0.08</f>
        <v/>
      </c>
      <c r="O2956" s="17">
        <f>-(K2956*0.025+L2956*0.025)</f>
        <v/>
      </c>
      <c r="P2956" s="17">
        <f>32</f>
        <v/>
      </c>
      <c r="Q2956" s="17">
        <f>J2956+L2956+N2956+O2956-P2956-M2956</f>
        <v/>
      </c>
    </row>
    <row r="2957">
      <c r="A2957" s="16" t="inlineStr">
        <is>
          <t>5.29-6.4</t>
        </is>
      </c>
      <c r="B2957" s="16" t="inlineStr">
        <is>
          <t>PO-128-02806739080310711</t>
        </is>
      </c>
      <c r="C2957" s="16" t="inlineStr">
        <is>
          <t>Shipped</t>
        </is>
      </c>
      <c r="D2957" s="16" t="inlineStr">
        <is>
          <t>128-02806781023350711</t>
        </is>
      </c>
      <c r="E2957" s="16" t="inlineStr">
        <is>
          <t>Shipped</t>
        </is>
      </c>
      <c r="F2957" s="16" t="inlineStr">
        <is>
          <t>LV54W25</t>
        </is>
      </c>
      <c r="G2957" s="16" t="inlineStr">
        <is>
          <t>TIANLAI Lámpara Ventilador E27 2 en 1, Silenciosa, LED Alta Luminosidad 180°, Instalación Rápida, Ahorro Energético para Dormitorio y Interiores Pequeños</t>
        </is>
      </c>
      <c r="H2957" s="16" t="inlineStr">
        <is>
          <t>1 Pieza</t>
        </is>
      </c>
      <c r="I2957" s="16" t="n">
        <v>1</v>
      </c>
      <c r="J2957" s="17" t="n">
        <v>74.5</v>
      </c>
      <c r="K2957" s="17" t="n">
        <v>76.70999999999999</v>
      </c>
      <c r="L2957" s="17" t="n">
        <v>25.86</v>
      </c>
      <c r="M2957" s="17" t="n">
        <v>0</v>
      </c>
      <c r="N2957" s="17">
        <f>K2957*0.08+L2957*0.08</f>
        <v/>
      </c>
      <c r="O2957" s="17">
        <f>-(K2957*0.025+L2957*0.025)</f>
        <v/>
      </c>
      <c r="P2957" s="17">
        <f>32</f>
        <v/>
      </c>
      <c r="Q2957" s="17">
        <f>J2957+L2957+N2957+O2957-P2957-M2957</f>
        <v/>
      </c>
    </row>
    <row r="2958">
      <c r="A2958" s="16" t="inlineStr">
        <is>
          <t>5.29-6.4</t>
        </is>
      </c>
      <c r="B2958" s="16" t="inlineStr">
        <is>
          <t>PO-128-02754662884470957</t>
        </is>
      </c>
      <c r="C2958" s="16" t="inlineStr">
        <is>
          <t>Shipped</t>
        </is>
      </c>
      <c r="D2958" s="16" t="inlineStr">
        <is>
          <t>128-02754799199350957</t>
        </is>
      </c>
      <c r="E2958" s="16" t="inlineStr">
        <is>
          <t>Shipped</t>
        </is>
      </c>
      <c r="F2958" s="16" t="inlineStr">
        <is>
          <t>TLCD02-8P-N</t>
        </is>
      </c>
      <c r="G295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2958" s="16" t="inlineStr">
        <is>
          <t>NEGRO/pantalla de 8.5 pulgadas</t>
        </is>
      </c>
      <c r="I2958" s="16" t="n">
        <v>3</v>
      </c>
      <c r="J2958" s="17" t="n">
        <v>75</v>
      </c>
      <c r="K2958" s="17" t="n">
        <v>88.41</v>
      </c>
      <c r="L2958" s="17" t="n">
        <v>25.86</v>
      </c>
      <c r="M2958" s="17" t="n">
        <v>0</v>
      </c>
      <c r="N2958" s="17">
        <f>K2958*0.08+L2958*0.08</f>
        <v/>
      </c>
      <c r="O2958" s="17">
        <f>-(K2958*0.025+L2958*0.025)</f>
        <v/>
      </c>
      <c r="P2958" s="17">
        <f>32</f>
        <v/>
      </c>
      <c r="Q2958" s="17">
        <f>J2958+L2958+N2958+O2958-P2958-M2958</f>
        <v/>
      </c>
    </row>
    <row r="2959">
      <c r="A2959" s="16" t="inlineStr">
        <is>
          <t>5.29-6.4</t>
        </is>
      </c>
      <c r="B2959" s="16" t="inlineStr">
        <is>
          <t>PO-128-03001751273591661</t>
        </is>
      </c>
      <c r="C2959" s="16" t="inlineStr">
        <is>
          <t>Shipped</t>
        </is>
      </c>
      <c r="D2959" s="16" t="inlineStr">
        <is>
          <t>128-03001774866551661</t>
        </is>
      </c>
      <c r="E2959" s="16" t="inlineStr">
        <is>
          <t>Shipped</t>
        </is>
      </c>
      <c r="F2959" s="16" t="inlineStr">
        <is>
          <t>LV54W25</t>
        </is>
      </c>
      <c r="G2959" s="16" t="inlineStr">
        <is>
          <t>TIANLAI Lámpara Ventilador E27 2 en 1, Silenciosa, LED Alta Luminosidad 180°, Instalación Rápida, Ahorro Energético para Dormitorio y Interiores Pequeños</t>
        </is>
      </c>
      <c r="H2959" s="16" t="inlineStr">
        <is>
          <t>1 Pieza</t>
        </is>
      </c>
      <c r="I2959" s="16" t="n">
        <v>1</v>
      </c>
      <c r="J2959" s="17" t="n">
        <v>74.5</v>
      </c>
      <c r="K2959" s="17" t="n">
        <v>76.70999999999999</v>
      </c>
      <c r="L2959" s="17" t="n">
        <v>25.86</v>
      </c>
      <c r="M2959" s="17" t="n">
        <v>0</v>
      </c>
      <c r="N2959" s="17">
        <f>K2959*0.08+L2959*0.08</f>
        <v/>
      </c>
      <c r="O2959" s="17">
        <f>-(K2959*0.025+L2959*0.025)</f>
        <v/>
      </c>
      <c r="P2959" s="17">
        <f>32</f>
        <v/>
      </c>
      <c r="Q2959" s="17">
        <f>J2959+L2959+N2959+O2959-P2959-M2959</f>
        <v/>
      </c>
    </row>
    <row r="2960">
      <c r="A2960" s="16" t="inlineStr">
        <is>
          <t>5.29-6.4</t>
        </is>
      </c>
      <c r="B2960" s="16" t="inlineStr">
        <is>
          <t>PO-128-03249111969912104</t>
        </is>
      </c>
      <c r="C2960" s="16" t="inlineStr">
        <is>
          <t>Shipped</t>
        </is>
      </c>
      <c r="D2960" s="16" t="inlineStr">
        <is>
          <t>128-03249216827512104</t>
        </is>
      </c>
      <c r="E2960" s="16" t="inlineStr">
        <is>
          <t>Shipped</t>
        </is>
      </c>
      <c r="F2960" s="16" t="inlineStr">
        <is>
          <t>LV54W25</t>
        </is>
      </c>
      <c r="G2960" s="16" t="inlineStr">
        <is>
          <t>TIANLAI Lámpara Ventilador E27 2 en 1, Silenciosa, LED Alta Luminosidad 180°, Instalación Rápida, Ahorro Energético para Dormitorio y Interiores Pequeños</t>
        </is>
      </c>
      <c r="H2960" s="16" t="inlineStr">
        <is>
          <t>1 Pieza</t>
        </is>
      </c>
      <c r="I2960" s="16" t="n">
        <v>3</v>
      </c>
      <c r="J2960" s="17" t="n">
        <v>223.5</v>
      </c>
      <c r="K2960" s="17" t="n">
        <v>230.13</v>
      </c>
      <c r="L2960" s="17" t="n">
        <v>0</v>
      </c>
      <c r="M2960" s="17" t="n">
        <v>0</v>
      </c>
      <c r="N2960" s="17">
        <f>K2960*0.08+L2960*0.08</f>
        <v/>
      </c>
      <c r="O2960" s="17">
        <f>-(K2960*0.025+L2960*0.025)</f>
        <v/>
      </c>
      <c r="P2960" s="17">
        <f>32</f>
        <v/>
      </c>
      <c r="Q2960" s="17">
        <f>J2960+L2960+N2960+O2960-P2960-M2960</f>
        <v/>
      </c>
    </row>
    <row r="2961">
      <c r="A2961" s="16" t="inlineStr">
        <is>
          <t>5.29-6.4</t>
        </is>
      </c>
      <c r="B2961" s="16" t="inlineStr">
        <is>
          <t>PO-128-03261204923512160</t>
        </is>
      </c>
      <c r="C2961" s="16" t="inlineStr">
        <is>
          <t>Shipped</t>
        </is>
      </c>
      <c r="D2961" s="16" t="inlineStr">
        <is>
          <t>128-03261162980472160</t>
        </is>
      </c>
      <c r="E2961" s="16" t="inlineStr">
        <is>
          <t>Shipped</t>
        </is>
      </c>
      <c r="F2961" s="16" t="inlineStr">
        <is>
          <t>BSC07</t>
        </is>
      </c>
      <c r="G2961" s="16" t="inlineStr">
        <is>
          <t>TIANLAI Báscula Digital BSC04/BSC07, Alta Precisión, Fácil Operación, Ligera y Portátil, Función Tara, Unidad Dual oz/g, Ideal para Cocina, Control de Porciones, Sellos y Objetos Pequeños, Uso en Hogar y Viaje</t>
        </is>
      </c>
      <c r="H2961" s="16" t="inlineStr">
        <is>
          <t>1g/White</t>
        </is>
      </c>
      <c r="I2961" s="16" t="n">
        <v>1</v>
      </c>
      <c r="J2961" s="17" t="n">
        <v>38</v>
      </c>
      <c r="K2961" s="17" t="n">
        <v>50.22</v>
      </c>
      <c r="L2961" s="17" t="n">
        <v>25.86</v>
      </c>
      <c r="M2961" s="17" t="n">
        <v>0</v>
      </c>
      <c r="N2961" s="17">
        <f>K2961*0.08+L2961*0.08</f>
        <v/>
      </c>
      <c r="O2961" s="17">
        <f>-(K2961*0.025+L2961*0.025)</f>
        <v/>
      </c>
      <c r="P2961" s="17">
        <f>32</f>
        <v/>
      </c>
      <c r="Q2961" s="17">
        <f>J2961+L2961+N2961+O2961-P2961-M2961</f>
        <v/>
      </c>
    </row>
    <row r="2962">
      <c r="A2962" s="16" t="inlineStr">
        <is>
          <t>5.29-6.4</t>
        </is>
      </c>
      <c r="B2962" s="16" t="inlineStr">
        <is>
          <t>PO-128-03083319038071108</t>
        </is>
      </c>
      <c r="C2962" s="16" t="inlineStr">
        <is>
          <t>Shipped</t>
        </is>
      </c>
      <c r="D2962" s="16" t="inlineStr">
        <is>
          <t>128-03083336077431108</t>
        </is>
      </c>
      <c r="E2962" s="16" t="inlineStr">
        <is>
          <t>Shipped</t>
        </is>
      </c>
      <c r="F2962" s="16" t="inlineStr">
        <is>
          <t>LV54W25</t>
        </is>
      </c>
      <c r="G2962" s="16" t="inlineStr">
        <is>
          <t>TIANLAI Lámpara Ventilador E27 2 en 1, Silenciosa, LED Alta Luminosidad 180°, Instalación Rápida, Ahorro Energético para Dormitorio y Interiores Pequeños</t>
        </is>
      </c>
      <c r="H2962" s="16" t="inlineStr">
        <is>
          <t>1 Pieza</t>
        </is>
      </c>
      <c r="I2962" s="16" t="n">
        <v>2</v>
      </c>
      <c r="J2962" s="17" t="n">
        <v>149</v>
      </c>
      <c r="K2962" s="17" t="n">
        <v>143.52</v>
      </c>
      <c r="L2962" s="17" t="n">
        <v>25.86</v>
      </c>
      <c r="M2962" s="17" t="n">
        <v>0</v>
      </c>
      <c r="N2962" s="17">
        <f>K2962*0.08+L2962*0.08</f>
        <v/>
      </c>
      <c r="O2962" s="17">
        <f>-(K2962*0.025+L2962*0.025)</f>
        <v/>
      </c>
      <c r="P2962" s="17">
        <f>32</f>
        <v/>
      </c>
      <c r="Q2962" s="17">
        <f>J2962+L2962+N2962+O2962-P2962-M2962</f>
        <v/>
      </c>
    </row>
    <row r="2963">
      <c r="A2963" s="16" t="inlineStr">
        <is>
          <t>5.29-6.4</t>
        </is>
      </c>
      <c r="B2963" s="16" t="inlineStr">
        <is>
          <t>PO-128-03162621781112620</t>
        </is>
      </c>
      <c r="C2963" s="16" t="inlineStr">
        <is>
          <t>Shipped</t>
        </is>
      </c>
      <c r="D2963" s="16" t="inlineStr">
        <is>
          <t>128-03162642752632620</t>
        </is>
      </c>
      <c r="E2963" s="16" t="inlineStr">
        <is>
          <t>Shipped</t>
        </is>
      </c>
      <c r="F2963" s="16" t="inlineStr">
        <is>
          <t>LV64W25</t>
        </is>
      </c>
      <c r="G29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63" s="16" t="inlineStr">
        <is>
          <t>Blanco</t>
        </is>
      </c>
      <c r="I2963" s="16" t="n">
        <v>2</v>
      </c>
      <c r="J2963" s="17" t="n">
        <v>246</v>
      </c>
      <c r="K2963" s="17" t="n">
        <v>211.04</v>
      </c>
      <c r="L2963" s="17" t="n">
        <v>0</v>
      </c>
      <c r="M2963" s="17" t="n">
        <v>0</v>
      </c>
      <c r="N2963" s="17">
        <f>K2963*0.08+L2963*0.08</f>
        <v/>
      </c>
      <c r="O2963" s="17">
        <f>-(K2963*0.025+L2963*0.025)</f>
        <v/>
      </c>
      <c r="P2963" s="17">
        <f>32</f>
        <v/>
      </c>
      <c r="Q2963" s="17">
        <f>J2963+L2963+N2963+O2963-P2963-M2963</f>
        <v/>
      </c>
    </row>
    <row r="2964">
      <c r="A2964" s="16" t="inlineStr">
        <is>
          <t>5.29-6.4</t>
        </is>
      </c>
      <c r="B2964" s="16" t="inlineStr">
        <is>
          <t>PO-128-03363329646713537</t>
        </is>
      </c>
      <c r="C2964" s="16" t="inlineStr">
        <is>
          <t>Shipped</t>
        </is>
      </c>
      <c r="D2964" s="16" t="inlineStr">
        <is>
          <t>128-03363411566713537</t>
        </is>
      </c>
      <c r="E2964" s="16" t="inlineStr">
        <is>
          <t>Shipped</t>
        </is>
      </c>
      <c r="F2964" s="16" t="inlineStr">
        <is>
          <t>LV64W25</t>
        </is>
      </c>
      <c r="G29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64" s="16" t="inlineStr">
        <is>
          <t>Blanco</t>
        </is>
      </c>
      <c r="I2964" s="16" t="n">
        <v>1</v>
      </c>
      <c r="J2964" s="17" t="n">
        <v>123</v>
      </c>
      <c r="K2964" s="17" t="n">
        <v>141.27</v>
      </c>
      <c r="L2964" s="17" t="n">
        <v>25.86</v>
      </c>
      <c r="M2964" s="17" t="n">
        <v>0</v>
      </c>
      <c r="N2964" s="17">
        <f>K2964*0.08+L2964*0.08</f>
        <v/>
      </c>
      <c r="O2964" s="17">
        <f>-(K2964*0.025+L2964*0.025)</f>
        <v/>
      </c>
      <c r="P2964" s="17">
        <f>32</f>
        <v/>
      </c>
      <c r="Q2964" s="17">
        <f>J2964+L2964+N2964+O2964-P2964-M2964</f>
        <v/>
      </c>
    </row>
    <row r="2965">
      <c r="A2965" s="16" t="inlineStr">
        <is>
          <t>5.29-6.4</t>
        </is>
      </c>
      <c r="B2965" s="16" t="inlineStr">
        <is>
          <t>PO-128-03038100913271314</t>
        </is>
      </c>
      <c r="C2965" s="16" t="inlineStr">
        <is>
          <t>Shipped</t>
        </is>
      </c>
      <c r="D2965" s="16" t="inlineStr">
        <is>
          <t>128-03038069455991314</t>
        </is>
      </c>
      <c r="E2965" s="16" t="inlineStr">
        <is>
          <t>Shipped</t>
        </is>
      </c>
      <c r="F2965" s="16" t="inlineStr">
        <is>
          <t>LV54W25</t>
        </is>
      </c>
      <c r="G2965" s="16" t="inlineStr">
        <is>
          <t>TIANLAI Lámpara Ventilador E27 2 en 1, Silenciosa, LED Alta Luminosidad 180°, Instalación Rápida, Ahorro Energético para Dormitorio y Interiores Pequeños</t>
        </is>
      </c>
      <c r="H2965" s="16" t="inlineStr">
        <is>
          <t>1 Pieza</t>
        </is>
      </c>
      <c r="I2965" s="16" t="n">
        <v>2</v>
      </c>
      <c r="J2965" s="17" t="n">
        <v>149</v>
      </c>
      <c r="K2965" s="17" t="n">
        <v>127.86</v>
      </c>
      <c r="L2965" s="17" t="n">
        <v>25.86</v>
      </c>
      <c r="M2965" s="17" t="n">
        <v>0</v>
      </c>
      <c r="N2965" s="17">
        <f>K2965*0.08+L2965*0.08</f>
        <v/>
      </c>
      <c r="O2965" s="17">
        <f>-(K2965*0.025+L2965*0.025)</f>
        <v/>
      </c>
      <c r="P2965" s="17">
        <f>32</f>
        <v/>
      </c>
      <c r="Q2965" s="17">
        <f>J2965+L2965+N2965+O2965-P2965-M2965</f>
        <v/>
      </c>
    </row>
    <row r="2966">
      <c r="A2966" s="16" t="inlineStr">
        <is>
          <t>5.29-6.4</t>
        </is>
      </c>
      <c r="B2966" s="16" t="inlineStr">
        <is>
          <t>PO-128-02882207322230133</t>
        </is>
      </c>
      <c r="C2966" s="16" t="inlineStr">
        <is>
          <t>Shipped</t>
        </is>
      </c>
      <c r="D2966" s="16" t="inlineStr">
        <is>
          <t>128-02882191593590133</t>
        </is>
      </c>
      <c r="E2966" s="16" t="inlineStr">
        <is>
          <t>Shipped</t>
        </is>
      </c>
      <c r="F2966" s="16" t="inlineStr">
        <is>
          <t>TL1455N20B</t>
        </is>
      </c>
      <c r="G2966" s="16" t="inlineStr">
        <is>
          <t>LINK BITS Soporte para TV 14 A 55 Pulgadas, Base para TV Pantalla Articulado Inclinable y Giratorio, MAX VESA 400×400 mm, Soporta hasta 18kg, adaptarse a la mayoría de los televisores de 14 Pulgadas/20 Pulgadas/32 Pulgadas/42 Pulgadas/55 pulgadas</t>
        </is>
      </c>
      <c r="H2966" s="16" t="inlineStr">
        <is>
          <t>TL1455N20B</t>
        </is>
      </c>
      <c r="I2966" s="16" t="n">
        <v>1</v>
      </c>
      <c r="J2966" s="17" t="n">
        <v>85</v>
      </c>
      <c r="K2966" s="17" t="n">
        <v>95.02</v>
      </c>
      <c r="L2966" s="17" t="n">
        <v>25.86</v>
      </c>
      <c r="M2966" s="17" t="n">
        <v>0</v>
      </c>
      <c r="N2966" s="17">
        <f>K2966*0.08+L2966*0.08</f>
        <v/>
      </c>
      <c r="O2966" s="17">
        <f>-(K2966*0.025+L2966*0.025)</f>
        <v/>
      </c>
      <c r="P2966" s="17">
        <f>32</f>
        <v/>
      </c>
      <c r="Q2966" s="17">
        <f>J2966+L2966+N2966+O2966-P2966-M2966</f>
        <v/>
      </c>
    </row>
    <row r="2967">
      <c r="A2967" s="16" t="inlineStr">
        <is>
          <t>5.29-6.4</t>
        </is>
      </c>
      <c r="B2967" s="16" t="inlineStr">
        <is>
          <t>PO-128-03290856492153841</t>
        </is>
      </c>
      <c r="C2967" s="16" t="inlineStr">
        <is>
          <t>Shipped</t>
        </is>
      </c>
      <c r="D2967" s="16" t="inlineStr">
        <is>
          <t>128-03291008535673841</t>
        </is>
      </c>
      <c r="E2967" s="16" t="inlineStr">
        <is>
          <t>Shipped</t>
        </is>
      </c>
      <c r="F2967" s="16" t="inlineStr">
        <is>
          <t>LV54W25</t>
        </is>
      </c>
      <c r="G2967" s="16" t="inlineStr">
        <is>
          <t>TIANLAI Lámpara Ventilador E27 2 en 1, Silenciosa, LED Alta Luminosidad 180°, Instalación Rápida, Ahorro Energético para Dormitorio y Interiores Pequeños</t>
        </is>
      </c>
      <c r="H2967" s="16" t="inlineStr">
        <is>
          <t>1 Pieza</t>
        </is>
      </c>
      <c r="I2967" s="16" t="n">
        <v>2</v>
      </c>
      <c r="J2967" s="17" t="n">
        <v>149</v>
      </c>
      <c r="K2967" s="17" t="n">
        <v>158.58</v>
      </c>
      <c r="L2967" s="17" t="n">
        <v>25.86</v>
      </c>
      <c r="M2967" s="17" t="n">
        <v>0</v>
      </c>
      <c r="N2967" s="17">
        <f>K2967*0.08+L2967*0.08</f>
        <v/>
      </c>
      <c r="O2967" s="17">
        <f>-(K2967*0.025+L2967*0.025)</f>
        <v/>
      </c>
      <c r="P2967" s="17">
        <f>32</f>
        <v/>
      </c>
      <c r="Q2967" s="17">
        <f>J2967+L2967+N2967+O2967-P2967-M2967</f>
        <v/>
      </c>
    </row>
    <row r="2968">
      <c r="A2968" s="16" t="inlineStr">
        <is>
          <t>5.29-6.4</t>
        </is>
      </c>
      <c r="B2968" s="16" t="inlineStr">
        <is>
          <t>PO-128-02885720384630174</t>
        </is>
      </c>
      <c r="C2968" s="16" t="inlineStr">
        <is>
          <t>Shipped</t>
        </is>
      </c>
      <c r="D2968" s="16" t="inlineStr">
        <is>
          <t>128-02885709898870174</t>
        </is>
      </c>
      <c r="E2968" s="16" t="inlineStr">
        <is>
          <t>Shipped</t>
        </is>
      </c>
      <c r="F2968" s="16" t="inlineStr">
        <is>
          <t>LV54W25</t>
        </is>
      </c>
      <c r="G2968" s="16" t="inlineStr">
        <is>
          <t>TIANLAI Lámpara Ventilador E27 2 en 1, Silenciosa, LED Alta Luminosidad 180°, Instalación Rápida, Ahorro Energético para Dormitorio y Interiores Pequeños</t>
        </is>
      </c>
      <c r="H2968" s="16" t="inlineStr">
        <is>
          <t>1 Pieza</t>
        </is>
      </c>
      <c r="I2968" s="16" t="n">
        <v>1</v>
      </c>
      <c r="J2968" s="17" t="n">
        <v>74.5</v>
      </c>
      <c r="K2968" s="17" t="n">
        <v>72.16</v>
      </c>
      <c r="L2968" s="17" t="n">
        <v>25.86</v>
      </c>
      <c r="M2968" s="17" t="n">
        <v>0</v>
      </c>
      <c r="N2968" s="17">
        <f>K2968*0.08+L2968*0.08</f>
        <v/>
      </c>
      <c r="O2968" s="17">
        <f>-(K2968*0.025+L2968*0.025)</f>
        <v/>
      </c>
      <c r="P2968" s="17">
        <f>32</f>
        <v/>
      </c>
      <c r="Q2968" s="17">
        <f>J2968+L2968+N2968+O2968-P2968-M2968</f>
        <v/>
      </c>
    </row>
    <row r="2969">
      <c r="A2969" s="16" t="inlineStr">
        <is>
          <t>5.29-6.4</t>
        </is>
      </c>
      <c r="B2969" s="16" t="inlineStr">
        <is>
          <t>PO-128-03233538035832263</t>
        </is>
      </c>
      <c r="C2969" s="16" t="inlineStr">
        <is>
          <t>Shipped</t>
        </is>
      </c>
      <c r="D2969" s="16" t="inlineStr">
        <is>
          <t>128-03233496092792263</t>
        </is>
      </c>
      <c r="E2969" s="16" t="inlineStr">
        <is>
          <t>Shipped</t>
        </is>
      </c>
      <c r="F2969" s="16" t="inlineStr">
        <is>
          <t>KTS-2031</t>
        </is>
      </c>
      <c r="G2969" s="16" t="inlineStr">
        <is>
          <t>Bocina inalámbrica de 3 pulgadas con linterna multifuncional y panel solar integrado.Altavoz Portátil con Linterna LED 4 Modos, Radio FM, Bluetooth, Carga Solar, Ideal para Apagones, Emergencias, Campo y Exteriores</t>
        </is>
      </c>
      <c r="H2969" s="16" t="inlineStr">
        <is>
          <t>NEGRO</t>
        </is>
      </c>
      <c r="I2969" s="16" t="n">
        <v>1</v>
      </c>
      <c r="J2969" s="17" t="n">
        <v>90</v>
      </c>
      <c r="K2969" s="17" t="n">
        <v>116.97</v>
      </c>
      <c r="L2969" s="17" t="n">
        <v>25.86</v>
      </c>
      <c r="M2969" s="17" t="n">
        <v>0</v>
      </c>
      <c r="N2969" s="17">
        <f>K2969*0.08+L2969*0.08</f>
        <v/>
      </c>
      <c r="O2969" s="17">
        <f>-(K2969*0.025+L2969*0.025)</f>
        <v/>
      </c>
      <c r="P2969" s="17">
        <f>32</f>
        <v/>
      </c>
      <c r="Q2969" s="17">
        <f>J2969+L2969+N2969+O2969-P2969-M2969</f>
        <v/>
      </c>
    </row>
    <row r="2970">
      <c r="A2970" s="16" t="inlineStr">
        <is>
          <t>5.29-6.4</t>
        </is>
      </c>
      <c r="B2970" s="16" t="inlineStr">
        <is>
          <t>PO-128-02988864914551545</t>
        </is>
      </c>
      <c r="C2970" s="16" t="inlineStr">
        <is>
          <t>Shipped</t>
        </is>
      </c>
      <c r="D2970" s="16" t="inlineStr">
        <is>
          <t>128-02989024822391545</t>
        </is>
      </c>
      <c r="E2970" s="16" t="inlineStr">
        <is>
          <t>Shipped</t>
        </is>
      </c>
      <c r="F2970" s="16" t="inlineStr">
        <is>
          <t>VB349T</t>
        </is>
      </c>
      <c r="G2970" s="16" t="inlineStr">
        <is>
          <t>LINKBITS Altavoz Portátil de Doble Altavoz - 3 Pulgadas, Sonido HD, Emparejamiento Rápido de Bluetooth, Conectividad TWS, Reproducción Multimodo (Micro SD/USB/Radio FM) - Perfecto para Oficina, Viajes y Espacios Pequeños</t>
        </is>
      </c>
      <c r="H2970" s="16" t="inlineStr">
        <is>
          <t>NEGRO</t>
        </is>
      </c>
      <c r="I2970" s="16" t="n">
        <v>1</v>
      </c>
      <c r="J2970" s="17" t="n">
        <v>81</v>
      </c>
      <c r="K2970" s="17" t="n">
        <v>94.26000000000001</v>
      </c>
      <c r="L2970" s="17" t="n">
        <v>25.86</v>
      </c>
      <c r="M2970" s="17" t="n">
        <v>0</v>
      </c>
      <c r="N2970" s="17">
        <f>K2970*0.08+L2970*0.08</f>
        <v/>
      </c>
      <c r="O2970" s="17">
        <f>-(K2970*0.025+L2970*0.025)</f>
        <v/>
      </c>
      <c r="P2970" s="17">
        <f>32</f>
        <v/>
      </c>
      <c r="Q2970" s="17">
        <f>J2970+L2970+N2970+O2970-P2970-M2970</f>
        <v/>
      </c>
    </row>
    <row r="2971">
      <c r="A2971" s="16" t="inlineStr">
        <is>
          <t>5.29-6.4</t>
        </is>
      </c>
      <c r="B2971" s="16" t="inlineStr">
        <is>
          <t>PO-128-02828703731830578</t>
        </is>
      </c>
      <c r="C2971" s="16" t="inlineStr">
        <is>
          <t>Shipped</t>
        </is>
      </c>
      <c r="D2971" s="16" t="inlineStr">
        <is>
          <t>128-02828682760310578</t>
        </is>
      </c>
      <c r="E2971" s="16" t="inlineStr">
        <is>
          <t>Shipped</t>
        </is>
      </c>
      <c r="F2971" s="16" t="inlineStr">
        <is>
          <t>LV54W25</t>
        </is>
      </c>
      <c r="G2971" s="16" t="inlineStr">
        <is>
          <t>TIANLAI Lámpara Ventilador E27 2 en 1, Silenciosa, LED Alta Luminosidad 180°, Instalación Rápida, Ahorro Energético para Dormitorio y Interiores Pequeños</t>
        </is>
      </c>
      <c r="H2971" s="16" t="inlineStr">
        <is>
          <t>1 Pieza</t>
        </is>
      </c>
      <c r="I2971" s="16" t="n">
        <v>1</v>
      </c>
      <c r="J2971" s="17" t="n">
        <v>74.5</v>
      </c>
      <c r="K2971" s="17" t="n">
        <v>86.18000000000001</v>
      </c>
      <c r="L2971" s="17" t="n">
        <v>25.86</v>
      </c>
      <c r="M2971" s="17" t="n">
        <v>0</v>
      </c>
      <c r="N2971" s="17">
        <f>K2971*0.08+L2971*0.08</f>
        <v/>
      </c>
      <c r="O2971" s="17">
        <f>-(K2971*0.025+L2971*0.025)</f>
        <v/>
      </c>
      <c r="P2971" s="17">
        <f>32</f>
        <v/>
      </c>
      <c r="Q2971" s="17">
        <f>J2971+L2971+N2971+O2971-P2971-M2971</f>
        <v/>
      </c>
    </row>
    <row r="2972">
      <c r="A2972" s="16" t="inlineStr">
        <is>
          <t>5.29-6.4</t>
        </is>
      </c>
      <c r="B2972" s="16" t="inlineStr">
        <is>
          <t>PO-128-03020067254391487</t>
        </is>
      </c>
      <c r="C2972" s="16" t="inlineStr">
        <is>
          <t>Shipped</t>
        </is>
      </c>
      <c r="D2972" s="16" t="inlineStr">
        <is>
          <t>128-03020081999991487</t>
        </is>
      </c>
      <c r="E2972" s="16" t="inlineStr">
        <is>
          <t>Shipped</t>
        </is>
      </c>
      <c r="F2972" s="16" t="inlineStr">
        <is>
          <t>BG-115-B</t>
        </is>
      </c>
      <c r="G2972" s="16" t="inlineStr">
        <is>
          <t>LINK BITS Audífonos Inalámbricos con Luces Multicolor, Recargables y en Adorable Forma de Orejas de Gato - Conecta a Celulares y PCs, Tiene Radio FM, Tarjeta TF y AUX - 7 Horas de Reproducción, Plegables y Perfectos para Trabajo, Juegos y Estudio</t>
        </is>
      </c>
      <c r="H2972" s="16" t="inlineStr">
        <is>
          <t>blanco</t>
        </is>
      </c>
      <c r="I2972" s="16" t="n">
        <v>1</v>
      </c>
      <c r="J2972" s="17" t="n">
        <v>80</v>
      </c>
      <c r="K2972" s="17" t="n">
        <v>90.72</v>
      </c>
      <c r="L2972" s="17" t="n">
        <v>0</v>
      </c>
      <c r="M2972" s="17" t="n">
        <v>0</v>
      </c>
      <c r="N2972" s="17">
        <f>K2972*0.08+L2972*0.08</f>
        <v/>
      </c>
      <c r="O2972" s="17">
        <f>-(K2972*0.025+L2972*0.025)</f>
        <v/>
      </c>
      <c r="P2972" s="17">
        <f>32</f>
        <v/>
      </c>
      <c r="Q2972" s="17">
        <f>J2972+L2972+N2972+O2972-P2972-M2972</f>
        <v/>
      </c>
    </row>
    <row r="2973">
      <c r="A2973" s="16" t="inlineStr">
        <is>
          <t>5.29-6.4</t>
        </is>
      </c>
      <c r="B2973" s="16" t="inlineStr">
        <is>
          <t>PO-128-03020067254391487</t>
        </is>
      </c>
      <c r="C2973" s="16" t="inlineStr">
        <is>
          <t>Shipped</t>
        </is>
      </c>
      <c r="D2973" s="16" t="inlineStr">
        <is>
          <t>128-03020087242871487</t>
        </is>
      </c>
      <c r="E2973" s="16" t="inlineStr">
        <is>
          <t>Shipped</t>
        </is>
      </c>
      <c r="F2973" s="16" t="inlineStr">
        <is>
          <t>BG-139-N</t>
        </is>
      </c>
      <c r="G2973" s="16" t="inlineStr">
        <is>
          <t>LINK BITS Audífonos Inalámbricos con Luces Multicolor, Recargables y en Adorable Forma de Orejas de Gato - Conecta a Celulares y PCs, Tiene Radio FM, Tarjeta TF y AUX - 7 Horas de Reproducción, Plegables y Perfectos para Trabajo, Juegos y Estudio</t>
        </is>
      </c>
      <c r="H2973" s="16" t="inlineStr">
        <is>
          <t>negro</t>
        </is>
      </c>
      <c r="I2973" s="16" t="n">
        <v>3</v>
      </c>
      <c r="J2973" s="17" t="n">
        <v>132</v>
      </c>
      <c r="K2973" s="17" t="n">
        <v>205.23</v>
      </c>
      <c r="L2973" s="17" t="n">
        <v>0</v>
      </c>
      <c r="M2973" s="17" t="n">
        <v>0</v>
      </c>
      <c r="N2973" s="17">
        <f>K2973*0.08+L2973*0.08</f>
        <v/>
      </c>
      <c r="O2973" s="17">
        <f>-(K2973*0.025+L2973*0.025)</f>
        <v/>
      </c>
      <c r="P2973" s="17">
        <f>32</f>
        <v/>
      </c>
      <c r="Q2973" s="17">
        <f>J2973+L2973+N2973+O2973-P2973-M2973</f>
        <v/>
      </c>
    </row>
    <row r="2974">
      <c r="A2974" s="16" t="inlineStr">
        <is>
          <t>5.29-6.4</t>
        </is>
      </c>
      <c r="B2974" s="16" t="inlineStr">
        <is>
          <t>PO-128-02889169559670218</t>
        </is>
      </c>
      <c r="C2974" s="16" t="inlineStr">
        <is>
          <t>Shipped</t>
        </is>
      </c>
      <c r="D2974" s="16" t="inlineStr">
        <is>
          <t>128-02889195774070218</t>
        </is>
      </c>
      <c r="E2974" s="16" t="inlineStr">
        <is>
          <t>Shipped</t>
        </is>
      </c>
      <c r="F2974" s="16" t="inlineStr">
        <is>
          <t>TL1455N20B</t>
        </is>
      </c>
      <c r="G2974" s="16" t="inlineStr">
        <is>
          <t>LINK BITS Soporte para TV 14 A 55 Pulgadas, Base para TV Pantalla Articulado Inclinable y Giratorio, MAX VESA 400×400 mm, Soporta hasta 18kg, adaptarse a la mayoría de los televisores de 14 Pulgadas/20 Pulgadas/32 Pulgadas/42 Pulgadas/55 pulgadas</t>
        </is>
      </c>
      <c r="H2974" s="16" t="inlineStr">
        <is>
          <t>TL1455N20B</t>
        </is>
      </c>
      <c r="I2974" s="16" t="n">
        <v>1</v>
      </c>
      <c r="J2974" s="17" t="n">
        <v>85</v>
      </c>
      <c r="K2974" s="17" t="n">
        <v>95.02</v>
      </c>
      <c r="L2974" s="17" t="n">
        <v>25.86</v>
      </c>
      <c r="M2974" s="17" t="n">
        <v>0</v>
      </c>
      <c r="N2974" s="17">
        <f>K2974*0.08+L2974*0.08</f>
        <v/>
      </c>
      <c r="O2974" s="17">
        <f>-(K2974*0.025+L2974*0.025)</f>
        <v/>
      </c>
      <c r="P2974" s="17">
        <f>32</f>
        <v/>
      </c>
      <c r="Q2974" s="17">
        <f>J2974+L2974+N2974+O2974-P2974-M2974</f>
        <v/>
      </c>
    </row>
    <row r="2975">
      <c r="A2975" s="16" t="inlineStr">
        <is>
          <t>5.29-6.4</t>
        </is>
      </c>
      <c r="B2975" s="16" t="inlineStr">
        <is>
          <t>PO-128-02796650995830643</t>
        </is>
      </c>
      <c r="C2975" s="16" t="inlineStr">
        <is>
          <t>Shipped</t>
        </is>
      </c>
      <c r="D2975" s="16" t="inlineStr">
        <is>
          <t>128-02796619538550643</t>
        </is>
      </c>
      <c r="E2975" s="16" t="inlineStr">
        <is>
          <t>Shipped</t>
        </is>
      </c>
      <c r="F2975" s="16" t="inlineStr">
        <is>
          <t>LV64W25</t>
        </is>
      </c>
      <c r="G29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75" s="16" t="inlineStr">
        <is>
          <t>Blanco</t>
        </is>
      </c>
      <c r="I2975" s="16" t="n">
        <v>2</v>
      </c>
      <c r="J2975" s="17" t="n">
        <v>246</v>
      </c>
      <c r="K2975" s="17" t="n">
        <v>262.76</v>
      </c>
      <c r="L2975" s="17" t="n">
        <v>0</v>
      </c>
      <c r="M2975" s="17" t="n">
        <v>0</v>
      </c>
      <c r="N2975" s="17">
        <f>K2975*0.08+L2975*0.08</f>
        <v/>
      </c>
      <c r="O2975" s="17">
        <f>-(K2975*0.025+L2975*0.025)</f>
        <v/>
      </c>
      <c r="P2975" s="17">
        <f>32</f>
        <v/>
      </c>
      <c r="Q2975" s="17">
        <f>J2975+L2975+N2975+O2975-P2975-M2975</f>
        <v/>
      </c>
    </row>
    <row r="2976">
      <c r="A2976" s="16" t="inlineStr">
        <is>
          <t>5.29-6.4</t>
        </is>
      </c>
      <c r="B2976" s="16" t="inlineStr">
        <is>
          <t>PO-128-03195561546872553</t>
        </is>
      </c>
      <c r="C2976" s="16" t="inlineStr">
        <is>
          <t>Shipped</t>
        </is>
      </c>
      <c r="D2976" s="16" t="inlineStr">
        <is>
          <t>128-03195585139832553</t>
        </is>
      </c>
      <c r="E2976" s="16" t="inlineStr">
        <is>
          <t>Shipped</t>
        </is>
      </c>
      <c r="F2976" s="16" t="inlineStr">
        <is>
          <t>LV64W25</t>
        </is>
      </c>
      <c r="G29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76" s="16" t="inlineStr">
        <is>
          <t>Blanco</t>
        </is>
      </c>
      <c r="I2976" s="16" t="n">
        <v>2</v>
      </c>
      <c r="J2976" s="17" t="n">
        <v>246</v>
      </c>
      <c r="K2976" s="17" t="n">
        <v>257.12</v>
      </c>
      <c r="L2976" s="17" t="n">
        <v>0</v>
      </c>
      <c r="M2976" s="17" t="n">
        <v>0</v>
      </c>
      <c r="N2976" s="17">
        <f>K2976*0.08+L2976*0.08</f>
        <v/>
      </c>
      <c r="O2976" s="17">
        <f>-(K2976*0.025+L2976*0.025)</f>
        <v/>
      </c>
      <c r="P2976" s="17">
        <f>32</f>
        <v/>
      </c>
      <c r="Q2976" s="17">
        <f>J2976+L2976+N2976+O2976-P2976-M2976</f>
        <v/>
      </c>
    </row>
    <row r="2977">
      <c r="A2977" s="16" t="inlineStr">
        <is>
          <t>5.29-6.4</t>
        </is>
      </c>
      <c r="B2977" s="16" t="inlineStr">
        <is>
          <t>PO-128-03018275479671496</t>
        </is>
      </c>
      <c r="C2977" s="16" t="inlineStr">
        <is>
          <t>Shipped</t>
        </is>
      </c>
      <c r="D2977" s="16" t="inlineStr">
        <is>
          <t>128-03018285965431496</t>
        </is>
      </c>
      <c r="E2977" s="16" t="inlineStr">
        <is>
          <t>Shipped</t>
        </is>
      </c>
      <c r="F2977" s="16" t="inlineStr">
        <is>
          <t>LV54W25</t>
        </is>
      </c>
      <c r="G2977" s="16" t="inlineStr">
        <is>
          <t>TIANLAI Lámpara Ventilador E27 2 en 1, Silenciosa, LED Alta Luminosidad 180°, Instalación Rápida, Ahorro Energético para Dormitorio y Interiores Pequeños</t>
        </is>
      </c>
      <c r="H2977" s="16" t="inlineStr">
        <is>
          <t>1 Pieza</t>
        </is>
      </c>
      <c r="I2977" s="16" t="n">
        <v>1</v>
      </c>
      <c r="J2977" s="17" t="n">
        <v>74.5</v>
      </c>
      <c r="K2977" s="17" t="n">
        <v>79.29000000000001</v>
      </c>
      <c r="L2977" s="17" t="n">
        <v>25.86</v>
      </c>
      <c r="M2977" s="17" t="n">
        <v>0</v>
      </c>
      <c r="N2977" s="17">
        <f>K2977*0.08+L2977*0.08</f>
        <v/>
      </c>
      <c r="O2977" s="17">
        <f>-(K2977*0.025+L2977*0.025)</f>
        <v/>
      </c>
      <c r="P2977" s="17">
        <f>32</f>
        <v/>
      </c>
      <c r="Q2977" s="17">
        <f>J2977+L2977+N2977+O2977-P2977-M2977</f>
        <v/>
      </c>
    </row>
    <row r="2978">
      <c r="A2978" s="16" t="inlineStr">
        <is>
          <t>5.29-6.4</t>
        </is>
      </c>
      <c r="B2978" s="16" t="inlineStr">
        <is>
          <t>PO-128-03157785183352587</t>
        </is>
      </c>
      <c r="C2978" s="16" t="inlineStr">
        <is>
          <t>Shipped</t>
        </is>
      </c>
      <c r="D2978" s="16" t="inlineStr">
        <is>
          <t>128-03157795669112587</t>
        </is>
      </c>
      <c r="E2978" s="16" t="inlineStr">
        <is>
          <t>Shipped</t>
        </is>
      </c>
      <c r="F2978" s="16" t="inlineStr">
        <is>
          <t>LV54W25</t>
        </is>
      </c>
      <c r="G2978" s="16" t="inlineStr">
        <is>
          <t>TIANLAI Lámpara Ventilador E27 2 en 1, Silenciosa, LED Alta Luminosidad 180°, Instalación Rápida, Ahorro Energético para Dormitorio y Interiores Pequeños</t>
        </is>
      </c>
      <c r="H2978" s="16" t="inlineStr">
        <is>
          <t>1 Pieza</t>
        </is>
      </c>
      <c r="I2978" s="16" t="n">
        <v>1</v>
      </c>
      <c r="J2978" s="17" t="n">
        <v>74.5</v>
      </c>
      <c r="K2978" s="17" t="n">
        <v>86.18000000000001</v>
      </c>
      <c r="L2978" s="17" t="n">
        <v>25.86</v>
      </c>
      <c r="M2978" s="17" t="n">
        <v>0</v>
      </c>
      <c r="N2978" s="17">
        <f>K2978*0.08+L2978*0.08</f>
        <v/>
      </c>
      <c r="O2978" s="17">
        <f>-(K2978*0.025+L2978*0.025)</f>
        <v/>
      </c>
      <c r="P2978" s="17">
        <f>32</f>
        <v/>
      </c>
      <c r="Q2978" s="17">
        <f>J2978+L2978+N2978+O2978-P2978-M2978</f>
        <v/>
      </c>
    </row>
    <row r="2979">
      <c r="A2979" s="16" t="inlineStr">
        <is>
          <t>5.29-6.4</t>
        </is>
      </c>
      <c r="B2979" s="16" t="inlineStr">
        <is>
          <t>PO-128-03432725450873186</t>
        </is>
      </c>
      <c r="C2979" s="16" t="inlineStr">
        <is>
          <t>Shipped</t>
        </is>
      </c>
      <c r="D2979" s="16" t="inlineStr">
        <is>
          <t>128-03432746422393186</t>
        </is>
      </c>
      <c r="E2979" s="16" t="inlineStr">
        <is>
          <t>Shipped</t>
        </is>
      </c>
      <c r="F2979" s="16" t="inlineStr">
        <is>
          <t>LV64W25</t>
        </is>
      </c>
      <c r="G29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79" s="16" t="inlineStr">
        <is>
          <t>Blanco</t>
        </is>
      </c>
      <c r="I2979" s="16" t="n">
        <v>1</v>
      </c>
      <c r="J2979" s="17" t="n">
        <v>123</v>
      </c>
      <c r="K2979" s="17" t="n">
        <v>131.38</v>
      </c>
      <c r="L2979" s="17" t="n">
        <v>25.86</v>
      </c>
      <c r="M2979" s="17" t="n">
        <v>0</v>
      </c>
      <c r="N2979" s="17">
        <f>K2979*0.08+L2979*0.08</f>
        <v/>
      </c>
      <c r="O2979" s="17">
        <f>-(K2979*0.025+L2979*0.025)</f>
        <v/>
      </c>
      <c r="P2979" s="17">
        <f>32</f>
        <v/>
      </c>
      <c r="Q2979" s="17">
        <f>J2979+L2979+N2979+O2979-P2979-M2979</f>
        <v/>
      </c>
    </row>
    <row r="2980">
      <c r="A2980" s="16" t="inlineStr">
        <is>
          <t>5.29-6.4</t>
        </is>
      </c>
      <c r="B2980" s="16" t="inlineStr">
        <is>
          <t>PO-128-02921122209911949</t>
        </is>
      </c>
      <c r="C2980" s="16" t="inlineStr">
        <is>
          <t>Shipped</t>
        </is>
      </c>
      <c r="D2980" s="16" t="inlineStr">
        <is>
          <t>128-02921227067511949</t>
        </is>
      </c>
      <c r="E2980" s="16" t="inlineStr">
        <is>
          <t>Shipped</t>
        </is>
      </c>
      <c r="F2980" s="16" t="inlineStr">
        <is>
          <t>LV64W25</t>
        </is>
      </c>
      <c r="G29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80" s="16" t="inlineStr">
        <is>
          <t>Blanco</t>
        </is>
      </c>
      <c r="I2980" s="16" t="n">
        <v>1</v>
      </c>
      <c r="J2980" s="17" t="n">
        <v>123</v>
      </c>
      <c r="K2980" s="17" t="n">
        <v>131.38</v>
      </c>
      <c r="L2980" s="17" t="n">
        <v>25.86</v>
      </c>
      <c r="M2980" s="17" t="n">
        <v>0</v>
      </c>
      <c r="N2980" s="17">
        <f>K2980*0.08+L2980*0.08</f>
        <v/>
      </c>
      <c r="O2980" s="17">
        <f>-(K2980*0.025+L2980*0.025)</f>
        <v/>
      </c>
      <c r="P2980" s="17">
        <f>32</f>
        <v/>
      </c>
      <c r="Q2980" s="17">
        <f>J2980+L2980+N2980+O2980-P2980-M2980</f>
        <v/>
      </c>
    </row>
    <row r="2981">
      <c r="A2981" s="16" t="inlineStr">
        <is>
          <t>5.29-6.4</t>
        </is>
      </c>
      <c r="B2981" s="16" t="inlineStr">
        <is>
          <t>PO-128-03167143084152595</t>
        </is>
      </c>
      <c r="C2981" s="16" t="inlineStr">
        <is>
          <t>Shipped</t>
        </is>
      </c>
      <c r="D2981" s="16" t="inlineStr">
        <is>
          <t>128-03167164055672595</t>
        </is>
      </c>
      <c r="E2981" s="16" t="inlineStr">
        <is>
          <t>Shipped</t>
        </is>
      </c>
      <c r="F2981" s="16" t="inlineStr">
        <is>
          <t>LV54W25</t>
        </is>
      </c>
      <c r="G2981" s="16" t="inlineStr">
        <is>
          <t>TIANLAI Lámpara Ventilador E27 2 en 1, Silenciosa, LED Alta Luminosidad 180°, Instalación Rápida, Ahorro Energético para Dormitorio y Interiores Pequeños</t>
        </is>
      </c>
      <c r="H2981" s="16" t="inlineStr">
        <is>
          <t>1 Pieza</t>
        </is>
      </c>
      <c r="I2981" s="16" t="n">
        <v>1</v>
      </c>
      <c r="J2981" s="17" t="n">
        <v>74.5</v>
      </c>
      <c r="K2981" s="17" t="n">
        <v>86.18000000000001</v>
      </c>
      <c r="L2981" s="17" t="n">
        <v>25.86</v>
      </c>
      <c r="M2981" s="17" t="n">
        <v>0</v>
      </c>
      <c r="N2981" s="17">
        <f>K2981*0.08+L2981*0.08</f>
        <v/>
      </c>
      <c r="O2981" s="17">
        <f>-(K2981*0.025+L2981*0.025)</f>
        <v/>
      </c>
      <c r="P2981" s="17">
        <f>32</f>
        <v/>
      </c>
      <c r="Q2981" s="17">
        <f>J2981+L2981+N2981+O2981-P2981-M2981</f>
        <v/>
      </c>
    </row>
    <row r="2982">
      <c r="A2982" s="16" t="inlineStr">
        <is>
          <t>5.29-6.4</t>
        </is>
      </c>
      <c r="B2982" s="16" t="inlineStr">
        <is>
          <t>PO-128-02790995960950869</t>
        </is>
      </c>
      <c r="C2982" s="16" t="inlineStr">
        <is>
          <t>Shipped</t>
        </is>
      </c>
      <c r="D2982" s="16" t="inlineStr">
        <is>
          <t>128-02791016932470869</t>
        </is>
      </c>
      <c r="E2982" s="16" t="inlineStr">
        <is>
          <t>Shipped</t>
        </is>
      </c>
      <c r="F2982" s="16" t="inlineStr">
        <is>
          <t>LV64W25</t>
        </is>
      </c>
      <c r="G29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82" s="16" t="inlineStr">
        <is>
          <t>Blanco</t>
        </is>
      </c>
      <c r="I2982" s="16" t="n">
        <v>2</v>
      </c>
      <c r="J2982" s="17" t="n">
        <v>246</v>
      </c>
      <c r="K2982" s="17" t="n">
        <v>254.29</v>
      </c>
      <c r="L2982" s="17" t="n">
        <v>0</v>
      </c>
      <c r="M2982" s="17" t="n">
        <v>0</v>
      </c>
      <c r="N2982" s="17">
        <f>K2982*0.08+L2982*0.08</f>
        <v/>
      </c>
      <c r="O2982" s="17">
        <f>-(K2982*0.025+L2982*0.025)</f>
        <v/>
      </c>
      <c r="P2982" s="17">
        <f>32</f>
        <v/>
      </c>
      <c r="Q2982" s="17">
        <f>J2982+L2982+N2982+O2982-P2982-M2982</f>
        <v/>
      </c>
    </row>
    <row r="2983">
      <c r="A2983" s="16" t="inlineStr">
        <is>
          <t>5.29-6.4</t>
        </is>
      </c>
      <c r="B2983" s="16" t="inlineStr">
        <is>
          <t>PO-128-03401937580153243</t>
        </is>
      </c>
      <c r="C2983" s="16" t="inlineStr">
        <is>
          <t>Shipped</t>
        </is>
      </c>
      <c r="D2983" s="16" t="inlineStr">
        <is>
          <t>128-03401936597113243</t>
        </is>
      </c>
      <c r="E2983" s="16" t="inlineStr">
        <is>
          <t>Shipped</t>
        </is>
      </c>
      <c r="F2983" s="16" t="inlineStr">
        <is>
          <t>BG-139-P</t>
        </is>
      </c>
      <c r="G2983" s="16" t="inlineStr">
        <is>
          <t>LINK BITS Audífonos Inalámbricos con Luces Multicolor, Recargables y en Adorable Forma de Orejas de Gato - Conecta a Celulares y PCs, Tiene Radio FM, Tarjeta TF y AUX - 7 Horas de Reproducción, Plegables y Perfectos para Trabajo, Juegos y Estudio</t>
        </is>
      </c>
      <c r="H2983" s="16" t="inlineStr">
        <is>
          <t>rosa</t>
        </is>
      </c>
      <c r="I2983" s="16" t="n">
        <v>1</v>
      </c>
      <c r="J2983" s="17" t="n">
        <v>69</v>
      </c>
      <c r="K2983" s="17" t="n">
        <v>93.41</v>
      </c>
      <c r="L2983" s="17" t="n">
        <v>25.86</v>
      </c>
      <c r="M2983" s="17" t="n">
        <v>0</v>
      </c>
      <c r="N2983" s="17">
        <f>K2983*0.08+L2983*0.08</f>
        <v/>
      </c>
      <c r="O2983" s="17">
        <f>-(K2983*0.025+L2983*0.025)</f>
        <v/>
      </c>
      <c r="P2983" s="17">
        <f>32</f>
        <v/>
      </c>
      <c r="Q2983" s="17">
        <f>J2983+L2983+N2983+O2983-P2983-M2983</f>
        <v/>
      </c>
    </row>
    <row r="2984">
      <c r="A2984" s="16" t="inlineStr">
        <is>
          <t>5.29-6.4</t>
        </is>
      </c>
      <c r="B2984" s="16" t="inlineStr">
        <is>
          <t>PO-128-03245258867832065</t>
        </is>
      </c>
      <c r="C2984" s="16" t="inlineStr">
        <is>
          <t>Shipped</t>
        </is>
      </c>
      <c r="D2984" s="16" t="inlineStr">
        <is>
          <t>128-03245300749432065</t>
        </is>
      </c>
      <c r="E2984" s="16" t="inlineStr">
        <is>
          <t>Shipped</t>
        </is>
      </c>
      <c r="F2984" s="16" t="inlineStr">
        <is>
          <t>LV54W25</t>
        </is>
      </c>
      <c r="G2984" s="16" t="inlineStr">
        <is>
          <t>TIANLAI Lámpara Ventilador E27 2 en 1, Silenciosa, LED Alta Luminosidad 180°, Instalación Rápida, Ahorro Energético para Dormitorio y Interiores Pequeños</t>
        </is>
      </c>
      <c r="H2984" s="16" t="inlineStr">
        <is>
          <t>1 Pieza</t>
        </is>
      </c>
      <c r="I2984" s="16" t="n">
        <v>1</v>
      </c>
      <c r="J2984" s="17" t="n">
        <v>74.5</v>
      </c>
      <c r="K2984" s="17" t="n">
        <v>60.32</v>
      </c>
      <c r="L2984" s="17" t="n">
        <v>25.86</v>
      </c>
      <c r="M2984" s="17" t="n">
        <v>0</v>
      </c>
      <c r="N2984" s="17">
        <f>K2984*0.08+L2984*0.08</f>
        <v/>
      </c>
      <c r="O2984" s="17">
        <f>-(K2984*0.025+L2984*0.025)</f>
        <v/>
      </c>
      <c r="P2984" s="17">
        <f>32</f>
        <v/>
      </c>
      <c r="Q2984" s="17">
        <f>J2984+L2984+N2984+O2984-P2984-M2984</f>
        <v/>
      </c>
    </row>
    <row r="2985">
      <c r="A2985" s="16" t="inlineStr">
        <is>
          <t>5.29-6.4</t>
        </is>
      </c>
      <c r="B2985" s="16" t="inlineStr">
        <is>
          <t>PO-128-02969870856311723</t>
        </is>
      </c>
      <c r="C2985" s="16" t="inlineStr">
        <is>
          <t>Shipped</t>
        </is>
      </c>
      <c r="D2985" s="16" t="inlineStr">
        <is>
          <t>128-02969828913271723</t>
        </is>
      </c>
      <c r="E2985" s="16" t="inlineStr">
        <is>
          <t>Shipped</t>
        </is>
      </c>
      <c r="F2985" s="16" t="inlineStr">
        <is>
          <t>LV54W25</t>
        </is>
      </c>
      <c r="G2985" s="16" t="inlineStr">
        <is>
          <t>TIANLAI Lámpara Ventilador E27 2 en 1, Silenciosa, LED Alta Luminosidad 180°, Instalación Rápida, Ahorro Energético para Dormitorio y Interiores Pequeños</t>
        </is>
      </c>
      <c r="H2985" s="16" t="inlineStr">
        <is>
          <t>1 Pieza</t>
        </is>
      </c>
      <c r="I2985" s="16" t="n">
        <v>1</v>
      </c>
      <c r="J2985" s="17" t="n">
        <v>78</v>
      </c>
      <c r="K2985" s="17" t="n">
        <v>82.51000000000001</v>
      </c>
      <c r="L2985" s="17" t="n">
        <v>25.86</v>
      </c>
      <c r="M2985" s="17" t="n">
        <v>0</v>
      </c>
      <c r="N2985" s="17">
        <f>K2985*0.08+L2985*0.08</f>
        <v/>
      </c>
      <c r="O2985" s="17">
        <f>-(K2985*0.025+L2985*0.025)</f>
        <v/>
      </c>
      <c r="P2985" s="17">
        <f>32</f>
        <v/>
      </c>
      <c r="Q2985" s="17">
        <f>J2985+L2985+N2985+O2985-P2985-M2985</f>
        <v/>
      </c>
    </row>
    <row r="2986">
      <c r="A2986" s="16" t="inlineStr">
        <is>
          <t>5.29-6.4</t>
        </is>
      </c>
      <c r="B2986" s="16" t="inlineStr">
        <is>
          <t>PO-128-03284438766714070</t>
        </is>
      </c>
      <c r="C2986" s="16" t="inlineStr">
        <is>
          <t>Shipped</t>
        </is>
      </c>
      <c r="D2986" s="16" t="inlineStr">
        <is>
          <t>128-03284396823674070</t>
        </is>
      </c>
      <c r="E2986" s="16" t="inlineStr">
        <is>
          <t>Shipped</t>
        </is>
      </c>
      <c r="F2986" s="16" t="inlineStr">
        <is>
          <t>TL1412N17C</t>
        </is>
      </c>
      <c r="G2986" s="16" t="inlineStr">
        <is>
          <t>Linkbits, Soporte de Pared Fijo para TV y Monitor de 14"-43", Ultra Delgado 2.3cm, Fuerte Capacidad de Peso de 25KG, Fácil Instalación con Accesorios Completos</t>
        </is>
      </c>
      <c r="H2986" s="16" t="inlineStr">
        <is>
          <t>NEGRO</t>
        </is>
      </c>
      <c r="I2986" s="16" t="n">
        <v>1</v>
      </c>
      <c r="J2986" s="17" t="n">
        <v>36.84</v>
      </c>
      <c r="K2986" s="17" t="n">
        <v>56.06</v>
      </c>
      <c r="L2986" s="17" t="n">
        <v>25.86</v>
      </c>
      <c r="M2986" s="17" t="n">
        <v>0</v>
      </c>
      <c r="N2986" s="17">
        <f>K2986*0.08+L2986*0.08</f>
        <v/>
      </c>
      <c r="O2986" s="17">
        <f>-(K2986*0.025+L2986*0.025)</f>
        <v/>
      </c>
      <c r="P2986" s="17">
        <f>32</f>
        <v/>
      </c>
      <c r="Q2986" s="17">
        <f>J2986+L2986+N2986+O2986-P2986-M2986</f>
        <v/>
      </c>
    </row>
    <row r="2987">
      <c r="A2987" s="16" t="inlineStr">
        <is>
          <t>5.29-6.4</t>
        </is>
      </c>
      <c r="B2987" s="16" t="inlineStr">
        <is>
          <t>PO-128-03208472865912349</t>
        </is>
      </c>
      <c r="C2987" s="16" t="inlineStr">
        <is>
          <t>Shipped</t>
        </is>
      </c>
      <c r="D2987" s="16" t="inlineStr">
        <is>
          <t>128-03208430922872349</t>
        </is>
      </c>
      <c r="E2987" s="16" t="inlineStr">
        <is>
          <t>Shipped</t>
        </is>
      </c>
      <c r="F2987" s="16" t="inlineStr">
        <is>
          <t>TL1455N20B</t>
        </is>
      </c>
      <c r="G2987" s="16" t="inlineStr">
        <is>
          <t>LINK BITS Soporte para TV 14 A 55 Pulgadas, Base para TV Pantalla Articulado Inclinable y Giratorio, MAX VESA 400×400 mm, Soporta hasta 18kg, adaptarse a la mayoría de los televisores de 14 Pulgadas/20 Pulgadas/32 Pulgadas/42 Pulgadas/55 pulgadas</t>
        </is>
      </c>
      <c r="H2987" s="16" t="inlineStr">
        <is>
          <t>TL1455N20B</t>
        </is>
      </c>
      <c r="I2987" s="16" t="n">
        <v>4</v>
      </c>
      <c r="J2987" s="17" t="n">
        <v>340</v>
      </c>
      <c r="K2987" s="17" t="n">
        <v>380.08</v>
      </c>
      <c r="L2987" s="17" t="n">
        <v>0</v>
      </c>
      <c r="M2987" s="17" t="n">
        <v>0</v>
      </c>
      <c r="N2987" s="17">
        <f>K2987*0.08+L2987*0.08</f>
        <v/>
      </c>
      <c r="O2987" s="17">
        <f>-(K2987*0.025+L2987*0.025)</f>
        <v/>
      </c>
      <c r="P2987" s="17">
        <f>32</f>
        <v/>
      </c>
      <c r="Q2987" s="17">
        <f>J2987+L2987+N2987+O2987-P2987-M2987</f>
        <v/>
      </c>
    </row>
    <row r="2988">
      <c r="A2988" s="16" t="inlineStr">
        <is>
          <t>5.29-6.4</t>
        </is>
      </c>
      <c r="B2988" s="16" t="inlineStr">
        <is>
          <t>PO-128-02783690678390846</t>
        </is>
      </c>
      <c r="C2988" s="16" t="inlineStr">
        <is>
          <t>Shipped</t>
        </is>
      </c>
      <c r="D2988" s="16" t="inlineStr">
        <is>
          <t>128-02783682814070846</t>
        </is>
      </c>
      <c r="E2988" s="16" t="inlineStr">
        <is>
          <t>Shipped</t>
        </is>
      </c>
      <c r="F2988" s="16" t="inlineStr">
        <is>
          <t>i12-B</t>
        </is>
      </c>
      <c r="G2988" s="16" t="inlineStr">
        <is>
          <t>Auriculares Inalámbricos TWS - Ideales para Usuarios Android e iPhone, Entusiastas del Deporte &amp; Música, Controles Táctiles, Audífonos Para Correr y Jugar</t>
        </is>
      </c>
      <c r="H2988" s="16" t="inlineStr">
        <is>
          <t>Blanco</t>
        </is>
      </c>
      <c r="I2988" s="16" t="n">
        <v>1</v>
      </c>
      <c r="J2988" s="17" t="n">
        <v>44.8</v>
      </c>
      <c r="K2988" s="17" t="n">
        <v>75.81999999999999</v>
      </c>
      <c r="L2988" s="17" t="n">
        <v>25.86</v>
      </c>
      <c r="M2988" s="17" t="n">
        <v>0</v>
      </c>
      <c r="N2988" s="17">
        <f>K2988*0.08+L2988*0.08</f>
        <v/>
      </c>
      <c r="O2988" s="17">
        <f>-(K2988*0.025+L2988*0.025)</f>
        <v/>
      </c>
      <c r="P2988" s="17">
        <f>32</f>
        <v/>
      </c>
      <c r="Q2988" s="17">
        <f>J2988+L2988+N2988+O2988-P2988-M2988</f>
        <v/>
      </c>
    </row>
    <row r="2989">
      <c r="A2989" s="16" t="inlineStr">
        <is>
          <t>5.29-6.4</t>
        </is>
      </c>
      <c r="B2989" s="16" t="inlineStr">
        <is>
          <t>PO-128-02906382533750053</t>
        </is>
      </c>
      <c r="C2989" s="16" t="inlineStr">
        <is>
          <t>Shipped</t>
        </is>
      </c>
      <c r="D2989" s="16" t="inlineStr">
        <is>
          <t>128-02906424476790053</t>
        </is>
      </c>
      <c r="E2989" s="16" t="inlineStr">
        <is>
          <t>Shipped</t>
        </is>
      </c>
      <c r="F2989" s="16" t="inlineStr">
        <is>
          <t>LV64W25</t>
        </is>
      </c>
      <c r="G29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89" s="16" t="inlineStr">
        <is>
          <t>Blanco</t>
        </is>
      </c>
      <c r="I2989" s="16" t="n">
        <v>2</v>
      </c>
      <c r="J2989" s="17" t="n">
        <v>246</v>
      </c>
      <c r="K2989" s="17" t="n">
        <v>257.12</v>
      </c>
      <c r="L2989" s="17" t="n">
        <v>0</v>
      </c>
      <c r="M2989" s="17" t="n">
        <v>0</v>
      </c>
      <c r="N2989" s="17">
        <f>K2989*0.08+L2989*0.08</f>
        <v/>
      </c>
      <c r="O2989" s="17">
        <f>-(K2989*0.025+L2989*0.025)</f>
        <v/>
      </c>
      <c r="P2989" s="17">
        <f>32</f>
        <v/>
      </c>
      <c r="Q2989" s="17">
        <f>J2989+L2989+N2989+O2989-P2989-M2989</f>
        <v/>
      </c>
    </row>
    <row r="2990">
      <c r="A2990" s="16" t="inlineStr">
        <is>
          <t>5.29-6.4</t>
        </is>
      </c>
      <c r="B2990" s="16" t="inlineStr">
        <is>
          <t>PO-128-03336155323513635</t>
        </is>
      </c>
      <c r="C2990" s="16" t="inlineStr">
        <is>
          <t>Shipped</t>
        </is>
      </c>
      <c r="D2990" s="16" t="inlineStr">
        <is>
          <t>128-03336202509433635</t>
        </is>
      </c>
      <c r="E2990" s="16" t="inlineStr">
        <is>
          <t>Shipped</t>
        </is>
      </c>
      <c r="F2990" s="16" t="inlineStr">
        <is>
          <t>BSC04</t>
        </is>
      </c>
      <c r="G2990" s="16" t="inlineStr">
        <is>
          <t>TIANLAI Báscula Digital BSC04/BSC07, Alta Precisión, Fácil Operación, Ligera y Portátil, Función Tara, Unidad Dual oz/g, Ideal para Cocina, Control de Porciones, Sellos y Objetos Pequeños, Uso en Hogar y Viaje</t>
        </is>
      </c>
      <c r="H2990" s="16" t="inlineStr">
        <is>
          <t>5g/White</t>
        </is>
      </c>
      <c r="I2990" s="16" t="n">
        <v>1</v>
      </c>
      <c r="J2990" s="17" t="n">
        <v>58</v>
      </c>
      <c r="K2990" s="17" t="n">
        <v>91.22</v>
      </c>
      <c r="L2990" s="17" t="n">
        <v>25.86</v>
      </c>
      <c r="M2990" s="17" t="n">
        <v>0</v>
      </c>
      <c r="N2990" s="17">
        <f>K2990*0.08+L2990*0.08</f>
        <v/>
      </c>
      <c r="O2990" s="17">
        <f>-(K2990*0.025+L2990*0.025)</f>
        <v/>
      </c>
      <c r="P2990" s="17">
        <f>32</f>
        <v/>
      </c>
      <c r="Q2990" s="17">
        <f>J2990+L2990+N2990+O2990-P2990-M2990</f>
        <v/>
      </c>
    </row>
    <row r="2991">
      <c r="A2991" s="16" t="inlineStr">
        <is>
          <t>5.29-6.4</t>
        </is>
      </c>
      <c r="B2991" s="16" t="inlineStr">
        <is>
          <t>PO-128-03034631995511337</t>
        </is>
      </c>
      <c r="C2991" s="16" t="inlineStr">
        <is>
          <t>Shipped</t>
        </is>
      </c>
      <c r="D2991" s="16" t="inlineStr">
        <is>
          <t>128-03034590052471337</t>
        </is>
      </c>
      <c r="E2991" s="16" t="inlineStr">
        <is>
          <t>Shipped</t>
        </is>
      </c>
      <c r="F2991" s="16" t="inlineStr">
        <is>
          <t>LV54W25</t>
        </is>
      </c>
      <c r="G2991" s="16" t="inlineStr">
        <is>
          <t>TIANLAI Lámpara Ventilador E27 2 en 1, Silenciosa, LED Alta Luminosidad 180°, Instalación Rápida, Ahorro Energético para Dormitorio y Interiores Pequeños</t>
        </is>
      </c>
      <c r="H2991" s="16" t="inlineStr">
        <is>
          <t>1 Pieza</t>
        </is>
      </c>
      <c r="I2991" s="16" t="n">
        <v>2</v>
      </c>
      <c r="J2991" s="17" t="n">
        <v>156</v>
      </c>
      <c r="K2991" s="17" t="n">
        <v>165.02</v>
      </c>
      <c r="L2991" s="17" t="n">
        <v>25.86</v>
      </c>
      <c r="M2991" s="17" t="n">
        <v>0</v>
      </c>
      <c r="N2991" s="17">
        <f>K2991*0.08+L2991*0.08</f>
        <v/>
      </c>
      <c r="O2991" s="17">
        <f>-(K2991*0.025+L2991*0.025)</f>
        <v/>
      </c>
      <c r="P2991" s="17">
        <f>32</f>
        <v/>
      </c>
      <c r="Q2991" s="17">
        <f>J2991+L2991+N2991+O2991-P2991-M2991</f>
        <v/>
      </c>
    </row>
    <row r="2992">
      <c r="A2992" s="16" t="inlineStr">
        <is>
          <t>5.29-6.4</t>
        </is>
      </c>
      <c r="B2992" s="16" t="inlineStr">
        <is>
          <t>PO-128-03115786591352837</t>
        </is>
      </c>
      <c r="C2992" s="16" t="inlineStr">
        <is>
          <t>Shipped</t>
        </is>
      </c>
      <c r="D2992" s="16" t="inlineStr">
        <is>
          <t>128-03115854748792837</t>
        </is>
      </c>
      <c r="E2992" s="16" t="inlineStr">
        <is>
          <t>Shipped</t>
        </is>
      </c>
      <c r="F2992" s="16" t="inlineStr">
        <is>
          <t>LV64W25</t>
        </is>
      </c>
      <c r="G29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92" s="16" t="inlineStr">
        <is>
          <t>Blanco</t>
        </is>
      </c>
      <c r="I2992" s="16" t="n">
        <v>1</v>
      </c>
      <c r="J2992" s="17" t="n">
        <v>110.55</v>
      </c>
      <c r="K2992" s="17" t="n">
        <v>83.84999999999999</v>
      </c>
      <c r="L2992" s="17" t="n">
        <v>0</v>
      </c>
      <c r="M2992" s="17" t="n">
        <v>0</v>
      </c>
      <c r="N2992" s="17">
        <f>K2992*0.08+L2992*0.08</f>
        <v/>
      </c>
      <c r="O2992" s="17">
        <f>-(K2992*0.025+L2992*0.025)</f>
        <v/>
      </c>
      <c r="P2992" s="17">
        <f>32</f>
        <v/>
      </c>
      <c r="Q2992" s="17">
        <f>J2992+L2992+N2992+O2992-P2992-M2992</f>
        <v/>
      </c>
    </row>
    <row r="2993">
      <c r="A2993" s="16" t="inlineStr">
        <is>
          <t>5.29-6.4</t>
        </is>
      </c>
      <c r="B2993" s="16" t="inlineStr">
        <is>
          <t>PO-128-03115786591352837</t>
        </is>
      </c>
      <c r="C2993" s="16" t="inlineStr">
        <is>
          <t>Shipped</t>
        </is>
      </c>
      <c r="D2993" s="16" t="inlineStr">
        <is>
          <t>128-03115833777272837</t>
        </is>
      </c>
      <c r="E2993" s="16" t="inlineStr">
        <is>
          <t>Shipped</t>
        </is>
      </c>
      <c r="F2993" s="16" t="inlineStr">
        <is>
          <t>LV54W25</t>
        </is>
      </c>
      <c r="G2993" s="16" t="inlineStr">
        <is>
          <t>TIANLAI Lámpara Ventilador E27 2 en 1, Silenciosa, LED Alta Luminosidad 180°, Instalación Rápida, Ahorro Energético para Dormitorio y Interiores Pequeños</t>
        </is>
      </c>
      <c r="H2993" s="16" t="inlineStr">
        <is>
          <t>1 Pieza</t>
        </is>
      </c>
      <c r="I2993" s="16" t="n">
        <v>3</v>
      </c>
      <c r="J2993" s="17" t="n">
        <v>234</v>
      </c>
      <c r="K2993" s="17" t="n">
        <v>173.28</v>
      </c>
      <c r="L2993" s="17" t="n">
        <v>0</v>
      </c>
      <c r="M2993" s="17" t="n">
        <v>0</v>
      </c>
      <c r="N2993" s="17">
        <f>K2993*0.08+L2993*0.08</f>
        <v/>
      </c>
      <c r="O2993" s="17">
        <f>-(K2993*0.025+L2993*0.025)</f>
        <v/>
      </c>
      <c r="P2993" s="17">
        <f>32</f>
        <v/>
      </c>
      <c r="Q2993" s="17">
        <f>J2993+L2993+N2993+O2993-P2993-M2993</f>
        <v/>
      </c>
    </row>
    <row r="2994">
      <c r="A2994" s="16" t="inlineStr">
        <is>
          <t>5.29-6.4</t>
        </is>
      </c>
      <c r="B2994" s="16" t="inlineStr">
        <is>
          <t>PO-128-03362613340793540</t>
        </is>
      </c>
      <c r="C2994" s="16" t="inlineStr">
        <is>
          <t>Shipped</t>
        </is>
      </c>
      <c r="D2994" s="16" t="inlineStr">
        <is>
          <t>128-03362634312313540</t>
        </is>
      </c>
      <c r="E2994" s="16" t="inlineStr">
        <is>
          <t>Shipped</t>
        </is>
      </c>
      <c r="F2994" s="16" t="inlineStr">
        <is>
          <t>LV54W25</t>
        </is>
      </c>
      <c r="G2994" s="16" t="inlineStr">
        <is>
          <t>TIANLAI Lámpara Ventilador E27 2 en 1, Silenciosa, LED Alta Luminosidad 180°, Instalación Rápida, Ahorro Energético para Dormitorio y Interiores Pequeños</t>
        </is>
      </c>
      <c r="H2994" s="16" t="inlineStr">
        <is>
          <t>1 Pieza</t>
        </is>
      </c>
      <c r="I2994" s="16" t="n">
        <v>1</v>
      </c>
      <c r="J2994" s="17" t="n">
        <v>78</v>
      </c>
      <c r="K2994" s="17" t="n">
        <v>82.51000000000001</v>
      </c>
      <c r="L2994" s="17" t="n">
        <v>25.86</v>
      </c>
      <c r="M2994" s="17" t="n">
        <v>0</v>
      </c>
      <c r="N2994" s="17">
        <f>K2994*0.08+L2994*0.08</f>
        <v/>
      </c>
      <c r="O2994" s="17">
        <f>-(K2994*0.025+L2994*0.025)</f>
        <v/>
      </c>
      <c r="P2994" s="17">
        <f>32</f>
        <v/>
      </c>
      <c r="Q2994" s="17">
        <f>J2994+L2994+N2994+O2994-P2994-M2994</f>
        <v/>
      </c>
    </row>
    <row r="2995">
      <c r="A2995" s="16" t="inlineStr">
        <is>
          <t>5.29-6.4</t>
        </is>
      </c>
      <c r="B2995" s="16" t="inlineStr">
        <is>
          <t>PO-128-02785322808950839</t>
        </is>
      </c>
      <c r="C2995" s="16" t="inlineStr">
        <is>
          <t>Shipped</t>
        </is>
      </c>
      <c r="D2995" s="16" t="inlineStr">
        <is>
          <t>128-02785238922870839</t>
        </is>
      </c>
      <c r="E2995" s="16" t="inlineStr">
        <is>
          <t>Shipped</t>
        </is>
      </c>
      <c r="F2995" s="16" t="inlineStr">
        <is>
          <t>LV64W25</t>
        </is>
      </c>
      <c r="G29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95" s="16" t="inlineStr">
        <is>
          <t>Blanco</t>
        </is>
      </c>
      <c r="I2995" s="16" t="n">
        <v>1</v>
      </c>
      <c r="J2995" s="17" t="n">
        <v>123</v>
      </c>
      <c r="K2995" s="17" t="n">
        <v>131.38</v>
      </c>
      <c r="L2995" s="17" t="n">
        <v>0</v>
      </c>
      <c r="M2995" s="17" t="n">
        <v>0</v>
      </c>
      <c r="N2995" s="17">
        <f>K2995*0.08+L2995*0.08</f>
        <v/>
      </c>
      <c r="O2995" s="17">
        <f>-(K2995*0.025+L2995*0.025)</f>
        <v/>
      </c>
      <c r="P2995" s="17">
        <f>32</f>
        <v/>
      </c>
      <c r="Q2995" s="17">
        <f>J2995+L2995+N2995+O2995-P2995-M2995</f>
        <v/>
      </c>
    </row>
    <row r="2996">
      <c r="A2996" s="16" t="inlineStr">
        <is>
          <t>5.29-6.4</t>
        </is>
      </c>
      <c r="B2996" s="16" t="inlineStr">
        <is>
          <t>PO-128-02785322808950839</t>
        </is>
      </c>
      <c r="C2996" s="16" t="inlineStr">
        <is>
          <t>Shipped</t>
        </is>
      </c>
      <c r="D2996" s="16" t="inlineStr">
        <is>
          <t>128-02785280865910839</t>
        </is>
      </c>
      <c r="E2996" s="16" t="inlineStr">
        <is>
          <t>Shipped</t>
        </is>
      </c>
      <c r="F2996" s="16" t="inlineStr">
        <is>
          <t>i12-N</t>
        </is>
      </c>
      <c r="G2996" s="16" t="inlineStr">
        <is>
          <t>Auriculares Inalámbricos TWS - Ideales para Usuarios Android e iPhone, Entusiastas del Deporte &amp; Música, Controles Táctiles, Audífonos Para Correr y Jugar</t>
        </is>
      </c>
      <c r="H2996" s="16" t="inlineStr">
        <is>
          <t>Negro</t>
        </is>
      </c>
      <c r="I2996" s="16" t="n">
        <v>1</v>
      </c>
      <c r="J2996" s="17" t="n">
        <v>45</v>
      </c>
      <c r="K2996" s="17" t="n">
        <v>61.17</v>
      </c>
      <c r="L2996" s="17" t="n">
        <v>0</v>
      </c>
      <c r="M2996" s="17" t="n">
        <v>0</v>
      </c>
      <c r="N2996" s="17">
        <f>K2996*0.08+L2996*0.08</f>
        <v/>
      </c>
      <c r="O2996" s="17">
        <f>-(K2996*0.025+L2996*0.025)</f>
        <v/>
      </c>
      <c r="P2996" s="17">
        <f>32</f>
        <v/>
      </c>
      <c r="Q2996" s="17">
        <f>J2996+L2996+N2996+O2996-P2996-M2996</f>
        <v/>
      </c>
    </row>
    <row r="2997">
      <c r="A2997" s="16" t="inlineStr">
        <is>
          <t>5.29-6.4</t>
        </is>
      </c>
      <c r="B2997" s="16" t="inlineStr">
        <is>
          <t>PO-128-02785322808950839</t>
        </is>
      </c>
      <c r="C2997" s="16" t="inlineStr">
        <is>
          <t>Shipped</t>
        </is>
      </c>
      <c r="D2997" s="16" t="inlineStr">
        <is>
          <t>128-02785333294710839</t>
        </is>
      </c>
      <c r="E2997" s="16" t="inlineStr">
        <is>
          <t>Shipped</t>
        </is>
      </c>
      <c r="F2997" s="16" t="inlineStr">
        <is>
          <t>BG-139-N</t>
        </is>
      </c>
      <c r="G2997" s="16" t="inlineStr">
        <is>
          <t>LINK BITS Audífonos Inalámbricos con Luces Multicolor, Recargables y en Adorable Forma de Orejas de Gato - Conecta a Celulares y PCs, Tiene Radio FM, Tarjeta TF y AUX - 7 Horas de Reproducción, Plegables y Perfectos para Trabajo, Juegos y Estudio</t>
        </is>
      </c>
      <c r="H2997" s="16" t="inlineStr">
        <is>
          <t>negro</t>
        </is>
      </c>
      <c r="I2997" s="16" t="n">
        <v>1</v>
      </c>
      <c r="J2997" s="17" t="n">
        <v>44</v>
      </c>
      <c r="K2997" s="17" t="n">
        <v>68.41</v>
      </c>
      <c r="L2997" s="17" t="n">
        <v>0</v>
      </c>
      <c r="M2997" s="17" t="n">
        <v>0</v>
      </c>
      <c r="N2997" s="17">
        <f>K2997*0.08+L2997*0.08</f>
        <v/>
      </c>
      <c r="O2997" s="17">
        <f>-(K2997*0.025+L2997*0.025)</f>
        <v/>
      </c>
      <c r="P2997" s="17">
        <f>32</f>
        <v/>
      </c>
      <c r="Q2997" s="17">
        <f>J2997+L2997+N2997+O2997-P2997-M2997</f>
        <v/>
      </c>
    </row>
    <row r="2998">
      <c r="A2998" s="16" t="inlineStr">
        <is>
          <t>5.29-6.4</t>
        </is>
      </c>
      <c r="B2998" s="16" t="inlineStr">
        <is>
          <t>PO-128-02867987087990344</t>
        </is>
      </c>
      <c r="C2998" s="16" t="inlineStr">
        <is>
          <t>Shipped</t>
        </is>
      </c>
      <c r="D2998" s="16" t="inlineStr">
        <is>
          <t>128-02867971359350344</t>
        </is>
      </c>
      <c r="E2998" s="16" t="inlineStr">
        <is>
          <t>Shipped</t>
        </is>
      </c>
      <c r="F2998" s="16" t="inlineStr">
        <is>
          <t>LV54W25</t>
        </is>
      </c>
      <c r="G2998" s="16" t="inlineStr">
        <is>
          <t>TIANLAI Lámpara Ventilador E27 2 en 1, Silenciosa, LED Alta Luminosidad 180°, Instalación Rápida, Ahorro Energético para Dormitorio y Interiores Pequeños</t>
        </is>
      </c>
      <c r="H2998" s="16" t="inlineStr">
        <is>
          <t>1 Pieza</t>
        </is>
      </c>
      <c r="I2998" s="16" t="n">
        <v>1</v>
      </c>
      <c r="J2998" s="17" t="n">
        <v>78</v>
      </c>
      <c r="K2998" s="17" t="n">
        <v>82.51000000000001</v>
      </c>
      <c r="L2998" s="17" t="n">
        <v>25.86</v>
      </c>
      <c r="M2998" s="17" t="n">
        <v>0</v>
      </c>
      <c r="N2998" s="17">
        <f>K2998*0.08+L2998*0.08</f>
        <v/>
      </c>
      <c r="O2998" s="17">
        <f>-(K2998*0.025+L2998*0.025)</f>
        <v/>
      </c>
      <c r="P2998" s="17">
        <f>32</f>
        <v/>
      </c>
      <c r="Q2998" s="17">
        <f>J2998+L2998+N2998+O2998-P2998-M2998</f>
        <v/>
      </c>
    </row>
    <row r="2999">
      <c r="A2999" s="16" t="inlineStr">
        <is>
          <t>5.29-6.4</t>
        </is>
      </c>
      <c r="B2999" s="16" t="inlineStr">
        <is>
          <t>PO-128-03405729475193285</t>
        </is>
      </c>
      <c r="C2999" s="16" t="inlineStr">
        <is>
          <t>Shipped</t>
        </is>
      </c>
      <c r="D2999" s="16" t="inlineStr">
        <is>
          <t>128-03405750446713285</t>
        </is>
      </c>
      <c r="E2999" s="16" t="inlineStr">
        <is>
          <t>Shipped</t>
        </is>
      </c>
      <c r="F2999" s="16" t="inlineStr">
        <is>
          <t>LV64W25</t>
        </is>
      </c>
      <c r="G299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2999" s="16" t="inlineStr">
        <is>
          <t>Blanco</t>
        </is>
      </c>
      <c r="I2999" s="16" t="n">
        <v>4</v>
      </c>
      <c r="J2999" s="17" t="n">
        <v>442.2</v>
      </c>
      <c r="K2999" s="17" t="n">
        <v>479.2</v>
      </c>
      <c r="L2999" s="17" t="n">
        <v>0</v>
      </c>
      <c r="M2999" s="17" t="n">
        <v>0</v>
      </c>
      <c r="N2999" s="17">
        <f>K2999*0.08+L2999*0.08</f>
        <v/>
      </c>
      <c r="O2999" s="17">
        <f>-(K2999*0.025+L2999*0.025)</f>
        <v/>
      </c>
      <c r="P2999" s="17">
        <f>32</f>
        <v/>
      </c>
      <c r="Q2999" s="17">
        <f>J2999+L2999+N2999+O2999-P2999-M2999</f>
        <v/>
      </c>
    </row>
    <row r="3000">
      <c r="A3000" s="16" t="inlineStr">
        <is>
          <t>5.29-6.4</t>
        </is>
      </c>
      <c r="B3000" s="16" t="inlineStr">
        <is>
          <t>PO-128-02955619799671870</t>
        </is>
      </c>
      <c r="C3000" s="16" t="inlineStr">
        <is>
          <t>Shipped</t>
        </is>
      </c>
      <c r="D3000" s="16" t="inlineStr">
        <is>
          <t>128-02955577856631870</t>
        </is>
      </c>
      <c r="E3000" s="16" t="inlineStr">
        <is>
          <t>Shipped</t>
        </is>
      </c>
      <c r="F3000" s="16" t="inlineStr">
        <is>
          <t>TLCD02-8P-A</t>
        </is>
      </c>
      <c r="G300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00" s="16" t="inlineStr">
        <is>
          <t>AZUL/pantalla de 8.5 pulgadas</t>
        </is>
      </c>
      <c r="I3000" s="16" t="n">
        <v>1</v>
      </c>
      <c r="J3000" s="17" t="n">
        <v>25</v>
      </c>
      <c r="K3000" s="17" t="n">
        <v>34.57</v>
      </c>
      <c r="L3000" s="17" t="n">
        <v>25.86</v>
      </c>
      <c r="M3000" s="17" t="n">
        <v>0</v>
      </c>
      <c r="N3000" s="17">
        <f>K3000*0.08+L3000*0.08</f>
        <v/>
      </c>
      <c r="O3000" s="17">
        <f>-(K3000*0.025+L3000*0.025)</f>
        <v/>
      </c>
      <c r="P3000" s="17">
        <f>32</f>
        <v/>
      </c>
      <c r="Q3000" s="17">
        <f>J3000+L3000+N3000+O3000-P3000-M3000</f>
        <v/>
      </c>
    </row>
    <row r="3001">
      <c r="A3001" s="16" t="inlineStr">
        <is>
          <t>5.29-6.4</t>
        </is>
      </c>
      <c r="B3001" s="16" t="inlineStr">
        <is>
          <t>PO-128-02956207002231866</t>
        </is>
      </c>
      <c r="C3001" s="16" t="inlineStr">
        <is>
          <t>Shipped</t>
        </is>
      </c>
      <c r="D3001" s="16" t="inlineStr">
        <is>
          <t>128-02956248945271866</t>
        </is>
      </c>
      <c r="E3001" s="16" t="inlineStr">
        <is>
          <t>Shipped</t>
        </is>
      </c>
      <c r="F3001" s="16" t="inlineStr">
        <is>
          <t>LV64W25</t>
        </is>
      </c>
      <c r="G30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01" s="16" t="inlineStr">
        <is>
          <t>Blanco</t>
        </is>
      </c>
      <c r="I3001" s="16" t="n">
        <v>1</v>
      </c>
      <c r="J3001" s="17" t="n">
        <v>110.55</v>
      </c>
      <c r="K3001" s="17" t="n">
        <v>117.22</v>
      </c>
      <c r="L3001" s="17" t="n">
        <v>25.86</v>
      </c>
      <c r="M3001" s="17" t="n">
        <v>0</v>
      </c>
      <c r="N3001" s="17">
        <f>K3001*0.08+L3001*0.08</f>
        <v/>
      </c>
      <c r="O3001" s="17">
        <f>-(K3001*0.025+L3001*0.025)</f>
        <v/>
      </c>
      <c r="P3001" s="17">
        <f>32</f>
        <v/>
      </c>
      <c r="Q3001" s="17">
        <f>J3001+L3001+N3001+O3001-P3001-M3001</f>
        <v/>
      </c>
    </row>
    <row r="3002">
      <c r="A3002" s="16" t="inlineStr">
        <is>
          <t>5.29-6.4</t>
        </is>
      </c>
      <c r="B3002" s="16" t="inlineStr">
        <is>
          <t>PO-128-02928357775991968</t>
        </is>
      </c>
      <c r="C3002" s="16" t="inlineStr">
        <is>
          <t>Shipped</t>
        </is>
      </c>
      <c r="D3002" s="16" t="inlineStr">
        <is>
          <t>128-02928399719031968</t>
        </is>
      </c>
      <c r="E3002" s="16" t="inlineStr">
        <is>
          <t>Shipped</t>
        </is>
      </c>
      <c r="F3002" s="16" t="inlineStr">
        <is>
          <t>LV54W25</t>
        </is>
      </c>
      <c r="G3002" s="16" t="inlineStr">
        <is>
          <t>TIANLAI Lámpara Ventilador E27 2 en 1, Silenciosa, LED Alta Luminosidad 180°, Instalación Rápida, Ahorro Energético para Dormitorio y Interiores Pequeños</t>
        </is>
      </c>
      <c r="H3002" s="16" t="inlineStr">
        <is>
          <t>1 Pieza</t>
        </is>
      </c>
      <c r="I3002" s="16" t="n">
        <v>3</v>
      </c>
      <c r="J3002" s="17" t="n">
        <v>234</v>
      </c>
      <c r="K3002" s="17" t="n">
        <v>247.53</v>
      </c>
      <c r="L3002" s="17" t="n">
        <v>0</v>
      </c>
      <c r="M3002" s="17" t="n">
        <v>11.04</v>
      </c>
      <c r="N3002" s="17">
        <f>K3002*0.08+L3002*0.08</f>
        <v/>
      </c>
      <c r="O3002" s="17">
        <f>-(K3002*0.025+L3002*0.025)</f>
        <v/>
      </c>
      <c r="P3002" s="17">
        <f>32</f>
        <v/>
      </c>
      <c r="Q3002" s="17">
        <f>J3002+L3002+N3002+O3002-P3002-M3002</f>
        <v/>
      </c>
    </row>
    <row r="3003">
      <c r="A3003" s="16" t="inlineStr">
        <is>
          <t>5.29-6.4</t>
        </is>
      </c>
      <c r="B3003" s="16" t="inlineStr">
        <is>
          <t>PO-128-03092125701751120</t>
        </is>
      </c>
      <c r="C3003" s="16" t="inlineStr">
        <is>
          <t>Shipped</t>
        </is>
      </c>
      <c r="D3003" s="16" t="inlineStr">
        <is>
          <t>128-03092207621751120</t>
        </is>
      </c>
      <c r="E3003" s="16" t="inlineStr">
        <is>
          <t>Shipped</t>
        </is>
      </c>
      <c r="F3003" s="16" t="inlineStr">
        <is>
          <t>LV54W25</t>
        </is>
      </c>
      <c r="G3003" s="16" t="inlineStr">
        <is>
          <t>TIANLAI Lámpara Ventilador E27 2 en 1, Silenciosa, LED Alta Luminosidad 180°, Instalación Rápida, Ahorro Energético para Dormitorio y Interiores Pequeños</t>
        </is>
      </c>
      <c r="H3003" s="16" t="inlineStr">
        <is>
          <t>1 Pieza</t>
        </is>
      </c>
      <c r="I3003" s="16" t="n">
        <v>5</v>
      </c>
      <c r="J3003" s="17" t="n">
        <v>390</v>
      </c>
      <c r="K3003" s="17" t="n">
        <v>412.55</v>
      </c>
      <c r="L3003" s="17" t="n">
        <v>0</v>
      </c>
      <c r="M3003" s="17" t="n">
        <v>0</v>
      </c>
      <c r="N3003" s="17">
        <f>K3003*0.08+L3003*0.08</f>
        <v/>
      </c>
      <c r="O3003" s="17">
        <f>-(K3003*0.025+L3003*0.025)</f>
        <v/>
      </c>
      <c r="P3003" s="17">
        <f>32</f>
        <v/>
      </c>
      <c r="Q3003" s="17">
        <f>J3003+L3003+N3003+O3003-P3003-M3003</f>
        <v/>
      </c>
    </row>
    <row r="3004">
      <c r="A3004" s="16" t="inlineStr">
        <is>
          <t>5.29-6.4</t>
        </is>
      </c>
      <c r="B3004" s="16" t="inlineStr">
        <is>
          <t>PO-128-03121966208632862</t>
        </is>
      </c>
      <c r="C3004" s="16" t="inlineStr">
        <is>
          <t>Shipped</t>
        </is>
      </c>
      <c r="D3004" s="16" t="inlineStr">
        <is>
          <t>128-03121929508472862</t>
        </is>
      </c>
      <c r="E3004" s="16" t="inlineStr">
        <is>
          <t>Shipped</t>
        </is>
      </c>
      <c r="F3004" s="16" t="inlineStr">
        <is>
          <t>BG-139-N</t>
        </is>
      </c>
      <c r="G3004" s="16" t="inlineStr">
        <is>
          <t>LINK BITS Audífonos Inalámbricos con Luces Multicolor, Recargables y en Adorable Forma de Orejas de Gato - Conecta a Celulares y PCs, Tiene Radio FM, Tarjeta TF y AUX - 7 Horas de Reproducción, Plegables y Perfectos para Trabajo, Juegos y Estudio</t>
        </is>
      </c>
      <c r="H3004" s="16" t="inlineStr">
        <is>
          <t>negro</t>
        </is>
      </c>
      <c r="I3004" s="16" t="n">
        <v>1</v>
      </c>
      <c r="J3004" s="17" t="n">
        <v>44</v>
      </c>
      <c r="K3004" s="17" t="n">
        <v>66.28</v>
      </c>
      <c r="L3004" s="17" t="n">
        <v>25.86</v>
      </c>
      <c r="M3004" s="17" t="n">
        <v>0</v>
      </c>
      <c r="N3004" s="17">
        <f>K3004*0.08+L3004*0.08</f>
        <v/>
      </c>
      <c r="O3004" s="17">
        <f>-(K3004*0.025+L3004*0.025)</f>
        <v/>
      </c>
      <c r="P3004" s="17">
        <f>32</f>
        <v/>
      </c>
      <c r="Q3004" s="17">
        <f>J3004+L3004+N3004+O3004-P3004-M3004</f>
        <v/>
      </c>
    </row>
    <row r="3005">
      <c r="A3005" s="16" t="inlineStr">
        <is>
          <t>5.29-6.4</t>
        </is>
      </c>
      <c r="B3005" s="16" t="inlineStr">
        <is>
          <t>PO-128-03193126195832502</t>
        </is>
      </c>
      <c r="C3005" s="16" t="inlineStr">
        <is>
          <t>Shipped</t>
        </is>
      </c>
      <c r="D3005" s="16" t="inlineStr">
        <is>
          <t>128-03193111777912502</t>
        </is>
      </c>
      <c r="E3005" s="16" t="inlineStr">
        <is>
          <t>Shipped</t>
        </is>
      </c>
      <c r="F3005" s="16" t="inlineStr">
        <is>
          <t>BG-139-N</t>
        </is>
      </c>
      <c r="G3005" s="16" t="inlineStr">
        <is>
          <t>LINK BITS Audífonos Inalámbricos con Luces Multicolor, Recargables y en Adorable Forma de Orejas de Gato - Conecta a Celulares y PCs, Tiene Radio FM, Tarjeta TF y AUX - 7 Horas de Reproducción, Plegables y Perfectos para Trabajo, Juegos y Estudio</t>
        </is>
      </c>
      <c r="H3005" s="16" t="inlineStr">
        <is>
          <t>negro</t>
        </is>
      </c>
      <c r="I3005" s="16" t="n">
        <v>1</v>
      </c>
      <c r="J3005" s="17" t="n">
        <v>44</v>
      </c>
      <c r="K3005" s="17" t="n">
        <v>65.17</v>
      </c>
      <c r="L3005" s="17" t="n">
        <v>25.86</v>
      </c>
      <c r="M3005" s="17" t="n">
        <v>0</v>
      </c>
      <c r="N3005" s="17">
        <f>K3005*0.08+L3005*0.08</f>
        <v/>
      </c>
      <c r="O3005" s="17">
        <f>-(K3005*0.025+L3005*0.025)</f>
        <v/>
      </c>
      <c r="P3005" s="17">
        <f>32</f>
        <v/>
      </c>
      <c r="Q3005" s="17">
        <f>J3005+L3005+N3005+O3005-P3005-M3005</f>
        <v/>
      </c>
    </row>
    <row r="3006">
      <c r="A3006" s="16" t="inlineStr">
        <is>
          <t>5.29-6.4</t>
        </is>
      </c>
      <c r="B3006" s="16" t="inlineStr">
        <is>
          <t>PO-128-03282852987514081</t>
        </is>
      </c>
      <c r="C3006" s="16" t="inlineStr">
        <is>
          <t>Shipped</t>
        </is>
      </c>
      <c r="D3006" s="16" t="inlineStr">
        <is>
          <t>128-03282824151674081</t>
        </is>
      </c>
      <c r="E3006" s="16" t="inlineStr">
        <is>
          <t>Shipped</t>
        </is>
      </c>
      <c r="F3006" s="16" t="inlineStr">
        <is>
          <t>LV54W25</t>
        </is>
      </c>
      <c r="G3006" s="16" t="inlineStr">
        <is>
          <t>TIANLAI Lámpara Ventilador E27 2 en 1, Silenciosa, LED Alta Luminosidad 180°, Instalación Rápida, Ahorro Energético para Dormitorio y Interiores Pequeños</t>
        </is>
      </c>
      <c r="H3006" s="16" t="inlineStr">
        <is>
          <t>1 Pieza</t>
        </is>
      </c>
      <c r="I3006" s="16" t="n">
        <v>1</v>
      </c>
      <c r="J3006" s="17" t="n">
        <v>78</v>
      </c>
      <c r="K3006" s="17" t="n">
        <v>82.51000000000001</v>
      </c>
      <c r="L3006" s="17" t="n">
        <v>25.86</v>
      </c>
      <c r="M3006" s="17" t="n">
        <v>0</v>
      </c>
      <c r="N3006" s="17">
        <f>K3006*0.08+L3006*0.08</f>
        <v/>
      </c>
      <c r="O3006" s="17">
        <f>-(K3006*0.025+L3006*0.025)</f>
        <v/>
      </c>
      <c r="P3006" s="17">
        <f>32</f>
        <v/>
      </c>
      <c r="Q3006" s="17">
        <f>J3006+L3006+N3006+O3006-P3006-M3006</f>
        <v/>
      </c>
    </row>
    <row r="3007">
      <c r="A3007" s="16" t="inlineStr">
        <is>
          <t>5.29-6.4</t>
        </is>
      </c>
      <c r="B3007" s="16" t="inlineStr">
        <is>
          <t>PO-128-03047475671671386</t>
        </is>
      </c>
      <c r="C3007" s="16" t="inlineStr">
        <is>
          <t>Shipped</t>
        </is>
      </c>
      <c r="D3007" s="16" t="inlineStr">
        <is>
          <t>128-03047517614711386</t>
        </is>
      </c>
      <c r="E3007" s="16" t="inlineStr">
        <is>
          <t>Shipped</t>
        </is>
      </c>
      <c r="F3007" s="16" t="inlineStr">
        <is>
          <t>LV64W25</t>
        </is>
      </c>
      <c r="G30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07" s="16" t="inlineStr">
        <is>
          <t>Blanco</t>
        </is>
      </c>
      <c r="I3007" s="16" t="n">
        <v>3</v>
      </c>
      <c r="J3007" s="17" t="n">
        <v>331.65</v>
      </c>
      <c r="K3007" s="17" t="n">
        <v>359.4</v>
      </c>
      <c r="L3007" s="17" t="n">
        <v>0</v>
      </c>
      <c r="M3007" s="17" t="n">
        <v>0</v>
      </c>
      <c r="N3007" s="17">
        <f>K3007*0.08+L3007*0.08</f>
        <v/>
      </c>
      <c r="O3007" s="17">
        <f>-(K3007*0.025+L3007*0.025)</f>
        <v/>
      </c>
      <c r="P3007" s="17">
        <f>32</f>
        <v/>
      </c>
      <c r="Q3007" s="17">
        <f>J3007+L3007+N3007+O3007-P3007-M3007</f>
        <v/>
      </c>
    </row>
    <row r="3008">
      <c r="A3008" s="16" t="inlineStr">
        <is>
          <t>5.29-6.4</t>
        </is>
      </c>
      <c r="B3008" s="16" t="inlineStr">
        <is>
          <t>PO-128-03093098599032970</t>
        </is>
      </c>
      <c r="C3008" s="16" t="inlineStr">
        <is>
          <t>Shipped</t>
        </is>
      </c>
      <c r="D3008" s="16" t="inlineStr">
        <is>
          <t>128-03093140542072970</t>
        </is>
      </c>
      <c r="E3008" s="16" t="inlineStr">
        <is>
          <t>Shipped</t>
        </is>
      </c>
      <c r="F3008" s="16" t="inlineStr">
        <is>
          <t>BG-139-P</t>
        </is>
      </c>
      <c r="G3008" s="16" t="inlineStr">
        <is>
          <t>LINK BITS Audífonos Inalámbricos con Luces Multicolor, Recargables y en Adorable Forma de Orejas de Gato - Conecta a Celulares y PCs, Tiene Radio FM, Tarjeta TF y AUX - 7 Horas de Reproducción, Plegables y Perfectos para Trabajo, Juegos y Estudio</t>
        </is>
      </c>
      <c r="H3008" s="16" t="inlineStr">
        <is>
          <t>rosa</t>
        </is>
      </c>
      <c r="I3008" s="16" t="n">
        <v>1</v>
      </c>
      <c r="J3008" s="17" t="n">
        <v>69</v>
      </c>
      <c r="K3008" s="17" t="n">
        <v>7.2</v>
      </c>
      <c r="L3008" s="17" t="n">
        <v>25.86</v>
      </c>
      <c r="M3008" s="17" t="n">
        <v>0</v>
      </c>
      <c r="N3008" s="17">
        <f>K3008*0.08+L3008*0.08</f>
        <v/>
      </c>
      <c r="O3008" s="17">
        <f>-(K3008*0.025+L3008*0.025)</f>
        <v/>
      </c>
      <c r="P3008" s="17">
        <f>32</f>
        <v/>
      </c>
      <c r="Q3008" s="17">
        <f>J3008+L3008+N3008+O3008-P3008-M3008</f>
        <v/>
      </c>
    </row>
    <row r="3009">
      <c r="A3009" s="16" t="inlineStr">
        <is>
          <t>5.29-6.4</t>
        </is>
      </c>
      <c r="B3009" s="16" t="inlineStr">
        <is>
          <t>PO-128-02923311821431934</t>
        </is>
      </c>
      <c r="C3009" s="16" t="inlineStr">
        <is>
          <t>Shipped</t>
        </is>
      </c>
      <c r="D3009" s="16" t="inlineStr">
        <is>
          <t>128-02923317064311934</t>
        </is>
      </c>
      <c r="E3009" s="16" t="inlineStr">
        <is>
          <t>Shipped</t>
        </is>
      </c>
      <c r="F3009" s="16" t="inlineStr">
        <is>
          <t>TL1412N17C</t>
        </is>
      </c>
      <c r="G3009" s="16" t="inlineStr">
        <is>
          <t>Linkbits, Soporte de Pared Fijo para TV y Monitor de 14"-43", Ultra Delgado 2.3cm, Fuerte Capacidad de Peso de 25KG, Fácil Instalación con Accesorios Completos</t>
        </is>
      </c>
      <c r="H3009" s="16" t="inlineStr">
        <is>
          <t>NEGRO</t>
        </is>
      </c>
      <c r="I3009" s="16" t="n">
        <v>1</v>
      </c>
      <c r="J3009" s="17" t="n">
        <v>36.84</v>
      </c>
      <c r="K3009" s="17" t="n">
        <v>56.06</v>
      </c>
      <c r="L3009" s="17" t="n">
        <v>25.86</v>
      </c>
      <c r="M3009" s="17" t="n">
        <v>0</v>
      </c>
      <c r="N3009" s="17">
        <f>K3009*0.08+L3009*0.08</f>
        <v/>
      </c>
      <c r="O3009" s="17">
        <f>-(K3009*0.025+L3009*0.025)</f>
        <v/>
      </c>
      <c r="P3009" s="17">
        <f>32</f>
        <v/>
      </c>
      <c r="Q3009" s="17">
        <f>J3009+L3009+N3009+O3009-P3009-M3009</f>
        <v/>
      </c>
    </row>
    <row r="3010">
      <c r="A3010" s="16" t="inlineStr">
        <is>
          <t>5.29-6.4</t>
        </is>
      </c>
      <c r="B3010" s="16" t="inlineStr">
        <is>
          <t>PO-128-03055990743671209</t>
        </is>
      </c>
      <c r="C3010" s="16" t="inlineStr">
        <is>
          <t>Shipped</t>
        </is>
      </c>
      <c r="D3010" s="16" t="inlineStr">
        <is>
          <t>128-03056127058551209</t>
        </is>
      </c>
      <c r="E3010" s="16" t="inlineStr">
        <is>
          <t>Shipped</t>
        </is>
      </c>
      <c r="F3010" s="16" t="inlineStr">
        <is>
          <t>LV54W25</t>
        </is>
      </c>
      <c r="G3010" s="16" t="inlineStr">
        <is>
          <t>TIANLAI Lámpara Ventilador E27 2 en 1, Silenciosa, LED Alta Luminosidad 180°, Instalación Rápida, Ahorro Energético para Dormitorio y Interiores Pequeños</t>
        </is>
      </c>
      <c r="H3010" s="16" t="inlineStr">
        <is>
          <t>1 Pieza</t>
        </is>
      </c>
      <c r="I3010" s="16" t="n">
        <v>1</v>
      </c>
      <c r="J3010" s="17" t="n">
        <v>78</v>
      </c>
      <c r="K3010" s="17" t="n">
        <v>82.51000000000001</v>
      </c>
      <c r="L3010" s="17" t="n">
        <v>25.86</v>
      </c>
      <c r="M3010" s="17" t="n">
        <v>0</v>
      </c>
      <c r="N3010" s="17">
        <f>K3010*0.08+L3010*0.08</f>
        <v/>
      </c>
      <c r="O3010" s="17">
        <f>-(K3010*0.025+L3010*0.025)</f>
        <v/>
      </c>
      <c r="P3010" s="17">
        <f>32</f>
        <v/>
      </c>
      <c r="Q3010" s="17">
        <f>J3010+L3010+N3010+O3010-P3010-M3010</f>
        <v/>
      </c>
    </row>
    <row r="3011">
      <c r="A3011" s="16" t="inlineStr">
        <is>
          <t>5.29-6.4</t>
        </is>
      </c>
      <c r="B3011" s="16" t="inlineStr">
        <is>
          <t>PO-128-03349179269753684</t>
        </is>
      </c>
      <c r="C3011" s="16" t="inlineStr">
        <is>
          <t>Shipped</t>
        </is>
      </c>
      <c r="D3011" s="16" t="inlineStr">
        <is>
          <t>128-03349226455673684</t>
        </is>
      </c>
      <c r="E3011" s="16" t="inlineStr">
        <is>
          <t>Shipped</t>
        </is>
      </c>
      <c r="F3011" s="16" t="inlineStr">
        <is>
          <t>LV64W25</t>
        </is>
      </c>
      <c r="G30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11" s="16" t="inlineStr">
        <is>
          <t>Blanco</t>
        </is>
      </c>
      <c r="I3011" s="16" t="n">
        <v>1</v>
      </c>
      <c r="J3011" s="17" t="n">
        <v>110.55</v>
      </c>
      <c r="K3011" s="17" t="n">
        <v>119.8</v>
      </c>
      <c r="L3011" s="17" t="n">
        <v>25.86</v>
      </c>
      <c r="M3011" s="17" t="n">
        <v>0</v>
      </c>
      <c r="N3011" s="17">
        <f>K3011*0.08+L3011*0.08</f>
        <v/>
      </c>
      <c r="O3011" s="17">
        <f>-(K3011*0.025+L3011*0.025)</f>
        <v/>
      </c>
      <c r="P3011" s="17">
        <f>32</f>
        <v/>
      </c>
      <c r="Q3011" s="17">
        <f>J3011+L3011+N3011+O3011-P3011-M3011</f>
        <v/>
      </c>
    </row>
    <row r="3012">
      <c r="A3012" s="16" t="inlineStr">
        <is>
          <t>5.29-6.4</t>
        </is>
      </c>
      <c r="B3012" s="16" t="inlineStr">
        <is>
          <t>PO-128-03347966177913693</t>
        </is>
      </c>
      <c r="C3012" s="16" t="inlineStr">
        <is>
          <t>Shipped</t>
        </is>
      </c>
      <c r="D3012" s="16" t="inlineStr">
        <is>
          <t>128-03347971420793693</t>
        </is>
      </c>
      <c r="E3012" s="16" t="inlineStr">
        <is>
          <t>Shipped</t>
        </is>
      </c>
      <c r="F3012" s="16" t="inlineStr">
        <is>
          <t>VB349T</t>
        </is>
      </c>
      <c r="G3012" s="16" t="inlineStr">
        <is>
          <t>LINKBITS Altavoz Portátil de Doble Altavoz - 3 Pulgadas, Sonido HD, Emparejamiento Rápido de Bluetooth, Conectividad TWS, Reproducción Multimodo (Micro SD/USB/Radio FM) - Perfecto para Oficina, Viajes y Espacios Pequeños</t>
        </is>
      </c>
      <c r="H3012" s="16" t="inlineStr">
        <is>
          <t>NEGRO</t>
        </is>
      </c>
      <c r="I3012" s="16" t="n">
        <v>1</v>
      </c>
      <c r="J3012" s="17" t="n">
        <v>81</v>
      </c>
      <c r="K3012" s="17" t="n">
        <v>94.26000000000001</v>
      </c>
      <c r="L3012" s="17" t="n">
        <v>25.86</v>
      </c>
      <c r="M3012" s="17" t="n">
        <v>0</v>
      </c>
      <c r="N3012" s="17">
        <f>K3012*0.08+L3012*0.08</f>
        <v/>
      </c>
      <c r="O3012" s="17">
        <f>-(K3012*0.025+L3012*0.025)</f>
        <v/>
      </c>
      <c r="P3012" s="17">
        <f>32</f>
        <v/>
      </c>
      <c r="Q3012" s="17">
        <f>J3012+L3012+N3012+O3012-P3012-M3012</f>
        <v/>
      </c>
    </row>
    <row r="3013">
      <c r="A3013" s="16" t="inlineStr">
        <is>
          <t>5.29-6.4</t>
        </is>
      </c>
      <c r="B3013" s="16" t="inlineStr">
        <is>
          <t>PO-128-03111133046393057</t>
        </is>
      </c>
      <c r="C3013" s="16" t="inlineStr">
        <is>
          <t>Shipped</t>
        </is>
      </c>
      <c r="D3013" s="16" t="inlineStr">
        <is>
          <t>128-03111091103353057</t>
        </is>
      </c>
      <c r="E3013" s="16" t="inlineStr">
        <is>
          <t>Shipped</t>
        </is>
      </c>
      <c r="F3013" s="16" t="inlineStr">
        <is>
          <t>LV54W25</t>
        </is>
      </c>
      <c r="G3013" s="16" t="inlineStr">
        <is>
          <t>TIANLAI Lámpara Ventilador E27 2 en 1, Silenciosa, LED Alta Luminosidad 180°, Instalación Rápida, Ahorro Energético para Dormitorio y Interiores Pequeños</t>
        </is>
      </c>
      <c r="H3013" s="16" t="inlineStr">
        <is>
          <t>1 Pieza</t>
        </is>
      </c>
      <c r="I3013" s="16" t="n">
        <v>3</v>
      </c>
      <c r="J3013" s="17" t="n">
        <v>234</v>
      </c>
      <c r="K3013" s="17" t="n">
        <v>239.46</v>
      </c>
      <c r="L3013" s="17" t="n">
        <v>0</v>
      </c>
      <c r="M3013" s="17" t="n">
        <v>0</v>
      </c>
      <c r="N3013" s="17">
        <f>K3013*0.08+L3013*0.08</f>
        <v/>
      </c>
      <c r="O3013" s="17">
        <f>-(K3013*0.025+L3013*0.025)</f>
        <v/>
      </c>
      <c r="P3013" s="17">
        <f>32</f>
        <v/>
      </c>
      <c r="Q3013" s="17">
        <f>J3013+L3013+N3013+O3013-P3013-M3013</f>
        <v/>
      </c>
    </row>
    <row r="3014">
      <c r="A3014" s="16" t="inlineStr">
        <is>
          <t>5.29-6.4</t>
        </is>
      </c>
      <c r="B3014" s="16" t="inlineStr">
        <is>
          <t>PO-128-02989225349751543</t>
        </is>
      </c>
      <c r="C3014" s="16" t="inlineStr">
        <is>
          <t>Shipped</t>
        </is>
      </c>
      <c r="D3014" s="16" t="inlineStr">
        <is>
          <t>128-02989330207351543</t>
        </is>
      </c>
      <c r="E3014" s="16" t="inlineStr">
        <is>
          <t>Shipped</t>
        </is>
      </c>
      <c r="F3014" s="16" t="inlineStr">
        <is>
          <t>LV64W25</t>
        </is>
      </c>
      <c r="G30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14" s="16" t="inlineStr">
        <is>
          <t>Blanco</t>
        </is>
      </c>
      <c r="I3014" s="16" t="n">
        <v>2</v>
      </c>
      <c r="J3014" s="17" t="n">
        <v>221.1</v>
      </c>
      <c r="K3014" s="17" t="n">
        <v>231.86</v>
      </c>
      <c r="L3014" s="17" t="n">
        <v>25.86</v>
      </c>
      <c r="M3014" s="17" t="n">
        <v>0</v>
      </c>
      <c r="N3014" s="17">
        <f>K3014*0.08+L3014*0.08</f>
        <v/>
      </c>
      <c r="O3014" s="17">
        <f>-(K3014*0.025+L3014*0.025)</f>
        <v/>
      </c>
      <c r="P3014" s="17">
        <f>32</f>
        <v/>
      </c>
      <c r="Q3014" s="17">
        <f>J3014+L3014+N3014+O3014-P3014-M3014</f>
        <v/>
      </c>
    </row>
    <row r="3015">
      <c r="A3015" s="16" t="inlineStr">
        <is>
          <t>5.29-6.4</t>
        </is>
      </c>
      <c r="B3015" s="16" t="inlineStr">
        <is>
          <t>PO-128-03178203223672657</t>
        </is>
      </c>
      <c r="C3015" s="16" t="inlineStr">
        <is>
          <t>Shipped</t>
        </is>
      </c>
      <c r="D3015" s="16" t="inlineStr">
        <is>
          <t>128-03178255652472657</t>
        </is>
      </c>
      <c r="E3015" s="16" t="inlineStr">
        <is>
          <t>Shipped</t>
        </is>
      </c>
      <c r="F3015" s="16" t="inlineStr">
        <is>
          <t>TL1455N20B</t>
        </is>
      </c>
      <c r="G3015" s="16" t="inlineStr">
        <is>
          <t>LINK BITS Soporte para TV 14 A 55 Pulgadas, Base para TV Pantalla Articulado Inclinable y Giratorio, MAX VESA 400×400 mm, Soporta hasta 18kg, adaptarse a la mayoría de los televisores de 14 Pulgadas/20 Pulgadas/32 Pulgadas/42 Pulgadas/55 pulgadas</t>
        </is>
      </c>
      <c r="H3015" s="16" t="inlineStr">
        <is>
          <t>TL1455N20B</t>
        </is>
      </c>
      <c r="I3015" s="16" t="n">
        <v>1</v>
      </c>
      <c r="J3015" s="17" t="n">
        <v>80.5</v>
      </c>
      <c r="K3015" s="17" t="n">
        <v>90.52</v>
      </c>
      <c r="L3015" s="17" t="n">
        <v>25.86</v>
      </c>
      <c r="M3015" s="17" t="n">
        <v>0</v>
      </c>
      <c r="N3015" s="17">
        <f>K3015*0.08+L3015*0.08</f>
        <v/>
      </c>
      <c r="O3015" s="17">
        <f>-(K3015*0.025+L3015*0.025)</f>
        <v/>
      </c>
      <c r="P3015" s="17">
        <f>32</f>
        <v/>
      </c>
      <c r="Q3015" s="17">
        <f>J3015+L3015+N3015+O3015-P3015-M3015</f>
        <v/>
      </c>
    </row>
    <row r="3016">
      <c r="A3016" s="16" t="inlineStr">
        <is>
          <t>5.29-6.4</t>
        </is>
      </c>
      <c r="B3016" s="16" t="inlineStr">
        <is>
          <t>PO-128-03234839859832255</t>
        </is>
      </c>
      <c r="C3016" s="16" t="inlineStr">
        <is>
          <t>Shipped</t>
        </is>
      </c>
      <c r="D3016" s="16" t="inlineStr">
        <is>
          <t>128-03234831995512255</t>
        </is>
      </c>
      <c r="E3016" s="16" t="inlineStr">
        <is>
          <t>Shipped</t>
        </is>
      </c>
      <c r="F3016" s="16" t="inlineStr">
        <is>
          <t>LV64W25</t>
        </is>
      </c>
      <c r="G30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16" s="16" t="inlineStr">
        <is>
          <t>Blanco</t>
        </is>
      </c>
      <c r="I3016" s="16" t="n">
        <v>1</v>
      </c>
      <c r="J3016" s="17" t="n">
        <v>110.55</v>
      </c>
      <c r="K3016" s="17" t="n">
        <v>119.8</v>
      </c>
      <c r="L3016" s="17" t="n">
        <v>25.86</v>
      </c>
      <c r="M3016" s="17" t="n">
        <v>0</v>
      </c>
      <c r="N3016" s="17">
        <f>K3016*0.08+L3016*0.08</f>
        <v/>
      </c>
      <c r="O3016" s="17">
        <f>-(K3016*0.025+L3016*0.025)</f>
        <v/>
      </c>
      <c r="P3016" s="17">
        <f>32</f>
        <v/>
      </c>
      <c r="Q3016" s="17">
        <f>J3016+L3016+N3016+O3016-P3016-M3016</f>
        <v/>
      </c>
    </row>
    <row r="3017">
      <c r="A3017" s="16" t="inlineStr">
        <is>
          <t>5.29-6.4</t>
        </is>
      </c>
      <c r="B3017" s="16" t="inlineStr">
        <is>
          <t>PO-128-02867557407350349</t>
        </is>
      </c>
      <c r="C3017" s="16" t="inlineStr">
        <is>
          <t>Shipped</t>
        </is>
      </c>
      <c r="D3017" s="16" t="inlineStr">
        <is>
          <t>128-02867515464310349</t>
        </is>
      </c>
      <c r="E3017" s="16" t="inlineStr">
        <is>
          <t>Shipped</t>
        </is>
      </c>
      <c r="F3017" s="16" t="inlineStr">
        <is>
          <t>LV54W25</t>
        </is>
      </c>
      <c r="G3017" s="16" t="inlineStr">
        <is>
          <t>TIANLAI Lámpara Ventilador E27 2 en 1, Silenciosa, LED Alta Luminosidad 180°, Instalación Rápida, Ahorro Energético para Dormitorio y Interiores Pequeños</t>
        </is>
      </c>
      <c r="H3017" s="16" t="inlineStr">
        <is>
          <t>1 Pieza</t>
        </is>
      </c>
      <c r="I3017" s="16" t="n">
        <v>2</v>
      </c>
      <c r="J3017" s="17" t="n">
        <v>156</v>
      </c>
      <c r="K3017" s="17" t="n">
        <v>159.64</v>
      </c>
      <c r="L3017" s="17" t="n">
        <v>25.86</v>
      </c>
      <c r="M3017" s="17" t="n">
        <v>0</v>
      </c>
      <c r="N3017" s="17">
        <f>K3017*0.08+L3017*0.08</f>
        <v/>
      </c>
      <c r="O3017" s="17">
        <f>-(K3017*0.025+L3017*0.025)</f>
        <v/>
      </c>
      <c r="P3017" s="17">
        <f>32</f>
        <v/>
      </c>
      <c r="Q3017" s="17">
        <f>J3017+L3017+N3017+O3017-P3017-M3017</f>
        <v/>
      </c>
    </row>
    <row r="3018">
      <c r="A3018" s="16" t="inlineStr">
        <is>
          <t>5.29-6.4</t>
        </is>
      </c>
      <c r="B3018" s="16" t="inlineStr">
        <is>
          <t>PO-128-03252469294712084</t>
        </is>
      </c>
      <c r="C3018" s="16" t="inlineStr">
        <is>
          <t>Shipped</t>
        </is>
      </c>
      <c r="D3018" s="16" t="inlineStr">
        <is>
          <t>128-03252574152312084</t>
        </is>
      </c>
      <c r="E3018" s="16" t="inlineStr">
        <is>
          <t>Shipped</t>
        </is>
      </c>
      <c r="F3018" s="16" t="inlineStr">
        <is>
          <t>LV64W25</t>
        </is>
      </c>
      <c r="G30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18" s="16" t="inlineStr">
        <is>
          <t>Blanco</t>
        </is>
      </c>
      <c r="I3018" s="16" t="n">
        <v>3</v>
      </c>
      <c r="J3018" s="17" t="n">
        <v>331.65</v>
      </c>
      <c r="K3018" s="17" t="n">
        <v>359.4</v>
      </c>
      <c r="L3018" s="17" t="n">
        <v>0</v>
      </c>
      <c r="M3018" s="17" t="n">
        <v>0</v>
      </c>
      <c r="N3018" s="17">
        <f>K3018*0.08+L3018*0.08</f>
        <v/>
      </c>
      <c r="O3018" s="17">
        <f>-(K3018*0.025+L3018*0.025)</f>
        <v/>
      </c>
      <c r="P3018" s="17">
        <f>32</f>
        <v/>
      </c>
      <c r="Q3018" s="17">
        <f>J3018+L3018+N3018+O3018-P3018-M3018</f>
        <v/>
      </c>
    </row>
    <row r="3019">
      <c r="A3019" s="16" t="inlineStr">
        <is>
          <t>5.29-6.4</t>
        </is>
      </c>
      <c r="B3019" s="16" t="inlineStr">
        <is>
          <t>PO-128-03426411730553161</t>
        </is>
      </c>
      <c r="C3019" s="16" t="inlineStr">
        <is>
          <t>Shipped</t>
        </is>
      </c>
      <c r="D3019" s="16" t="inlineStr">
        <is>
          <t>128-03426577536633161</t>
        </is>
      </c>
      <c r="E3019" s="16" t="inlineStr">
        <is>
          <t>Shipped</t>
        </is>
      </c>
      <c r="F3019" s="16" t="inlineStr">
        <is>
          <t>BG-115-B</t>
        </is>
      </c>
      <c r="G3019" s="16" t="inlineStr">
        <is>
          <t>LINK BITS Audífonos Inalámbricos con Luces Multicolor, Recargables y en Adorable Forma de Orejas de Gato - Conecta a Celulares y PCs, Tiene Radio FM, Tarjeta TF y AUX - 7 Horas de Reproducción, Plegables y Perfectos para Trabajo, Juegos y Estudio</t>
        </is>
      </c>
      <c r="H3019" s="16" t="inlineStr">
        <is>
          <t>blanco</t>
        </is>
      </c>
      <c r="I3019" s="16" t="n">
        <v>1</v>
      </c>
      <c r="J3019" s="17" t="n">
        <v>80</v>
      </c>
      <c r="K3019" s="17" t="n">
        <v>47.62</v>
      </c>
      <c r="L3019" s="17" t="n">
        <v>25.86</v>
      </c>
      <c r="M3019" s="17" t="n">
        <v>0</v>
      </c>
      <c r="N3019" s="17">
        <f>K3019*0.08+L3019*0.08</f>
        <v/>
      </c>
      <c r="O3019" s="17">
        <f>-(K3019*0.025+L3019*0.025)</f>
        <v/>
      </c>
      <c r="P3019" s="17">
        <f>32</f>
        <v/>
      </c>
      <c r="Q3019" s="17">
        <f>J3019+L3019+N3019+O3019-P3019-M3019</f>
        <v/>
      </c>
    </row>
    <row r="3020">
      <c r="A3020" s="16" t="inlineStr">
        <is>
          <t>5.29-6.4</t>
        </is>
      </c>
      <c r="B3020" s="16" t="inlineStr">
        <is>
          <t>PO-128-02974886134391757</t>
        </is>
      </c>
      <c r="C3020" s="16" t="inlineStr">
        <is>
          <t>Shipped</t>
        </is>
      </c>
      <c r="D3020" s="16" t="inlineStr">
        <is>
          <t>128-02974896620151757</t>
        </is>
      </c>
      <c r="E3020" s="16" t="inlineStr">
        <is>
          <t>Shipped</t>
        </is>
      </c>
      <c r="F3020" s="16" t="inlineStr">
        <is>
          <t>LV54W25</t>
        </is>
      </c>
      <c r="G3020" s="16" t="inlineStr">
        <is>
          <t>TIANLAI Lámpara Ventilador E27 2 en 1, Silenciosa, LED Alta Luminosidad 180°, Instalación Rápida, Ahorro Energético para Dormitorio y Interiores Pequeños</t>
        </is>
      </c>
      <c r="H3020" s="16" t="inlineStr">
        <is>
          <t>1 Pieza</t>
        </is>
      </c>
      <c r="I3020" s="16" t="n">
        <v>1</v>
      </c>
      <c r="J3020" s="17" t="n">
        <v>78</v>
      </c>
      <c r="K3020" s="17" t="n">
        <v>79.81999999999999</v>
      </c>
      <c r="L3020" s="17" t="n">
        <v>25.86</v>
      </c>
      <c r="M3020" s="17" t="n">
        <v>0</v>
      </c>
      <c r="N3020" s="17">
        <f>K3020*0.08+L3020*0.08</f>
        <v/>
      </c>
      <c r="O3020" s="17">
        <f>-(K3020*0.025+L3020*0.025)</f>
        <v/>
      </c>
      <c r="P3020" s="17">
        <f>32</f>
        <v/>
      </c>
      <c r="Q3020" s="17">
        <f>J3020+L3020+N3020+O3020-P3020-M3020</f>
        <v/>
      </c>
    </row>
    <row r="3021">
      <c r="A3021" s="16" t="inlineStr">
        <is>
          <t>5.29-6.4</t>
        </is>
      </c>
      <c r="B3021" s="16" t="inlineStr">
        <is>
          <t>PO-128-02952387523191827</t>
        </is>
      </c>
      <c r="C3021" s="16" t="inlineStr">
        <is>
          <t>Shipped</t>
        </is>
      </c>
      <c r="D3021" s="16" t="inlineStr">
        <is>
          <t>128-02952439951991827</t>
        </is>
      </c>
      <c r="E3021" s="16" t="inlineStr">
        <is>
          <t>Shipped</t>
        </is>
      </c>
      <c r="F3021" s="16" t="inlineStr">
        <is>
          <t>LV64W25</t>
        </is>
      </c>
      <c r="G30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21" s="16" t="inlineStr">
        <is>
          <t>Blanco</t>
        </is>
      </c>
      <c r="I3021" s="16" t="n">
        <v>1</v>
      </c>
      <c r="J3021" s="17" t="n">
        <v>110.55</v>
      </c>
      <c r="K3021" s="17" t="n">
        <v>119.8</v>
      </c>
      <c r="L3021" s="17" t="n">
        <v>25.86</v>
      </c>
      <c r="M3021" s="17" t="n">
        <v>0</v>
      </c>
      <c r="N3021" s="17">
        <f>K3021*0.08+L3021*0.08</f>
        <v/>
      </c>
      <c r="O3021" s="17">
        <f>-(K3021*0.025+L3021*0.025)</f>
        <v/>
      </c>
      <c r="P3021" s="17">
        <f>32</f>
        <v/>
      </c>
      <c r="Q3021" s="17">
        <f>J3021+L3021+N3021+O3021-P3021-M3021</f>
        <v/>
      </c>
    </row>
    <row r="3022">
      <c r="A3022" s="16" t="inlineStr">
        <is>
          <t>5.29-6.4</t>
        </is>
      </c>
      <c r="B3022" s="16" t="inlineStr">
        <is>
          <t>PO-128-03338739343993618</t>
        </is>
      </c>
      <c r="C3022" s="16" t="inlineStr">
        <is>
          <t>Shipped</t>
        </is>
      </c>
      <c r="D3022" s="16" t="inlineStr">
        <is>
          <t>128-03338702643833618</t>
        </is>
      </c>
      <c r="E3022" s="16" t="inlineStr">
        <is>
          <t>Shipped</t>
        </is>
      </c>
      <c r="F3022" s="16" t="inlineStr">
        <is>
          <t>LV54W25</t>
        </is>
      </c>
      <c r="G3022" s="16" t="inlineStr">
        <is>
          <t>TIANLAI Lámpara Ventilador E27 2 en 1, Silenciosa, LED Alta Luminosidad 180°, Instalación Rápida, Ahorro Energético para Dormitorio y Interiores Pequeños</t>
        </is>
      </c>
      <c r="H3022" s="16" t="inlineStr">
        <is>
          <t>1 Pieza</t>
        </is>
      </c>
      <c r="I3022" s="16" t="n">
        <v>1</v>
      </c>
      <c r="J3022" s="17" t="n">
        <v>78</v>
      </c>
      <c r="K3022" s="17" t="n">
        <v>82.51000000000001</v>
      </c>
      <c r="L3022" s="17" t="n">
        <v>25.86</v>
      </c>
      <c r="M3022" s="17" t="n">
        <v>0</v>
      </c>
      <c r="N3022" s="17">
        <f>K3022*0.08+L3022*0.08</f>
        <v/>
      </c>
      <c r="O3022" s="17">
        <f>-(K3022*0.025+L3022*0.025)</f>
        <v/>
      </c>
      <c r="P3022" s="17">
        <f>32</f>
        <v/>
      </c>
      <c r="Q3022" s="17">
        <f>J3022+L3022+N3022+O3022-P3022-M3022</f>
        <v/>
      </c>
    </row>
    <row r="3023">
      <c r="A3023" s="16" t="inlineStr">
        <is>
          <t>5.29-6.4</t>
        </is>
      </c>
      <c r="B3023" s="16" t="inlineStr">
        <is>
          <t>PO-128-03247277302392053</t>
        </is>
      </c>
      <c r="C3023" s="16" t="inlineStr">
        <is>
          <t>Shipped</t>
        </is>
      </c>
      <c r="D3023" s="16" t="inlineStr">
        <is>
          <t>128-03247319245432053</t>
        </is>
      </c>
      <c r="E3023" s="16" t="inlineStr">
        <is>
          <t>Shipped</t>
        </is>
      </c>
      <c r="F3023" s="16" t="inlineStr">
        <is>
          <t>TL1455N20B</t>
        </is>
      </c>
      <c r="G3023" s="16" t="inlineStr">
        <is>
          <t>LINK BITS Soporte para TV 14 A 55 Pulgadas, Base para TV Pantalla Articulado Inclinable y Giratorio, MAX VESA 400×400 mm, Soporta hasta 18kg, adaptarse a la mayoría de los televisores de 14 Pulgadas/20 Pulgadas/32 Pulgadas/42 Pulgadas/55 pulgadas</t>
        </is>
      </c>
      <c r="H3023" s="16" t="inlineStr">
        <is>
          <t>TL1455N20B</t>
        </is>
      </c>
      <c r="I3023" s="16" t="n">
        <v>1</v>
      </c>
      <c r="J3023" s="17" t="n">
        <v>80.5</v>
      </c>
      <c r="K3023" s="17" t="n">
        <v>47.42</v>
      </c>
      <c r="L3023" s="17" t="n">
        <v>25.86</v>
      </c>
      <c r="M3023" s="17" t="n">
        <v>0</v>
      </c>
      <c r="N3023" s="17">
        <f>K3023*0.08+L3023*0.08</f>
        <v/>
      </c>
      <c r="O3023" s="17">
        <f>-(K3023*0.025+L3023*0.025)</f>
        <v/>
      </c>
      <c r="P3023" s="17">
        <f>32</f>
        <v/>
      </c>
      <c r="Q3023" s="17">
        <f>J3023+L3023+N3023+O3023-P3023-M3023</f>
        <v/>
      </c>
    </row>
    <row r="3024">
      <c r="A3024" s="16" t="inlineStr">
        <is>
          <t>5.29-6.4</t>
        </is>
      </c>
      <c r="B3024" s="16" t="inlineStr">
        <is>
          <t>PO-128-02932831621752007</t>
        </is>
      </c>
      <c r="C3024" s="16" t="inlineStr">
        <is>
          <t>Shipped</t>
        </is>
      </c>
      <c r="D3024" s="16" t="inlineStr">
        <is>
          <t>128-02932836864632007</t>
        </is>
      </c>
      <c r="E3024" s="16" t="inlineStr">
        <is>
          <t>Shipped</t>
        </is>
      </c>
      <c r="F3024" s="16" t="inlineStr">
        <is>
          <t>LV54W25</t>
        </is>
      </c>
      <c r="G3024" s="16" t="inlineStr">
        <is>
          <t>TIANLAI Lámpara Ventilador E27 2 en 1, Silenciosa, LED Alta Luminosidad 180°, Instalación Rápida, Ahorro Energético para Dormitorio y Interiores Pequeños</t>
        </is>
      </c>
      <c r="H3024" s="16" t="inlineStr">
        <is>
          <t>1 Pieza</t>
        </is>
      </c>
      <c r="I3024" s="16" t="n">
        <v>1</v>
      </c>
      <c r="J3024" s="17" t="n">
        <v>78</v>
      </c>
      <c r="K3024" s="17" t="n">
        <v>79.81999999999999</v>
      </c>
      <c r="L3024" s="17" t="n">
        <v>25.86</v>
      </c>
      <c r="M3024" s="17" t="n">
        <v>0</v>
      </c>
      <c r="N3024" s="17">
        <f>K3024*0.08+L3024*0.08</f>
        <v/>
      </c>
      <c r="O3024" s="17">
        <f>-(K3024*0.025+L3024*0.025)</f>
        <v/>
      </c>
      <c r="P3024" s="17">
        <f>32</f>
        <v/>
      </c>
      <c r="Q3024" s="17">
        <f>J3024+L3024+N3024+O3024-P3024-M3024</f>
        <v/>
      </c>
    </row>
    <row r="3025">
      <c r="A3025" s="16" t="inlineStr">
        <is>
          <t>5.29-6.4</t>
        </is>
      </c>
      <c r="B3025" s="16" t="inlineStr">
        <is>
          <t>PO-128-03355826755193516</t>
        </is>
      </c>
      <c r="C3025" s="16" t="inlineStr">
        <is>
          <t>Shipped</t>
        </is>
      </c>
      <c r="D3025" s="16" t="inlineStr">
        <is>
          <t>128-03355868698233516</t>
        </is>
      </c>
      <c r="E3025" s="16" t="inlineStr">
        <is>
          <t>Shipped</t>
        </is>
      </c>
      <c r="F3025" s="16" t="inlineStr">
        <is>
          <t>LV54W25</t>
        </is>
      </c>
      <c r="G3025" s="16" t="inlineStr">
        <is>
          <t>TIANLAI Lámpara Ventilador E27 2 en 1, Silenciosa, LED Alta Luminosidad 180°, Instalación Rápida, Ahorro Energético para Dormitorio y Interiores Pequeños</t>
        </is>
      </c>
      <c r="H3025" s="16" t="inlineStr">
        <is>
          <t>1 Pieza</t>
        </is>
      </c>
      <c r="I3025" s="16" t="n">
        <v>1</v>
      </c>
      <c r="J3025" s="17" t="n">
        <v>78</v>
      </c>
      <c r="K3025" s="17" t="n">
        <v>89.68000000000001</v>
      </c>
      <c r="L3025" s="17" t="n">
        <v>25.86</v>
      </c>
      <c r="M3025" s="17" t="n">
        <v>0</v>
      </c>
      <c r="N3025" s="17">
        <f>K3025*0.08+L3025*0.08</f>
        <v/>
      </c>
      <c r="O3025" s="17">
        <f>-(K3025*0.025+L3025*0.025)</f>
        <v/>
      </c>
      <c r="P3025" s="17">
        <f>32</f>
        <v/>
      </c>
      <c r="Q3025" s="17">
        <f>J3025+L3025+N3025+O3025-P3025-M3025</f>
        <v/>
      </c>
    </row>
    <row r="3026">
      <c r="A3026" s="16" t="inlineStr">
        <is>
          <t>5.29-6.4</t>
        </is>
      </c>
      <c r="B3026" s="16" t="inlineStr">
        <is>
          <t>PO-128-02903494421110004</t>
        </is>
      </c>
      <c r="C3026" s="16" t="inlineStr">
        <is>
          <t>Shipped</t>
        </is>
      </c>
      <c r="D3026" s="16" t="inlineStr">
        <is>
          <t>128-02903478692470004</t>
        </is>
      </c>
      <c r="E3026" s="16" t="inlineStr">
        <is>
          <t>Shipped</t>
        </is>
      </c>
      <c r="F3026" s="16" t="inlineStr">
        <is>
          <t>LV54W25</t>
        </is>
      </c>
      <c r="G3026" s="16" t="inlineStr">
        <is>
          <t>TIANLAI Lámpara Ventilador E27 2 en 1, Silenciosa, LED Alta Luminosidad 180°, Instalación Rápida, Ahorro Energético para Dormitorio y Interiores Pequeños</t>
        </is>
      </c>
      <c r="H3026" s="16" t="inlineStr">
        <is>
          <t>1 Pieza</t>
        </is>
      </c>
      <c r="I3026" s="16" t="n">
        <v>3</v>
      </c>
      <c r="J3026" s="17" t="n">
        <v>234</v>
      </c>
      <c r="K3026" s="17" t="n">
        <v>227.82</v>
      </c>
      <c r="L3026" s="17" t="n">
        <v>0</v>
      </c>
      <c r="M3026" s="17" t="n">
        <v>0</v>
      </c>
      <c r="N3026" s="17">
        <f>K3026*0.08+L3026*0.08</f>
        <v/>
      </c>
      <c r="O3026" s="17">
        <f>-(K3026*0.025+L3026*0.025)</f>
        <v/>
      </c>
      <c r="P3026" s="17">
        <f>32</f>
        <v/>
      </c>
      <c r="Q3026" s="17">
        <f>J3026+L3026+N3026+O3026-P3026-M3026</f>
        <v/>
      </c>
    </row>
    <row r="3027">
      <c r="A3027" s="16" t="inlineStr">
        <is>
          <t>5.29-6.4</t>
        </is>
      </c>
      <c r="B3027" s="16" t="inlineStr">
        <is>
          <t>PO-128-03171282622072632</t>
        </is>
      </c>
      <c r="C3027" s="16" t="inlineStr">
        <is>
          <t>Shipped</t>
        </is>
      </c>
      <c r="D3027" s="16" t="inlineStr">
        <is>
          <t>128-03171293107832632</t>
        </is>
      </c>
      <c r="E3027" s="16" t="inlineStr">
        <is>
          <t>Shipped</t>
        </is>
      </c>
      <c r="F3027" s="16" t="inlineStr">
        <is>
          <t>LV64W25</t>
        </is>
      </c>
      <c r="G30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27" s="16" t="inlineStr">
        <is>
          <t>Blanco</t>
        </is>
      </c>
      <c r="I3027" s="16" t="n">
        <v>2</v>
      </c>
      <c r="J3027" s="17" t="n">
        <v>246</v>
      </c>
      <c r="K3027" s="17" t="n">
        <v>262.76</v>
      </c>
      <c r="L3027" s="17" t="n">
        <v>0</v>
      </c>
      <c r="M3027" s="17" t="n">
        <v>0</v>
      </c>
      <c r="N3027" s="17">
        <f>K3027*0.08+L3027*0.08</f>
        <v/>
      </c>
      <c r="O3027" s="17">
        <f>-(K3027*0.025+L3027*0.025)</f>
        <v/>
      </c>
      <c r="P3027" s="17">
        <f>32</f>
        <v/>
      </c>
      <c r="Q3027" s="17">
        <f>J3027+L3027+N3027+O3027-P3027-M3027</f>
        <v/>
      </c>
    </row>
    <row r="3028">
      <c r="A3028" s="16" t="inlineStr">
        <is>
          <t>5.29-6.4</t>
        </is>
      </c>
      <c r="B3028" s="16" t="inlineStr">
        <is>
          <t>PO-128-02952628311671825</t>
        </is>
      </c>
      <c r="C3028" s="16" t="inlineStr">
        <is>
          <t>Shipped</t>
        </is>
      </c>
      <c r="D3028" s="16" t="inlineStr">
        <is>
          <t>128-02952633554551825</t>
        </is>
      </c>
      <c r="E3028" s="16" t="inlineStr">
        <is>
          <t>Shipped</t>
        </is>
      </c>
      <c r="F3028" s="16" t="inlineStr">
        <is>
          <t>LV54W25</t>
        </is>
      </c>
      <c r="G3028" s="16" t="inlineStr">
        <is>
          <t>TIANLAI Lámpara Ventilador E27 2 en 1, Silenciosa, LED Alta Luminosidad 180°, Instalación Rápida, Ahorro Energético para Dormitorio y Interiores Pequeños</t>
        </is>
      </c>
      <c r="H3028" s="16" t="inlineStr">
        <is>
          <t>1 Pieza</t>
        </is>
      </c>
      <c r="I3028" s="16" t="n">
        <v>1</v>
      </c>
      <c r="J3028" s="17" t="n">
        <v>78</v>
      </c>
      <c r="K3028" s="17" t="n">
        <v>89.68000000000001</v>
      </c>
      <c r="L3028" s="17" t="n">
        <v>25.86</v>
      </c>
      <c r="M3028" s="17" t="n">
        <v>0</v>
      </c>
      <c r="N3028" s="17">
        <f>K3028*0.08+L3028*0.08</f>
        <v/>
      </c>
      <c r="O3028" s="17">
        <f>-(K3028*0.025+L3028*0.025)</f>
        <v/>
      </c>
      <c r="P3028" s="17">
        <f>32</f>
        <v/>
      </c>
      <c r="Q3028" s="17">
        <f>J3028+L3028+N3028+O3028-P3028-M3028</f>
        <v/>
      </c>
    </row>
    <row r="3029">
      <c r="A3029" s="16" t="inlineStr">
        <is>
          <t>5.29-6.4</t>
        </is>
      </c>
      <c r="B3029" s="16" t="inlineStr">
        <is>
          <t>PO-128-03292684785273895</t>
        </is>
      </c>
      <c r="C3029" s="16" t="inlineStr">
        <is>
          <t>Shipped</t>
        </is>
      </c>
      <c r="D3029" s="16" t="inlineStr">
        <is>
          <t>128-03292642842233895</t>
        </is>
      </c>
      <c r="E3029" s="16" t="inlineStr">
        <is>
          <t>Shipped</t>
        </is>
      </c>
      <c r="F3029" s="16" t="inlineStr">
        <is>
          <t>LV54W25</t>
        </is>
      </c>
      <c r="G3029" s="16" t="inlineStr">
        <is>
          <t>TIANLAI Lámpara Ventilador E27 2 en 1, Silenciosa, LED Alta Luminosidad 180°, Instalación Rápida, Ahorro Energético para Dormitorio y Interiores Pequeños</t>
        </is>
      </c>
      <c r="H3029" s="16" t="inlineStr">
        <is>
          <t>1 Pieza</t>
        </is>
      </c>
      <c r="I3029" s="16" t="n">
        <v>1</v>
      </c>
      <c r="J3029" s="17" t="n">
        <v>78</v>
      </c>
      <c r="K3029" s="17" t="n">
        <v>39.41</v>
      </c>
      <c r="L3029" s="17" t="n">
        <v>25.86</v>
      </c>
      <c r="M3029" s="17" t="n">
        <v>0</v>
      </c>
      <c r="N3029" s="17">
        <f>K3029*0.08+L3029*0.08</f>
        <v/>
      </c>
      <c r="O3029" s="17">
        <f>-(K3029*0.025+L3029*0.025)</f>
        <v/>
      </c>
      <c r="P3029" s="17">
        <f>32</f>
        <v/>
      </c>
      <c r="Q3029" s="17">
        <f>J3029+L3029+N3029+O3029-P3029-M3029</f>
        <v/>
      </c>
    </row>
    <row r="3030">
      <c r="A3030" s="16" t="inlineStr">
        <is>
          <t>5.29-6.4</t>
        </is>
      </c>
      <c r="B3030" s="16" t="inlineStr">
        <is>
          <t>PO-128-03207984456312351</t>
        </is>
      </c>
      <c r="C3030" s="16" t="inlineStr">
        <is>
          <t>Shipped</t>
        </is>
      </c>
      <c r="D3030" s="16" t="inlineStr">
        <is>
          <t>128-03208015913592351</t>
        </is>
      </c>
      <c r="E3030" s="16" t="inlineStr">
        <is>
          <t>Shipped</t>
        </is>
      </c>
      <c r="F3030" s="16" t="inlineStr">
        <is>
          <t>LV64W25</t>
        </is>
      </c>
      <c r="G30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30" s="16" t="inlineStr">
        <is>
          <t>Blanco</t>
        </is>
      </c>
      <c r="I3030" s="16" t="n">
        <v>1</v>
      </c>
      <c r="J3030" s="17" t="n">
        <v>123</v>
      </c>
      <c r="K3030" s="17" t="n">
        <v>128.17</v>
      </c>
      <c r="L3030" s="17" t="n">
        <v>25.86</v>
      </c>
      <c r="M3030" s="17" t="n">
        <v>3.63</v>
      </c>
      <c r="N3030" s="17">
        <f>K3030*0.08+L3030*0.08</f>
        <v/>
      </c>
      <c r="O3030" s="17">
        <f>-(K3030*0.025+L3030*0.025)</f>
        <v/>
      </c>
      <c r="P3030" s="17">
        <f>32</f>
        <v/>
      </c>
      <c r="Q3030" s="17">
        <f>J3030+L3030+N3030+O3030-P3030-M3030</f>
        <v/>
      </c>
    </row>
    <row r="3031">
      <c r="A3031" s="16" t="inlineStr">
        <is>
          <t>5.29-6.4</t>
        </is>
      </c>
      <c r="B3031" s="16" t="inlineStr">
        <is>
          <t>PO-128-02827819377270585</t>
        </is>
      </c>
      <c r="C3031" s="16" t="inlineStr">
        <is>
          <t>Shipped</t>
        </is>
      </c>
      <c r="D3031" s="16" t="inlineStr">
        <is>
          <t>128-02827871806070585</t>
        </is>
      </c>
      <c r="E3031" s="16" t="inlineStr">
        <is>
          <t>Shipped</t>
        </is>
      </c>
      <c r="F3031" s="16" t="inlineStr">
        <is>
          <t>TLCD02-8P-R</t>
        </is>
      </c>
      <c r="G30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31" s="16" t="inlineStr">
        <is>
          <t>ROJO/pantalla de 8.5 pulgadas</t>
        </is>
      </c>
      <c r="I3031" s="16" t="n">
        <v>1</v>
      </c>
      <c r="J3031" s="17" t="n">
        <v>25</v>
      </c>
      <c r="K3031" s="17" t="n">
        <v>33.98</v>
      </c>
      <c r="L3031" s="17" t="n">
        <v>25.86</v>
      </c>
      <c r="M3031" s="17" t="n">
        <v>0</v>
      </c>
      <c r="N3031" s="17">
        <f>K3031*0.08+L3031*0.08</f>
        <v/>
      </c>
      <c r="O3031" s="17">
        <f>-(K3031*0.025+L3031*0.025)</f>
        <v/>
      </c>
      <c r="P3031" s="17">
        <f>32</f>
        <v/>
      </c>
      <c r="Q3031" s="17">
        <f>J3031+L3031+N3031+O3031-P3031-M3031</f>
        <v/>
      </c>
    </row>
    <row r="3032">
      <c r="A3032" s="16" t="inlineStr">
        <is>
          <t>5.29-6.4</t>
        </is>
      </c>
      <c r="B3032" s="16" t="inlineStr">
        <is>
          <t>PO-128-02868108329590345</t>
        </is>
      </c>
      <c r="C3032" s="16" t="inlineStr">
        <is>
          <t>Shipped</t>
        </is>
      </c>
      <c r="D3032" s="16" t="inlineStr">
        <is>
          <t>128-02868150272630345</t>
        </is>
      </c>
      <c r="E3032" s="16" t="inlineStr">
        <is>
          <t>Shipped</t>
        </is>
      </c>
      <c r="F3032" s="16" t="inlineStr">
        <is>
          <t>LV54W25</t>
        </is>
      </c>
      <c r="G3032" s="16" t="inlineStr">
        <is>
          <t>TIANLAI Lámpara Ventilador E27 2 en 1, Silenciosa, LED Alta Luminosidad 180°, Instalación Rápida, Ahorro Energético para Dormitorio y Interiores Pequeños</t>
        </is>
      </c>
      <c r="H3032" s="16" t="inlineStr">
        <is>
          <t>1 Pieza</t>
        </is>
      </c>
      <c r="I3032" s="16" t="n">
        <v>3</v>
      </c>
      <c r="J3032" s="17" t="n">
        <v>234</v>
      </c>
      <c r="K3032" s="17" t="n">
        <v>269.04</v>
      </c>
      <c r="L3032" s="17" t="n">
        <v>0</v>
      </c>
      <c r="M3032" s="17" t="n">
        <v>0</v>
      </c>
      <c r="N3032" s="17">
        <f>K3032*0.08+L3032*0.08</f>
        <v/>
      </c>
      <c r="O3032" s="17">
        <f>-(K3032*0.025+L3032*0.025)</f>
        <v/>
      </c>
      <c r="P3032" s="17">
        <f>32</f>
        <v/>
      </c>
      <c r="Q3032" s="17">
        <f>J3032+L3032+N3032+O3032-P3032-M3032</f>
        <v/>
      </c>
    </row>
    <row r="3033">
      <c r="A3033" s="16" t="inlineStr">
        <is>
          <t>5.29-6.4</t>
        </is>
      </c>
      <c r="B3033" s="16" t="inlineStr">
        <is>
          <t>PO-128-02827860552310585</t>
        </is>
      </c>
      <c r="C3033" s="16" t="inlineStr">
        <is>
          <t>Shipped</t>
        </is>
      </c>
      <c r="D3033" s="16" t="inlineStr">
        <is>
          <t>128-02827829095030585</t>
        </is>
      </c>
      <c r="E3033" s="16" t="inlineStr">
        <is>
          <t>Shipped</t>
        </is>
      </c>
      <c r="F3033" s="16" t="inlineStr">
        <is>
          <t>TLCD01-4P-nN</t>
        </is>
      </c>
      <c r="G303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33" s="16" t="inlineStr">
        <is>
          <t>NEGRO/pantalla de 4.5 pulgadas</t>
        </is>
      </c>
      <c r="I3033" s="16" t="n">
        <v>1</v>
      </c>
      <c r="J3033" s="17" t="n">
        <v>20</v>
      </c>
      <c r="K3033" s="17" t="n">
        <v>23.63</v>
      </c>
      <c r="L3033" s="17" t="n">
        <v>25.86</v>
      </c>
      <c r="M3033" s="17" t="n">
        <v>0</v>
      </c>
      <c r="N3033" s="17">
        <f>K3033*0.08+L3033*0.08</f>
        <v/>
      </c>
      <c r="O3033" s="17">
        <f>-(K3033*0.025+L3033*0.025)</f>
        <v/>
      </c>
      <c r="P3033" s="17">
        <f>32</f>
        <v/>
      </c>
      <c r="Q3033" s="17">
        <f>J3033+L3033+N3033+O3033-P3033-M3033</f>
        <v/>
      </c>
    </row>
    <row r="3034">
      <c r="A3034" s="16" t="inlineStr">
        <is>
          <t>5.29-6.4</t>
        </is>
      </c>
      <c r="B3034" s="16" t="inlineStr">
        <is>
          <t>PO-128-03096881336952948</t>
        </is>
      </c>
      <c r="C3034" s="16" t="inlineStr">
        <is>
          <t>Shipped</t>
        </is>
      </c>
      <c r="D3034" s="16" t="inlineStr">
        <is>
          <t>128-03096891822712948</t>
        </is>
      </c>
      <c r="E3034" s="16" t="inlineStr">
        <is>
          <t>Shipped</t>
        </is>
      </c>
      <c r="F3034" s="16" t="inlineStr">
        <is>
          <t>LV64W25</t>
        </is>
      </c>
      <c r="G30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34" s="16" t="inlineStr">
        <is>
          <t>Blanco</t>
        </is>
      </c>
      <c r="I3034" s="16" t="n">
        <v>2</v>
      </c>
      <c r="J3034" s="17" t="n">
        <v>246</v>
      </c>
      <c r="K3034" s="17" t="n">
        <v>262.76</v>
      </c>
      <c r="L3034" s="17" t="n">
        <v>0</v>
      </c>
      <c r="M3034" s="17" t="n">
        <v>0</v>
      </c>
      <c r="N3034" s="17">
        <f>K3034*0.08+L3034*0.08</f>
        <v/>
      </c>
      <c r="O3034" s="17">
        <f>-(K3034*0.025+L3034*0.025)</f>
        <v/>
      </c>
      <c r="P3034" s="17">
        <f>32</f>
        <v/>
      </c>
      <c r="Q3034" s="17">
        <f>J3034+L3034+N3034+O3034-P3034-M3034</f>
        <v/>
      </c>
    </row>
    <row r="3035">
      <c r="A3035" s="16" t="inlineStr">
        <is>
          <t>5.29-6.4</t>
        </is>
      </c>
      <c r="B3035" s="16" t="inlineStr">
        <is>
          <t>PO-128-03029847122551301</t>
        </is>
      </c>
      <c r="C3035" s="16" t="inlineStr">
        <is>
          <t>Shipped</t>
        </is>
      </c>
      <c r="D3035" s="16" t="inlineStr">
        <is>
          <t>128-03029810422391301</t>
        </is>
      </c>
      <c r="E3035" s="16" t="inlineStr">
        <is>
          <t>Shipped</t>
        </is>
      </c>
      <c r="F3035" s="16" t="inlineStr">
        <is>
          <t>LV54W25</t>
        </is>
      </c>
      <c r="G3035" s="16" t="inlineStr">
        <is>
          <t>TIANLAI Lámpara Ventilador E27 2 en 1, Silenciosa, LED Alta Luminosidad 180°, Instalación Rápida, Ahorro Energético para Dormitorio y Interiores Pequeños</t>
        </is>
      </c>
      <c r="H3035" s="16" t="inlineStr">
        <is>
          <t>1 Pieza</t>
        </is>
      </c>
      <c r="I3035" s="16" t="n">
        <v>1</v>
      </c>
      <c r="J3035" s="17" t="n">
        <v>78</v>
      </c>
      <c r="K3035" s="17" t="n">
        <v>82.51000000000001</v>
      </c>
      <c r="L3035" s="17" t="n">
        <v>25.86</v>
      </c>
      <c r="M3035" s="17" t="n">
        <v>0</v>
      </c>
      <c r="N3035" s="17">
        <f>K3035*0.08+L3035*0.08</f>
        <v/>
      </c>
      <c r="O3035" s="17">
        <f>-(K3035*0.025+L3035*0.025)</f>
        <v/>
      </c>
      <c r="P3035" s="17">
        <f>32</f>
        <v/>
      </c>
      <c r="Q3035" s="17">
        <f>J3035+L3035+N3035+O3035-P3035-M3035</f>
        <v/>
      </c>
    </row>
    <row r="3036">
      <c r="A3036" s="16" t="inlineStr">
        <is>
          <t>5.29-6.4</t>
        </is>
      </c>
      <c r="B3036" s="16" t="inlineStr">
        <is>
          <t>PO-128-03219550249592408</t>
        </is>
      </c>
      <c r="C3036" s="16" t="inlineStr">
        <is>
          <t>Shipped</t>
        </is>
      </c>
      <c r="D3036" s="16" t="inlineStr">
        <is>
          <t>128-03219714089592408</t>
        </is>
      </c>
      <c r="E3036" s="16" t="inlineStr">
        <is>
          <t>Shipped</t>
        </is>
      </c>
      <c r="F3036" s="16" t="inlineStr">
        <is>
          <t>LV54W25</t>
        </is>
      </c>
      <c r="G3036" s="16" t="inlineStr">
        <is>
          <t>TIANLAI Lámpara Ventilador E27 2 en 1, Silenciosa, LED Alta Luminosidad 180°, Instalación Rápida, Ahorro Energético para Dormitorio y Interiores Pequeños</t>
        </is>
      </c>
      <c r="H3036" s="16" t="inlineStr">
        <is>
          <t>1 Pieza</t>
        </is>
      </c>
      <c r="I3036" s="16" t="n">
        <v>4</v>
      </c>
      <c r="J3036" s="17" t="n">
        <v>312</v>
      </c>
      <c r="K3036" s="17" t="n">
        <v>330.04</v>
      </c>
      <c r="L3036" s="17" t="n">
        <v>0</v>
      </c>
      <c r="M3036" s="17" t="n">
        <v>0</v>
      </c>
      <c r="N3036" s="17">
        <f>K3036*0.08+L3036*0.08</f>
        <v/>
      </c>
      <c r="O3036" s="17">
        <f>-(K3036*0.025+L3036*0.025)</f>
        <v/>
      </c>
      <c r="P3036" s="17">
        <f>32</f>
        <v/>
      </c>
      <c r="Q3036" s="17">
        <f>J3036+L3036+N3036+O3036-P3036-M3036</f>
        <v/>
      </c>
    </row>
    <row r="3037">
      <c r="A3037" s="16" t="inlineStr">
        <is>
          <t>5.29-6.4</t>
        </is>
      </c>
      <c r="B3037" s="16" t="inlineStr">
        <is>
          <t>PO-128-03164866796152606</t>
        </is>
      </c>
      <c r="C3037" s="16" t="inlineStr">
        <is>
          <t>Shipped</t>
        </is>
      </c>
      <c r="D3037" s="16" t="inlineStr">
        <is>
          <t>128-03164873349752606</t>
        </is>
      </c>
      <c r="E3037" s="16" t="inlineStr">
        <is>
          <t>Shipped</t>
        </is>
      </c>
      <c r="F3037" s="16" t="inlineStr">
        <is>
          <t>TLCD01-4P-nN</t>
        </is>
      </c>
      <c r="G303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37" s="16" t="inlineStr">
        <is>
          <t>NEGRO/pantalla de 4.5 pulgadas</t>
        </is>
      </c>
      <c r="I3037" s="16" t="n">
        <v>1</v>
      </c>
      <c r="J3037" s="17" t="n">
        <v>20</v>
      </c>
      <c r="K3037" s="17" t="n">
        <v>23.63</v>
      </c>
      <c r="L3037" s="17" t="n">
        <v>25.86</v>
      </c>
      <c r="M3037" s="17" t="n">
        <v>0</v>
      </c>
      <c r="N3037" s="17">
        <f>K3037*0.08+L3037*0.08</f>
        <v/>
      </c>
      <c r="O3037" s="17">
        <f>-(K3037*0.025+L3037*0.025)</f>
        <v/>
      </c>
      <c r="P3037" s="17">
        <f>32</f>
        <v/>
      </c>
      <c r="Q3037" s="17">
        <f>J3037+L3037+N3037+O3037-P3037-M3037</f>
        <v/>
      </c>
    </row>
    <row r="3038">
      <c r="A3038" s="16" t="inlineStr">
        <is>
          <t>5.29-6.4</t>
        </is>
      </c>
      <c r="B3038" s="16" t="inlineStr">
        <is>
          <t>PO-128-03201099264632326</t>
        </is>
      </c>
      <c r="C3038" s="16" t="inlineStr">
        <is>
          <t>Shipped</t>
        </is>
      </c>
      <c r="D3038" s="16" t="inlineStr">
        <is>
          <t>128-03201102541432326</t>
        </is>
      </c>
      <c r="E3038" s="16" t="inlineStr">
        <is>
          <t>Shipped</t>
        </is>
      </c>
      <c r="F3038" s="16" t="inlineStr">
        <is>
          <t>LV54W25</t>
        </is>
      </c>
      <c r="G3038" s="16" t="inlineStr">
        <is>
          <t>TIANLAI Lámpara Ventilador E27 2 en 1, Silenciosa, LED Alta Luminosidad 180°, Instalación Rápida, Ahorro Energético para Dormitorio y Interiores Pequeños</t>
        </is>
      </c>
      <c r="H3038" s="16" t="inlineStr">
        <is>
          <t>1 Pieza</t>
        </is>
      </c>
      <c r="I3038" s="16" t="n">
        <v>1</v>
      </c>
      <c r="J3038" s="17" t="n">
        <v>78</v>
      </c>
      <c r="K3038" s="17" t="n">
        <v>89.68000000000001</v>
      </c>
      <c r="L3038" s="17" t="n">
        <v>25.86</v>
      </c>
      <c r="M3038" s="17" t="n">
        <v>0</v>
      </c>
      <c r="N3038" s="17">
        <f>K3038*0.08+L3038*0.08</f>
        <v/>
      </c>
      <c r="O3038" s="17">
        <f>-(K3038*0.025+L3038*0.025)</f>
        <v/>
      </c>
      <c r="P3038" s="17">
        <f>32</f>
        <v/>
      </c>
      <c r="Q3038" s="17">
        <f>J3038+L3038+N3038+O3038-P3038-M3038</f>
        <v/>
      </c>
    </row>
    <row r="3039">
      <c r="A3039" s="16" t="inlineStr">
        <is>
          <t>5.29-6.4</t>
        </is>
      </c>
      <c r="B3039" s="16" t="inlineStr">
        <is>
          <t>PO-128-03093352796792971</t>
        </is>
      </c>
      <c r="C3039" s="16" t="inlineStr">
        <is>
          <t>Shipped</t>
        </is>
      </c>
      <c r="D3039" s="16" t="inlineStr">
        <is>
          <t>128-03093310853752971</t>
        </is>
      </c>
      <c r="E3039" s="16" t="inlineStr">
        <is>
          <t>Shipped</t>
        </is>
      </c>
      <c r="F3039" s="16" t="inlineStr">
        <is>
          <t>TLCD02-8P-N</t>
        </is>
      </c>
      <c r="G303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39" s="16" t="inlineStr">
        <is>
          <t>NEGRO/pantalla de 8.5 pulgadas</t>
        </is>
      </c>
      <c r="I3039" s="16" t="n">
        <v>9</v>
      </c>
      <c r="J3039" s="17" t="n">
        <v>225</v>
      </c>
      <c r="K3039" s="17" t="n">
        <v>265.23</v>
      </c>
      <c r="L3039" s="17" t="n">
        <v>0</v>
      </c>
      <c r="M3039" s="17" t="n">
        <v>0</v>
      </c>
      <c r="N3039" s="17">
        <f>K3039*0.08+L3039*0.08</f>
        <v/>
      </c>
      <c r="O3039" s="17">
        <f>-(K3039*0.025+L3039*0.025)</f>
        <v/>
      </c>
      <c r="P3039" s="17">
        <f>32</f>
        <v/>
      </c>
      <c r="Q3039" s="17">
        <f>J3039+L3039+N3039+O3039-P3039-M3039</f>
        <v/>
      </c>
    </row>
    <row r="3040">
      <c r="A3040" s="16" t="inlineStr">
        <is>
          <t>5.29-6.4</t>
        </is>
      </c>
      <c r="B3040" s="16" t="inlineStr">
        <is>
          <t>PO-128-02857118915190283</t>
        </is>
      </c>
      <c r="C3040" s="16" t="inlineStr">
        <is>
          <t>Shipped</t>
        </is>
      </c>
      <c r="D3040" s="16" t="inlineStr">
        <is>
          <t>128-02857076972150283</t>
        </is>
      </c>
      <c r="E3040" s="16" t="inlineStr">
        <is>
          <t>Shipped</t>
        </is>
      </c>
      <c r="F3040" s="16" t="inlineStr">
        <is>
          <t>LV64W25</t>
        </is>
      </c>
      <c r="G30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40" s="16" t="inlineStr">
        <is>
          <t>Blanco</t>
        </is>
      </c>
      <c r="I3040" s="16" t="n">
        <v>1</v>
      </c>
      <c r="J3040" s="17" t="n">
        <v>123</v>
      </c>
      <c r="K3040" s="17" t="n">
        <v>131.38</v>
      </c>
      <c r="L3040" s="17" t="n">
        <v>25.86</v>
      </c>
      <c r="M3040" s="17" t="n">
        <v>0</v>
      </c>
      <c r="N3040" s="17">
        <f>K3040*0.08+L3040*0.08</f>
        <v/>
      </c>
      <c r="O3040" s="17">
        <f>-(K3040*0.025+L3040*0.025)</f>
        <v/>
      </c>
      <c r="P3040" s="17">
        <f>32</f>
        <v/>
      </c>
      <c r="Q3040" s="17">
        <f>J3040+L3040+N3040+O3040-P3040-M3040</f>
        <v/>
      </c>
    </row>
    <row r="3041">
      <c r="A3041" s="16" t="inlineStr">
        <is>
          <t>5.29-6.4</t>
        </is>
      </c>
      <c r="B3041" s="16" t="inlineStr">
        <is>
          <t>PO-128-03341979484793665</t>
        </is>
      </c>
      <c r="C3041" s="16" t="inlineStr">
        <is>
          <t>Shipped</t>
        </is>
      </c>
      <c r="D3041" s="16" t="inlineStr">
        <is>
          <t>128-03341937541753665</t>
        </is>
      </c>
      <c r="E3041" s="16" t="inlineStr">
        <is>
          <t>Shipped</t>
        </is>
      </c>
      <c r="F3041" s="16" t="inlineStr">
        <is>
          <t>LV54W25</t>
        </is>
      </c>
      <c r="G3041" s="16" t="inlineStr">
        <is>
          <t>TIANLAI Lámpara Ventilador E27 2 en 1, Silenciosa, LED Alta Luminosidad 180°, Instalación Rápida, Ahorro Energético para Dormitorio y Interiores Pequeños</t>
        </is>
      </c>
      <c r="H3041" s="16" t="inlineStr">
        <is>
          <t>1 Pieza</t>
        </is>
      </c>
      <c r="I3041" s="16" t="n">
        <v>1</v>
      </c>
      <c r="J3041" s="17" t="n">
        <v>78</v>
      </c>
      <c r="K3041" s="17" t="n">
        <v>79.81999999999999</v>
      </c>
      <c r="L3041" s="17" t="n">
        <v>25.86</v>
      </c>
      <c r="M3041" s="17" t="n">
        <v>0</v>
      </c>
      <c r="N3041" s="17">
        <f>K3041*0.08+L3041*0.08</f>
        <v/>
      </c>
      <c r="O3041" s="17">
        <f>-(K3041*0.025+L3041*0.025)</f>
        <v/>
      </c>
      <c r="P3041" s="17">
        <f>32</f>
        <v/>
      </c>
      <c r="Q3041" s="17">
        <f>J3041+L3041+N3041+O3041-P3041-M3041</f>
        <v/>
      </c>
    </row>
    <row r="3042">
      <c r="A3042" s="16" t="inlineStr">
        <is>
          <t>5.29-6.4</t>
        </is>
      </c>
      <c r="B3042" s="16" t="inlineStr">
        <is>
          <t>PO-128-18710117745273646</t>
        </is>
      </c>
      <c r="C3042" s="16" t="inlineStr">
        <is>
          <t>Shipped</t>
        </is>
      </c>
      <c r="D3042" s="16" t="inlineStr">
        <is>
          <t>128-18710096773753646</t>
        </is>
      </c>
      <c r="E3042" s="16" t="inlineStr">
        <is>
          <t>Shipped</t>
        </is>
      </c>
      <c r="F3042" s="16" t="inlineStr">
        <is>
          <t>LV54W25</t>
        </is>
      </c>
      <c r="G3042" s="16" t="inlineStr">
        <is>
          <t>TIANLAI Lámpara Ventilador E27 2 en 1, Silenciosa, LED Alta Luminosidad 180°, Instalación Rápida, Ahorro Energético para Dormitorio y Interiores Pequeños</t>
        </is>
      </c>
      <c r="H3042" s="16" t="inlineStr">
        <is>
          <t>1 Pieza</t>
        </is>
      </c>
      <c r="I3042" s="16" t="n">
        <v>1</v>
      </c>
      <c r="J3042" s="17" t="n">
        <v>78</v>
      </c>
      <c r="K3042" s="17" t="n">
        <v>64.58</v>
      </c>
      <c r="L3042" s="17" t="n">
        <v>25.86</v>
      </c>
      <c r="M3042" s="17" t="n">
        <v>0</v>
      </c>
      <c r="N3042" s="17">
        <f>K3042*0.08+L3042*0.08</f>
        <v/>
      </c>
      <c r="O3042" s="17">
        <f>-(K3042*0.025+L3042*0.025)</f>
        <v/>
      </c>
      <c r="P3042" s="17">
        <f>32</f>
        <v/>
      </c>
      <c r="Q3042" s="17">
        <f>J3042+L3042+N3042+O3042-P3042-M3042</f>
        <v/>
      </c>
    </row>
    <row r="3043">
      <c r="A3043" s="16" t="inlineStr">
        <is>
          <t>5.29-6.4</t>
        </is>
      </c>
      <c r="B3043" s="16" t="inlineStr">
        <is>
          <t>PO-128-18763297016952371</t>
        </is>
      </c>
      <c r="C3043" s="16" t="inlineStr">
        <is>
          <t>Shipped</t>
        </is>
      </c>
      <c r="D3043" s="16" t="inlineStr">
        <is>
          <t>128-18763255073912371</t>
        </is>
      </c>
      <c r="E3043" s="16" t="inlineStr">
        <is>
          <t>Shipped</t>
        </is>
      </c>
      <c r="F3043" s="16" t="inlineStr">
        <is>
          <t>LV64W25</t>
        </is>
      </c>
      <c r="G30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43" s="16" t="inlineStr">
        <is>
          <t>Blanco</t>
        </is>
      </c>
      <c r="I3043" s="16" t="n">
        <v>2</v>
      </c>
      <c r="J3043" s="17" t="n">
        <v>246</v>
      </c>
      <c r="K3043" s="17" t="n">
        <v>262.76</v>
      </c>
      <c r="L3043" s="17" t="n">
        <v>0</v>
      </c>
      <c r="M3043" s="17" t="n">
        <v>0</v>
      </c>
      <c r="N3043" s="17">
        <f>K3043*0.08+L3043*0.08</f>
        <v/>
      </c>
      <c r="O3043" s="17">
        <f>-(K3043*0.025+L3043*0.025)</f>
        <v/>
      </c>
      <c r="P3043" s="17">
        <f>32</f>
        <v/>
      </c>
      <c r="Q3043" s="17">
        <f>J3043+L3043+N3043+O3043-P3043-M3043</f>
        <v/>
      </c>
    </row>
    <row r="3044">
      <c r="A3044" s="16" t="inlineStr">
        <is>
          <t>5.29-6.4</t>
        </is>
      </c>
      <c r="B3044" s="16" t="inlineStr">
        <is>
          <t>PO-128-18985626586231941</t>
        </is>
      </c>
      <c r="C3044" s="16" t="inlineStr">
        <is>
          <t>Shipped</t>
        </is>
      </c>
      <c r="D3044" s="16" t="inlineStr">
        <is>
          <t>128-18985647557751941</t>
        </is>
      </c>
      <c r="E3044" s="16" t="inlineStr">
        <is>
          <t>Shipped</t>
        </is>
      </c>
      <c r="F3044" s="16" t="inlineStr">
        <is>
          <t>LV64W25</t>
        </is>
      </c>
      <c r="G30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44" s="16" t="inlineStr">
        <is>
          <t>Blanco</t>
        </is>
      </c>
      <c r="I3044" s="16" t="n">
        <v>1</v>
      </c>
      <c r="J3044" s="17" t="n">
        <v>123</v>
      </c>
      <c r="K3044" s="17" t="n">
        <v>141.27</v>
      </c>
      <c r="L3044" s="17" t="n">
        <v>25.86</v>
      </c>
      <c r="M3044" s="17" t="n">
        <v>0</v>
      </c>
      <c r="N3044" s="17">
        <f>K3044*0.08+L3044*0.08</f>
        <v/>
      </c>
      <c r="O3044" s="17">
        <f>-(K3044*0.025+L3044*0.025)</f>
        <v/>
      </c>
      <c r="P3044" s="17">
        <f>32</f>
        <v/>
      </c>
      <c r="Q3044" s="17">
        <f>J3044+L3044+N3044+O3044-P3044-M3044</f>
        <v/>
      </c>
    </row>
    <row r="3045">
      <c r="A3045" s="16" t="inlineStr">
        <is>
          <t>5.29-6.4</t>
        </is>
      </c>
      <c r="B3045" s="16" t="inlineStr">
        <is>
          <t>PO-128-19069869599350415</t>
        </is>
      </c>
      <c r="C3045" s="16" t="inlineStr">
        <is>
          <t>Shipped</t>
        </is>
      </c>
      <c r="D3045" s="16" t="inlineStr">
        <is>
          <t>128-19069842074230415</t>
        </is>
      </c>
      <c r="E3045" s="16" t="inlineStr">
        <is>
          <t>Shipped</t>
        </is>
      </c>
      <c r="F3045" s="16" t="inlineStr">
        <is>
          <t>LV54W25</t>
        </is>
      </c>
      <c r="G3045" s="16" t="inlineStr">
        <is>
          <t>TIANLAI Lámpara Ventilador E27 2 en 1, Silenciosa, LED Alta Luminosidad 180°, Instalación Rápida, Ahorro Energético para Dormitorio y Interiores Pequeños</t>
        </is>
      </c>
      <c r="H3045" s="16" t="inlineStr">
        <is>
          <t>1 Pieza</t>
        </is>
      </c>
      <c r="I3045" s="16" t="n">
        <v>2</v>
      </c>
      <c r="J3045" s="17" t="n">
        <v>156</v>
      </c>
      <c r="K3045" s="17" t="n">
        <v>128.18</v>
      </c>
      <c r="L3045" s="17" t="n">
        <v>25.86</v>
      </c>
      <c r="M3045" s="17" t="n">
        <v>0</v>
      </c>
      <c r="N3045" s="17">
        <f>K3045*0.08+L3045*0.08</f>
        <v/>
      </c>
      <c r="O3045" s="17">
        <f>-(K3045*0.025+L3045*0.025)</f>
        <v/>
      </c>
      <c r="P3045" s="17">
        <f>32</f>
        <v/>
      </c>
      <c r="Q3045" s="17">
        <f>J3045+L3045+N3045+O3045-P3045-M3045</f>
        <v/>
      </c>
    </row>
    <row r="3046">
      <c r="A3046" s="16" t="inlineStr">
        <is>
          <t>5.29-6.4</t>
        </is>
      </c>
      <c r="B3046" s="16" t="inlineStr">
        <is>
          <t>PO-128-18857953147512700</t>
        </is>
      </c>
      <c r="C3046" s="16" t="inlineStr">
        <is>
          <t>Shipped</t>
        </is>
      </c>
      <c r="D3046" s="16" t="inlineStr">
        <is>
          <t>128-18857937418872700</t>
        </is>
      </c>
      <c r="E3046" s="16" t="inlineStr">
        <is>
          <t>Shipped</t>
        </is>
      </c>
      <c r="F3046" s="16" t="inlineStr">
        <is>
          <t>LV64W25</t>
        </is>
      </c>
      <c r="G30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46" s="16" t="inlineStr">
        <is>
          <t>Blanco</t>
        </is>
      </c>
      <c r="I3046" s="16" t="n">
        <v>4</v>
      </c>
      <c r="J3046" s="17" t="n">
        <v>492</v>
      </c>
      <c r="K3046" s="17" t="n">
        <v>525.52</v>
      </c>
      <c r="L3046" s="17" t="n">
        <v>0</v>
      </c>
      <c r="M3046" s="17" t="n">
        <v>0</v>
      </c>
      <c r="N3046" s="17">
        <f>K3046*0.08+L3046*0.08</f>
        <v/>
      </c>
      <c r="O3046" s="17">
        <f>-(K3046*0.025+L3046*0.025)</f>
        <v/>
      </c>
      <c r="P3046" s="17">
        <f>32</f>
        <v/>
      </c>
      <c r="Q3046" s="17">
        <f>J3046+L3046+N3046+O3046-P3046-M3046</f>
        <v/>
      </c>
    </row>
    <row r="3047">
      <c r="A3047" s="16" t="inlineStr">
        <is>
          <t>5.29-6.4</t>
        </is>
      </c>
      <c r="B3047" s="16" t="inlineStr">
        <is>
          <t>PO-128-19216644590710754</t>
        </is>
      </c>
      <c r="C3047" s="16" t="inlineStr">
        <is>
          <t>Shipped</t>
        </is>
      </c>
      <c r="D3047" s="16" t="inlineStr">
        <is>
          <t>128-19216707505270754</t>
        </is>
      </c>
      <c r="E3047" s="16" t="inlineStr">
        <is>
          <t>Shipped</t>
        </is>
      </c>
      <c r="F3047" s="16" t="inlineStr">
        <is>
          <t>BG-115-B</t>
        </is>
      </c>
      <c r="G3047" s="16" t="inlineStr">
        <is>
          <t>LINK BITS Audífonos Inalámbricos con Luces Multicolor, Recargables y en Adorable Forma de Orejas de Gato - Conecta a Celulares y PCs, Tiene Radio FM, Tarjeta TF y AUX - 7 Horas de Reproducción, Plegables y Perfectos para Trabajo, Juegos y Estudio</t>
        </is>
      </c>
      <c r="H3047" s="16" t="inlineStr">
        <is>
          <t>blanco</t>
        </is>
      </c>
      <c r="I3047" s="16" t="n">
        <v>1</v>
      </c>
      <c r="J3047" s="17" t="n">
        <v>80</v>
      </c>
      <c r="K3047" s="17" t="n">
        <v>90.72</v>
      </c>
      <c r="L3047" s="17" t="n">
        <v>12.63</v>
      </c>
      <c r="M3047" s="17" t="n">
        <v>0</v>
      </c>
      <c r="N3047" s="17">
        <f>K3047*0.08+L3047*0.08</f>
        <v/>
      </c>
      <c r="O3047" s="17">
        <f>-(K3047*0.025+L3047*0.025)</f>
        <v/>
      </c>
      <c r="P3047" s="17">
        <f>32</f>
        <v/>
      </c>
      <c r="Q3047" s="17">
        <f>J3047+L3047+N3047+O3047-P3047-M3047</f>
        <v/>
      </c>
    </row>
    <row r="3048">
      <c r="A3048" s="16" t="inlineStr">
        <is>
          <t>5.29-6.4</t>
        </is>
      </c>
      <c r="B3048" s="16" t="inlineStr">
        <is>
          <t>PO-128-19216644590710754</t>
        </is>
      </c>
      <c r="C3048" s="16" t="inlineStr">
        <is>
          <t>Shipped</t>
        </is>
      </c>
      <c r="D3048" s="16" t="inlineStr">
        <is>
          <t>128-19216749448310754</t>
        </is>
      </c>
      <c r="E3048" s="16" t="inlineStr">
        <is>
          <t>Shipped</t>
        </is>
      </c>
      <c r="F3048" s="16" t="inlineStr">
        <is>
          <t>TL1455N20B</t>
        </is>
      </c>
      <c r="G3048" s="16" t="inlineStr">
        <is>
          <t>LINK BITS Soporte para TV 14 A 55 Pulgadas, Base para TV Pantalla Articulado Inclinable y Giratorio, MAX VESA 400×400 mm, Soporta hasta 18kg, adaptarse a la mayoría de los televisores de 14 Pulgadas/20 Pulgadas/32 Pulgadas/42 Pulgadas/55 pulgadas</t>
        </is>
      </c>
      <c r="H3048" s="16" t="inlineStr">
        <is>
          <t>TL1455N20B</t>
        </is>
      </c>
      <c r="I3048" s="16" t="n">
        <v>1</v>
      </c>
      <c r="J3048" s="17" t="n">
        <v>85</v>
      </c>
      <c r="K3048" s="17" t="n">
        <v>95.02</v>
      </c>
      <c r="L3048" s="17" t="n">
        <v>13.23</v>
      </c>
      <c r="M3048" s="17" t="n">
        <v>0</v>
      </c>
      <c r="N3048" s="17">
        <f>K3048*0.08+L3048*0.08</f>
        <v/>
      </c>
      <c r="O3048" s="17">
        <f>-(K3048*0.025+L3048*0.025)</f>
        <v/>
      </c>
      <c r="P3048" s="17">
        <f>32</f>
        <v/>
      </c>
      <c r="Q3048" s="17">
        <f>J3048+L3048+N3048+O3048-P3048-M3048</f>
        <v/>
      </c>
    </row>
    <row r="3049">
      <c r="A3049" s="16" t="inlineStr">
        <is>
          <t>5.29-6.4</t>
        </is>
      </c>
      <c r="B3049" s="16" t="inlineStr">
        <is>
          <t>PO-128-18936119839351402</t>
        </is>
      </c>
      <c r="C3049" s="16" t="inlineStr">
        <is>
          <t>Shipped</t>
        </is>
      </c>
      <c r="D3049" s="16" t="inlineStr">
        <is>
          <t>128-18936256154231402</t>
        </is>
      </c>
      <c r="E3049" s="16" t="inlineStr">
        <is>
          <t>Shipped</t>
        </is>
      </c>
      <c r="F3049" s="16" t="inlineStr">
        <is>
          <t>LV54W25</t>
        </is>
      </c>
      <c r="G3049" s="16" t="inlineStr">
        <is>
          <t>TIANLAI Lámpara Ventilador E27 2 en 1, Silenciosa, LED Alta Luminosidad 180°, Instalación Rápida, Ahorro Energético para Dormitorio y Interiores Pequeños</t>
        </is>
      </c>
      <c r="H3049" s="16" t="inlineStr">
        <is>
          <t>1 Pieza</t>
        </is>
      </c>
      <c r="I3049" s="16" t="n">
        <v>1</v>
      </c>
      <c r="J3049" s="17" t="n">
        <v>78</v>
      </c>
      <c r="K3049" s="17" t="n">
        <v>36.72</v>
      </c>
      <c r="L3049" s="17" t="n">
        <v>25.86</v>
      </c>
      <c r="M3049" s="17" t="n">
        <v>0</v>
      </c>
      <c r="N3049" s="17">
        <f>K3049*0.08+L3049*0.08</f>
        <v/>
      </c>
      <c r="O3049" s="17">
        <f>-(K3049*0.025+L3049*0.025)</f>
        <v/>
      </c>
      <c r="P3049" s="17">
        <f>32</f>
        <v/>
      </c>
      <c r="Q3049" s="17">
        <f>J3049+L3049+N3049+O3049-P3049-M3049</f>
        <v/>
      </c>
    </row>
    <row r="3050">
      <c r="A3050" s="16" t="inlineStr">
        <is>
          <t>5.29-6.4</t>
        </is>
      </c>
      <c r="B3050" s="16" t="inlineStr">
        <is>
          <t>PO-128-18646076549754029</t>
        </is>
      </c>
      <c r="C3050" s="16" t="inlineStr">
        <is>
          <t>Shipped</t>
        </is>
      </c>
      <c r="D3050" s="16" t="inlineStr">
        <is>
          <t>128-18646110628474029</t>
        </is>
      </c>
      <c r="E3050" s="16" t="inlineStr">
        <is>
          <t>Shipped</t>
        </is>
      </c>
      <c r="F3050" s="16" t="inlineStr">
        <is>
          <t>LV54W25</t>
        </is>
      </c>
      <c r="G3050" s="16" t="inlineStr">
        <is>
          <t>TIANLAI Lámpara Ventilador E27 2 en 1, Silenciosa, LED Alta Luminosidad 180°, Instalación Rápida, Ahorro Energético para Dormitorio y Interiores Pequeños</t>
        </is>
      </c>
      <c r="H3050" s="16" t="inlineStr">
        <is>
          <t>1 Pieza</t>
        </is>
      </c>
      <c r="I3050" s="16" t="n">
        <v>1</v>
      </c>
      <c r="J3050" s="17" t="n">
        <v>78</v>
      </c>
      <c r="K3050" s="17" t="n">
        <v>57.75</v>
      </c>
      <c r="L3050" s="17" t="n">
        <v>25.86</v>
      </c>
      <c r="M3050" s="17" t="n">
        <v>0</v>
      </c>
      <c r="N3050" s="17">
        <f>K3050*0.08+L3050*0.08</f>
        <v/>
      </c>
      <c r="O3050" s="17">
        <f>-(K3050*0.025+L3050*0.025)</f>
        <v/>
      </c>
      <c r="P3050" s="17">
        <f>32</f>
        <v/>
      </c>
      <c r="Q3050" s="17">
        <f>J3050+L3050+N3050+O3050-P3050-M3050</f>
        <v/>
      </c>
    </row>
    <row r="3051">
      <c r="A3051" s="16" t="inlineStr">
        <is>
          <t>5.29-6.4</t>
        </is>
      </c>
      <c r="B3051" s="16" t="inlineStr">
        <is>
          <t>PO-128-18580281047673333</t>
        </is>
      </c>
      <c r="C3051" s="16" t="inlineStr">
        <is>
          <t>Shipped</t>
        </is>
      </c>
      <c r="D3051" s="16" t="inlineStr">
        <is>
          <t>128-18580417362553333</t>
        </is>
      </c>
      <c r="E3051" s="16" t="inlineStr">
        <is>
          <t>Shipped</t>
        </is>
      </c>
      <c r="F3051" s="16" t="inlineStr">
        <is>
          <t>LV64W25</t>
        </is>
      </c>
      <c r="G30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1" s="16" t="inlineStr">
        <is>
          <t>Blanco</t>
        </is>
      </c>
      <c r="I3051" s="16" t="n">
        <v>2</v>
      </c>
      <c r="J3051" s="17" t="n">
        <v>246</v>
      </c>
      <c r="K3051" s="17" t="n">
        <v>262.76</v>
      </c>
      <c r="L3051" s="17" t="n">
        <v>0</v>
      </c>
      <c r="M3051" s="17" t="n">
        <v>0</v>
      </c>
      <c r="N3051" s="17">
        <f>K3051*0.08+L3051*0.08</f>
        <v/>
      </c>
      <c r="O3051" s="17">
        <f>-(K3051*0.025+L3051*0.025)</f>
        <v/>
      </c>
      <c r="P3051" s="17">
        <f>32</f>
        <v/>
      </c>
      <c r="Q3051" s="17">
        <f>J3051+L3051+N3051+O3051-P3051-M3051</f>
        <v/>
      </c>
    </row>
    <row r="3052">
      <c r="A3052" s="16" t="inlineStr">
        <is>
          <t>5.29-6.4</t>
        </is>
      </c>
      <c r="B3052" s="16" t="inlineStr">
        <is>
          <t>PO-128-19195953557110878</t>
        </is>
      </c>
      <c r="C3052" s="16" t="inlineStr">
        <is>
          <t>Shipped</t>
        </is>
      </c>
      <c r="D3052" s="16" t="inlineStr">
        <is>
          <t>128-19195911614070878</t>
        </is>
      </c>
      <c r="E3052" s="16" t="inlineStr">
        <is>
          <t>Shipped</t>
        </is>
      </c>
      <c r="F3052" s="16" t="inlineStr">
        <is>
          <t>LV54W25</t>
        </is>
      </c>
      <c r="G3052" s="16" t="inlineStr">
        <is>
          <t>TIANLAI Lámpara Ventilador E27 2 en 1, Silenciosa, LED Alta Luminosidad 180°, Instalación Rápida, Ahorro Energético para Dormitorio y Interiores Pequeños</t>
        </is>
      </c>
      <c r="H3052" s="16" t="inlineStr">
        <is>
          <t>1 Pieza</t>
        </is>
      </c>
      <c r="I3052" s="16" t="n">
        <v>1</v>
      </c>
      <c r="J3052" s="17" t="n">
        <v>78</v>
      </c>
      <c r="K3052" s="17" t="n">
        <v>79.81999999999999</v>
      </c>
      <c r="L3052" s="17" t="n">
        <v>25.86</v>
      </c>
      <c r="M3052" s="17" t="n">
        <v>0</v>
      </c>
      <c r="N3052" s="17">
        <f>K3052*0.08+L3052*0.08</f>
        <v/>
      </c>
      <c r="O3052" s="17">
        <f>-(K3052*0.025+L3052*0.025)</f>
        <v/>
      </c>
      <c r="P3052" s="17">
        <f>32</f>
        <v/>
      </c>
      <c r="Q3052" s="17">
        <f>J3052+L3052+N3052+O3052-P3052-M3052</f>
        <v/>
      </c>
    </row>
    <row r="3053">
      <c r="A3053" s="16" t="inlineStr">
        <is>
          <t>5.29-6.4</t>
        </is>
      </c>
      <c r="B3053" s="16" t="inlineStr">
        <is>
          <t>PO-128-18572866263673568</t>
        </is>
      </c>
      <c r="C3053" s="16" t="inlineStr">
        <is>
          <t>Shipped</t>
        </is>
      </c>
      <c r="D3053" s="16" t="inlineStr">
        <is>
          <t>128-18572845292153568</t>
        </is>
      </c>
      <c r="E3053" s="16" t="inlineStr">
        <is>
          <t>Shipped</t>
        </is>
      </c>
      <c r="F3053" s="16" t="inlineStr">
        <is>
          <t>LV54W25</t>
        </is>
      </c>
      <c r="G3053" s="16" t="inlineStr">
        <is>
          <t>TIANLAI Lámpara Ventilador E27 2 en 1, Silenciosa, LED Alta Luminosidad 180°, Instalación Rápida, Ahorro Energético para Dormitorio y Interiores Pequeños</t>
        </is>
      </c>
      <c r="H3053" s="16" t="inlineStr">
        <is>
          <t>1 Pieza</t>
        </is>
      </c>
      <c r="I3053" s="16" t="n">
        <v>2</v>
      </c>
      <c r="J3053" s="17" t="n">
        <v>156</v>
      </c>
      <c r="K3053" s="17" t="n">
        <v>159.64</v>
      </c>
      <c r="L3053" s="17" t="n">
        <v>25.86</v>
      </c>
      <c r="M3053" s="17" t="n">
        <v>0</v>
      </c>
      <c r="N3053" s="17">
        <f>K3053*0.08+L3053*0.08</f>
        <v/>
      </c>
      <c r="O3053" s="17">
        <f>-(K3053*0.025+L3053*0.025)</f>
        <v/>
      </c>
      <c r="P3053" s="17">
        <f>32</f>
        <v/>
      </c>
      <c r="Q3053" s="17">
        <f>J3053+L3053+N3053+O3053-P3053-M3053</f>
        <v/>
      </c>
    </row>
    <row r="3054">
      <c r="A3054" s="16" t="inlineStr">
        <is>
          <t>5.29-6.4</t>
        </is>
      </c>
      <c r="B3054" s="16" t="inlineStr">
        <is>
          <t>PO-128-18554291277433486</t>
        </is>
      </c>
      <c r="C3054" s="16" t="inlineStr">
        <is>
          <t>Shipped</t>
        </is>
      </c>
      <c r="D3054" s="16" t="inlineStr">
        <is>
          <t>128-18554396135033486</t>
        </is>
      </c>
      <c r="E3054" s="16" t="inlineStr">
        <is>
          <t>Shipped</t>
        </is>
      </c>
      <c r="F3054" s="16" t="inlineStr">
        <is>
          <t>LV64W25</t>
        </is>
      </c>
      <c r="G30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4" s="16" t="inlineStr">
        <is>
          <t>Blanco</t>
        </is>
      </c>
      <c r="I3054" s="16" t="n">
        <v>1</v>
      </c>
      <c r="J3054" s="17" t="n">
        <v>123</v>
      </c>
      <c r="K3054" s="17" t="n">
        <v>131.38</v>
      </c>
      <c r="L3054" s="17" t="n">
        <v>25.86</v>
      </c>
      <c r="M3054" s="17" t="n">
        <v>0</v>
      </c>
      <c r="N3054" s="17">
        <f>K3054*0.08+L3054*0.08</f>
        <v/>
      </c>
      <c r="O3054" s="17">
        <f>-(K3054*0.025+L3054*0.025)</f>
        <v/>
      </c>
      <c r="P3054" s="17">
        <f>32</f>
        <v/>
      </c>
      <c r="Q3054" s="17">
        <f>J3054+L3054+N3054+O3054-P3054-M3054</f>
        <v/>
      </c>
    </row>
    <row r="3055">
      <c r="A3055" s="16" t="inlineStr">
        <is>
          <t>5.29-6.4</t>
        </is>
      </c>
      <c r="B3055" s="16" t="inlineStr">
        <is>
          <t>PO-128-19053388698231537</t>
        </is>
      </c>
      <c r="C3055" s="16" t="inlineStr">
        <is>
          <t>Shipped</t>
        </is>
      </c>
      <c r="D3055" s="16" t="inlineStr">
        <is>
          <t>128-19053540741751537</t>
        </is>
      </c>
      <c r="E3055" s="16" t="inlineStr">
        <is>
          <t>Shipped</t>
        </is>
      </c>
      <c r="F3055" s="16" t="inlineStr">
        <is>
          <t>LV64W25</t>
        </is>
      </c>
      <c r="G30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5" s="16" t="inlineStr">
        <is>
          <t>Blanco</t>
        </is>
      </c>
      <c r="I3055" s="16" t="n">
        <v>1</v>
      </c>
      <c r="J3055" s="17" t="n">
        <v>123</v>
      </c>
      <c r="K3055" s="17" t="n">
        <v>141.27</v>
      </c>
      <c r="L3055" s="17" t="n">
        <v>25.86</v>
      </c>
      <c r="M3055" s="17" t="n">
        <v>0</v>
      </c>
      <c r="N3055" s="17">
        <f>K3055*0.08+L3055*0.08</f>
        <v/>
      </c>
      <c r="O3055" s="17">
        <f>-(K3055*0.025+L3055*0.025)</f>
        <v/>
      </c>
      <c r="P3055" s="17">
        <f>32</f>
        <v/>
      </c>
      <c r="Q3055" s="17">
        <f>J3055+L3055+N3055+O3055-P3055-M3055</f>
        <v/>
      </c>
    </row>
    <row r="3056">
      <c r="A3056" s="16" t="inlineStr">
        <is>
          <t>5.29-6.4</t>
        </is>
      </c>
      <c r="B3056" s="16" t="inlineStr">
        <is>
          <t>PO-128-19115991429750138</t>
        </is>
      </c>
      <c r="C3056" s="16" t="inlineStr">
        <is>
          <t>Shipped</t>
        </is>
      </c>
      <c r="D3056" s="16" t="inlineStr">
        <is>
          <t>128-19116096287350138</t>
        </is>
      </c>
      <c r="E3056" s="16" t="inlineStr">
        <is>
          <t>Shipped</t>
        </is>
      </c>
      <c r="F3056" s="16" t="inlineStr">
        <is>
          <t>LV64W25</t>
        </is>
      </c>
      <c r="G30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6" s="16" t="inlineStr">
        <is>
          <t>Blanco</t>
        </is>
      </c>
      <c r="I3056" s="16" t="n">
        <v>1</v>
      </c>
      <c r="J3056" s="17" t="n">
        <v>123</v>
      </c>
      <c r="K3056" s="17" t="n">
        <v>131.38</v>
      </c>
      <c r="L3056" s="17" t="n">
        <v>25.86</v>
      </c>
      <c r="M3056" s="17" t="n">
        <v>0</v>
      </c>
      <c r="N3056" s="17">
        <f>K3056*0.08+L3056*0.08</f>
        <v/>
      </c>
      <c r="O3056" s="17">
        <f>-(K3056*0.025+L3056*0.025)</f>
        <v/>
      </c>
      <c r="P3056" s="17">
        <f>32</f>
        <v/>
      </c>
      <c r="Q3056" s="17">
        <f>J3056+L3056+N3056+O3056-P3056-M3056</f>
        <v/>
      </c>
    </row>
    <row r="3057">
      <c r="A3057" s="16" t="inlineStr">
        <is>
          <t>5.29-6.4</t>
        </is>
      </c>
      <c r="B3057" s="16" t="inlineStr">
        <is>
          <t>PO-128-19062082663031612</t>
        </is>
      </c>
      <c r="C3057" s="16" t="inlineStr">
        <is>
          <t>Shipped</t>
        </is>
      </c>
      <c r="D3057" s="16" t="inlineStr">
        <is>
          <t>128-19062040719991612</t>
        </is>
      </c>
      <c r="E3057" s="16" t="inlineStr">
        <is>
          <t>Shipped</t>
        </is>
      </c>
      <c r="F3057" s="16" t="inlineStr">
        <is>
          <t>LV54W25</t>
        </is>
      </c>
      <c r="G3057" s="16" t="inlineStr">
        <is>
          <t>TIANLAI Lámpara Ventilador E27 2 en 1, Silenciosa, LED Alta Luminosidad 180°, Instalación Rápida, Ahorro Energético para Dormitorio y Interiores Pequeños</t>
        </is>
      </c>
      <c r="H3057" s="16" t="inlineStr">
        <is>
          <t>1 Pieza</t>
        </is>
      </c>
      <c r="I3057" s="16" t="n">
        <v>1</v>
      </c>
      <c r="J3057" s="17" t="n">
        <v>78</v>
      </c>
      <c r="K3057" s="17" t="n">
        <v>79.81999999999999</v>
      </c>
      <c r="L3057" s="17" t="n">
        <v>25.86</v>
      </c>
      <c r="M3057" s="17" t="n">
        <v>0</v>
      </c>
      <c r="N3057" s="17">
        <f>K3057*0.08+L3057*0.08</f>
        <v/>
      </c>
      <c r="O3057" s="17">
        <f>-(K3057*0.025+L3057*0.025)</f>
        <v/>
      </c>
      <c r="P3057" s="17">
        <f>32</f>
        <v/>
      </c>
      <c r="Q3057" s="17">
        <f>J3057+L3057+N3057+O3057-P3057-M3057</f>
        <v/>
      </c>
    </row>
    <row r="3058">
      <c r="A3058" s="16" t="inlineStr">
        <is>
          <t>5.29-6.4</t>
        </is>
      </c>
      <c r="B3058" s="16" t="inlineStr">
        <is>
          <t>PO-128-18865238876792723</t>
        </is>
      </c>
      <c r="C3058" s="16" t="inlineStr">
        <is>
          <t>Shipped</t>
        </is>
      </c>
      <c r="D3058" s="16" t="inlineStr">
        <is>
          <t>128-18865304412792723</t>
        </is>
      </c>
      <c r="E3058" s="16" t="inlineStr">
        <is>
          <t>Shipped</t>
        </is>
      </c>
      <c r="F3058" s="16" t="inlineStr">
        <is>
          <t>LV64W25</t>
        </is>
      </c>
      <c r="G30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58" s="16" t="inlineStr">
        <is>
          <t>Blanco</t>
        </is>
      </c>
      <c r="I3058" s="16" t="n">
        <v>2</v>
      </c>
      <c r="J3058" s="17" t="n">
        <v>246</v>
      </c>
      <c r="K3058" s="17" t="n">
        <v>282.54</v>
      </c>
      <c r="L3058" s="17" t="n">
        <v>0</v>
      </c>
      <c r="M3058" s="17" t="n">
        <v>0</v>
      </c>
      <c r="N3058" s="17">
        <f>K3058*0.08+L3058*0.08</f>
        <v/>
      </c>
      <c r="O3058" s="17">
        <f>-(K3058*0.025+L3058*0.025)</f>
        <v/>
      </c>
      <c r="P3058" s="17">
        <f>32</f>
        <v/>
      </c>
      <c r="Q3058" s="17">
        <f>J3058+L3058+N3058+O3058-P3058-M3058</f>
        <v/>
      </c>
    </row>
    <row r="3059">
      <c r="A3059" s="16" t="inlineStr">
        <is>
          <t>5.29-6.4</t>
        </is>
      </c>
      <c r="B3059" s="16" t="inlineStr">
        <is>
          <t>PO-128-19220324260470540</t>
        </is>
      </c>
      <c r="C3059" s="16" t="inlineStr">
        <is>
          <t>Shipped</t>
        </is>
      </c>
      <c r="D3059" s="16" t="inlineStr">
        <is>
          <t>128-19220476303990540</t>
        </is>
      </c>
      <c r="E3059" s="16" t="inlineStr">
        <is>
          <t>Shipped</t>
        </is>
      </c>
      <c r="F3059" s="16" t="inlineStr">
        <is>
          <t>TLCD06-12P-N</t>
        </is>
      </c>
      <c r="G305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59" s="16" t="inlineStr">
        <is>
          <t>NEGRO/pantalla de 12 pulgadas</t>
        </is>
      </c>
      <c r="I3059" s="16" t="n">
        <v>1</v>
      </c>
      <c r="J3059" s="17" t="n">
        <v>35</v>
      </c>
      <c r="K3059" s="17" t="n">
        <v>64.61</v>
      </c>
      <c r="L3059" s="17" t="n">
        <v>25.86</v>
      </c>
      <c r="M3059" s="17" t="n">
        <v>0</v>
      </c>
      <c r="N3059" s="17">
        <f>K3059*0.08+L3059*0.08</f>
        <v/>
      </c>
      <c r="O3059" s="17">
        <f>-(K3059*0.025+L3059*0.025)</f>
        <v/>
      </c>
      <c r="P3059" s="17">
        <f>32</f>
        <v/>
      </c>
      <c r="Q3059" s="17">
        <f>J3059+L3059+N3059+O3059-P3059-M3059</f>
        <v/>
      </c>
    </row>
    <row r="3060">
      <c r="A3060" s="16" t="inlineStr">
        <is>
          <t>5.29-6.4</t>
        </is>
      </c>
      <c r="B3060" s="16" t="inlineStr">
        <is>
          <t>PO-128-18651394949754060</t>
        </is>
      </c>
      <c r="C3060" s="16" t="inlineStr">
        <is>
          <t>Shipped</t>
        </is>
      </c>
      <c r="D3060" s="16" t="inlineStr">
        <is>
          <t>128-18651353006714060</t>
        </is>
      </c>
      <c r="E3060" s="16" t="inlineStr">
        <is>
          <t>Shipped</t>
        </is>
      </c>
      <c r="F3060" s="16" t="inlineStr">
        <is>
          <t>LV54W25</t>
        </is>
      </c>
      <c r="G3060" s="16" t="inlineStr">
        <is>
          <t>TIANLAI Lámpara Ventilador E27 2 en 1, Silenciosa, LED Alta Luminosidad 180°, Instalación Rápida, Ahorro Energético para Dormitorio y Interiores Pequeños</t>
        </is>
      </c>
      <c r="H3060" s="16" t="inlineStr">
        <is>
          <t>1 Pieza</t>
        </is>
      </c>
      <c r="I3060" s="16" t="n">
        <v>1</v>
      </c>
      <c r="J3060" s="17" t="n">
        <v>78</v>
      </c>
      <c r="K3060" s="17" t="n">
        <v>79.81999999999999</v>
      </c>
      <c r="L3060" s="17" t="n">
        <v>25.86</v>
      </c>
      <c r="M3060" s="17" t="n">
        <v>0</v>
      </c>
      <c r="N3060" s="17">
        <f>K3060*0.08+L3060*0.08</f>
        <v/>
      </c>
      <c r="O3060" s="17">
        <f>-(K3060*0.025+L3060*0.025)</f>
        <v/>
      </c>
      <c r="P3060" s="17">
        <f>32</f>
        <v/>
      </c>
      <c r="Q3060" s="17">
        <f>J3060+L3060+N3060+O3060-P3060-M3060</f>
        <v/>
      </c>
    </row>
    <row r="3061">
      <c r="A3061" s="16" t="inlineStr">
        <is>
          <t>5.29-6.4</t>
        </is>
      </c>
      <c r="B3061" s="16" t="inlineStr">
        <is>
          <t>PO-128-19065326311031656</t>
        </is>
      </c>
      <c r="C3061" s="16" t="inlineStr">
        <is>
          <t>Shipped</t>
        </is>
      </c>
      <c r="D3061" s="16" t="inlineStr">
        <is>
          <t>128-19065347282551656</t>
        </is>
      </c>
      <c r="E3061" s="16" t="inlineStr">
        <is>
          <t>Shipped</t>
        </is>
      </c>
      <c r="F3061" s="16" t="inlineStr">
        <is>
          <t>LV64W25</t>
        </is>
      </c>
      <c r="G30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61" s="16" t="inlineStr">
        <is>
          <t>Blanco</t>
        </is>
      </c>
      <c r="I3061" s="16" t="n">
        <v>1</v>
      </c>
      <c r="J3061" s="17" t="n">
        <v>123</v>
      </c>
      <c r="K3061" s="17" t="n">
        <v>141.27</v>
      </c>
      <c r="L3061" s="17" t="n">
        <v>25.86</v>
      </c>
      <c r="M3061" s="17" t="n">
        <v>0</v>
      </c>
      <c r="N3061" s="17">
        <f>K3061*0.08+L3061*0.08</f>
        <v/>
      </c>
      <c r="O3061" s="17">
        <f>-(K3061*0.025+L3061*0.025)</f>
        <v/>
      </c>
      <c r="P3061" s="17">
        <f>32</f>
        <v/>
      </c>
      <c r="Q3061" s="17">
        <f>J3061+L3061+N3061+O3061-P3061-M3061</f>
        <v/>
      </c>
    </row>
    <row r="3062">
      <c r="A3062" s="16" t="inlineStr">
        <is>
          <t>5.29-6.4</t>
        </is>
      </c>
      <c r="B3062" s="16" t="inlineStr">
        <is>
          <t>PO-128-18640049679993169</t>
        </is>
      </c>
      <c r="C3062" s="16" t="inlineStr">
        <is>
          <t>Shipped</t>
        </is>
      </c>
      <c r="D3062" s="16" t="inlineStr">
        <is>
          <t>128-18640060165753169</t>
        </is>
      </c>
      <c r="E3062" s="16" t="inlineStr">
        <is>
          <t>Shipped</t>
        </is>
      </c>
      <c r="F3062" s="16" t="inlineStr">
        <is>
          <t>LV64W25</t>
        </is>
      </c>
      <c r="G30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62" s="16" t="inlineStr">
        <is>
          <t>Blanco</t>
        </is>
      </c>
      <c r="I3062" s="16" t="n">
        <v>1</v>
      </c>
      <c r="J3062" s="17" t="n">
        <v>123</v>
      </c>
      <c r="K3062" s="17" t="n">
        <v>131.38</v>
      </c>
      <c r="L3062" s="17" t="n">
        <v>25.86</v>
      </c>
      <c r="M3062" s="17" t="n">
        <v>0</v>
      </c>
      <c r="N3062" s="17">
        <f>K3062*0.08+L3062*0.08</f>
        <v/>
      </c>
      <c r="O3062" s="17">
        <f>-(K3062*0.025+L3062*0.025)</f>
        <v/>
      </c>
      <c r="P3062" s="17">
        <f>32</f>
        <v/>
      </c>
      <c r="Q3062" s="17">
        <f>J3062+L3062+N3062+O3062-P3062-M3062</f>
        <v/>
      </c>
    </row>
    <row r="3063">
      <c r="A3063" s="16" t="inlineStr">
        <is>
          <t>5.29-6.4</t>
        </is>
      </c>
      <c r="B3063" s="16" t="inlineStr">
        <is>
          <t>PO-128-19172854991991017</t>
        </is>
      </c>
      <c r="C3063" s="16" t="inlineStr">
        <is>
          <t>Shipped</t>
        </is>
      </c>
      <c r="D3063" s="16" t="inlineStr">
        <is>
          <t>128-19172907420791017</t>
        </is>
      </c>
      <c r="E3063" s="16" t="inlineStr">
        <is>
          <t>Shipped</t>
        </is>
      </c>
      <c r="F3063" s="16" t="inlineStr">
        <is>
          <t>LV64W25</t>
        </is>
      </c>
      <c r="G30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63" s="16" t="inlineStr">
        <is>
          <t>Blanco</t>
        </is>
      </c>
      <c r="I3063" s="16" t="n">
        <v>3</v>
      </c>
      <c r="J3063" s="17" t="n">
        <v>369</v>
      </c>
      <c r="K3063" s="17" t="n">
        <v>394.14</v>
      </c>
      <c r="L3063" s="17" t="n">
        <v>0</v>
      </c>
      <c r="M3063" s="17" t="n">
        <v>0</v>
      </c>
      <c r="N3063" s="17">
        <f>K3063*0.08+L3063*0.08</f>
        <v/>
      </c>
      <c r="O3063" s="17">
        <f>-(K3063*0.025+L3063*0.025)</f>
        <v/>
      </c>
      <c r="P3063" s="17">
        <f>32</f>
        <v/>
      </c>
      <c r="Q3063" s="17">
        <f>J3063+L3063+N3063+O3063-P3063-M3063</f>
        <v/>
      </c>
    </row>
    <row r="3064">
      <c r="A3064" s="16" t="inlineStr">
        <is>
          <t>5.29-6.4</t>
        </is>
      </c>
      <c r="B3064" s="16" t="inlineStr">
        <is>
          <t>PO-128-18832398093433047</t>
        </is>
      </c>
      <c r="C3064" s="16" t="inlineStr">
        <is>
          <t>Shipped</t>
        </is>
      </c>
      <c r="D3064" s="16" t="inlineStr">
        <is>
          <t>128-18832356150393047</t>
        </is>
      </c>
      <c r="E3064" s="16" t="inlineStr">
        <is>
          <t>Shipped</t>
        </is>
      </c>
      <c r="F3064" s="16" t="inlineStr">
        <is>
          <t>LV54W25</t>
        </is>
      </c>
      <c r="G3064" s="16" t="inlineStr">
        <is>
          <t>TIANLAI Lámpara Ventilador E27 2 en 1, Silenciosa, LED Alta Luminosidad 180°, Instalación Rápida, Ahorro Energético para Dormitorio y Interiores Pequeños</t>
        </is>
      </c>
      <c r="H3064" s="16" t="inlineStr">
        <is>
          <t>1 Pieza</t>
        </is>
      </c>
      <c r="I3064" s="16" t="n">
        <v>1</v>
      </c>
      <c r="J3064" s="17" t="n">
        <v>78</v>
      </c>
      <c r="K3064" s="17" t="n">
        <v>79.81999999999999</v>
      </c>
      <c r="L3064" s="17" t="n">
        <v>25.86</v>
      </c>
      <c r="M3064" s="17" t="n">
        <v>0</v>
      </c>
      <c r="N3064" s="17">
        <f>K3064*0.08+L3064*0.08</f>
        <v/>
      </c>
      <c r="O3064" s="17">
        <f>-(K3064*0.025+L3064*0.025)</f>
        <v/>
      </c>
      <c r="P3064" s="17">
        <f>32</f>
        <v/>
      </c>
      <c r="Q3064" s="17">
        <f>J3064+L3064+N3064+O3064-P3064-M3064</f>
        <v/>
      </c>
    </row>
    <row r="3065">
      <c r="A3065" s="16" t="inlineStr">
        <is>
          <t>5.29-6.4</t>
        </is>
      </c>
      <c r="B3065" s="16" t="inlineStr">
        <is>
          <t>PO-128-18721948708473705</t>
        </is>
      </c>
      <c r="C3065" s="16" t="inlineStr">
        <is>
          <t>Shipped</t>
        </is>
      </c>
      <c r="D3065" s="16" t="inlineStr">
        <is>
          <t>128-18722028662393705</t>
        </is>
      </c>
      <c r="E3065" s="16" t="inlineStr">
        <is>
          <t>Shipped</t>
        </is>
      </c>
      <c r="F3065" s="16" t="inlineStr">
        <is>
          <t>VB349T</t>
        </is>
      </c>
      <c r="G3065" s="16" t="inlineStr">
        <is>
          <t>LINKBITS Altavoz Portátil de Doble Altavoz - 3 Pulgadas, Sonido HD, Emparejamiento Rápido de Bluetooth, Conectividad TWS, Reproducción Multimodo (Micro SD/USB/Radio FM) - Perfecto para Oficina, Viajes y Espacios Pequeños</t>
        </is>
      </c>
      <c r="H3065" s="16" t="inlineStr">
        <is>
          <t>NEGRO</t>
        </is>
      </c>
      <c r="I3065" s="16" t="n">
        <v>1</v>
      </c>
      <c r="J3065" s="17" t="n">
        <v>81</v>
      </c>
      <c r="K3065" s="17" t="n">
        <v>94.26000000000001</v>
      </c>
      <c r="L3065" s="17" t="n">
        <v>25.86</v>
      </c>
      <c r="M3065" s="17" t="n">
        <v>0</v>
      </c>
      <c r="N3065" s="17">
        <f>K3065*0.08+L3065*0.08</f>
        <v/>
      </c>
      <c r="O3065" s="17">
        <f>-(K3065*0.025+L3065*0.025)</f>
        <v/>
      </c>
      <c r="P3065" s="17">
        <f>32</f>
        <v/>
      </c>
      <c r="Q3065" s="17">
        <f>J3065+L3065+N3065+O3065-P3065-M3065</f>
        <v/>
      </c>
    </row>
    <row r="3066">
      <c r="A3066" s="16" t="inlineStr">
        <is>
          <t>5.29-6.4</t>
        </is>
      </c>
      <c r="B3066" s="16" t="inlineStr">
        <is>
          <t>PO-128-18555530220153481</t>
        </is>
      </c>
      <c r="C3066" s="16" t="inlineStr">
        <is>
          <t>Shipped</t>
        </is>
      </c>
      <c r="D3066" s="16" t="inlineStr">
        <is>
          <t>128-18555501384313481</t>
        </is>
      </c>
      <c r="E3066" s="16" t="inlineStr">
        <is>
          <t>Shipped</t>
        </is>
      </c>
      <c r="F3066" s="16" t="inlineStr">
        <is>
          <t>TL1455N20B</t>
        </is>
      </c>
      <c r="G3066" s="16" t="inlineStr">
        <is>
          <t>LINK BITS Soporte para TV 14 A 55 Pulgadas, Base para TV Pantalla Articulado Inclinable y Giratorio, MAX VESA 400×400 mm, Soporta hasta 18kg, adaptarse a la mayoría de los televisores de 14 Pulgadas/20 Pulgadas/32 Pulgadas/42 Pulgadas/55 pulgadas</t>
        </is>
      </c>
      <c r="H3066" s="16" t="inlineStr">
        <is>
          <t>TL1455N20B</t>
        </is>
      </c>
      <c r="I3066" s="16" t="n">
        <v>3</v>
      </c>
      <c r="J3066" s="17" t="n">
        <v>255</v>
      </c>
      <c r="K3066" s="17" t="n">
        <v>285.06</v>
      </c>
      <c r="L3066" s="17" t="n">
        <v>0</v>
      </c>
      <c r="M3066" s="17" t="n">
        <v>0</v>
      </c>
      <c r="N3066" s="17">
        <f>K3066*0.08+L3066*0.08</f>
        <v/>
      </c>
      <c r="O3066" s="17">
        <f>-(K3066*0.025+L3066*0.025)</f>
        <v/>
      </c>
      <c r="P3066" s="17">
        <f>32</f>
        <v/>
      </c>
      <c r="Q3066" s="17">
        <f>J3066+L3066+N3066+O3066-P3066-M3066</f>
        <v/>
      </c>
    </row>
    <row r="3067">
      <c r="A3067" s="16" t="inlineStr">
        <is>
          <t>5.29-6.4</t>
        </is>
      </c>
      <c r="B3067" s="16" t="inlineStr">
        <is>
          <t>PO-128-18885647637112601</t>
        </is>
      </c>
      <c r="C3067" s="16" t="inlineStr">
        <is>
          <t>Shipped</t>
        </is>
      </c>
      <c r="D3067" s="16" t="inlineStr">
        <is>
          <t>128-18885626665592601</t>
        </is>
      </c>
      <c r="E3067" s="16" t="inlineStr">
        <is>
          <t>Shipped</t>
        </is>
      </c>
      <c r="F3067" s="16" t="inlineStr">
        <is>
          <t>LV54W25</t>
        </is>
      </c>
      <c r="G3067" s="16" t="inlineStr">
        <is>
          <t>TIANLAI Lámpara Ventilador E27 2 en 1, Silenciosa, LED Alta Luminosidad 180°, Instalación Rápida, Ahorro Energético para Dormitorio y Interiores Pequeños</t>
        </is>
      </c>
      <c r="H3067" s="16" t="inlineStr">
        <is>
          <t>1 Pieza</t>
        </is>
      </c>
      <c r="I3067" s="16" t="n">
        <v>1</v>
      </c>
      <c r="J3067" s="17" t="n">
        <v>78</v>
      </c>
      <c r="K3067" s="17" t="n">
        <v>79.81999999999999</v>
      </c>
      <c r="L3067" s="17" t="n">
        <v>25.86</v>
      </c>
      <c r="M3067" s="17" t="n">
        <v>0</v>
      </c>
      <c r="N3067" s="17">
        <f>K3067*0.08+L3067*0.08</f>
        <v/>
      </c>
      <c r="O3067" s="17">
        <f>-(K3067*0.025+L3067*0.025)</f>
        <v/>
      </c>
      <c r="P3067" s="17">
        <f>32</f>
        <v/>
      </c>
      <c r="Q3067" s="17">
        <f>J3067+L3067+N3067+O3067-P3067-M3067</f>
        <v/>
      </c>
    </row>
    <row r="3068">
      <c r="A3068" s="16" t="inlineStr">
        <is>
          <t>5.29-6.4</t>
        </is>
      </c>
      <c r="B3068" s="16" t="inlineStr">
        <is>
          <t>PO-128-18883811779192610</t>
        </is>
      </c>
      <c r="C3068" s="16" t="inlineStr">
        <is>
          <t>Shipped</t>
        </is>
      </c>
      <c r="D3068" s="16" t="inlineStr">
        <is>
          <t>128-18883853722232610</t>
        </is>
      </c>
      <c r="E3068" s="16" t="inlineStr">
        <is>
          <t>Shipped</t>
        </is>
      </c>
      <c r="F3068" s="16" t="inlineStr">
        <is>
          <t>LV54W25</t>
        </is>
      </c>
      <c r="G3068" s="16" t="inlineStr">
        <is>
          <t>TIANLAI Lámpara Ventilador E27 2 en 1, Silenciosa, LED Alta Luminosidad 180°, Instalación Rápida, Ahorro Energético para Dormitorio y Interiores Pequeños</t>
        </is>
      </c>
      <c r="H3068" s="16" t="inlineStr">
        <is>
          <t>1 Pieza</t>
        </is>
      </c>
      <c r="I3068" s="16" t="n">
        <v>2</v>
      </c>
      <c r="J3068" s="17" t="n">
        <v>156</v>
      </c>
      <c r="K3068" s="17" t="n">
        <v>165.02</v>
      </c>
      <c r="L3068" s="17" t="n">
        <v>25.86</v>
      </c>
      <c r="M3068" s="17" t="n">
        <v>0</v>
      </c>
      <c r="N3068" s="17">
        <f>K3068*0.08+L3068*0.08</f>
        <v/>
      </c>
      <c r="O3068" s="17">
        <f>-(K3068*0.025+L3068*0.025)</f>
        <v/>
      </c>
      <c r="P3068" s="17">
        <f>32</f>
        <v/>
      </c>
      <c r="Q3068" s="17">
        <f>J3068+L3068+N3068+O3068-P3068-M3068</f>
        <v/>
      </c>
    </row>
    <row r="3069">
      <c r="A3069" s="16" t="inlineStr">
        <is>
          <t>5.29-6.4</t>
        </is>
      </c>
      <c r="B3069" s="16" t="inlineStr">
        <is>
          <t>PO-128-19118194555510191</t>
        </is>
      </c>
      <c r="C3069" s="16" t="inlineStr">
        <is>
          <t>Shipped</t>
        </is>
      </c>
      <c r="D3069" s="16" t="inlineStr">
        <is>
          <t>128-19118163098230191</t>
        </is>
      </c>
      <c r="E3069" s="16" t="inlineStr">
        <is>
          <t>Shipped</t>
        </is>
      </c>
      <c r="F3069" s="16" t="inlineStr">
        <is>
          <t>LV54W25</t>
        </is>
      </c>
      <c r="G3069" s="16" t="inlineStr">
        <is>
          <t>TIANLAI Lámpara Ventilador E27 2 en 1, Silenciosa, LED Alta Luminosidad 180°, Instalación Rápida, Ahorro Energético para Dormitorio y Interiores Pequeños</t>
        </is>
      </c>
      <c r="H3069" s="16" t="inlineStr">
        <is>
          <t>1 Pieza</t>
        </is>
      </c>
      <c r="I3069" s="16" t="n">
        <v>1</v>
      </c>
      <c r="J3069" s="17" t="n">
        <v>78</v>
      </c>
      <c r="K3069" s="17" t="n">
        <v>79.81999999999999</v>
      </c>
      <c r="L3069" s="17" t="n">
        <v>25.86</v>
      </c>
      <c r="M3069" s="17" t="n">
        <v>0</v>
      </c>
      <c r="N3069" s="17">
        <f>K3069*0.08+L3069*0.08</f>
        <v/>
      </c>
      <c r="O3069" s="17">
        <f>-(K3069*0.025+L3069*0.025)</f>
        <v/>
      </c>
      <c r="P3069" s="17">
        <f>32</f>
        <v/>
      </c>
      <c r="Q3069" s="17">
        <f>J3069+L3069+N3069+O3069-P3069-M3069</f>
        <v/>
      </c>
    </row>
    <row r="3070">
      <c r="A3070" s="16" t="inlineStr">
        <is>
          <t>5.29-6.4</t>
        </is>
      </c>
      <c r="B3070" s="16" t="inlineStr">
        <is>
          <t>PO-128-18886461358712594</t>
        </is>
      </c>
      <c r="C3070" s="16" t="inlineStr">
        <is>
          <t>Shipped</t>
        </is>
      </c>
      <c r="D3070" s="16" t="inlineStr">
        <is>
          <t>128-18886463980152594</t>
        </is>
      </c>
      <c r="E3070" s="16" t="inlineStr">
        <is>
          <t>Shipped</t>
        </is>
      </c>
      <c r="F3070" s="16" t="inlineStr">
        <is>
          <t>LV54W25</t>
        </is>
      </c>
      <c r="G3070" s="16" t="inlineStr">
        <is>
          <t>TIANLAI Lámpara Ventilador E27 2 en 1, Silenciosa, LED Alta Luminosidad 180°, Instalación Rápida, Ahorro Energético para Dormitorio y Interiores Pequeños</t>
        </is>
      </c>
      <c r="H3070" s="16" t="inlineStr">
        <is>
          <t>1 Pieza</t>
        </is>
      </c>
      <c r="I3070" s="16" t="n">
        <v>1</v>
      </c>
      <c r="J3070" s="17" t="n">
        <v>78</v>
      </c>
      <c r="K3070" s="17" t="n">
        <v>79.81999999999999</v>
      </c>
      <c r="L3070" s="17" t="n">
        <v>25.86</v>
      </c>
      <c r="M3070" s="17" t="n">
        <v>0</v>
      </c>
      <c r="N3070" s="17">
        <f>K3070*0.08+L3070*0.08</f>
        <v/>
      </c>
      <c r="O3070" s="17">
        <f>-(K3070*0.025+L3070*0.025)</f>
        <v/>
      </c>
      <c r="P3070" s="17">
        <f>32</f>
        <v/>
      </c>
      <c r="Q3070" s="17">
        <f>J3070+L3070+N3070+O3070-P3070-M3070</f>
        <v/>
      </c>
    </row>
    <row r="3071">
      <c r="A3071" s="16" t="inlineStr">
        <is>
          <t>5.29-6.4</t>
        </is>
      </c>
      <c r="B3071" s="16" t="inlineStr">
        <is>
          <t>PO-128-19031842458231664</t>
        </is>
      </c>
      <c r="C3071" s="16" t="inlineStr">
        <is>
          <t>Shipped</t>
        </is>
      </c>
      <c r="D3071" s="16" t="inlineStr">
        <is>
          <t>128-19031755950711664</t>
        </is>
      </c>
      <c r="E3071" s="16" t="inlineStr">
        <is>
          <t>Shipped</t>
        </is>
      </c>
      <c r="F3071" s="16" t="inlineStr">
        <is>
          <t>BSC07</t>
        </is>
      </c>
      <c r="G3071" s="16" t="inlineStr">
        <is>
          <t>TIANLAI Báscula Digital BSC04/BSC07, Alta Precisión, Fácil Operación, Ligera y Portátil, Función Tara, Unidad Dual oz/g, Ideal para Cocina, Control de Porciones, Sellos y Objetos Pequeños, Uso en Hogar y Viaje</t>
        </is>
      </c>
      <c r="H3071" s="16" t="inlineStr">
        <is>
          <t>1g/White</t>
        </is>
      </c>
      <c r="I3071" s="16" t="n">
        <v>1</v>
      </c>
      <c r="J3071" s="17" t="n">
        <v>38</v>
      </c>
      <c r="K3071" s="17" t="n">
        <v>50.22</v>
      </c>
      <c r="L3071" s="17" t="n">
        <v>25.86</v>
      </c>
      <c r="M3071" s="17" t="n">
        <v>0</v>
      </c>
      <c r="N3071" s="17">
        <f>K3071*0.08+L3071*0.08</f>
        <v/>
      </c>
      <c r="O3071" s="17">
        <f>-(K3071*0.025+L3071*0.025)</f>
        <v/>
      </c>
      <c r="P3071" s="17">
        <f>32</f>
        <v/>
      </c>
      <c r="Q3071" s="17">
        <f>J3071+L3071+N3071+O3071-P3071-M3071</f>
        <v/>
      </c>
    </row>
    <row r="3072">
      <c r="A3072" s="16" t="inlineStr">
        <is>
          <t>5.29-6.4</t>
        </is>
      </c>
      <c r="B3072" s="16" t="inlineStr">
        <is>
          <t>PO-128-18788358615672285</t>
        </is>
      </c>
      <c r="C3072" s="16" t="inlineStr">
        <is>
          <t>Shipped</t>
        </is>
      </c>
      <c r="D3072" s="16" t="inlineStr">
        <is>
          <t>128-18788371599992285</t>
        </is>
      </c>
      <c r="E3072" s="16" t="inlineStr">
        <is>
          <t>Shipped</t>
        </is>
      </c>
      <c r="F3072" s="16" t="inlineStr">
        <is>
          <t>LV54W25</t>
        </is>
      </c>
      <c r="G3072" s="16" t="inlineStr">
        <is>
          <t>TIANLAI Lámpara Ventilador E27 2 en 1, Silenciosa, LED Alta Luminosidad 180°, Instalación Rápida, Ahorro Energético para Dormitorio y Interiores Pequeños</t>
        </is>
      </c>
      <c r="H3072" s="16" t="inlineStr">
        <is>
          <t>1 Pieza</t>
        </is>
      </c>
      <c r="I3072" s="16" t="n">
        <v>1</v>
      </c>
      <c r="J3072" s="17" t="n">
        <v>78</v>
      </c>
      <c r="K3072" s="17" t="n">
        <v>79.81999999999999</v>
      </c>
      <c r="L3072" s="17" t="n">
        <v>25.86</v>
      </c>
      <c r="M3072" s="17" t="n">
        <v>0</v>
      </c>
      <c r="N3072" s="17">
        <f>K3072*0.08+L3072*0.08</f>
        <v/>
      </c>
      <c r="O3072" s="17">
        <f>-(K3072*0.025+L3072*0.025)</f>
        <v/>
      </c>
      <c r="P3072" s="17">
        <f>32</f>
        <v/>
      </c>
      <c r="Q3072" s="17">
        <f>J3072+L3072+N3072+O3072-P3072-M3072</f>
        <v/>
      </c>
    </row>
    <row r="3073">
      <c r="A3073" s="16" t="inlineStr">
        <is>
          <t>5.29-6.4</t>
        </is>
      </c>
      <c r="B3073" s="16" t="inlineStr">
        <is>
          <t>PO-128-18819243707512997</t>
        </is>
      </c>
      <c r="C3073" s="16" t="inlineStr">
        <is>
          <t>Shipped</t>
        </is>
      </c>
      <c r="D3073" s="16" t="inlineStr">
        <is>
          <t>128-18819222735992997</t>
        </is>
      </c>
      <c r="E3073" s="16" t="inlineStr">
        <is>
          <t>Shipped</t>
        </is>
      </c>
      <c r="F3073" s="16" t="inlineStr">
        <is>
          <t>KTS-2031</t>
        </is>
      </c>
      <c r="G3073" s="16" t="inlineStr">
        <is>
          <t>Bocina inalámbrica de 3 pulgadas con linterna multifuncional y panel solar integrado.Altavoz Portátil con Linterna LED 4 Modos, Radio FM, Bluetooth, Carga Solar, Ideal para Apagones, Emergencias, Campo y Exteriores</t>
        </is>
      </c>
      <c r="H3073" s="16" t="inlineStr">
        <is>
          <t>NEGRO</t>
        </is>
      </c>
      <c r="I3073" s="16" t="n">
        <v>1</v>
      </c>
      <c r="J3073" s="17" t="n">
        <v>90</v>
      </c>
      <c r="K3073" s="17" t="n">
        <v>99.43000000000001</v>
      </c>
      <c r="L3073" s="17" t="n">
        <v>25.86</v>
      </c>
      <c r="M3073" s="17" t="n">
        <v>0</v>
      </c>
      <c r="N3073" s="17">
        <f>K3073*0.08+L3073*0.08</f>
        <v/>
      </c>
      <c r="O3073" s="17">
        <f>-(K3073*0.025+L3073*0.025)</f>
        <v/>
      </c>
      <c r="P3073" s="17">
        <f>32</f>
        <v/>
      </c>
      <c r="Q3073" s="17">
        <f>J3073+L3073+N3073+O3073-P3073-M3073</f>
        <v/>
      </c>
    </row>
    <row r="3074">
      <c r="A3074" s="16" t="inlineStr">
        <is>
          <t>5.29-6.4</t>
        </is>
      </c>
      <c r="B3074" s="16" t="inlineStr">
        <is>
          <t>PO-128-18659484478074077</t>
        </is>
      </c>
      <c r="C3074" s="16" t="inlineStr">
        <is>
          <t>Shipped</t>
        </is>
      </c>
      <c r="D3074" s="16" t="inlineStr">
        <is>
          <t>128-18659473992314077</t>
        </is>
      </c>
      <c r="E3074" s="16" t="inlineStr">
        <is>
          <t>Shipped</t>
        </is>
      </c>
      <c r="F3074" s="16" t="inlineStr">
        <is>
          <t>LV54W25</t>
        </is>
      </c>
      <c r="G3074" s="16" t="inlineStr">
        <is>
          <t>TIANLAI Lámpara Ventilador E27 2 en 1, Silenciosa, LED Alta Luminosidad 180°, Instalación Rápida, Ahorro Energético para Dormitorio y Interiores Pequeños</t>
        </is>
      </c>
      <c r="H3074" s="16" t="inlineStr">
        <is>
          <t>1 Pieza</t>
        </is>
      </c>
      <c r="I3074" s="16" t="n">
        <v>3</v>
      </c>
      <c r="J3074" s="17" t="n">
        <v>234</v>
      </c>
      <c r="K3074" s="17" t="n">
        <v>239.46</v>
      </c>
      <c r="L3074" s="17" t="n">
        <v>0</v>
      </c>
      <c r="M3074" s="17" t="n">
        <v>0</v>
      </c>
      <c r="N3074" s="17">
        <f>K3074*0.08+L3074*0.08</f>
        <v/>
      </c>
      <c r="O3074" s="17">
        <f>-(K3074*0.025+L3074*0.025)</f>
        <v/>
      </c>
      <c r="P3074" s="17">
        <f>32</f>
        <v/>
      </c>
      <c r="Q3074" s="17">
        <f>J3074+L3074+N3074+O3074-P3074-M3074</f>
        <v/>
      </c>
    </row>
    <row r="3075">
      <c r="A3075" s="16" t="inlineStr">
        <is>
          <t>5.29-6.4</t>
        </is>
      </c>
      <c r="B3075" s="16" t="inlineStr">
        <is>
          <t>PO-128-18879205043832574</t>
        </is>
      </c>
      <c r="C3075" s="16" t="inlineStr">
        <is>
          <t>Shipped</t>
        </is>
      </c>
      <c r="D3075" s="16" t="inlineStr">
        <is>
          <t>128-18879215529592574</t>
        </is>
      </c>
      <c r="E3075" s="16" t="inlineStr">
        <is>
          <t>Shipped</t>
        </is>
      </c>
      <c r="F3075" s="16" t="inlineStr">
        <is>
          <t>KTS-2031</t>
        </is>
      </c>
      <c r="G3075" s="16" t="inlineStr">
        <is>
          <t>Bocina inalámbrica de 3 pulgadas con linterna multifuncional y panel solar integrado.Altavoz Portátil con Linterna LED 4 Modos, Radio FM, Bluetooth, Carga Solar, Ideal para Apagones, Emergencias, Campo y Exteriores</t>
        </is>
      </c>
      <c r="H3075" s="16" t="inlineStr">
        <is>
          <t>NEGRO</t>
        </is>
      </c>
      <c r="I3075" s="16" t="n">
        <v>3</v>
      </c>
      <c r="J3075" s="17" t="n">
        <v>270</v>
      </c>
      <c r="K3075" s="17" t="n">
        <v>350.91</v>
      </c>
      <c r="L3075" s="17" t="n">
        <v>0</v>
      </c>
      <c r="M3075" s="17" t="n">
        <v>0</v>
      </c>
      <c r="N3075" s="17">
        <f>K3075*0.08+L3075*0.08</f>
        <v/>
      </c>
      <c r="O3075" s="17">
        <f>-(K3075*0.025+L3075*0.025)</f>
        <v/>
      </c>
      <c r="P3075" s="17">
        <f>32</f>
        <v/>
      </c>
      <c r="Q3075" s="17">
        <f>J3075+L3075+N3075+O3075-P3075-M3075</f>
        <v/>
      </c>
    </row>
    <row r="3076">
      <c r="A3076" s="16" t="inlineStr">
        <is>
          <t>5.29-6.4</t>
        </is>
      </c>
      <c r="B3076" s="16" t="inlineStr">
        <is>
          <t>PO-128-18947071580791211</t>
        </is>
      </c>
      <c r="C3076" s="16" t="inlineStr">
        <is>
          <t>Shipped</t>
        </is>
      </c>
      <c r="D3076" s="16" t="inlineStr">
        <is>
          <t>128-18947113523831211</t>
        </is>
      </c>
      <c r="E3076" s="16" t="inlineStr">
        <is>
          <t>Shipped</t>
        </is>
      </c>
      <c r="F3076" s="16" t="inlineStr">
        <is>
          <t>LV64W25</t>
        </is>
      </c>
      <c r="G30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76" s="16" t="inlineStr">
        <is>
          <t>Blanco</t>
        </is>
      </c>
      <c r="I3076" s="16" t="n">
        <v>1</v>
      </c>
      <c r="J3076" s="17" t="n">
        <v>123</v>
      </c>
      <c r="K3076" s="17" t="n">
        <v>131.38</v>
      </c>
      <c r="L3076" s="17" t="n">
        <v>25.86</v>
      </c>
      <c r="M3076" s="17" t="n">
        <v>0</v>
      </c>
      <c r="N3076" s="17">
        <f>K3076*0.08+L3076*0.08</f>
        <v/>
      </c>
      <c r="O3076" s="17">
        <f>-(K3076*0.025+L3076*0.025)</f>
        <v/>
      </c>
      <c r="P3076" s="17">
        <f>32</f>
        <v/>
      </c>
      <c r="Q3076" s="17">
        <f>J3076+L3076+N3076+O3076-P3076-M3076</f>
        <v/>
      </c>
    </row>
    <row r="3077">
      <c r="A3077" s="16" t="inlineStr">
        <is>
          <t>5.29-6.4</t>
        </is>
      </c>
      <c r="B3077" s="16" t="inlineStr">
        <is>
          <t>PO-128-19036881449591698</t>
        </is>
      </c>
      <c r="C3077" s="16" t="inlineStr">
        <is>
          <t>Shipped</t>
        </is>
      </c>
      <c r="D3077" s="16" t="inlineStr">
        <is>
          <t>128-19036902421111698</t>
        </is>
      </c>
      <c r="E3077" s="16" t="inlineStr">
        <is>
          <t>Shipped</t>
        </is>
      </c>
      <c r="F3077" s="16" t="inlineStr">
        <is>
          <t>LV54W25</t>
        </is>
      </c>
      <c r="G3077" s="16" t="inlineStr">
        <is>
          <t>TIANLAI Lámpara Ventilador E27 2 en 1, Silenciosa, LED Alta Luminosidad 180°, Instalación Rápida, Ahorro Energético para Dormitorio y Interiores Pequeños</t>
        </is>
      </c>
      <c r="H3077" s="16" t="inlineStr">
        <is>
          <t>1 Pieza</t>
        </is>
      </c>
      <c r="I3077" s="16" t="n">
        <v>1</v>
      </c>
      <c r="J3077" s="17" t="n">
        <v>78</v>
      </c>
      <c r="K3077" s="17" t="n">
        <v>76.23</v>
      </c>
      <c r="L3077" s="17" t="n">
        <v>25.86</v>
      </c>
      <c r="M3077" s="17" t="n">
        <v>0</v>
      </c>
      <c r="N3077" s="17">
        <f>K3077*0.08+L3077*0.08</f>
        <v/>
      </c>
      <c r="O3077" s="17">
        <f>-(K3077*0.025+L3077*0.025)</f>
        <v/>
      </c>
      <c r="P3077" s="17">
        <f>32</f>
        <v/>
      </c>
      <c r="Q3077" s="17">
        <f>J3077+L3077+N3077+O3077-P3077-M3077</f>
        <v/>
      </c>
    </row>
    <row r="3078">
      <c r="A3078" s="16" t="inlineStr">
        <is>
          <t>5.29-6.4</t>
        </is>
      </c>
      <c r="B3078" s="16" t="inlineStr">
        <is>
          <t>PO-128-18883990441592611</t>
        </is>
      </c>
      <c r="C3078" s="16" t="inlineStr">
        <is>
          <t>Shipped</t>
        </is>
      </c>
      <c r="D3078" s="16" t="inlineStr">
        <is>
          <t>128-18884032384632611</t>
        </is>
      </c>
      <c r="E3078" s="16" t="inlineStr">
        <is>
          <t>Shipped</t>
        </is>
      </c>
      <c r="F3078" s="16" t="inlineStr">
        <is>
          <t>LV64W25</t>
        </is>
      </c>
      <c r="G30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78" s="16" t="inlineStr">
        <is>
          <t>Blanco</t>
        </is>
      </c>
      <c r="I3078" s="16" t="n">
        <v>2</v>
      </c>
      <c r="J3078" s="17" t="n">
        <v>246</v>
      </c>
      <c r="K3078" s="17" t="n">
        <v>240.16</v>
      </c>
      <c r="L3078" s="17" t="n">
        <v>0</v>
      </c>
      <c r="M3078" s="17" t="n">
        <v>0</v>
      </c>
      <c r="N3078" s="17">
        <f>K3078*0.08+L3078*0.08</f>
        <v/>
      </c>
      <c r="O3078" s="17">
        <f>-(K3078*0.025+L3078*0.025)</f>
        <v/>
      </c>
      <c r="P3078" s="17">
        <f>32</f>
        <v/>
      </c>
      <c r="Q3078" s="17">
        <f>J3078+L3078+N3078+O3078-P3078-M3078</f>
        <v/>
      </c>
    </row>
    <row r="3079">
      <c r="A3079" s="16" t="inlineStr">
        <is>
          <t>5.29-6.4</t>
        </is>
      </c>
      <c r="B3079" s="16" t="inlineStr">
        <is>
          <t>PO-128-18686585078393722</t>
        </is>
      </c>
      <c r="C3079" s="16" t="inlineStr">
        <is>
          <t>Shipped</t>
        </is>
      </c>
      <c r="D3079" s="16" t="inlineStr">
        <is>
          <t>128-18686606049913722</t>
        </is>
      </c>
      <c r="E3079" s="16" t="inlineStr">
        <is>
          <t>Shipped</t>
        </is>
      </c>
      <c r="F3079" s="16" t="inlineStr">
        <is>
          <t>KTS-1936</t>
        </is>
      </c>
      <c r="G3079" s="16" t="inlineStr">
        <is>
          <t>Espejo con Luz para Makeup，Espejo con Luz LED y Bocina Bluetooth，Espejo para Maquillaje con Aumentos y Luces LED de Intensidad Ajustable，Lente de Aumento 10X+Reproductor TF+ TWS，espejo de portátil y para estudiantes, oficina, dormitorio, mejor regalo</t>
        </is>
      </c>
      <c r="H3079" s="16" t="inlineStr">
        <is>
          <t>BLANCO</t>
        </is>
      </c>
      <c r="I3079" s="16" t="n">
        <v>1</v>
      </c>
      <c r="J3079" s="17" t="n">
        <v>220</v>
      </c>
      <c r="K3079" s="17" t="n">
        <v>238.53</v>
      </c>
      <c r="L3079" s="17" t="n">
        <v>25.86</v>
      </c>
      <c r="M3079" s="17" t="n">
        <v>0</v>
      </c>
      <c r="N3079" s="17">
        <f>K3079*0.08+L3079*0.08</f>
        <v/>
      </c>
      <c r="O3079" s="17">
        <f>-(K3079*0.025+L3079*0.025)</f>
        <v/>
      </c>
      <c r="P3079" s="17">
        <f>32</f>
        <v/>
      </c>
      <c r="Q3079" s="17">
        <f>J3079+L3079+N3079+O3079-P3079-M3079</f>
        <v/>
      </c>
    </row>
    <row r="3080">
      <c r="A3080" s="16" t="inlineStr">
        <is>
          <t>5.29-6.4</t>
        </is>
      </c>
      <c r="B3080" s="16" t="inlineStr">
        <is>
          <t>PO-128-18960576023671259</t>
        </is>
      </c>
      <c r="C3080" s="16" t="inlineStr">
        <is>
          <t>Shipped</t>
        </is>
      </c>
      <c r="D3080" s="16" t="inlineStr">
        <is>
          <t>128-18960534080631259</t>
        </is>
      </c>
      <c r="E3080" s="16" t="inlineStr">
        <is>
          <t>Shipped</t>
        </is>
      </c>
      <c r="F3080" s="16" t="inlineStr">
        <is>
          <t>LV64W25</t>
        </is>
      </c>
      <c r="G30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80" s="16" t="inlineStr">
        <is>
          <t>Blanco</t>
        </is>
      </c>
      <c r="I3080" s="16" t="n">
        <v>1</v>
      </c>
      <c r="J3080" s="17" t="n">
        <v>123</v>
      </c>
      <c r="K3080" s="17" t="n">
        <v>131.38</v>
      </c>
      <c r="L3080" s="17" t="n">
        <v>25.86</v>
      </c>
      <c r="M3080" s="17" t="n">
        <v>0</v>
      </c>
      <c r="N3080" s="17">
        <f>K3080*0.08+L3080*0.08</f>
        <v/>
      </c>
      <c r="O3080" s="17">
        <f>-(K3080*0.025+L3080*0.025)</f>
        <v/>
      </c>
      <c r="P3080" s="17">
        <f>32</f>
        <v/>
      </c>
      <c r="Q3080" s="17">
        <f>J3080+L3080+N3080+O3080-P3080-M3080</f>
        <v/>
      </c>
    </row>
    <row r="3081">
      <c r="A3081" s="16" t="inlineStr">
        <is>
          <t>5.29-6.4</t>
        </is>
      </c>
      <c r="B3081" s="16" t="inlineStr">
        <is>
          <t>PO-128-19128032246390197</t>
        </is>
      </c>
      <c r="C3081" s="16" t="inlineStr">
        <is>
          <t>Shipped</t>
        </is>
      </c>
      <c r="D3081" s="16" t="inlineStr">
        <is>
          <t>128-19127990303350197</t>
        </is>
      </c>
      <c r="E3081" s="16" t="inlineStr">
        <is>
          <t>Shipped</t>
        </is>
      </c>
      <c r="F3081" s="16" t="inlineStr">
        <is>
          <t>LV54W25</t>
        </is>
      </c>
      <c r="G3081" s="16" t="inlineStr">
        <is>
          <t>TIANLAI Lámpara Ventilador E27 2 en 1, Silenciosa, LED Alta Luminosidad 180°, Instalación Rápida, Ahorro Energético para Dormitorio y Interiores Pequeños</t>
        </is>
      </c>
      <c r="H3081" s="16" t="inlineStr">
        <is>
          <t>1 Pieza</t>
        </is>
      </c>
      <c r="I3081" s="16" t="n">
        <v>1</v>
      </c>
      <c r="J3081" s="17" t="n">
        <v>78</v>
      </c>
      <c r="K3081" s="17" t="n">
        <v>22.17</v>
      </c>
      <c r="L3081" s="17" t="n">
        <v>25.86</v>
      </c>
      <c r="M3081" s="17" t="n">
        <v>0</v>
      </c>
      <c r="N3081" s="17">
        <f>K3081*0.08+L3081*0.08</f>
        <v/>
      </c>
      <c r="O3081" s="17">
        <f>-(K3081*0.025+L3081*0.025)</f>
        <v/>
      </c>
      <c r="P3081" s="17">
        <f>32</f>
        <v/>
      </c>
      <c r="Q3081" s="17">
        <f>J3081+L3081+N3081+O3081-P3081-M3081</f>
        <v/>
      </c>
    </row>
    <row r="3082">
      <c r="A3082" s="16" t="inlineStr">
        <is>
          <t>5.29-6.4</t>
        </is>
      </c>
      <c r="B3082" s="16" t="inlineStr">
        <is>
          <t>PO-128-18911461038711487</t>
        </is>
      </c>
      <c r="C3082" s="16" t="inlineStr">
        <is>
          <t>Shipped</t>
        </is>
      </c>
      <c r="D3082" s="16" t="inlineStr">
        <is>
          <t>128-18911471524471487</t>
        </is>
      </c>
      <c r="E3082" s="16" t="inlineStr">
        <is>
          <t>Shipped</t>
        </is>
      </c>
      <c r="F3082" s="16" t="inlineStr">
        <is>
          <t>LV64W25</t>
        </is>
      </c>
      <c r="G30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82" s="16" t="inlineStr">
        <is>
          <t>Blanco</t>
        </is>
      </c>
      <c r="I3082" s="16" t="n">
        <v>1</v>
      </c>
      <c r="J3082" s="17" t="n">
        <v>123</v>
      </c>
      <c r="K3082" s="17" t="n">
        <v>131.38</v>
      </c>
      <c r="L3082" s="17" t="n">
        <v>25.86</v>
      </c>
      <c r="M3082" s="17" t="n">
        <v>0</v>
      </c>
      <c r="N3082" s="17">
        <f>K3082*0.08+L3082*0.08</f>
        <v/>
      </c>
      <c r="O3082" s="17">
        <f>-(K3082*0.025+L3082*0.025)</f>
        <v/>
      </c>
      <c r="P3082" s="17">
        <f>32</f>
        <v/>
      </c>
      <c r="Q3082" s="17">
        <f>J3082+L3082+N3082+O3082-P3082-M3082</f>
        <v/>
      </c>
    </row>
    <row r="3083">
      <c r="A3083" s="16" t="inlineStr">
        <is>
          <t>5.29-6.4</t>
        </is>
      </c>
      <c r="B3083" s="16" t="inlineStr">
        <is>
          <t>PO-128-19134104187510030</t>
        </is>
      </c>
      <c r="C3083" s="16" t="inlineStr">
        <is>
          <t>Shipped</t>
        </is>
      </c>
      <c r="D3083" s="16" t="inlineStr">
        <is>
          <t>128-19134209045110030</t>
        </is>
      </c>
      <c r="E3083" s="16" t="inlineStr">
        <is>
          <t>Shipped</t>
        </is>
      </c>
      <c r="F3083" s="16" t="inlineStr">
        <is>
          <t>LV54W25</t>
        </is>
      </c>
      <c r="G3083" s="16" t="inlineStr">
        <is>
          <t>TIANLAI Lámpara Ventilador E27 2 en 1, Silenciosa, LED Alta Luminosidad 180°, Instalación Rápida, Ahorro Energético para Dormitorio y Interiores Pequeños</t>
        </is>
      </c>
      <c r="H3083" s="16" t="inlineStr">
        <is>
          <t>1 Pieza</t>
        </is>
      </c>
      <c r="I3083" s="16" t="n">
        <v>1</v>
      </c>
      <c r="J3083" s="17" t="n">
        <v>78</v>
      </c>
      <c r="K3083" s="17" t="n">
        <v>82.51000000000001</v>
      </c>
      <c r="L3083" s="17" t="n">
        <v>25.86</v>
      </c>
      <c r="M3083" s="17" t="n">
        <v>0</v>
      </c>
      <c r="N3083" s="17">
        <f>K3083*0.08+L3083*0.08</f>
        <v/>
      </c>
      <c r="O3083" s="17">
        <f>-(K3083*0.025+L3083*0.025)</f>
        <v/>
      </c>
      <c r="P3083" s="17">
        <f>32</f>
        <v/>
      </c>
      <c r="Q3083" s="17">
        <f>J3083+L3083+N3083+O3083-P3083-M3083</f>
        <v/>
      </c>
    </row>
    <row r="3084">
      <c r="A3084" s="16" t="inlineStr">
        <is>
          <t>5.29-6.4</t>
        </is>
      </c>
      <c r="B3084" s="16" t="inlineStr">
        <is>
          <t>PO-128-19037526088311758</t>
        </is>
      </c>
      <c r="C3084" s="16" t="inlineStr">
        <is>
          <t>Shipped</t>
        </is>
      </c>
      <c r="D3084" s="16" t="inlineStr">
        <is>
          <t>128-19037484145271758</t>
        </is>
      </c>
      <c r="E3084" s="16" t="inlineStr">
        <is>
          <t>Shipped</t>
        </is>
      </c>
      <c r="F3084" s="16" t="inlineStr">
        <is>
          <t>LV64W25</t>
        </is>
      </c>
      <c r="G30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84" s="16" t="inlineStr">
        <is>
          <t>Blanco</t>
        </is>
      </c>
      <c r="I3084" s="16" t="n">
        <v>1</v>
      </c>
      <c r="J3084" s="17" t="n">
        <v>123</v>
      </c>
      <c r="K3084" s="17" t="n">
        <v>141.27</v>
      </c>
      <c r="L3084" s="17" t="n">
        <v>25.86</v>
      </c>
      <c r="M3084" s="17" t="n">
        <v>0</v>
      </c>
      <c r="N3084" s="17">
        <f>K3084*0.08+L3084*0.08</f>
        <v/>
      </c>
      <c r="O3084" s="17">
        <f>-(K3084*0.025+L3084*0.025)</f>
        <v/>
      </c>
      <c r="P3084" s="17">
        <f>32</f>
        <v/>
      </c>
      <c r="Q3084" s="17">
        <f>J3084+L3084+N3084+O3084-P3084-M3084</f>
        <v/>
      </c>
    </row>
    <row r="3085">
      <c r="A3085" s="16" t="inlineStr">
        <is>
          <t>5.29-6.4</t>
        </is>
      </c>
      <c r="B3085" s="16" t="inlineStr">
        <is>
          <t>PO-128-19214794650230767</t>
        </is>
      </c>
      <c r="C3085" s="16" t="inlineStr">
        <is>
          <t>Shipped</t>
        </is>
      </c>
      <c r="D3085" s="16" t="inlineStr">
        <is>
          <t>128-19214930965110767</t>
        </is>
      </c>
      <c r="E3085" s="16" t="inlineStr">
        <is>
          <t>Shipped</t>
        </is>
      </c>
      <c r="F3085" s="16" t="inlineStr">
        <is>
          <t>KTS-2031</t>
        </is>
      </c>
      <c r="G3085" s="16" t="inlineStr">
        <is>
          <t>Bocina inalámbrica de 3 pulgadas con linterna multifuncional y panel solar integrado.Altavoz Portátil con Linterna LED 4 Modos, Radio FM, Bluetooth, Carga Solar, Ideal para Apagones, Emergencias, Campo y Exteriores</t>
        </is>
      </c>
      <c r="H3085" s="16" t="inlineStr">
        <is>
          <t>NEGRO</t>
        </is>
      </c>
      <c r="I3085" s="16" t="n">
        <v>1</v>
      </c>
      <c r="J3085" s="17" t="n">
        <v>90</v>
      </c>
      <c r="K3085" s="17" t="n">
        <v>116.97</v>
      </c>
      <c r="L3085" s="17" t="n">
        <v>25.86</v>
      </c>
      <c r="M3085" s="17" t="n">
        <v>0</v>
      </c>
      <c r="N3085" s="17">
        <f>K3085*0.08+L3085*0.08</f>
        <v/>
      </c>
      <c r="O3085" s="17">
        <f>-(K3085*0.025+L3085*0.025)</f>
        <v/>
      </c>
      <c r="P3085" s="17">
        <f>32</f>
        <v/>
      </c>
      <c r="Q3085" s="17">
        <f>J3085+L3085+N3085+O3085-P3085-M3085</f>
        <v/>
      </c>
    </row>
    <row r="3086">
      <c r="A3086" s="16" t="inlineStr">
        <is>
          <t>5.29-6.4</t>
        </is>
      </c>
      <c r="B3086" s="16" t="inlineStr">
        <is>
          <t>PO-128-18803622861432128</t>
        </is>
      </c>
      <c r="C3086" s="16" t="inlineStr">
        <is>
          <t>Shipped</t>
        </is>
      </c>
      <c r="D3086" s="16" t="inlineStr">
        <is>
          <t>128-18803608443512128</t>
        </is>
      </c>
      <c r="E3086" s="16" t="inlineStr">
        <is>
          <t>Shipped</t>
        </is>
      </c>
      <c r="F3086" s="16" t="inlineStr">
        <is>
          <t>LV54W25</t>
        </is>
      </c>
      <c r="G3086" s="16" t="inlineStr">
        <is>
          <t>TIANLAI Lámpara Ventilador E27 2 en 1, Silenciosa, LED Alta Luminosidad 180°, Instalación Rápida, Ahorro Energético para Dormitorio y Interiores Pequeños</t>
        </is>
      </c>
      <c r="H3086" s="16" t="inlineStr">
        <is>
          <t>1 Pieza</t>
        </is>
      </c>
      <c r="I3086" s="16" t="n">
        <v>2</v>
      </c>
      <c r="J3086" s="17" t="n">
        <v>156</v>
      </c>
      <c r="K3086" s="17" t="n">
        <v>165.02</v>
      </c>
      <c r="L3086" s="17" t="n">
        <v>25.86</v>
      </c>
      <c r="M3086" s="17" t="n">
        <v>0</v>
      </c>
      <c r="N3086" s="17">
        <f>K3086*0.08+L3086*0.08</f>
        <v/>
      </c>
      <c r="O3086" s="17">
        <f>-(K3086*0.025+L3086*0.025)</f>
        <v/>
      </c>
      <c r="P3086" s="17">
        <f>32</f>
        <v/>
      </c>
      <c r="Q3086" s="17">
        <f>J3086+L3086+N3086+O3086-P3086-M3086</f>
        <v/>
      </c>
    </row>
    <row r="3087">
      <c r="A3087" s="16" t="inlineStr">
        <is>
          <t>5.29-6.4</t>
        </is>
      </c>
      <c r="B3087" s="16" t="inlineStr">
        <is>
          <t>PO-128-18741387715192501</t>
        </is>
      </c>
      <c r="C3087" s="16" t="inlineStr">
        <is>
          <t>Shipped</t>
        </is>
      </c>
      <c r="D3087" s="16" t="inlineStr">
        <is>
          <t>128-18741366743672501</t>
        </is>
      </c>
      <c r="E3087" s="16" t="inlineStr">
        <is>
          <t>Shipped</t>
        </is>
      </c>
      <c r="F3087" s="16" t="inlineStr">
        <is>
          <t>LV54W25</t>
        </is>
      </c>
      <c r="G3087" s="16" t="inlineStr">
        <is>
          <t>TIANLAI Lámpara Ventilador E27 2 en 1, Silenciosa, LED Alta Luminosidad 180°, Instalación Rápida, Ahorro Energético para Dormitorio y Interiores Pequeños</t>
        </is>
      </c>
      <c r="H3087" s="16" t="inlineStr">
        <is>
          <t>1 Pieza</t>
        </is>
      </c>
      <c r="I3087" s="16" t="n">
        <v>1</v>
      </c>
      <c r="J3087" s="17" t="n">
        <v>78</v>
      </c>
      <c r="K3087" s="17" t="n">
        <v>89.68000000000001</v>
      </c>
      <c r="L3087" s="17" t="n">
        <v>25.86</v>
      </c>
      <c r="M3087" s="17" t="n">
        <v>0</v>
      </c>
      <c r="N3087" s="17">
        <f>K3087*0.08+L3087*0.08</f>
        <v/>
      </c>
      <c r="O3087" s="17">
        <f>-(K3087*0.025+L3087*0.025)</f>
        <v/>
      </c>
      <c r="P3087" s="17">
        <f>32</f>
        <v/>
      </c>
      <c r="Q3087" s="17">
        <f>J3087+L3087+N3087+O3087-P3087-M3087</f>
        <v/>
      </c>
    </row>
    <row r="3088">
      <c r="A3088" s="16" t="inlineStr">
        <is>
          <t>5.29-6.4</t>
        </is>
      </c>
      <c r="B3088" s="16" t="inlineStr">
        <is>
          <t>PO-128-18686040986233727</t>
        </is>
      </c>
      <c r="C3088" s="16" t="inlineStr">
        <is>
          <t>Shipped</t>
        </is>
      </c>
      <c r="D3088" s="16" t="inlineStr">
        <is>
          <t>128-18686020014713727</t>
        </is>
      </c>
      <c r="E3088" s="16" t="inlineStr">
        <is>
          <t>Shipped</t>
        </is>
      </c>
      <c r="F3088" s="16" t="inlineStr">
        <is>
          <t>LV54W25</t>
        </is>
      </c>
      <c r="G3088" s="16" t="inlineStr">
        <is>
          <t>TIANLAI Lámpara Ventilador E27 2 en 1, Silenciosa, LED Alta Luminosidad 180°, Instalación Rápida, Ahorro Energético para Dormitorio y Interiores Pequeños</t>
        </is>
      </c>
      <c r="H3088" s="16" t="inlineStr">
        <is>
          <t>1 Pieza</t>
        </is>
      </c>
      <c r="I3088" s="16" t="n">
        <v>1</v>
      </c>
      <c r="J3088" s="17" t="n">
        <v>78</v>
      </c>
      <c r="K3088" s="17" t="n">
        <v>79.81999999999999</v>
      </c>
      <c r="L3088" s="17" t="n">
        <v>25.86</v>
      </c>
      <c r="M3088" s="17" t="n">
        <v>0</v>
      </c>
      <c r="N3088" s="17">
        <f>K3088*0.08+L3088*0.08</f>
        <v/>
      </c>
      <c r="O3088" s="17">
        <f>-(K3088*0.025+L3088*0.025)</f>
        <v/>
      </c>
      <c r="P3088" s="17">
        <f>32</f>
        <v/>
      </c>
      <c r="Q3088" s="17">
        <f>J3088+L3088+N3088+O3088-P3088-M3088</f>
        <v/>
      </c>
    </row>
    <row r="3089">
      <c r="A3089" s="16" t="inlineStr">
        <is>
          <t>5.29-6.4</t>
        </is>
      </c>
      <c r="B3089" s="16" t="inlineStr">
        <is>
          <t>PO-128-19165802558070931</t>
        </is>
      </c>
      <c r="C3089" s="16" t="inlineStr">
        <is>
          <t>Shipped</t>
        </is>
      </c>
      <c r="D3089" s="16" t="inlineStr">
        <is>
          <t>128-19165854986870931</t>
        </is>
      </c>
      <c r="E3089" s="16" t="inlineStr">
        <is>
          <t>Shipped</t>
        </is>
      </c>
      <c r="F3089" s="16" t="inlineStr">
        <is>
          <t>LV64W25</t>
        </is>
      </c>
      <c r="G30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89" s="16" t="inlineStr">
        <is>
          <t>Blanco</t>
        </is>
      </c>
      <c r="I3089" s="16" t="n">
        <v>2</v>
      </c>
      <c r="J3089" s="17" t="n">
        <v>246</v>
      </c>
      <c r="K3089" s="17" t="n">
        <v>282.54</v>
      </c>
      <c r="L3089" s="17" t="n">
        <v>0</v>
      </c>
      <c r="M3089" s="17" t="n">
        <v>0</v>
      </c>
      <c r="N3089" s="17">
        <f>K3089*0.08+L3089*0.08</f>
        <v/>
      </c>
      <c r="O3089" s="17">
        <f>-(K3089*0.025+L3089*0.025)</f>
        <v/>
      </c>
      <c r="P3089" s="17">
        <f>32</f>
        <v/>
      </c>
      <c r="Q3089" s="17">
        <f>J3089+L3089+N3089+O3089-P3089-M3089</f>
        <v/>
      </c>
    </row>
    <row r="3090">
      <c r="A3090" s="16" t="inlineStr">
        <is>
          <t>5.29-6.4</t>
        </is>
      </c>
      <c r="B3090" s="16" t="inlineStr">
        <is>
          <t>PO-128-19133366395510229</t>
        </is>
      </c>
      <c r="C3090" s="16" t="inlineStr">
        <is>
          <t>Shipped</t>
        </is>
      </c>
      <c r="D3090" s="16" t="inlineStr">
        <is>
          <t>128-19133324452470229</t>
        </is>
      </c>
      <c r="E3090" s="16" t="inlineStr">
        <is>
          <t>Shipped</t>
        </is>
      </c>
      <c r="F3090" s="16" t="inlineStr">
        <is>
          <t>LV64W25</t>
        </is>
      </c>
      <c r="G30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90" s="16" t="inlineStr">
        <is>
          <t>Blanco</t>
        </is>
      </c>
      <c r="I3090" s="16" t="n">
        <v>1</v>
      </c>
      <c r="J3090" s="17" t="n">
        <v>123</v>
      </c>
      <c r="K3090" s="17" t="n">
        <v>105.1</v>
      </c>
      <c r="L3090" s="17" t="n">
        <v>25.86</v>
      </c>
      <c r="M3090" s="17" t="n">
        <v>0</v>
      </c>
      <c r="N3090" s="17">
        <f>K3090*0.08+L3090*0.08</f>
        <v/>
      </c>
      <c r="O3090" s="17">
        <f>-(K3090*0.025+L3090*0.025)</f>
        <v/>
      </c>
      <c r="P3090" s="17">
        <f>32</f>
        <v/>
      </c>
      <c r="Q3090" s="17">
        <f>J3090+L3090+N3090+O3090-P3090-M3090</f>
        <v/>
      </c>
    </row>
    <row r="3091">
      <c r="A3091" s="16" t="inlineStr">
        <is>
          <t>5.29-6.4</t>
        </is>
      </c>
      <c r="B3091" s="16" t="inlineStr">
        <is>
          <t>PO-128-18931528356471366</t>
        </is>
      </c>
      <c r="C3091" s="16" t="inlineStr">
        <is>
          <t>Shipped</t>
        </is>
      </c>
      <c r="D3091" s="16" t="inlineStr">
        <is>
          <t>128-18931559813751366</t>
        </is>
      </c>
      <c r="E3091" s="16" t="inlineStr">
        <is>
          <t>Shipped</t>
        </is>
      </c>
      <c r="F3091" s="16" t="inlineStr">
        <is>
          <t>LV54W25</t>
        </is>
      </c>
      <c r="G3091" s="16" t="inlineStr">
        <is>
          <t>TIANLAI Lámpara Ventilador E27 2 en 1, Silenciosa, LED Alta Luminosidad 180°, Instalación Rápida, Ahorro Energético para Dormitorio y Interiores Pequeños</t>
        </is>
      </c>
      <c r="H3091" s="16" t="inlineStr">
        <is>
          <t>1 Pieza</t>
        </is>
      </c>
      <c r="I3091" s="16" t="n">
        <v>1</v>
      </c>
      <c r="J3091" s="17" t="n">
        <v>78</v>
      </c>
      <c r="K3091" s="17" t="n">
        <v>79.81999999999999</v>
      </c>
      <c r="L3091" s="17" t="n">
        <v>25.86</v>
      </c>
      <c r="M3091" s="17" t="n">
        <v>0</v>
      </c>
      <c r="N3091" s="17">
        <f>K3091*0.08+L3091*0.08</f>
        <v/>
      </c>
      <c r="O3091" s="17">
        <f>-(K3091*0.025+L3091*0.025)</f>
        <v/>
      </c>
      <c r="P3091" s="17">
        <f>32</f>
        <v/>
      </c>
      <c r="Q3091" s="17">
        <f>J3091+L3091+N3091+O3091-P3091-M3091</f>
        <v/>
      </c>
    </row>
    <row r="3092">
      <c r="A3092" s="16" t="inlineStr">
        <is>
          <t>5.29-6.4</t>
        </is>
      </c>
      <c r="B3092" s="16" t="inlineStr">
        <is>
          <t>PO-128-19003640279672024</t>
        </is>
      </c>
      <c r="C3092" s="16" t="inlineStr">
        <is>
          <t>Shipped</t>
        </is>
      </c>
      <c r="D3092" s="16" t="inlineStr">
        <is>
          <t>128-19003716301432024</t>
        </is>
      </c>
      <c r="E3092" s="16" t="inlineStr">
        <is>
          <t>Shipped</t>
        </is>
      </c>
      <c r="F3092" s="16" t="inlineStr">
        <is>
          <t>LV54W25</t>
        </is>
      </c>
      <c r="G3092" s="16" t="inlineStr">
        <is>
          <t>TIANLAI Lámpara Ventilador E27 2 en 1, Silenciosa, LED Alta Luminosidad 180°, Instalación Rápida, Ahorro Energético para Dormitorio y Interiores Pequeños</t>
        </is>
      </c>
      <c r="H3092" s="16" t="inlineStr">
        <is>
          <t>1 Pieza</t>
        </is>
      </c>
      <c r="I3092" s="16" t="n">
        <v>3</v>
      </c>
      <c r="J3092" s="17" t="n">
        <v>234</v>
      </c>
      <c r="K3092" s="17" t="n">
        <v>247.53</v>
      </c>
      <c r="L3092" s="17" t="n">
        <v>0</v>
      </c>
      <c r="M3092" s="17" t="n">
        <v>0</v>
      </c>
      <c r="N3092" s="17">
        <f>K3092*0.08+L3092*0.08</f>
        <v/>
      </c>
      <c r="O3092" s="17">
        <f>-(K3092*0.025+L3092*0.025)</f>
        <v/>
      </c>
      <c r="P3092" s="17">
        <f>32</f>
        <v/>
      </c>
      <c r="Q3092" s="17">
        <f>J3092+L3092+N3092+O3092-P3092-M3092</f>
        <v/>
      </c>
    </row>
    <row r="3093">
      <c r="A3093" s="16" t="inlineStr">
        <is>
          <t>5.29-6.4</t>
        </is>
      </c>
      <c r="B3093" s="16" t="inlineStr">
        <is>
          <t>PO-128-19086452306550506</t>
        </is>
      </c>
      <c r="C3093" s="16" t="inlineStr">
        <is>
          <t>Shipped</t>
        </is>
      </c>
      <c r="D3093" s="16" t="inlineStr">
        <is>
          <t>128-19086483763830506</t>
        </is>
      </c>
      <c r="E3093" s="16" t="inlineStr">
        <is>
          <t>Shipped</t>
        </is>
      </c>
      <c r="F3093" s="16" t="inlineStr">
        <is>
          <t>LV64W25</t>
        </is>
      </c>
      <c r="G30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93" s="16" t="inlineStr">
        <is>
          <t>Blanco</t>
        </is>
      </c>
      <c r="I3093" s="16" t="n">
        <v>1</v>
      </c>
      <c r="J3093" s="17" t="n">
        <v>123</v>
      </c>
      <c r="K3093" s="17" t="n">
        <v>131.38</v>
      </c>
      <c r="L3093" s="17" t="n">
        <v>25.86</v>
      </c>
      <c r="M3093" s="17" t="n">
        <v>0</v>
      </c>
      <c r="N3093" s="17">
        <f>K3093*0.08+L3093*0.08</f>
        <v/>
      </c>
      <c r="O3093" s="17">
        <f>-(K3093*0.025+L3093*0.025)</f>
        <v/>
      </c>
      <c r="P3093" s="17">
        <f>32</f>
        <v/>
      </c>
      <c r="Q3093" s="17">
        <f>J3093+L3093+N3093+O3093-P3093-M3093</f>
        <v/>
      </c>
    </row>
    <row r="3094">
      <c r="A3094" s="16" t="inlineStr">
        <is>
          <t>5.29-6.4</t>
        </is>
      </c>
      <c r="B3094" s="16" t="inlineStr">
        <is>
          <t>PO-128-18751762791032311</t>
        </is>
      </c>
      <c r="C3094" s="16" t="inlineStr">
        <is>
          <t>Shipped</t>
        </is>
      </c>
      <c r="D3094" s="16" t="inlineStr">
        <is>
          <t>128-18751783762552311</t>
        </is>
      </c>
      <c r="E3094" s="16" t="inlineStr">
        <is>
          <t>Shipped</t>
        </is>
      </c>
      <c r="F3094" s="16" t="inlineStr">
        <is>
          <t>LV64W25</t>
        </is>
      </c>
      <c r="G30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94" s="16" t="inlineStr">
        <is>
          <t>Blanco</t>
        </is>
      </c>
      <c r="I3094" s="16" t="n">
        <v>1</v>
      </c>
      <c r="J3094" s="17" t="n">
        <v>123</v>
      </c>
      <c r="K3094" s="17" t="n">
        <v>141.27</v>
      </c>
      <c r="L3094" s="17" t="n">
        <v>25.86</v>
      </c>
      <c r="M3094" s="17" t="n">
        <v>0</v>
      </c>
      <c r="N3094" s="17">
        <f>K3094*0.08+L3094*0.08</f>
        <v/>
      </c>
      <c r="O3094" s="17">
        <f>-(K3094*0.025+L3094*0.025)</f>
        <v/>
      </c>
      <c r="P3094" s="17">
        <f>32</f>
        <v/>
      </c>
      <c r="Q3094" s="17">
        <f>J3094+L3094+N3094+O3094-P3094-M3094</f>
        <v/>
      </c>
    </row>
    <row r="3095">
      <c r="A3095" s="16" t="inlineStr">
        <is>
          <t>5.29-6.4</t>
        </is>
      </c>
      <c r="B3095" s="16" t="inlineStr">
        <is>
          <t>PO-128-18904486129271465</t>
        </is>
      </c>
      <c r="C3095" s="16" t="inlineStr">
        <is>
          <t>Shipped</t>
        </is>
      </c>
      <c r="D3095" s="16" t="inlineStr">
        <is>
          <t>128-18904562151031465</t>
        </is>
      </c>
      <c r="E3095" s="16" t="inlineStr">
        <is>
          <t>Shipped</t>
        </is>
      </c>
      <c r="F3095" s="16" t="inlineStr">
        <is>
          <t>KTS-2031</t>
        </is>
      </c>
      <c r="G3095" s="16" t="inlineStr">
        <is>
          <t>Bocina inalámbrica de 3 pulgadas con linterna multifuncional y panel solar integrado.Altavoz Portátil con Linterna LED 4 Modos, Radio FM, Bluetooth, Carga Solar, Ideal para Apagones, Emergencias, Campo y Exteriores</t>
        </is>
      </c>
      <c r="H3095" s="16" t="inlineStr">
        <is>
          <t>NEGRO</t>
        </is>
      </c>
      <c r="I3095" s="16" t="n">
        <v>1</v>
      </c>
      <c r="J3095" s="17" t="n">
        <v>90</v>
      </c>
      <c r="K3095" s="17" t="n">
        <v>116.97</v>
      </c>
      <c r="L3095" s="17" t="n">
        <v>25.86</v>
      </c>
      <c r="M3095" s="17" t="n">
        <v>0</v>
      </c>
      <c r="N3095" s="17">
        <f>K3095*0.08+L3095*0.08</f>
        <v/>
      </c>
      <c r="O3095" s="17">
        <f>-(K3095*0.025+L3095*0.025)</f>
        <v/>
      </c>
      <c r="P3095" s="17">
        <f>32</f>
        <v/>
      </c>
      <c r="Q3095" s="17">
        <f>J3095+L3095+N3095+O3095-P3095-M3095</f>
        <v/>
      </c>
    </row>
    <row r="3096">
      <c r="A3096" s="16" t="inlineStr">
        <is>
          <t>5.29-6.4</t>
        </is>
      </c>
      <c r="B3096" s="16" t="inlineStr">
        <is>
          <t>PO-128-19213489398390711</t>
        </is>
      </c>
      <c r="C3096" s="16" t="inlineStr">
        <is>
          <t>Shipped</t>
        </is>
      </c>
      <c r="D3096" s="16" t="inlineStr">
        <is>
          <t>128-19213531341430711</t>
        </is>
      </c>
      <c r="E3096" s="16" t="inlineStr">
        <is>
          <t>Shipped</t>
        </is>
      </c>
      <c r="F3096" s="16" t="inlineStr">
        <is>
          <t>LV64W25</t>
        </is>
      </c>
      <c r="G30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096" s="16" t="inlineStr">
        <is>
          <t>Blanco</t>
        </is>
      </c>
      <c r="I3096" s="16" t="n">
        <v>2</v>
      </c>
      <c r="J3096" s="17" t="n">
        <v>246</v>
      </c>
      <c r="K3096" s="17" t="n">
        <v>240.16</v>
      </c>
      <c r="L3096" s="17" t="n">
        <v>0</v>
      </c>
      <c r="M3096" s="17" t="n">
        <v>0</v>
      </c>
      <c r="N3096" s="17">
        <f>K3096*0.08+L3096*0.08</f>
        <v/>
      </c>
      <c r="O3096" s="17">
        <f>-(K3096*0.025+L3096*0.025)</f>
        <v/>
      </c>
      <c r="P3096" s="17">
        <f>32</f>
        <v/>
      </c>
      <c r="Q3096" s="17">
        <f>J3096+L3096+N3096+O3096-P3096-M3096</f>
        <v/>
      </c>
    </row>
    <row r="3097">
      <c r="A3097" s="16" t="inlineStr">
        <is>
          <t>5.29-6.4</t>
        </is>
      </c>
      <c r="B3097" s="16" t="inlineStr">
        <is>
          <t>PO-128-18955140332151227</t>
        </is>
      </c>
      <c r="C3097" s="16" t="inlineStr">
        <is>
          <t>Shipped</t>
        </is>
      </c>
      <c r="D3097" s="16" t="inlineStr">
        <is>
          <t>128-18955119360631227</t>
        </is>
      </c>
      <c r="E3097" s="16" t="inlineStr">
        <is>
          <t>Shipped</t>
        </is>
      </c>
      <c r="F3097" s="16" t="inlineStr">
        <is>
          <t>LV54W25</t>
        </is>
      </c>
      <c r="G3097" s="16" t="inlineStr">
        <is>
          <t>TIANLAI Lámpara Ventilador E27 2 en 1, Silenciosa, LED Alta Luminosidad 180°, Instalación Rápida, Ahorro Energético para Dormitorio y Interiores Pequeños</t>
        </is>
      </c>
      <c r="H3097" s="16" t="inlineStr">
        <is>
          <t>1 Pieza</t>
        </is>
      </c>
      <c r="I3097" s="16" t="n">
        <v>1</v>
      </c>
      <c r="J3097" s="17" t="n">
        <v>78</v>
      </c>
      <c r="K3097" s="17" t="n">
        <v>82.51000000000001</v>
      </c>
      <c r="L3097" s="17" t="n">
        <v>25.86</v>
      </c>
      <c r="M3097" s="17" t="n">
        <v>0</v>
      </c>
      <c r="N3097" s="17">
        <f>K3097*0.08+L3097*0.08</f>
        <v/>
      </c>
      <c r="O3097" s="17">
        <f>-(K3097*0.025+L3097*0.025)</f>
        <v/>
      </c>
      <c r="P3097" s="17">
        <f>32</f>
        <v/>
      </c>
      <c r="Q3097" s="17">
        <f>J3097+L3097+N3097+O3097-P3097-M3097</f>
        <v/>
      </c>
    </row>
    <row r="3098">
      <c r="A3098" s="16" t="inlineStr">
        <is>
          <t>5.29-6.4</t>
        </is>
      </c>
      <c r="B3098" s="16" t="inlineStr">
        <is>
          <t>PO-128-19102060129910351</t>
        </is>
      </c>
      <c r="C3098" s="16" t="inlineStr">
        <is>
          <t>Shipped</t>
        </is>
      </c>
      <c r="D3098" s="16" t="inlineStr">
        <is>
          <t>128-19102062751350351</t>
        </is>
      </c>
      <c r="E3098" s="16" t="inlineStr">
        <is>
          <t>Shipped</t>
        </is>
      </c>
      <c r="F3098" s="16" t="inlineStr">
        <is>
          <t>TLCD06-12P-N</t>
        </is>
      </c>
      <c r="G309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098" s="16" t="inlineStr">
        <is>
          <t>NEGRO/pantalla de 12 pulgadas</t>
        </is>
      </c>
      <c r="I3098" s="16" t="n">
        <v>1</v>
      </c>
      <c r="J3098" s="17" t="n">
        <v>35</v>
      </c>
      <c r="K3098" s="17" t="n">
        <v>64.61</v>
      </c>
      <c r="L3098" s="17" t="n">
        <v>25.86</v>
      </c>
      <c r="M3098" s="17" t="n">
        <v>0</v>
      </c>
      <c r="N3098" s="17">
        <f>K3098*0.08+L3098*0.08</f>
        <v/>
      </c>
      <c r="O3098" s="17">
        <f>-(K3098*0.025+L3098*0.025)</f>
        <v/>
      </c>
      <c r="P3098" s="17">
        <f>32</f>
        <v/>
      </c>
      <c r="Q3098" s="17">
        <f>J3098+L3098+N3098+O3098-P3098-M3098</f>
        <v/>
      </c>
    </row>
    <row r="3099">
      <c r="A3099" s="16" t="inlineStr">
        <is>
          <t>5.29-6.4</t>
        </is>
      </c>
      <c r="B3099" s="16" t="inlineStr">
        <is>
          <t>PO-128-18613325527673326</t>
        </is>
      </c>
      <c r="C3099" s="16" t="inlineStr">
        <is>
          <t>Shipped</t>
        </is>
      </c>
      <c r="D3099" s="16" t="inlineStr">
        <is>
          <t>128-18613336013433326</t>
        </is>
      </c>
      <c r="E3099" s="16" t="inlineStr">
        <is>
          <t>Shipped</t>
        </is>
      </c>
      <c r="F3099" s="16" t="inlineStr">
        <is>
          <t>LV54W25</t>
        </is>
      </c>
      <c r="G3099" s="16" t="inlineStr">
        <is>
          <t>TIANLAI Lámpara Ventilador E27 2 en 1, Silenciosa, LED Alta Luminosidad 180°, Instalación Rápida, Ahorro Energético para Dormitorio y Interiores Pequeños</t>
        </is>
      </c>
      <c r="H3099" s="16" t="inlineStr">
        <is>
          <t>1 Pieza</t>
        </is>
      </c>
      <c r="I3099" s="16" t="n">
        <v>1</v>
      </c>
      <c r="J3099" s="17" t="n">
        <v>78</v>
      </c>
      <c r="K3099" s="17" t="n">
        <v>82.51000000000001</v>
      </c>
      <c r="L3099" s="17" t="n">
        <v>25.86</v>
      </c>
      <c r="M3099" s="17" t="n">
        <v>0</v>
      </c>
      <c r="N3099" s="17">
        <f>K3099*0.08+L3099*0.08</f>
        <v/>
      </c>
      <c r="O3099" s="17">
        <f>-(K3099*0.025+L3099*0.025)</f>
        <v/>
      </c>
      <c r="P3099" s="17">
        <f>32</f>
        <v/>
      </c>
      <c r="Q3099" s="17">
        <f>J3099+L3099+N3099+O3099-P3099-M3099</f>
        <v/>
      </c>
    </row>
    <row r="3100">
      <c r="A3100" s="16" t="inlineStr">
        <is>
          <t>5.29-6.4</t>
        </is>
      </c>
      <c r="B3100" s="16" t="inlineStr">
        <is>
          <t>PO-128-19016978166391880</t>
        </is>
      </c>
      <c r="C3100" s="16" t="inlineStr">
        <is>
          <t>Shipped</t>
        </is>
      </c>
      <c r="D3100" s="16" t="inlineStr">
        <is>
          <t>128-19017138074231880</t>
        </is>
      </c>
      <c r="E3100" s="16" t="inlineStr">
        <is>
          <t>Shipped</t>
        </is>
      </c>
      <c r="F3100" s="16" t="inlineStr">
        <is>
          <t>BSC07</t>
        </is>
      </c>
      <c r="G3100" s="16" t="inlineStr">
        <is>
          <t>TIANLAI Báscula Digital BSC04/BSC07, Alta Precisión, Fácil Operación, Ligera y Portátil, Función Tara, Unidad Dual oz/g, Ideal para Cocina, Control de Porciones, Sellos y Objetos Pequeños, Uso en Hogar y Viaje</t>
        </is>
      </c>
      <c r="H3100" s="16" t="inlineStr">
        <is>
          <t>1g/White</t>
        </is>
      </c>
      <c r="I3100" s="16" t="n">
        <v>1</v>
      </c>
      <c r="J3100" s="17" t="n">
        <v>38</v>
      </c>
      <c r="K3100" s="17" t="n">
        <v>50.22</v>
      </c>
      <c r="L3100" s="17" t="n">
        <v>0</v>
      </c>
      <c r="M3100" s="17" t="n">
        <v>0</v>
      </c>
      <c r="N3100" s="17">
        <f>K3100*0.08+L3100*0.08</f>
        <v/>
      </c>
      <c r="O3100" s="17">
        <f>-(K3100*0.025+L3100*0.025)</f>
        <v/>
      </c>
      <c r="P3100" s="17">
        <f>32</f>
        <v/>
      </c>
      <c r="Q3100" s="17">
        <f>J3100+L3100+N3100+O3100-P3100-M3100</f>
        <v/>
      </c>
    </row>
    <row r="3101">
      <c r="A3101" s="16" t="inlineStr">
        <is>
          <t>5.29-6.4</t>
        </is>
      </c>
      <c r="B3101" s="16" t="inlineStr">
        <is>
          <t>PO-128-19016978166391880</t>
        </is>
      </c>
      <c r="C3101" s="16" t="inlineStr">
        <is>
          <t>Shipped</t>
        </is>
      </c>
      <c r="D3101" s="16" t="inlineStr">
        <is>
          <t>128-19017096131191880</t>
        </is>
      </c>
      <c r="E3101" s="16" t="inlineStr">
        <is>
          <t>Shipped</t>
        </is>
      </c>
      <c r="F3101" s="16" t="inlineStr">
        <is>
          <t>LV54W25</t>
        </is>
      </c>
      <c r="G3101" s="16" t="inlineStr">
        <is>
          <t>TIANLAI Lámpara Ventilador E27 2 en 1, Silenciosa, LED Alta Luminosidad 180°, Instalación Rápida, Ahorro Energético para Dormitorio y Interiores Pequeños</t>
        </is>
      </c>
      <c r="H3101" s="16" t="inlineStr">
        <is>
          <t>1 Pieza</t>
        </is>
      </c>
      <c r="I3101" s="16" t="n">
        <v>4</v>
      </c>
      <c r="J3101" s="17" t="n">
        <v>312</v>
      </c>
      <c r="K3101" s="17" t="n">
        <v>330.04</v>
      </c>
      <c r="L3101" s="17" t="n">
        <v>0</v>
      </c>
      <c r="M3101" s="17" t="n">
        <v>0</v>
      </c>
      <c r="N3101" s="17">
        <f>K3101*0.08+L3101*0.08</f>
        <v/>
      </c>
      <c r="O3101" s="17">
        <f>-(K3101*0.025+L3101*0.025)</f>
        <v/>
      </c>
      <c r="P3101" s="17">
        <f>32</f>
        <v/>
      </c>
      <c r="Q3101" s="17">
        <f>J3101+L3101+N3101+O3101-P3101-M3101</f>
        <v/>
      </c>
    </row>
    <row r="3102">
      <c r="A3102" s="16" t="inlineStr">
        <is>
          <t>5.29-6.4</t>
        </is>
      </c>
      <c r="B3102" s="16" t="inlineStr">
        <is>
          <t>PO-128-19169253868150975</t>
        </is>
      </c>
      <c r="C3102" s="16" t="inlineStr">
        <is>
          <t>Shipped</t>
        </is>
      </c>
      <c r="D3102" s="16" t="inlineStr">
        <is>
          <t>128-19169274839670975</t>
        </is>
      </c>
      <c r="E3102" s="16" t="inlineStr">
        <is>
          <t>Shipped</t>
        </is>
      </c>
      <c r="F3102" s="16" t="inlineStr">
        <is>
          <t>LV54W25</t>
        </is>
      </c>
      <c r="G3102" s="16" t="inlineStr">
        <is>
          <t>TIANLAI Lámpara Ventilador E27 2 en 1, Silenciosa, LED Alta Luminosidad 180°, Instalación Rápida, Ahorro Energético para Dormitorio y Interiores Pequeños</t>
        </is>
      </c>
      <c r="H3102" s="16" t="inlineStr">
        <is>
          <t>1 Pieza</t>
        </is>
      </c>
      <c r="I3102" s="16" t="n">
        <v>2</v>
      </c>
      <c r="J3102" s="17" t="n">
        <v>156</v>
      </c>
      <c r="K3102" s="17" t="n">
        <v>165.02</v>
      </c>
      <c r="L3102" s="17" t="n">
        <v>25.86</v>
      </c>
      <c r="M3102" s="17" t="n">
        <v>0</v>
      </c>
      <c r="N3102" s="17">
        <f>K3102*0.08+L3102*0.08</f>
        <v/>
      </c>
      <c r="O3102" s="17">
        <f>-(K3102*0.025+L3102*0.025)</f>
        <v/>
      </c>
      <c r="P3102" s="17">
        <f>32</f>
        <v/>
      </c>
      <c r="Q3102" s="17">
        <f>J3102+L3102+N3102+O3102-P3102-M3102</f>
        <v/>
      </c>
    </row>
    <row r="3103">
      <c r="A3103" s="16" t="inlineStr">
        <is>
          <t>5.29-6.4</t>
        </is>
      </c>
      <c r="B3103" s="16" t="inlineStr">
        <is>
          <t>PO-128-18637509079673182</t>
        </is>
      </c>
      <c r="C3103" s="16" t="inlineStr">
        <is>
          <t>Shipped</t>
        </is>
      </c>
      <c r="D3103" s="16" t="inlineStr">
        <is>
          <t>128-18637613937273182</t>
        </is>
      </c>
      <c r="E3103" s="16" t="inlineStr">
        <is>
          <t>Shipped</t>
        </is>
      </c>
      <c r="F3103" s="16" t="inlineStr">
        <is>
          <t>LV64W25</t>
        </is>
      </c>
      <c r="G31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03" s="16" t="inlineStr">
        <is>
          <t>Blanco</t>
        </is>
      </c>
      <c r="I3103" s="16" t="n">
        <v>1</v>
      </c>
      <c r="J3103" s="17" t="n">
        <v>123</v>
      </c>
      <c r="K3103" s="17" t="n">
        <v>113.02</v>
      </c>
      <c r="L3103" s="17" t="n">
        <v>25.86</v>
      </c>
      <c r="M3103" s="17" t="n">
        <v>0</v>
      </c>
      <c r="N3103" s="17">
        <f>K3103*0.08+L3103*0.08</f>
        <v/>
      </c>
      <c r="O3103" s="17">
        <f>-(K3103*0.025+L3103*0.025)</f>
        <v/>
      </c>
      <c r="P3103" s="17">
        <f>32</f>
        <v/>
      </c>
      <c r="Q3103" s="17">
        <f>J3103+L3103+N3103+O3103-P3103-M3103</f>
        <v/>
      </c>
    </row>
    <row r="3104">
      <c r="A3104" s="16" t="inlineStr">
        <is>
          <t>5.29-6.4</t>
        </is>
      </c>
      <c r="B3104" s="16" t="inlineStr">
        <is>
          <t>PO-128-18591019617913397</t>
        </is>
      </c>
      <c r="C3104" s="16" t="inlineStr">
        <is>
          <t>Shipped</t>
        </is>
      </c>
      <c r="D3104" s="16" t="inlineStr">
        <is>
          <t>128-18591072046713397</t>
        </is>
      </c>
      <c r="E3104" s="16" t="inlineStr">
        <is>
          <t>Shipped</t>
        </is>
      </c>
      <c r="F3104" s="16" t="inlineStr">
        <is>
          <t>LV64W25</t>
        </is>
      </c>
      <c r="G31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04" s="16" t="inlineStr">
        <is>
          <t>Blanco</t>
        </is>
      </c>
      <c r="I3104" s="16" t="n">
        <v>1</v>
      </c>
      <c r="J3104" s="17" t="n">
        <v>123</v>
      </c>
      <c r="K3104" s="17" t="n">
        <v>131.38</v>
      </c>
      <c r="L3104" s="17" t="n">
        <v>25.86</v>
      </c>
      <c r="M3104" s="17" t="n">
        <v>0</v>
      </c>
      <c r="N3104" s="17">
        <f>K3104*0.08+L3104*0.08</f>
        <v/>
      </c>
      <c r="O3104" s="17">
        <f>-(K3104*0.025+L3104*0.025)</f>
        <v/>
      </c>
      <c r="P3104" s="17">
        <f>32</f>
        <v/>
      </c>
      <c r="Q3104" s="17">
        <f>J3104+L3104+N3104+O3104-P3104-M3104</f>
        <v/>
      </c>
    </row>
    <row r="3105">
      <c r="A3105" s="16" t="inlineStr">
        <is>
          <t>5.29-6.4</t>
        </is>
      </c>
      <c r="B3105" s="16" t="inlineStr">
        <is>
          <t>PO-128-19078869013110424</t>
        </is>
      </c>
      <c r="C3105" s="16" t="inlineStr">
        <is>
          <t>Shipped</t>
        </is>
      </c>
      <c r="D3105" s="16" t="inlineStr">
        <is>
          <t>128-19078874255990424</t>
        </is>
      </c>
      <c r="E3105" s="16" t="inlineStr">
        <is>
          <t>Shipped</t>
        </is>
      </c>
      <c r="F3105" s="16" t="inlineStr">
        <is>
          <t>LV54W25</t>
        </is>
      </c>
      <c r="G3105" s="16" t="inlineStr">
        <is>
          <t>TIANLAI Lámpara Ventilador E27 2 en 1, Silenciosa, LED Alta Luminosidad 180°, Instalación Rápida, Ahorro Energético para Dormitorio y Interiores Pequeños</t>
        </is>
      </c>
      <c r="H3105" s="16" t="inlineStr">
        <is>
          <t>1 Pieza</t>
        </is>
      </c>
      <c r="I3105" s="16" t="n">
        <v>1</v>
      </c>
      <c r="J3105" s="17" t="n">
        <v>78</v>
      </c>
      <c r="K3105" s="17" t="n">
        <v>82.51000000000001</v>
      </c>
      <c r="L3105" s="17" t="n">
        <v>25.86</v>
      </c>
      <c r="M3105" s="17" t="n">
        <v>0</v>
      </c>
      <c r="N3105" s="17">
        <f>K3105*0.08+L3105*0.08</f>
        <v/>
      </c>
      <c r="O3105" s="17">
        <f>-(K3105*0.025+L3105*0.025)</f>
        <v/>
      </c>
      <c r="P3105" s="17">
        <f>32</f>
        <v/>
      </c>
      <c r="Q3105" s="17">
        <f>J3105+L3105+N3105+O3105-P3105-M3105</f>
        <v/>
      </c>
    </row>
    <row r="3106">
      <c r="A3106" s="16" t="inlineStr">
        <is>
          <t>5.29-6.4</t>
        </is>
      </c>
      <c r="B3106" s="16" t="inlineStr">
        <is>
          <t>PO-128-18696279143033792</t>
        </is>
      </c>
      <c r="C3106" s="16" t="inlineStr">
        <is>
          <t>Shipped</t>
        </is>
      </c>
      <c r="D3106" s="16" t="inlineStr">
        <is>
          <t>128-18696361063033792</t>
        </is>
      </c>
      <c r="E3106" s="16" t="inlineStr">
        <is>
          <t>Shipped</t>
        </is>
      </c>
      <c r="F3106" s="16" t="inlineStr">
        <is>
          <t>LV64W25</t>
        </is>
      </c>
      <c r="G31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06" s="16" t="inlineStr">
        <is>
          <t>Blanco</t>
        </is>
      </c>
      <c r="I3106" s="16" t="n">
        <v>1</v>
      </c>
      <c r="J3106" s="17" t="n">
        <v>123</v>
      </c>
      <c r="K3106" s="17" t="n">
        <v>131.38</v>
      </c>
      <c r="L3106" s="17" t="n">
        <v>25.86</v>
      </c>
      <c r="M3106" s="17" t="n">
        <v>0</v>
      </c>
      <c r="N3106" s="17">
        <f>K3106*0.08+L3106*0.08</f>
        <v/>
      </c>
      <c r="O3106" s="17">
        <f>-(K3106*0.025+L3106*0.025)</f>
        <v/>
      </c>
      <c r="P3106" s="17">
        <f>32</f>
        <v/>
      </c>
      <c r="Q3106" s="17">
        <f>J3106+L3106+N3106+O3106-P3106-M3106</f>
        <v/>
      </c>
    </row>
    <row r="3107">
      <c r="A3107" s="16" t="inlineStr">
        <is>
          <t>5.29-6.4</t>
        </is>
      </c>
      <c r="B3107" s="16" t="inlineStr">
        <is>
          <t>PO-128-18798892810872092</t>
        </is>
      </c>
      <c r="C3107" s="16" t="inlineStr">
        <is>
          <t>Shipped</t>
        </is>
      </c>
      <c r="D3107" s="16" t="inlineStr">
        <is>
          <t>128-18798997668472092</t>
        </is>
      </c>
      <c r="E3107" s="16" t="inlineStr">
        <is>
          <t>Shipped</t>
        </is>
      </c>
      <c r="F3107" s="16" t="inlineStr">
        <is>
          <t>LV54W25</t>
        </is>
      </c>
      <c r="G3107" s="16" t="inlineStr">
        <is>
          <t>TIANLAI Lámpara Ventilador E27 2 en 1, Silenciosa, LED Alta Luminosidad 180°, Instalación Rápida, Ahorro Energético para Dormitorio y Interiores Pequeños</t>
        </is>
      </c>
      <c r="H3107" s="16" t="inlineStr">
        <is>
          <t>1 Pieza</t>
        </is>
      </c>
      <c r="I3107" s="16" t="n">
        <v>1</v>
      </c>
      <c r="J3107" s="17" t="n">
        <v>78</v>
      </c>
      <c r="K3107" s="17" t="n">
        <v>79.81999999999999</v>
      </c>
      <c r="L3107" s="17" t="n">
        <v>25.86</v>
      </c>
      <c r="M3107" s="17" t="n">
        <v>0</v>
      </c>
      <c r="N3107" s="17">
        <f>K3107*0.08+L3107*0.08</f>
        <v/>
      </c>
      <c r="O3107" s="17">
        <f>-(K3107*0.025+L3107*0.025)</f>
        <v/>
      </c>
      <c r="P3107" s="17">
        <f>32</f>
        <v/>
      </c>
      <c r="Q3107" s="17">
        <f>J3107+L3107+N3107+O3107-P3107-M3107</f>
        <v/>
      </c>
    </row>
    <row r="3108">
      <c r="A3108" s="16" t="inlineStr">
        <is>
          <t>5.29-6.4</t>
        </is>
      </c>
      <c r="B3108" s="16" t="inlineStr">
        <is>
          <t>PO-128-18589863199353402</t>
        </is>
      </c>
      <c r="C3108" s="16" t="inlineStr">
        <is>
          <t>Shipped</t>
        </is>
      </c>
      <c r="D3108" s="16" t="inlineStr">
        <is>
          <t>128-18589968056953402</t>
        </is>
      </c>
      <c r="E3108" s="16" t="inlineStr">
        <is>
          <t>Shipped</t>
        </is>
      </c>
      <c r="F3108" s="16" t="inlineStr">
        <is>
          <t>LV54W25</t>
        </is>
      </c>
      <c r="G3108" s="16" t="inlineStr">
        <is>
          <t>TIANLAI Lámpara Ventilador E27 2 en 1, Silenciosa, LED Alta Luminosidad 180°, Instalación Rápida, Ahorro Energético para Dormitorio y Interiores Pequeños</t>
        </is>
      </c>
      <c r="H3108" s="16" t="inlineStr">
        <is>
          <t>1 Pieza</t>
        </is>
      </c>
      <c r="I3108" s="16" t="n">
        <v>1</v>
      </c>
      <c r="J3108" s="17" t="n">
        <v>78</v>
      </c>
      <c r="K3108" s="17" t="n">
        <v>82.51000000000001</v>
      </c>
      <c r="L3108" s="17" t="n">
        <v>25.86</v>
      </c>
      <c r="M3108" s="17" t="n">
        <v>0</v>
      </c>
      <c r="N3108" s="17">
        <f>K3108*0.08+L3108*0.08</f>
        <v/>
      </c>
      <c r="O3108" s="17">
        <f>-(K3108*0.025+L3108*0.025)</f>
        <v/>
      </c>
      <c r="P3108" s="17">
        <f>32</f>
        <v/>
      </c>
      <c r="Q3108" s="17">
        <f>J3108+L3108+N3108+O3108-P3108-M3108</f>
        <v/>
      </c>
    </row>
    <row r="3109">
      <c r="A3109" s="16" t="inlineStr">
        <is>
          <t>5.29-6.4</t>
        </is>
      </c>
      <c r="B3109" s="16" t="inlineStr">
        <is>
          <t>PO-128-18901476250231419</t>
        </is>
      </c>
      <c r="C3109" s="16" t="inlineStr">
        <is>
          <t>Shipped</t>
        </is>
      </c>
      <c r="D3109" s="16" t="inlineStr">
        <is>
          <t>128-18901528679031419</t>
        </is>
      </c>
      <c r="E3109" s="16" t="inlineStr">
        <is>
          <t>Shipped</t>
        </is>
      </c>
      <c r="F3109" s="16" t="inlineStr">
        <is>
          <t>TL1412N17C</t>
        </is>
      </c>
      <c r="G3109" s="16" t="inlineStr">
        <is>
          <t>Linkbits, Soporte de Pared Fijo para TV y Monitor de 14"-43", Ultra Delgado 2.3cm, Fuerte Capacidad de Peso de 25KG, Fácil Instalación con Accesorios Completos</t>
        </is>
      </c>
      <c r="H3109" s="16" t="inlineStr">
        <is>
          <t>NEGRO</t>
        </is>
      </c>
      <c r="I3109" s="16" t="n">
        <v>1</v>
      </c>
      <c r="J3109" s="17" t="n">
        <v>36.84</v>
      </c>
      <c r="K3109" s="17" t="n">
        <v>56.06</v>
      </c>
      <c r="L3109" s="17" t="n">
        <v>0</v>
      </c>
      <c r="M3109" s="17" t="n">
        <v>0</v>
      </c>
      <c r="N3109" s="17">
        <f>K3109*0.08+L3109*0.08</f>
        <v/>
      </c>
      <c r="O3109" s="17">
        <f>-(K3109*0.025+L3109*0.025)</f>
        <v/>
      </c>
      <c r="P3109" s="17">
        <f>32</f>
        <v/>
      </c>
      <c r="Q3109" s="17">
        <f>J3109+L3109+N3109+O3109-P3109-M3109</f>
        <v/>
      </c>
    </row>
    <row r="3110">
      <c r="A3110" s="16" t="inlineStr">
        <is>
          <t>5.29-6.4</t>
        </is>
      </c>
      <c r="B3110" s="16" t="inlineStr">
        <is>
          <t>PO-128-18901476250231419</t>
        </is>
      </c>
      <c r="C3110" s="16" t="inlineStr">
        <is>
          <t>Shipped</t>
        </is>
      </c>
      <c r="D3110" s="16" t="inlineStr">
        <is>
          <t>128-18901507707511419</t>
        </is>
      </c>
      <c r="E3110" s="16" t="inlineStr">
        <is>
          <t>Shipped</t>
        </is>
      </c>
      <c r="F3110" s="16" t="inlineStr">
        <is>
          <t>LV64W25</t>
        </is>
      </c>
      <c r="G31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10" s="16" t="inlineStr">
        <is>
          <t>Blanco</t>
        </is>
      </c>
      <c r="I3110" s="16" t="n">
        <v>1</v>
      </c>
      <c r="J3110" s="17" t="n">
        <v>123</v>
      </c>
      <c r="K3110" s="17" t="n">
        <v>131.38</v>
      </c>
      <c r="L3110" s="17" t="n">
        <v>0</v>
      </c>
      <c r="M3110" s="17" t="n">
        <v>0</v>
      </c>
      <c r="N3110" s="17">
        <f>K3110*0.08+L3110*0.08</f>
        <v/>
      </c>
      <c r="O3110" s="17">
        <f>-(K3110*0.025+L3110*0.025)</f>
        <v/>
      </c>
      <c r="P3110" s="17">
        <f>32</f>
        <v/>
      </c>
      <c r="Q3110" s="17">
        <f>J3110+L3110+N3110+O3110-P3110-M3110</f>
        <v/>
      </c>
    </row>
    <row r="3111">
      <c r="A3111" s="16" t="inlineStr">
        <is>
          <t>5.29-6.4</t>
        </is>
      </c>
      <c r="B3111" s="16" t="inlineStr">
        <is>
          <t>PO-128-18901476250231419</t>
        </is>
      </c>
      <c r="C3111" s="16" t="inlineStr">
        <is>
          <t>Shipped</t>
        </is>
      </c>
      <c r="D3111" s="16" t="inlineStr">
        <is>
          <t>128-18901486735991419</t>
        </is>
      </c>
      <c r="E3111" s="16" t="inlineStr">
        <is>
          <t>Shipped</t>
        </is>
      </c>
      <c r="F3111" s="16" t="inlineStr">
        <is>
          <t>LV54W25</t>
        </is>
      </c>
      <c r="G3111" s="16" t="inlineStr">
        <is>
          <t>TIANLAI Lámpara Ventilador E27 2 en 1, Silenciosa, LED Alta Luminosidad 180°, Instalación Rápida, Ahorro Energético para Dormitorio y Interiores Pequeños</t>
        </is>
      </c>
      <c r="H3111" s="16" t="inlineStr">
        <is>
          <t>1 Pieza</t>
        </is>
      </c>
      <c r="I3111" s="16" t="n">
        <v>1</v>
      </c>
      <c r="J3111" s="17" t="n">
        <v>78</v>
      </c>
      <c r="K3111" s="17" t="n">
        <v>82.51000000000001</v>
      </c>
      <c r="L3111" s="17" t="n">
        <v>0</v>
      </c>
      <c r="M3111" s="17" t="n">
        <v>3.22</v>
      </c>
      <c r="N3111" s="17">
        <f>K3111*0.08+L3111*0.08</f>
        <v/>
      </c>
      <c r="O3111" s="17">
        <f>-(K3111*0.025+L3111*0.025)</f>
        <v/>
      </c>
      <c r="P3111" s="17">
        <f>32</f>
        <v/>
      </c>
      <c r="Q3111" s="17">
        <f>J3111+L3111+N3111+O3111-P3111-M3111</f>
        <v/>
      </c>
    </row>
    <row r="3112">
      <c r="A3112" s="16" t="inlineStr">
        <is>
          <t>5.29-6.4</t>
        </is>
      </c>
      <c r="B3112" s="16" t="inlineStr">
        <is>
          <t>PO-128-18554441493113487</t>
        </is>
      </c>
      <c r="C3112" s="16" t="inlineStr">
        <is>
          <t>Shipped</t>
        </is>
      </c>
      <c r="D3112" s="16" t="inlineStr">
        <is>
          <t>128-18554451978873487</t>
        </is>
      </c>
      <c r="E3112" s="16" t="inlineStr">
        <is>
          <t>Shipped</t>
        </is>
      </c>
      <c r="F3112" s="16" t="inlineStr">
        <is>
          <t>LV64W25</t>
        </is>
      </c>
      <c r="G31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12" s="16" t="inlineStr">
        <is>
          <t>Blanco</t>
        </is>
      </c>
      <c r="I3112" s="16" t="n">
        <v>1</v>
      </c>
      <c r="J3112" s="17" t="n">
        <v>123</v>
      </c>
      <c r="K3112" s="17" t="n">
        <v>131.38</v>
      </c>
      <c r="L3112" s="17" t="n">
        <v>25.86</v>
      </c>
      <c r="M3112" s="17" t="n">
        <v>0</v>
      </c>
      <c r="N3112" s="17">
        <f>K3112*0.08+L3112*0.08</f>
        <v/>
      </c>
      <c r="O3112" s="17">
        <f>-(K3112*0.025+L3112*0.025)</f>
        <v/>
      </c>
      <c r="P3112" s="17">
        <f>32</f>
        <v/>
      </c>
      <c r="Q3112" s="17">
        <f>J3112+L3112+N3112+O3112-P3112-M3112</f>
        <v/>
      </c>
    </row>
    <row r="3113">
      <c r="A3113" s="16" t="inlineStr">
        <is>
          <t>5.29-6.4</t>
        </is>
      </c>
      <c r="B3113" s="16" t="inlineStr">
        <is>
          <t>PO-128-18661356785274064</t>
        </is>
      </c>
      <c r="C3113" s="16" t="inlineStr">
        <is>
          <t>Shipped</t>
        </is>
      </c>
      <c r="D3113" s="16" t="inlineStr">
        <is>
          <t>128-18661398728314064</t>
        </is>
      </c>
      <c r="E3113" s="16" t="inlineStr">
        <is>
          <t>Shipped</t>
        </is>
      </c>
      <c r="F3113" s="16" t="inlineStr">
        <is>
          <t>LV54W25</t>
        </is>
      </c>
      <c r="G3113" s="16" t="inlineStr">
        <is>
          <t>TIANLAI Lámpara Ventilador E27 2 en 1, Silenciosa, LED Alta Luminosidad 180°, Instalación Rápida, Ahorro Energético para Dormitorio y Interiores Pequeños</t>
        </is>
      </c>
      <c r="H3113" s="16" t="inlineStr">
        <is>
          <t>1 Pieza</t>
        </is>
      </c>
      <c r="I3113" s="16" t="n">
        <v>1</v>
      </c>
      <c r="J3113" s="17" t="n">
        <v>78</v>
      </c>
      <c r="K3113" s="17" t="n">
        <v>80.70999999999999</v>
      </c>
      <c r="L3113" s="17" t="n">
        <v>25.86</v>
      </c>
      <c r="M3113" s="17" t="n">
        <v>0</v>
      </c>
      <c r="N3113" s="17">
        <f>K3113*0.08+L3113*0.08</f>
        <v/>
      </c>
      <c r="O3113" s="17">
        <f>-(K3113*0.025+L3113*0.025)</f>
        <v/>
      </c>
      <c r="P3113" s="17">
        <f>32</f>
        <v/>
      </c>
      <c r="Q3113" s="17">
        <f>J3113+L3113+N3113+O3113-P3113-M3113</f>
        <v/>
      </c>
    </row>
    <row r="3114">
      <c r="A3114" s="16" t="inlineStr">
        <is>
          <t>5.29-6.4</t>
        </is>
      </c>
      <c r="B3114" s="16" t="inlineStr">
        <is>
          <t>PO-128-18902747751031411</t>
        </is>
      </c>
      <c r="C3114" s="16" t="inlineStr">
        <is>
          <t>Shipped</t>
        </is>
      </c>
      <c r="D3114" s="16" t="inlineStr">
        <is>
          <t>128-18902768722551411</t>
        </is>
      </c>
      <c r="E3114" s="16" t="inlineStr">
        <is>
          <t>Shipped</t>
        </is>
      </c>
      <c r="F3114" s="16" t="inlineStr">
        <is>
          <t>LV64W25</t>
        </is>
      </c>
      <c r="G31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14" s="16" t="inlineStr">
        <is>
          <t>Blanco</t>
        </is>
      </c>
      <c r="I3114" s="16" t="n">
        <v>1</v>
      </c>
      <c r="J3114" s="17" t="n">
        <v>123</v>
      </c>
      <c r="K3114" s="17" t="n">
        <v>113.02</v>
      </c>
      <c r="L3114" s="17" t="n">
        <v>25.86</v>
      </c>
      <c r="M3114" s="17" t="n">
        <v>0</v>
      </c>
      <c r="N3114" s="17">
        <f>K3114*0.08+L3114*0.08</f>
        <v/>
      </c>
      <c r="O3114" s="17">
        <f>-(K3114*0.025+L3114*0.025)</f>
        <v/>
      </c>
      <c r="P3114" s="17">
        <f>32</f>
        <v/>
      </c>
      <c r="Q3114" s="17">
        <f>J3114+L3114+N3114+O3114-P3114-M3114</f>
        <v/>
      </c>
    </row>
    <row r="3115">
      <c r="A3115" s="16" t="inlineStr">
        <is>
          <t>5.29-6.4</t>
        </is>
      </c>
      <c r="B3115" s="16" t="inlineStr">
        <is>
          <t>PO-128-19103510272630343</t>
        </is>
      </c>
      <c r="C3115" s="16" t="inlineStr">
        <is>
          <t>Shipped</t>
        </is>
      </c>
      <c r="D3115" s="16" t="inlineStr">
        <is>
          <t>128-19103468329590343</t>
        </is>
      </c>
      <c r="E3115" s="16" t="inlineStr">
        <is>
          <t>Shipped</t>
        </is>
      </c>
      <c r="F3115" s="16" t="inlineStr">
        <is>
          <t>BSC04</t>
        </is>
      </c>
      <c r="G3115" s="16" t="inlineStr">
        <is>
          <t>TIANLAI Báscula Digital BSC04/BSC07, Alta Precisión, Fácil Operación, Ligera y Portátil, Función Tara, Unidad Dual oz/g, Ideal para Cocina, Control de Porciones, Sellos y Objetos Pequeños, Uso en Hogar y Viaje</t>
        </is>
      </c>
      <c r="H3115" s="16" t="inlineStr">
        <is>
          <t>5g/White</t>
        </is>
      </c>
      <c r="I3115" s="16" t="n">
        <v>1</v>
      </c>
      <c r="J3115" s="17" t="n">
        <v>58</v>
      </c>
      <c r="K3115" s="17" t="n">
        <v>5.01</v>
      </c>
      <c r="L3115" s="17" t="n">
        <v>25.86</v>
      </c>
      <c r="M3115" s="17" t="n">
        <v>0</v>
      </c>
      <c r="N3115" s="17">
        <f>K3115*0.08+L3115*0.08</f>
        <v/>
      </c>
      <c r="O3115" s="17">
        <f>-(K3115*0.025+L3115*0.025)</f>
        <v/>
      </c>
      <c r="P3115" s="17">
        <f>32</f>
        <v/>
      </c>
      <c r="Q3115" s="17">
        <f>J3115+L3115+N3115+O3115-P3115-M3115</f>
        <v/>
      </c>
    </row>
    <row r="3116">
      <c r="A3116" s="16" t="inlineStr">
        <is>
          <t>5.29-6.4</t>
        </is>
      </c>
      <c r="B3116" s="16" t="inlineStr">
        <is>
          <t>PO-128-18643391457913981</t>
        </is>
      </c>
      <c r="C3116" s="16" t="inlineStr">
        <is>
          <t>Shipped</t>
        </is>
      </c>
      <c r="D3116" s="16" t="inlineStr">
        <is>
          <t>128-18643383593593981</t>
        </is>
      </c>
      <c r="E3116" s="16" t="inlineStr">
        <is>
          <t>Shipped</t>
        </is>
      </c>
      <c r="F3116" s="16" t="inlineStr">
        <is>
          <t>LV54W25</t>
        </is>
      </c>
      <c r="G3116" s="16" t="inlineStr">
        <is>
          <t>TIANLAI Lámpara Ventilador E27 2 en 1, Silenciosa, LED Alta Luminosidad 180°, Instalación Rápida, Ahorro Energético para Dormitorio y Interiores Pequeños</t>
        </is>
      </c>
      <c r="H3116" s="16" t="inlineStr">
        <is>
          <t>1 Pieza</t>
        </is>
      </c>
      <c r="I3116" s="16" t="n">
        <v>1</v>
      </c>
      <c r="J3116" s="17" t="n">
        <v>78</v>
      </c>
      <c r="K3116" s="17" t="n">
        <v>89.68000000000001</v>
      </c>
      <c r="L3116" s="17" t="n">
        <v>25.86</v>
      </c>
      <c r="M3116" s="17" t="n">
        <v>0</v>
      </c>
      <c r="N3116" s="17">
        <f>K3116*0.08+L3116*0.08</f>
        <v/>
      </c>
      <c r="O3116" s="17">
        <f>-(K3116*0.025+L3116*0.025)</f>
        <v/>
      </c>
      <c r="P3116" s="17">
        <f>32</f>
        <v/>
      </c>
      <c r="Q3116" s="17">
        <f>J3116+L3116+N3116+O3116-P3116-M3116</f>
        <v/>
      </c>
    </row>
    <row r="3117">
      <c r="A3117" s="16" t="inlineStr">
        <is>
          <t>5.29-6.4</t>
        </is>
      </c>
      <c r="B3117" s="16" t="inlineStr">
        <is>
          <t>PO-128-19145304433270092</t>
        </is>
      </c>
      <c r="C3117" s="16" t="inlineStr">
        <is>
          <t>Shipped</t>
        </is>
      </c>
      <c r="D3117" s="16" t="inlineStr">
        <is>
          <t>128-19145262490230092</t>
        </is>
      </c>
      <c r="E3117" s="16" t="inlineStr">
        <is>
          <t>Shipped</t>
        </is>
      </c>
      <c r="F3117" s="16" t="inlineStr">
        <is>
          <t>LV64W25</t>
        </is>
      </c>
      <c r="G31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17" s="16" t="inlineStr">
        <is>
          <t>Blanco</t>
        </is>
      </c>
      <c r="I3117" s="16" t="n">
        <v>1</v>
      </c>
      <c r="J3117" s="17" t="n">
        <v>123</v>
      </c>
      <c r="K3117" s="17" t="n">
        <v>131.38</v>
      </c>
      <c r="L3117" s="17" t="n">
        <v>25.86</v>
      </c>
      <c r="M3117" s="17" t="n">
        <v>0</v>
      </c>
      <c r="N3117" s="17">
        <f>K3117*0.08+L3117*0.08</f>
        <v/>
      </c>
      <c r="O3117" s="17">
        <f>-(K3117*0.025+L3117*0.025)</f>
        <v/>
      </c>
      <c r="P3117" s="17">
        <f>32</f>
        <v/>
      </c>
      <c r="Q3117" s="17">
        <f>J3117+L3117+N3117+O3117-P3117-M3117</f>
        <v/>
      </c>
    </row>
    <row r="3118">
      <c r="A3118" s="16" t="inlineStr">
        <is>
          <t>5.29-6.4</t>
        </is>
      </c>
      <c r="B3118" s="16" t="inlineStr">
        <is>
          <t>PO-128-18559921516153519</t>
        </is>
      </c>
      <c r="C3118" s="16" t="inlineStr">
        <is>
          <t>Shipped</t>
        </is>
      </c>
      <c r="D3118" s="16" t="inlineStr">
        <is>
          <t>128-18559879573113519</t>
        </is>
      </c>
      <c r="E3118" s="16" t="inlineStr">
        <is>
          <t>Shipped</t>
        </is>
      </c>
      <c r="F3118" s="16" t="inlineStr">
        <is>
          <t>VB349T</t>
        </is>
      </c>
      <c r="G3118" s="16" t="inlineStr">
        <is>
          <t>LINKBITS Altavoz Portátil de Doble Altavoz - 3 Pulgadas, Sonido HD, Emparejamiento Rápido de Bluetooth, Conectividad TWS, Reproducción Multimodo (Micro SD/USB/Radio FM) - Perfecto para Oficina, Viajes y Espacios Pequeños</t>
        </is>
      </c>
      <c r="H3118" s="16" t="inlineStr">
        <is>
          <t>NEGRO</t>
        </is>
      </c>
      <c r="I3118" s="16" t="n">
        <v>1</v>
      </c>
      <c r="J3118" s="17" t="n">
        <v>81</v>
      </c>
      <c r="K3118" s="17" t="n">
        <v>94.26000000000001</v>
      </c>
      <c r="L3118" s="17" t="n">
        <v>25.86</v>
      </c>
      <c r="M3118" s="17" t="n">
        <v>0</v>
      </c>
      <c r="N3118" s="17">
        <f>K3118*0.08+L3118*0.08</f>
        <v/>
      </c>
      <c r="O3118" s="17">
        <f>-(K3118*0.025+L3118*0.025)</f>
        <v/>
      </c>
      <c r="P3118" s="17">
        <f>32</f>
        <v/>
      </c>
      <c r="Q3118" s="17">
        <f>J3118+L3118+N3118+O3118-P3118-M3118</f>
        <v/>
      </c>
    </row>
    <row r="3119">
      <c r="A3119" s="16" t="inlineStr">
        <is>
          <t>5.29-6.4</t>
        </is>
      </c>
      <c r="B3119" s="16" t="inlineStr">
        <is>
          <t>PO-128-18724103127673690</t>
        </is>
      </c>
      <c r="C3119" s="16" t="inlineStr">
        <is>
          <t>Shipped</t>
        </is>
      </c>
      <c r="D3119" s="16" t="inlineStr">
        <is>
          <t>128-18724076913273690</t>
        </is>
      </c>
      <c r="E3119" s="16" t="inlineStr">
        <is>
          <t>Shipped</t>
        </is>
      </c>
      <c r="F3119" s="16" t="inlineStr">
        <is>
          <t>BSC04</t>
        </is>
      </c>
      <c r="G3119" s="16" t="inlineStr">
        <is>
          <t>TIANLAI Báscula Digital BSC04/BSC07, Alta Precisión, Fácil Operación, Ligera y Portátil, Función Tara, Unidad Dual oz/g, Ideal para Cocina, Control de Porciones, Sellos y Objetos Pequeños, Uso en Hogar y Viaje</t>
        </is>
      </c>
      <c r="H3119" s="16" t="inlineStr">
        <is>
          <t>5g/White</t>
        </is>
      </c>
      <c r="I3119" s="16" t="n">
        <v>1</v>
      </c>
      <c r="J3119" s="17" t="n">
        <v>58</v>
      </c>
      <c r="K3119" s="17" t="n">
        <v>91.22</v>
      </c>
      <c r="L3119" s="17" t="n">
        <v>25.86</v>
      </c>
      <c r="M3119" s="17" t="n">
        <v>0</v>
      </c>
      <c r="N3119" s="17">
        <f>K3119*0.08+L3119*0.08</f>
        <v/>
      </c>
      <c r="O3119" s="17">
        <f>-(K3119*0.025+L3119*0.025)</f>
        <v/>
      </c>
      <c r="P3119" s="17">
        <f>32</f>
        <v/>
      </c>
      <c r="Q3119" s="17">
        <f>J3119+L3119+N3119+O3119-P3119-M3119</f>
        <v/>
      </c>
    </row>
    <row r="3120">
      <c r="A3120" s="16" t="inlineStr">
        <is>
          <t>5.29-6.4</t>
        </is>
      </c>
      <c r="B3120" s="16" t="inlineStr">
        <is>
          <t>PO-128-18713392507513626</t>
        </is>
      </c>
      <c r="C3120" s="16" t="inlineStr">
        <is>
          <t>Shipped</t>
        </is>
      </c>
      <c r="D3120" s="16" t="inlineStr">
        <is>
          <t>128-18713367603833626</t>
        </is>
      </c>
      <c r="E3120" s="16" t="inlineStr">
        <is>
          <t>Shipped</t>
        </is>
      </c>
      <c r="F3120" s="16" t="inlineStr">
        <is>
          <t>LV54W25</t>
        </is>
      </c>
      <c r="G3120" s="16" t="inlineStr">
        <is>
          <t>TIANLAI Lámpara Ventilador E27 2 en 1, Silenciosa, LED Alta Luminosidad 180°, Instalación Rápida, Ahorro Energético para Dormitorio y Interiores Pequeños</t>
        </is>
      </c>
      <c r="H3120" s="16" t="inlineStr">
        <is>
          <t>1 Pieza</t>
        </is>
      </c>
      <c r="I3120" s="16" t="n">
        <v>1</v>
      </c>
      <c r="J3120" s="17" t="n">
        <v>78</v>
      </c>
      <c r="K3120" s="17" t="n">
        <v>82.51000000000001</v>
      </c>
      <c r="L3120" s="17" t="n">
        <v>25.86</v>
      </c>
      <c r="M3120" s="17" t="n">
        <v>0</v>
      </c>
      <c r="N3120" s="17">
        <f>K3120*0.08+L3120*0.08</f>
        <v/>
      </c>
      <c r="O3120" s="17">
        <f>-(K3120*0.025+L3120*0.025)</f>
        <v/>
      </c>
      <c r="P3120" s="17">
        <f>32</f>
        <v/>
      </c>
      <c r="Q3120" s="17">
        <f>J3120+L3120+N3120+O3120-P3120-M3120</f>
        <v/>
      </c>
    </row>
    <row r="3121">
      <c r="A3121" s="16" t="inlineStr">
        <is>
          <t>5.29-6.4</t>
        </is>
      </c>
      <c r="B3121" s="16" t="inlineStr">
        <is>
          <t>PO-128-18587485553273416</t>
        </is>
      </c>
      <c r="C3121" s="16" t="inlineStr">
        <is>
          <t>Shipped</t>
        </is>
      </c>
      <c r="D3121" s="16" t="inlineStr">
        <is>
          <t>128-18587511767673416</t>
        </is>
      </c>
      <c r="E3121" s="16" t="inlineStr">
        <is>
          <t>Shipped</t>
        </is>
      </c>
      <c r="F3121" s="16" t="inlineStr">
        <is>
          <t>LV54W25</t>
        </is>
      </c>
      <c r="G3121" s="16" t="inlineStr">
        <is>
          <t>TIANLAI Lámpara Ventilador E27 2 en 1, Silenciosa, LED Alta Luminosidad 180°, Instalación Rápida, Ahorro Energético para Dormitorio y Interiores Pequeños</t>
        </is>
      </c>
      <c r="H3121" s="16" t="inlineStr">
        <is>
          <t>1 Pieza</t>
        </is>
      </c>
      <c r="I3121" s="16" t="n">
        <v>1</v>
      </c>
      <c r="J3121" s="17" t="n">
        <v>78</v>
      </c>
      <c r="K3121" s="17" t="n">
        <v>79.81999999999999</v>
      </c>
      <c r="L3121" s="17" t="n">
        <v>25.86</v>
      </c>
      <c r="M3121" s="17" t="n">
        <v>0</v>
      </c>
      <c r="N3121" s="17">
        <f>K3121*0.08+L3121*0.08</f>
        <v/>
      </c>
      <c r="O3121" s="17">
        <f>-(K3121*0.025+L3121*0.025)</f>
        <v/>
      </c>
      <c r="P3121" s="17">
        <f>32</f>
        <v/>
      </c>
      <c r="Q3121" s="17">
        <f>J3121+L3121+N3121+O3121-P3121-M3121</f>
        <v/>
      </c>
    </row>
    <row r="3122">
      <c r="A3122" s="16" t="inlineStr">
        <is>
          <t>5.29-6.4</t>
        </is>
      </c>
      <c r="B3122" s="16" t="inlineStr">
        <is>
          <t>PO-128-19057528136311577</t>
        </is>
      </c>
      <c r="C3122" s="16" t="inlineStr">
        <is>
          <t>Shipped</t>
        </is>
      </c>
      <c r="D3122" s="16" t="inlineStr">
        <is>
          <t>128-19057475707511577</t>
        </is>
      </c>
      <c r="E3122" s="16" t="inlineStr">
        <is>
          <t>Shipped</t>
        </is>
      </c>
      <c r="F3122" s="16" t="inlineStr">
        <is>
          <t>LV54W25</t>
        </is>
      </c>
      <c r="G3122" s="16" t="inlineStr">
        <is>
          <t>TIANLAI Lámpara Ventilador E27 2 en 1, Silenciosa, LED Alta Luminosidad 180°, Instalación Rápida, Ahorro Energético para Dormitorio y Interiores Pequeños</t>
        </is>
      </c>
      <c r="H3122" s="16" t="inlineStr">
        <is>
          <t>1 Pieza</t>
        </is>
      </c>
      <c r="I3122" s="16" t="n">
        <v>5</v>
      </c>
      <c r="J3122" s="17" t="n">
        <v>390</v>
      </c>
      <c r="K3122" s="17" t="n">
        <v>412.55</v>
      </c>
      <c r="L3122" s="17" t="n">
        <v>0</v>
      </c>
      <c r="M3122" s="17" t="n">
        <v>0</v>
      </c>
      <c r="N3122" s="17">
        <f>K3122*0.08+L3122*0.08</f>
        <v/>
      </c>
      <c r="O3122" s="17">
        <f>-(K3122*0.025+L3122*0.025)</f>
        <v/>
      </c>
      <c r="P3122" s="17">
        <f>32</f>
        <v/>
      </c>
      <c r="Q3122" s="17">
        <f>J3122+L3122+N3122+O3122-P3122-M3122</f>
        <v/>
      </c>
    </row>
    <row r="3123">
      <c r="A3123" s="16" t="inlineStr">
        <is>
          <t>5.29-6.4</t>
        </is>
      </c>
      <c r="B3123" s="16" t="inlineStr">
        <is>
          <t>PO-128-18830146550393058</t>
        </is>
      </c>
      <c r="C3123" s="16" t="inlineStr">
        <is>
          <t>Shipped</t>
        </is>
      </c>
      <c r="D3123" s="16" t="inlineStr">
        <is>
          <t>128-18830188493433058</t>
        </is>
      </c>
      <c r="E3123" s="16" t="inlineStr">
        <is>
          <t>Shipped</t>
        </is>
      </c>
      <c r="F3123" s="16" t="inlineStr">
        <is>
          <t>LV64W25</t>
        </is>
      </c>
      <c r="G31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23" s="16" t="inlineStr">
        <is>
          <t>Blanco</t>
        </is>
      </c>
      <c r="I3123" s="16" t="n">
        <v>1</v>
      </c>
      <c r="J3123" s="17" t="n">
        <v>123</v>
      </c>
      <c r="K3123" s="17" t="n">
        <v>131.38</v>
      </c>
      <c r="L3123" s="17" t="n">
        <v>25.86</v>
      </c>
      <c r="M3123" s="17" t="n">
        <v>0</v>
      </c>
      <c r="N3123" s="17">
        <f>K3123*0.08+L3123*0.08</f>
        <v/>
      </c>
      <c r="O3123" s="17">
        <f>-(K3123*0.025+L3123*0.025)</f>
        <v/>
      </c>
      <c r="P3123" s="17">
        <f>32</f>
        <v/>
      </c>
      <c r="Q3123" s="17">
        <f>J3123+L3123+N3123+O3123-P3123-M3123</f>
        <v/>
      </c>
    </row>
    <row r="3124">
      <c r="A3124" s="16" t="inlineStr">
        <is>
          <t>5.29-6.4</t>
        </is>
      </c>
      <c r="B3124" s="16" t="inlineStr">
        <is>
          <t>PO-128-18890575688312634</t>
        </is>
      </c>
      <c r="C3124" s="16" t="inlineStr">
        <is>
          <t>Shipped</t>
        </is>
      </c>
      <c r="D3124" s="16" t="inlineStr">
        <is>
          <t>128-18890628117112634</t>
        </is>
      </c>
      <c r="E3124" s="16" t="inlineStr">
        <is>
          <t>Shipped</t>
        </is>
      </c>
      <c r="F3124" s="16" t="inlineStr">
        <is>
          <t>LV64W25</t>
        </is>
      </c>
      <c r="G31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24" s="16" t="inlineStr">
        <is>
          <t>Blanco</t>
        </is>
      </c>
      <c r="I3124" s="16" t="n">
        <v>1</v>
      </c>
      <c r="J3124" s="17" t="n">
        <v>123</v>
      </c>
      <c r="K3124" s="17" t="n">
        <v>88.28</v>
      </c>
      <c r="L3124" s="17" t="n">
        <v>25.86</v>
      </c>
      <c r="M3124" s="17" t="n">
        <v>0</v>
      </c>
      <c r="N3124" s="17">
        <f>K3124*0.08+L3124*0.08</f>
        <v/>
      </c>
      <c r="O3124" s="17">
        <f>-(K3124*0.025+L3124*0.025)</f>
        <v/>
      </c>
      <c r="P3124" s="17">
        <f>32</f>
        <v/>
      </c>
      <c r="Q3124" s="17">
        <f>J3124+L3124+N3124+O3124-P3124-M3124</f>
        <v/>
      </c>
    </row>
    <row r="3125">
      <c r="A3125" s="16" t="inlineStr">
        <is>
          <t>5.29-6.4</t>
        </is>
      </c>
      <c r="B3125" s="16" t="inlineStr">
        <is>
          <t>PO-128-18851449999992933</t>
        </is>
      </c>
      <c r="C3125" s="16" t="inlineStr">
        <is>
          <t>Shipped</t>
        </is>
      </c>
      <c r="D3125" s="16" t="inlineStr">
        <is>
          <t>128-18851429028472933</t>
        </is>
      </c>
      <c r="E3125" s="16" t="inlineStr">
        <is>
          <t>Shipped</t>
        </is>
      </c>
      <c r="F3125" s="16" t="inlineStr">
        <is>
          <t>LV54W25</t>
        </is>
      </c>
      <c r="G3125" s="16" t="inlineStr">
        <is>
          <t>TIANLAI Lámpara Ventilador E27 2 en 1, Silenciosa, LED Alta Luminosidad 180°, Instalación Rápida, Ahorro Energético para Dormitorio y Interiores Pequeños</t>
        </is>
      </c>
      <c r="H3125" s="16" t="inlineStr">
        <is>
          <t>1 Pieza</t>
        </is>
      </c>
      <c r="I3125" s="16" t="n">
        <v>1</v>
      </c>
      <c r="J3125" s="17" t="n">
        <v>78</v>
      </c>
      <c r="K3125" s="17" t="n">
        <v>82.51000000000001</v>
      </c>
      <c r="L3125" s="17" t="n">
        <v>25.86</v>
      </c>
      <c r="M3125" s="17" t="n">
        <v>0</v>
      </c>
      <c r="N3125" s="17">
        <f>K3125*0.08+L3125*0.08</f>
        <v/>
      </c>
      <c r="O3125" s="17">
        <f>-(K3125*0.025+L3125*0.025)</f>
        <v/>
      </c>
      <c r="P3125" s="17">
        <f>32</f>
        <v/>
      </c>
      <c r="Q3125" s="17">
        <f>J3125+L3125+N3125+O3125-P3125-M3125</f>
        <v/>
      </c>
    </row>
    <row r="3126">
      <c r="A3126" s="16" t="inlineStr">
        <is>
          <t>5.29-6.4</t>
        </is>
      </c>
      <c r="B3126" s="16" t="inlineStr">
        <is>
          <t>PO-128-18922761677431290</t>
        </is>
      </c>
      <c r="C3126" s="16" t="inlineStr">
        <is>
          <t>Shipped</t>
        </is>
      </c>
      <c r="D3126" s="16" t="inlineStr">
        <is>
          <t>128-18922803620471290</t>
        </is>
      </c>
      <c r="E3126" s="16" t="inlineStr">
        <is>
          <t>Shipped</t>
        </is>
      </c>
      <c r="F3126" s="16" t="inlineStr">
        <is>
          <t>KTS-1369</t>
        </is>
      </c>
      <c r="G3126" s="16" t="inlineStr">
        <is>
          <t>Bocina 3 Pulgadas Portátil Bluetooth con Luces LED, Sonido Claro y Batería Larga Duración, TWS TF USB FM, Ideal para Hogar Oficina y Exterior</t>
        </is>
      </c>
      <c r="H3126" s="16" t="inlineStr">
        <is>
          <t>NEGRO</t>
        </is>
      </c>
      <c r="I3126" s="16" t="n">
        <v>1</v>
      </c>
      <c r="J3126" s="17" t="n">
        <v>55</v>
      </c>
      <c r="K3126" s="17" t="n">
        <v>23.27</v>
      </c>
      <c r="L3126" s="17" t="n">
        <v>25.86</v>
      </c>
      <c r="M3126" s="17" t="n">
        <v>0</v>
      </c>
      <c r="N3126" s="17">
        <f>K3126*0.08+L3126*0.08</f>
        <v/>
      </c>
      <c r="O3126" s="17">
        <f>-(K3126*0.025+L3126*0.025)</f>
        <v/>
      </c>
      <c r="P3126" s="17">
        <f>32</f>
        <v/>
      </c>
      <c r="Q3126" s="17">
        <f>J3126+L3126+N3126+O3126-P3126-M3126</f>
        <v/>
      </c>
    </row>
    <row r="3127">
      <c r="A3127" s="16" t="inlineStr">
        <is>
          <t>5.29-6.4</t>
        </is>
      </c>
      <c r="B3127" s="16" t="inlineStr">
        <is>
          <t>PO-128-18715869082233677</t>
        </is>
      </c>
      <c r="C3127" s="16" t="inlineStr">
        <is>
          <t>Shipped</t>
        </is>
      </c>
      <c r="D3127" s="16" t="inlineStr">
        <is>
          <t>128-18715845489273677</t>
        </is>
      </c>
      <c r="E3127" s="16" t="inlineStr">
        <is>
          <t>Shipped</t>
        </is>
      </c>
      <c r="F3127" s="16" t="inlineStr">
        <is>
          <t>KTS-2031</t>
        </is>
      </c>
      <c r="G3127" s="16" t="inlineStr">
        <is>
          <t>Bocina inalámbrica de 3 pulgadas con linterna multifuncional y panel solar integrado.Altavoz Portátil con Linterna LED 4 Modos, Radio FM, Bluetooth, Carga Solar, Ideal para Apagones, Emergencias, Campo y Exteriores</t>
        </is>
      </c>
      <c r="H3127" s="16" t="inlineStr">
        <is>
          <t>NEGRO</t>
        </is>
      </c>
      <c r="I3127" s="16" t="n">
        <v>1</v>
      </c>
      <c r="J3127" s="17" t="n">
        <v>90</v>
      </c>
      <c r="K3127" s="17" t="n">
        <v>116.97</v>
      </c>
      <c r="L3127" s="17" t="n">
        <v>25.86</v>
      </c>
      <c r="M3127" s="17" t="n">
        <v>0</v>
      </c>
      <c r="N3127" s="17">
        <f>K3127*0.08+L3127*0.08</f>
        <v/>
      </c>
      <c r="O3127" s="17">
        <f>-(K3127*0.025+L3127*0.025)</f>
        <v/>
      </c>
      <c r="P3127" s="17">
        <f>32</f>
        <v/>
      </c>
      <c r="Q3127" s="17">
        <f>J3127+L3127+N3127+O3127-P3127-M3127</f>
        <v/>
      </c>
    </row>
    <row r="3128">
      <c r="A3128" s="16" t="inlineStr">
        <is>
          <t>5.29-6.4</t>
        </is>
      </c>
      <c r="B3128" s="16" t="inlineStr">
        <is>
          <t>PO-128-19201544561270652</t>
        </is>
      </c>
      <c r="C3128" s="16" t="inlineStr">
        <is>
          <t>Shipped</t>
        </is>
      </c>
      <c r="D3128" s="16" t="inlineStr">
        <is>
          <t>128-19201539318390652</t>
        </is>
      </c>
      <c r="E3128" s="16" t="inlineStr">
        <is>
          <t>Shipped</t>
        </is>
      </c>
      <c r="F3128" s="16" t="inlineStr">
        <is>
          <t>KTS-2031</t>
        </is>
      </c>
      <c r="G3128" s="16" t="inlineStr">
        <is>
          <t>Bocina inalámbrica de 3 pulgadas con linterna multifuncional y panel solar integrado.Altavoz Portátil con Linterna LED 4 Modos, Radio FM, Bluetooth, Carga Solar, Ideal para Apagones, Emergencias, Campo y Exteriores</t>
        </is>
      </c>
      <c r="H3128" s="16" t="inlineStr">
        <is>
          <t>NEGRO</t>
        </is>
      </c>
      <c r="I3128" s="16" t="n">
        <v>1</v>
      </c>
      <c r="J3128" s="17" t="n">
        <v>90</v>
      </c>
      <c r="K3128" s="17" t="n">
        <v>93.58</v>
      </c>
      <c r="L3128" s="17" t="n">
        <v>25.86</v>
      </c>
      <c r="M3128" s="17" t="n">
        <v>0</v>
      </c>
      <c r="N3128" s="17">
        <f>K3128*0.08+L3128*0.08</f>
        <v/>
      </c>
      <c r="O3128" s="17">
        <f>-(K3128*0.025+L3128*0.025)</f>
        <v/>
      </c>
      <c r="P3128" s="17">
        <f>32</f>
        <v/>
      </c>
      <c r="Q3128" s="17">
        <f>J3128+L3128+N3128+O3128-P3128-M3128</f>
        <v/>
      </c>
    </row>
    <row r="3129">
      <c r="A3129" s="16" t="inlineStr">
        <is>
          <t>5.29-6.4</t>
        </is>
      </c>
      <c r="B3129" s="16" t="inlineStr">
        <is>
          <t>PO-128-18648647496314012</t>
        </is>
      </c>
      <c r="C3129" s="16" t="inlineStr">
        <is>
          <t>Shipped</t>
        </is>
      </c>
      <c r="D3129" s="16" t="inlineStr">
        <is>
          <t>128-18648699925114012</t>
        </is>
      </c>
      <c r="E3129" s="16" t="inlineStr">
        <is>
          <t>Shipped</t>
        </is>
      </c>
      <c r="F3129" s="16" t="inlineStr">
        <is>
          <t>KTS-2031</t>
        </is>
      </c>
      <c r="G3129" s="16" t="inlineStr">
        <is>
          <t>Bocina inalámbrica de 3 pulgadas con linterna multifuncional y panel solar integrado.Altavoz Portátil con Linterna LED 4 Modos, Radio FM, Bluetooth, Carga Solar, Ideal para Apagones, Emergencias, Campo y Exteriores</t>
        </is>
      </c>
      <c r="H3129" s="16" t="inlineStr">
        <is>
          <t>NEGRO</t>
        </is>
      </c>
      <c r="I3129" s="16" t="n">
        <v>1</v>
      </c>
      <c r="J3129" s="17" t="n">
        <v>90</v>
      </c>
      <c r="K3129" s="17" t="n">
        <v>116.97</v>
      </c>
      <c r="L3129" s="17" t="n">
        <v>25.86</v>
      </c>
      <c r="M3129" s="17" t="n">
        <v>0</v>
      </c>
      <c r="N3129" s="17">
        <f>K3129*0.08+L3129*0.08</f>
        <v/>
      </c>
      <c r="O3129" s="17">
        <f>-(K3129*0.025+L3129*0.025)</f>
        <v/>
      </c>
      <c r="P3129" s="17">
        <f>32</f>
        <v/>
      </c>
      <c r="Q3129" s="17">
        <f>J3129+L3129+N3129+O3129-P3129-M3129</f>
        <v/>
      </c>
    </row>
    <row r="3130">
      <c r="A3130" s="16" t="inlineStr">
        <is>
          <t>5.29-6.4</t>
        </is>
      </c>
      <c r="B3130" s="16" t="inlineStr">
        <is>
          <t>PO-128-19025390065271894</t>
        </is>
      </c>
      <c r="C3130" s="16" t="inlineStr">
        <is>
          <t>Shipped</t>
        </is>
      </c>
      <c r="D3130" s="16" t="inlineStr">
        <is>
          <t>128-19025411036791894</t>
        </is>
      </c>
      <c r="E3130" s="16" t="inlineStr">
        <is>
          <t>Shipped</t>
        </is>
      </c>
      <c r="F3130" s="16" t="inlineStr">
        <is>
          <t>LV54W25</t>
        </is>
      </c>
      <c r="G3130" s="16" t="inlineStr">
        <is>
          <t>TIANLAI Lámpara Ventilador E27 2 en 1, Silenciosa, LED Alta Luminosidad 180°, Instalación Rápida, Ahorro Energético para Dormitorio y Interiores Pequeños</t>
        </is>
      </c>
      <c r="H3130" s="16" t="inlineStr">
        <is>
          <t>1 Pieza</t>
        </is>
      </c>
      <c r="I3130" s="16" t="n">
        <v>3</v>
      </c>
      <c r="J3130" s="17" t="n">
        <v>234</v>
      </c>
      <c r="K3130" s="17" t="n">
        <v>247.53</v>
      </c>
      <c r="L3130" s="17" t="n">
        <v>0</v>
      </c>
      <c r="M3130" s="17" t="n">
        <v>0</v>
      </c>
      <c r="N3130" s="17">
        <f>K3130*0.08+L3130*0.08</f>
        <v/>
      </c>
      <c r="O3130" s="17">
        <f>-(K3130*0.025+L3130*0.025)</f>
        <v/>
      </c>
      <c r="P3130" s="17">
        <f>32</f>
        <v/>
      </c>
      <c r="Q3130" s="17">
        <f>J3130+L3130+N3130+O3130-P3130-M3130</f>
        <v/>
      </c>
    </row>
    <row r="3131">
      <c r="A3131" s="16" t="inlineStr">
        <is>
          <t>5.29-6.4</t>
        </is>
      </c>
      <c r="B3131" s="16" t="inlineStr">
        <is>
          <t>PO-128-18762848983672373</t>
        </is>
      </c>
      <c r="C3131" s="16" t="inlineStr">
        <is>
          <t>Shipped</t>
        </is>
      </c>
      <c r="D3131" s="16" t="inlineStr">
        <is>
          <t>128-18762875198072373</t>
        </is>
      </c>
      <c r="E3131" s="16" t="inlineStr">
        <is>
          <t>Shipped</t>
        </is>
      </c>
      <c r="F3131" s="16" t="inlineStr">
        <is>
          <t>LV64W25</t>
        </is>
      </c>
      <c r="G31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31" s="16" t="inlineStr">
        <is>
          <t>Blanco</t>
        </is>
      </c>
      <c r="I3131" s="16" t="n">
        <v>2</v>
      </c>
      <c r="J3131" s="17" t="n">
        <v>246</v>
      </c>
      <c r="K3131" s="17" t="n">
        <v>262.76</v>
      </c>
      <c r="L3131" s="17" t="n">
        <v>0</v>
      </c>
      <c r="M3131" s="17" t="n">
        <v>0</v>
      </c>
      <c r="N3131" s="17">
        <f>K3131*0.08+L3131*0.08</f>
        <v/>
      </c>
      <c r="O3131" s="17">
        <f>-(K3131*0.025+L3131*0.025)</f>
        <v/>
      </c>
      <c r="P3131" s="17">
        <f>32</f>
        <v/>
      </c>
      <c r="Q3131" s="17">
        <f>J3131+L3131+N3131+O3131-P3131-M3131</f>
        <v/>
      </c>
    </row>
    <row r="3132">
      <c r="A3132" s="16" t="inlineStr">
        <is>
          <t>5.29-6.4</t>
        </is>
      </c>
      <c r="B3132" s="16" t="inlineStr">
        <is>
          <t>PO-128-19213395794550710</t>
        </is>
      </c>
      <c r="C3132" s="16" t="inlineStr">
        <is>
          <t>Shipped</t>
        </is>
      </c>
      <c r="D3132" s="16" t="inlineStr">
        <is>
          <t>128-19213433805430710</t>
        </is>
      </c>
      <c r="E3132" s="16" t="inlineStr">
        <is>
          <t>Shipped</t>
        </is>
      </c>
      <c r="F3132" s="16" t="inlineStr">
        <is>
          <t>i12-B</t>
        </is>
      </c>
      <c r="G3132" s="16" t="inlineStr">
        <is>
          <t>Auriculares Inalámbricos TWS - Ideales para Usuarios Android e iPhone, Entusiastas del Deporte &amp; Música, Controles Táctiles, Audífonos Para Correr y Jugar</t>
        </is>
      </c>
      <c r="H3132" s="16" t="inlineStr">
        <is>
          <t>Blanco</t>
        </is>
      </c>
      <c r="I3132" s="16" t="n">
        <v>1</v>
      </c>
      <c r="J3132" s="17" t="n">
        <v>44.8</v>
      </c>
      <c r="K3132" s="17" t="n">
        <v>75.81999999999999</v>
      </c>
      <c r="L3132" s="17" t="n">
        <v>25.86</v>
      </c>
      <c r="M3132" s="17" t="n">
        <v>0</v>
      </c>
      <c r="N3132" s="17">
        <f>K3132*0.08+L3132*0.08</f>
        <v/>
      </c>
      <c r="O3132" s="17">
        <f>-(K3132*0.025+L3132*0.025)</f>
        <v/>
      </c>
      <c r="P3132" s="17">
        <f>32</f>
        <v/>
      </c>
      <c r="Q3132" s="17">
        <f>J3132+L3132+N3132+O3132-P3132-M3132</f>
        <v/>
      </c>
    </row>
    <row r="3133">
      <c r="A3133" s="16" t="inlineStr">
        <is>
          <t>5.29-6.4</t>
        </is>
      </c>
      <c r="B3133" s="16" t="inlineStr">
        <is>
          <t>PO-128-19002712351352030</t>
        </is>
      </c>
      <c r="C3133" s="16" t="inlineStr">
        <is>
          <t>Shipped</t>
        </is>
      </c>
      <c r="D3133" s="16" t="inlineStr">
        <is>
          <t>128-19002670408312030</t>
        </is>
      </c>
      <c r="E3133" s="16" t="inlineStr">
        <is>
          <t>Shipped</t>
        </is>
      </c>
      <c r="F3133" s="16" t="inlineStr">
        <is>
          <t>LV64W25</t>
        </is>
      </c>
      <c r="G31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33" s="16" t="inlineStr">
        <is>
          <t>Blanco</t>
        </is>
      </c>
      <c r="I3133" s="16" t="n">
        <v>7</v>
      </c>
      <c r="J3133" s="17" t="n">
        <v>861</v>
      </c>
      <c r="K3133" s="17" t="n">
        <v>919.66</v>
      </c>
      <c r="L3133" s="17" t="n">
        <v>0</v>
      </c>
      <c r="M3133" s="17" t="n">
        <v>0</v>
      </c>
      <c r="N3133" s="17">
        <f>K3133*0.08+L3133*0.08</f>
        <v/>
      </c>
      <c r="O3133" s="17">
        <f>-(K3133*0.025+L3133*0.025)</f>
        <v/>
      </c>
      <c r="P3133" s="17">
        <f>32</f>
        <v/>
      </c>
      <c r="Q3133" s="17">
        <f>J3133+L3133+N3133+O3133-P3133-M3133</f>
        <v/>
      </c>
    </row>
    <row r="3134">
      <c r="A3134" s="16" t="inlineStr">
        <is>
          <t>5.29-6.4</t>
        </is>
      </c>
      <c r="B3134" s="16" t="inlineStr">
        <is>
          <t>PO-128-18807363318392170</t>
        </is>
      </c>
      <c r="C3134" s="16" t="inlineStr">
        <is>
          <t>Shipped</t>
        </is>
      </c>
      <c r="D3134" s="16" t="inlineStr">
        <is>
          <t>128-18807318753912170</t>
        </is>
      </c>
      <c r="E3134" s="16" t="inlineStr">
        <is>
          <t>Shipped</t>
        </is>
      </c>
      <c r="F3134" s="16" t="inlineStr">
        <is>
          <t>KTS-2031</t>
        </is>
      </c>
      <c r="G3134" s="16" t="inlineStr">
        <is>
          <t>Bocina inalámbrica de 3 pulgadas con linterna multifuncional y panel solar integrado.Altavoz Portátil con Linterna LED 4 Modos, Radio FM, Bluetooth, Carga Solar, Ideal para Apagones, Emergencias, Campo y Exteriores</t>
        </is>
      </c>
      <c r="H3134" s="16" t="inlineStr">
        <is>
          <t>NEGRO</t>
        </is>
      </c>
      <c r="I3134" s="16" t="n">
        <v>2</v>
      </c>
      <c r="J3134" s="17" t="n">
        <v>180</v>
      </c>
      <c r="K3134" s="17" t="n">
        <v>233.94</v>
      </c>
      <c r="L3134" s="17" t="n">
        <v>25.86</v>
      </c>
      <c r="M3134" s="17" t="n">
        <v>0</v>
      </c>
      <c r="N3134" s="17">
        <f>K3134*0.08+L3134*0.08</f>
        <v/>
      </c>
      <c r="O3134" s="17">
        <f>-(K3134*0.025+L3134*0.025)</f>
        <v/>
      </c>
      <c r="P3134" s="17">
        <f>32</f>
        <v/>
      </c>
      <c r="Q3134" s="17">
        <f>J3134+L3134+N3134+O3134-P3134-M3134</f>
        <v/>
      </c>
    </row>
    <row r="3135">
      <c r="A3135" s="16" t="inlineStr">
        <is>
          <t>5.29-6.4</t>
        </is>
      </c>
      <c r="B3135" s="16" t="inlineStr">
        <is>
          <t>PO-128-19028855911031682</t>
        </is>
      </c>
      <c r="C3135" s="16" t="inlineStr">
        <is>
          <t>Shipped</t>
        </is>
      </c>
      <c r="D3135" s="16" t="inlineStr">
        <is>
          <t>128-19028813967991682</t>
        </is>
      </c>
      <c r="E3135" s="16" t="inlineStr">
        <is>
          <t>Shipped</t>
        </is>
      </c>
      <c r="F3135" s="16" t="inlineStr">
        <is>
          <t>VB349T</t>
        </is>
      </c>
      <c r="G3135" s="16" t="inlineStr">
        <is>
          <t>LINKBITS Altavoz Portátil de Doble Altavoz - 3 Pulgadas, Sonido HD, Emparejamiento Rápido de Bluetooth, Conectividad TWS, Reproducción Multimodo (Micro SD/USB/Radio FM) - Perfecto para Oficina, Viajes y Espacios Pequeños</t>
        </is>
      </c>
      <c r="H3135" s="16" t="inlineStr">
        <is>
          <t>NEGRO</t>
        </is>
      </c>
      <c r="I3135" s="16" t="n">
        <v>1</v>
      </c>
      <c r="J3135" s="17" t="n">
        <v>81</v>
      </c>
      <c r="K3135" s="17" t="n">
        <v>11.5</v>
      </c>
      <c r="L3135" s="17" t="n">
        <v>25.86</v>
      </c>
      <c r="M3135" s="17" t="n">
        <v>0</v>
      </c>
      <c r="N3135" s="17">
        <f>K3135*0.08+L3135*0.08</f>
        <v/>
      </c>
      <c r="O3135" s="17">
        <f>-(K3135*0.025+L3135*0.025)</f>
        <v/>
      </c>
      <c r="P3135" s="17">
        <f>32</f>
        <v/>
      </c>
      <c r="Q3135" s="17">
        <f>J3135+L3135+N3135+O3135-P3135-M3135</f>
        <v/>
      </c>
    </row>
    <row r="3136">
      <c r="A3136" s="16" t="inlineStr">
        <is>
          <t>5.29-6.4</t>
        </is>
      </c>
      <c r="B3136" s="16" t="inlineStr">
        <is>
          <t>PO-128-19215131899510765</t>
        </is>
      </c>
      <c r="C3136" s="16" t="inlineStr">
        <is>
          <t>Shipped</t>
        </is>
      </c>
      <c r="D3136" s="16" t="inlineStr">
        <is>
          <t>128-19215184328310765</t>
        </is>
      </c>
      <c r="E3136" s="16" t="inlineStr">
        <is>
          <t>Shipped</t>
        </is>
      </c>
      <c r="F3136" s="16" t="inlineStr">
        <is>
          <t>LV64W25</t>
        </is>
      </c>
      <c r="G313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36" s="16" t="inlineStr">
        <is>
          <t>Blanco</t>
        </is>
      </c>
      <c r="I3136" s="16" t="n">
        <v>1</v>
      </c>
      <c r="J3136" s="17" t="n">
        <v>123</v>
      </c>
      <c r="K3136" s="17" t="n">
        <v>111.68</v>
      </c>
      <c r="L3136" s="17" t="n">
        <v>25.86</v>
      </c>
      <c r="M3136" s="17" t="n">
        <v>0</v>
      </c>
      <c r="N3136" s="17">
        <f>K3136*0.08+L3136*0.08</f>
        <v/>
      </c>
      <c r="O3136" s="17">
        <f>-(K3136*0.025+L3136*0.025)</f>
        <v/>
      </c>
      <c r="P3136" s="17">
        <f>32</f>
        <v/>
      </c>
      <c r="Q3136" s="17">
        <f>J3136+L3136+N3136+O3136-P3136-M3136</f>
        <v/>
      </c>
    </row>
    <row r="3137">
      <c r="A3137" s="16" t="inlineStr">
        <is>
          <t>5.29-6.4</t>
        </is>
      </c>
      <c r="B3137" s="16" t="inlineStr">
        <is>
          <t>PO-128-18856809513592709</t>
        </is>
      </c>
      <c r="C3137" s="16" t="inlineStr">
        <is>
          <t>Shipped</t>
        </is>
      </c>
      <c r="D3137" s="16" t="inlineStr">
        <is>
          <t>128-18856851456632709</t>
        </is>
      </c>
      <c r="E3137" s="16" t="inlineStr">
        <is>
          <t>Shipped</t>
        </is>
      </c>
      <c r="F3137" s="16" t="inlineStr">
        <is>
          <t>LV54W25</t>
        </is>
      </c>
      <c r="G3137" s="16" t="inlineStr">
        <is>
          <t>TIANLAI Lámpara Ventilador E27 2 en 1, Silenciosa, LED Alta Luminosidad 180°, Instalación Rápida, Ahorro Energético para Dormitorio y Interiores Pequeños</t>
        </is>
      </c>
      <c r="H3137" s="16" t="inlineStr">
        <is>
          <t>1 Pieza</t>
        </is>
      </c>
      <c r="I3137" s="16" t="n">
        <v>3</v>
      </c>
      <c r="J3137" s="17" t="n">
        <v>234</v>
      </c>
      <c r="K3137" s="17" t="n">
        <v>239.46</v>
      </c>
      <c r="L3137" s="17" t="n">
        <v>0</v>
      </c>
      <c r="M3137" s="17" t="n">
        <v>0</v>
      </c>
      <c r="N3137" s="17">
        <f>K3137*0.08+L3137*0.08</f>
        <v/>
      </c>
      <c r="O3137" s="17">
        <f>-(K3137*0.025+L3137*0.025)</f>
        <v/>
      </c>
      <c r="P3137" s="17">
        <f>32</f>
        <v/>
      </c>
      <c r="Q3137" s="17">
        <f>J3137+L3137+N3137+O3137-P3137-M3137</f>
        <v/>
      </c>
    </row>
    <row r="3138">
      <c r="A3138" s="16" t="inlineStr">
        <is>
          <t>5.29-6.4</t>
        </is>
      </c>
      <c r="B3138" s="16" t="inlineStr">
        <is>
          <t>PO-128-18931955712631365</t>
        </is>
      </c>
      <c r="C3138" s="16" t="inlineStr">
        <is>
          <t>Shipped</t>
        </is>
      </c>
      <c r="D3138" s="16" t="inlineStr">
        <is>
          <t>128-18932060570231365</t>
        </is>
      </c>
      <c r="E3138" s="16" t="inlineStr">
        <is>
          <t>Shipped</t>
        </is>
      </c>
      <c r="F3138" s="16" t="inlineStr">
        <is>
          <t>KTS-1369</t>
        </is>
      </c>
      <c r="G3138" s="16" t="inlineStr">
        <is>
          <t>Bocina 3 Pulgadas Portátil Bluetooth con Luces LED, Sonido Claro y Batería Larga Duración, TWS TF USB FM, Ideal para Hogar Oficina y Exterior</t>
        </is>
      </c>
      <c r="H3138" s="16" t="inlineStr">
        <is>
          <t>NEGRO</t>
        </is>
      </c>
      <c r="I3138" s="16" t="n">
        <v>1</v>
      </c>
      <c r="J3138" s="17" t="n">
        <v>55</v>
      </c>
      <c r="K3138" s="17" t="n">
        <v>73.73999999999999</v>
      </c>
      <c r="L3138" s="17" t="n">
        <v>25.86</v>
      </c>
      <c r="M3138" s="17" t="n">
        <v>0</v>
      </c>
      <c r="N3138" s="17">
        <f>K3138*0.08+L3138*0.08</f>
        <v/>
      </c>
      <c r="O3138" s="17">
        <f>-(K3138*0.025+L3138*0.025)</f>
        <v/>
      </c>
      <c r="P3138" s="17">
        <f>32</f>
        <v/>
      </c>
      <c r="Q3138" s="17">
        <f>J3138+L3138+N3138+O3138-P3138-M3138</f>
        <v/>
      </c>
    </row>
    <row r="3139">
      <c r="A3139" s="16" t="inlineStr">
        <is>
          <t>5.29-6.4</t>
        </is>
      </c>
      <c r="B3139" s="16" t="inlineStr">
        <is>
          <t>PO-128-18593726659193445</t>
        </is>
      </c>
      <c r="C3139" s="16" t="inlineStr">
        <is>
          <t>Shipped</t>
        </is>
      </c>
      <c r="D3139" s="16" t="inlineStr">
        <is>
          <t>128-18593831516793445</t>
        </is>
      </c>
      <c r="E3139" s="16" t="inlineStr">
        <is>
          <t>Shipped</t>
        </is>
      </c>
      <c r="F3139" s="16" t="inlineStr">
        <is>
          <t>KTS-1369</t>
        </is>
      </c>
      <c r="G3139" s="16" t="inlineStr">
        <is>
          <t>Bocina 3 Pulgadas Portátil Bluetooth con Luces LED, Sonido Claro y Batería Larga Duración, TWS TF USB FM, Ideal para Hogar Oficina y Exterior</t>
        </is>
      </c>
      <c r="H3139" s="16" t="inlineStr">
        <is>
          <t>NEGRO</t>
        </is>
      </c>
      <c r="I3139" s="16" t="n">
        <v>1</v>
      </c>
      <c r="J3139" s="17" t="n">
        <v>55</v>
      </c>
      <c r="K3139" s="17" t="n">
        <v>73.73999999999999</v>
      </c>
      <c r="L3139" s="17" t="n">
        <v>25.86</v>
      </c>
      <c r="M3139" s="17" t="n">
        <v>0</v>
      </c>
      <c r="N3139" s="17">
        <f>K3139*0.08+L3139*0.08</f>
        <v/>
      </c>
      <c r="O3139" s="17">
        <f>-(K3139*0.025+L3139*0.025)</f>
        <v/>
      </c>
      <c r="P3139" s="17">
        <f>32</f>
        <v/>
      </c>
      <c r="Q3139" s="17">
        <f>J3139+L3139+N3139+O3139-P3139-M3139</f>
        <v/>
      </c>
    </row>
    <row r="3140">
      <c r="A3140" s="16" t="inlineStr">
        <is>
          <t>5.29-6.4</t>
        </is>
      </c>
      <c r="B3140" s="16" t="inlineStr">
        <is>
          <t>PO-128-18849955420792940</t>
        </is>
      </c>
      <c r="C3140" s="16" t="inlineStr">
        <is>
          <t>Shipped</t>
        </is>
      </c>
      <c r="D3140" s="16" t="inlineStr">
        <is>
          <t>128-18849997363832940</t>
        </is>
      </c>
      <c r="E3140" s="16" t="inlineStr">
        <is>
          <t>Shipped</t>
        </is>
      </c>
      <c r="F3140" s="16" t="inlineStr">
        <is>
          <t>LV54W25</t>
        </is>
      </c>
      <c r="G3140" s="16" t="inlineStr">
        <is>
          <t>TIANLAI Lámpara Ventilador E27 2 en 1, Silenciosa, LED Alta Luminosidad 180°, Instalación Rápida, Ahorro Energético para Dormitorio y Interiores Pequeños</t>
        </is>
      </c>
      <c r="H3140" s="16" t="inlineStr">
        <is>
          <t>1 Pieza</t>
        </is>
      </c>
      <c r="I3140" s="16" t="n">
        <v>1</v>
      </c>
      <c r="J3140" s="17" t="n">
        <v>78</v>
      </c>
      <c r="K3140" s="17" t="n">
        <v>79.81999999999999</v>
      </c>
      <c r="L3140" s="17" t="n">
        <v>25.86</v>
      </c>
      <c r="M3140" s="17" t="n">
        <v>0</v>
      </c>
      <c r="N3140" s="17">
        <f>K3140*0.08+L3140*0.08</f>
        <v/>
      </c>
      <c r="O3140" s="17">
        <f>-(K3140*0.025+L3140*0.025)</f>
        <v/>
      </c>
      <c r="P3140" s="17">
        <f>32</f>
        <v/>
      </c>
      <c r="Q3140" s="17">
        <f>J3140+L3140+N3140+O3140-P3140-M3140</f>
        <v/>
      </c>
    </row>
    <row r="3141">
      <c r="A3141" s="16" t="inlineStr">
        <is>
          <t>5.29-6.4</t>
        </is>
      </c>
      <c r="B3141" s="16" t="inlineStr">
        <is>
          <t>PO-128-18681194670713946</t>
        </is>
      </c>
      <c r="C3141" s="16" t="inlineStr">
        <is>
          <t>Shipped</t>
        </is>
      </c>
      <c r="D3141" s="16" t="inlineStr">
        <is>
          <t>128-18681184184953946</t>
        </is>
      </c>
      <c r="E3141" s="16" t="inlineStr">
        <is>
          <t>Shipped</t>
        </is>
      </c>
      <c r="F3141" s="16" t="inlineStr">
        <is>
          <t>LV64W25</t>
        </is>
      </c>
      <c r="G31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41" s="16" t="inlineStr">
        <is>
          <t>Blanco</t>
        </is>
      </c>
      <c r="I3141" s="16" t="n">
        <v>1</v>
      </c>
      <c r="J3141" s="17" t="n">
        <v>123</v>
      </c>
      <c r="K3141" s="17" t="n">
        <v>131.38</v>
      </c>
      <c r="L3141" s="17" t="n">
        <v>25.86</v>
      </c>
      <c r="M3141" s="17" t="n">
        <v>0</v>
      </c>
      <c r="N3141" s="17">
        <f>K3141*0.08+L3141*0.08</f>
        <v/>
      </c>
      <c r="O3141" s="17">
        <f>-(K3141*0.025+L3141*0.025)</f>
        <v/>
      </c>
      <c r="P3141" s="17">
        <f>32</f>
        <v/>
      </c>
      <c r="Q3141" s="17">
        <f>J3141+L3141+N3141+O3141-P3141-M3141</f>
        <v/>
      </c>
    </row>
    <row r="3142">
      <c r="A3142" s="16" t="inlineStr">
        <is>
          <t>5.29-6.4</t>
        </is>
      </c>
      <c r="B3142" s="16" t="inlineStr">
        <is>
          <t>PO-128-18818633103993001</t>
        </is>
      </c>
      <c r="C3142" s="16" t="inlineStr">
        <is>
          <t>Shipped</t>
        </is>
      </c>
      <c r="D3142" s="16" t="inlineStr">
        <is>
          <t>128-18818659318393001</t>
        </is>
      </c>
      <c r="E3142" s="16" t="inlineStr">
        <is>
          <t>Shipped</t>
        </is>
      </c>
      <c r="F3142" s="16" t="inlineStr">
        <is>
          <t>LV54W25</t>
        </is>
      </c>
      <c r="G3142" s="16" t="inlineStr">
        <is>
          <t>TIANLAI Lámpara Ventilador E27 2 en 1, Silenciosa, LED Alta Luminosidad 180°, Instalación Rápida, Ahorro Energético para Dormitorio y Interiores Pequeños</t>
        </is>
      </c>
      <c r="H3142" s="16" t="inlineStr">
        <is>
          <t>1 Pieza</t>
        </is>
      </c>
      <c r="I3142" s="16" t="n">
        <v>1</v>
      </c>
      <c r="J3142" s="17" t="n">
        <v>78</v>
      </c>
      <c r="K3142" s="17" t="n">
        <v>82.51000000000001</v>
      </c>
      <c r="L3142" s="17" t="n">
        <v>25.86</v>
      </c>
      <c r="M3142" s="17" t="n">
        <v>0</v>
      </c>
      <c r="N3142" s="17">
        <f>K3142*0.08+L3142*0.08</f>
        <v/>
      </c>
      <c r="O3142" s="17">
        <f>-(K3142*0.025+L3142*0.025)</f>
        <v/>
      </c>
      <c r="P3142" s="17">
        <f>32</f>
        <v/>
      </c>
      <c r="Q3142" s="17">
        <f>J3142+L3142+N3142+O3142-P3142-M3142</f>
        <v/>
      </c>
    </row>
    <row r="3143">
      <c r="A3143" s="16" t="inlineStr">
        <is>
          <t>5.29-6.4</t>
        </is>
      </c>
      <c r="B3143" s="16" t="inlineStr">
        <is>
          <t>PO-128-18708789985913591</t>
        </is>
      </c>
      <c r="C3143" s="16" t="inlineStr">
        <is>
          <t>Shipped</t>
        </is>
      </c>
      <c r="D3143" s="16" t="inlineStr">
        <is>
          <t>128-18708800471673591</t>
        </is>
      </c>
      <c r="E3143" s="16" t="inlineStr">
        <is>
          <t>Shipped</t>
        </is>
      </c>
      <c r="F3143" s="16" t="inlineStr">
        <is>
          <t>KTS-2031</t>
        </is>
      </c>
      <c r="G3143" s="16" t="inlineStr">
        <is>
          <t>Bocina inalámbrica de 3 pulgadas con linterna multifuncional y panel solar integrado.Altavoz Portátil con Linterna LED 4 Modos, Radio FM, Bluetooth, Carga Solar, Ideal para Apagones, Emergencias, Campo y Exteriores</t>
        </is>
      </c>
      <c r="H3143" s="16" t="inlineStr">
        <is>
          <t>NEGRO</t>
        </is>
      </c>
      <c r="I3143" s="16" t="n">
        <v>1</v>
      </c>
      <c r="J3143" s="17" t="n">
        <v>90</v>
      </c>
      <c r="K3143" s="17" t="n">
        <v>116.97</v>
      </c>
      <c r="L3143" s="17" t="n">
        <v>25.86</v>
      </c>
      <c r="M3143" s="17" t="n">
        <v>0</v>
      </c>
      <c r="N3143" s="17">
        <f>K3143*0.08+L3143*0.08</f>
        <v/>
      </c>
      <c r="O3143" s="17">
        <f>-(K3143*0.025+L3143*0.025)</f>
        <v/>
      </c>
      <c r="P3143" s="17">
        <f>32</f>
        <v/>
      </c>
      <c r="Q3143" s="17">
        <f>J3143+L3143+N3143+O3143-P3143-M3143</f>
        <v/>
      </c>
    </row>
    <row r="3144">
      <c r="A3144" s="16" t="inlineStr">
        <is>
          <t>5.29-6.4</t>
        </is>
      </c>
      <c r="B3144" s="16" t="inlineStr">
        <is>
          <t>PO-128-19204246712950700</t>
        </is>
      </c>
      <c r="C3144" s="16" t="inlineStr">
        <is>
          <t>Shipped</t>
        </is>
      </c>
      <c r="D3144" s="16" t="inlineStr">
        <is>
          <t>128-19204351570550700</t>
        </is>
      </c>
      <c r="E3144" s="16" t="inlineStr">
        <is>
          <t>Shipped</t>
        </is>
      </c>
      <c r="F3144" s="16" t="inlineStr">
        <is>
          <t>BSC04</t>
        </is>
      </c>
      <c r="G3144" s="16" t="inlineStr">
        <is>
          <t>TIANLAI Báscula Digital BSC04/BSC07, Alta Precisión, Fácil Operación, Ligera y Portátil, Función Tara, Unidad Dual oz/g, Ideal para Cocina, Control de Porciones, Sellos y Objetos Pequeños, Uso en Hogar y Viaje</t>
        </is>
      </c>
      <c r="H3144" s="16" t="inlineStr">
        <is>
          <t>5g/White</t>
        </is>
      </c>
      <c r="I3144" s="16" t="n">
        <v>1</v>
      </c>
      <c r="J3144" s="17" t="n">
        <v>58</v>
      </c>
      <c r="K3144" s="17" t="n">
        <v>72.98</v>
      </c>
      <c r="L3144" s="17" t="n">
        <v>25.86</v>
      </c>
      <c r="M3144" s="17" t="n">
        <v>0</v>
      </c>
      <c r="N3144" s="17">
        <f>K3144*0.08+L3144*0.08</f>
        <v/>
      </c>
      <c r="O3144" s="17">
        <f>-(K3144*0.025+L3144*0.025)</f>
        <v/>
      </c>
      <c r="P3144" s="17">
        <f>32</f>
        <v/>
      </c>
      <c r="Q3144" s="17">
        <f>J3144+L3144+N3144+O3144-P3144-M3144</f>
        <v/>
      </c>
    </row>
    <row r="3145">
      <c r="A3145" s="16" t="inlineStr">
        <is>
          <t>5.29-6.4</t>
        </is>
      </c>
      <c r="B3145" s="16" t="inlineStr">
        <is>
          <t>PO-128-18706648187513602</t>
        </is>
      </c>
      <c r="C3145" s="16" t="inlineStr">
        <is>
          <t>Shipped</t>
        </is>
      </c>
      <c r="D3145" s="16" t="inlineStr">
        <is>
          <t>128-18706611487353602</t>
        </is>
      </c>
      <c r="E3145" s="16" t="inlineStr">
        <is>
          <t>Shipped</t>
        </is>
      </c>
      <c r="F3145" s="16" t="inlineStr">
        <is>
          <t>KTS-2031</t>
        </is>
      </c>
      <c r="G3145" s="16" t="inlineStr">
        <is>
          <t>Bocina inalámbrica de 3 pulgadas con linterna multifuncional y panel solar integrado.Altavoz Portátil con Linterna LED 4 Modos, Radio FM, Bluetooth, Carga Solar, Ideal para Apagones, Emergencias, Campo y Exteriores</t>
        </is>
      </c>
      <c r="H3145" s="16" t="inlineStr">
        <is>
          <t>NEGRO</t>
        </is>
      </c>
      <c r="I3145" s="16" t="n">
        <v>1</v>
      </c>
      <c r="J3145" s="17" t="n">
        <v>90</v>
      </c>
      <c r="K3145" s="17" t="n">
        <v>115.96</v>
      </c>
      <c r="L3145" s="17" t="n">
        <v>25.86</v>
      </c>
      <c r="M3145" s="17" t="n">
        <v>0</v>
      </c>
      <c r="N3145" s="17">
        <f>K3145*0.08+L3145*0.08</f>
        <v/>
      </c>
      <c r="O3145" s="17">
        <f>-(K3145*0.025+L3145*0.025)</f>
        <v/>
      </c>
      <c r="P3145" s="17">
        <f>32</f>
        <v/>
      </c>
      <c r="Q3145" s="17">
        <f>J3145+L3145+N3145+O3145-P3145-M3145</f>
        <v/>
      </c>
    </row>
    <row r="3146">
      <c r="A3146" s="16" t="inlineStr">
        <is>
          <t>5.29-6.4</t>
        </is>
      </c>
      <c r="B3146" s="16" t="inlineStr">
        <is>
          <t>PO-128-18973583544951117</t>
        </is>
      </c>
      <c r="C3146" s="16" t="inlineStr">
        <is>
          <t>Shipped</t>
        </is>
      </c>
      <c r="D3146" s="16" t="inlineStr">
        <is>
          <t>128-18973552087671117</t>
        </is>
      </c>
      <c r="E3146" s="16" t="inlineStr">
        <is>
          <t>Shipped</t>
        </is>
      </c>
      <c r="F3146" s="16" t="inlineStr">
        <is>
          <t>LV64W25</t>
        </is>
      </c>
      <c r="G31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46" s="16" t="inlineStr">
        <is>
          <t>Blanco</t>
        </is>
      </c>
      <c r="I3146" s="16" t="n">
        <v>1</v>
      </c>
      <c r="J3146" s="17" t="n">
        <v>123</v>
      </c>
      <c r="K3146" s="17" t="n">
        <v>131.38</v>
      </c>
      <c r="L3146" s="17" t="n">
        <v>25.86</v>
      </c>
      <c r="M3146" s="17" t="n">
        <v>0</v>
      </c>
      <c r="N3146" s="17">
        <f>K3146*0.08+L3146*0.08</f>
        <v/>
      </c>
      <c r="O3146" s="17">
        <f>-(K3146*0.025+L3146*0.025)</f>
        <v/>
      </c>
      <c r="P3146" s="17">
        <f>32</f>
        <v/>
      </c>
      <c r="Q3146" s="17">
        <f>J3146+L3146+N3146+O3146-P3146-M3146</f>
        <v/>
      </c>
    </row>
    <row r="3147">
      <c r="A3147" s="16" t="inlineStr">
        <is>
          <t>5.29-6.4</t>
        </is>
      </c>
      <c r="B3147" s="16" t="inlineStr">
        <is>
          <t>PO-128-19145525678710090</t>
        </is>
      </c>
      <c r="C3147" s="16" t="inlineStr">
        <is>
          <t>Shipped</t>
        </is>
      </c>
      <c r="D3147" s="16" t="inlineStr">
        <is>
          <t>128-19145546650230090</t>
        </is>
      </c>
      <c r="E3147" s="16" t="inlineStr">
        <is>
          <t>Shipped</t>
        </is>
      </c>
      <c r="F3147" s="16" t="inlineStr">
        <is>
          <t>LV64W25</t>
        </is>
      </c>
      <c r="G31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47" s="16" t="inlineStr">
        <is>
          <t>Blanco</t>
        </is>
      </c>
      <c r="I3147" s="16" t="n">
        <v>2</v>
      </c>
      <c r="J3147" s="17" t="n">
        <v>246</v>
      </c>
      <c r="K3147" s="17" t="n">
        <v>258.11</v>
      </c>
      <c r="L3147" s="17" t="n">
        <v>0</v>
      </c>
      <c r="M3147" s="17" t="n">
        <v>0</v>
      </c>
      <c r="N3147" s="17">
        <f>K3147*0.08+L3147*0.08</f>
        <v/>
      </c>
      <c r="O3147" s="17">
        <f>-(K3147*0.025+L3147*0.025)</f>
        <v/>
      </c>
      <c r="P3147" s="17">
        <f>32</f>
        <v/>
      </c>
      <c r="Q3147" s="17">
        <f>J3147+L3147+N3147+O3147-P3147-M3147</f>
        <v/>
      </c>
    </row>
    <row r="3148">
      <c r="A3148" s="16" t="inlineStr">
        <is>
          <t>5.29-6.4</t>
        </is>
      </c>
      <c r="B3148" s="16" t="inlineStr">
        <is>
          <t>PO-128-18877841408632582</t>
        </is>
      </c>
      <c r="C3148" s="16" t="inlineStr">
        <is>
          <t>Shipped</t>
        </is>
      </c>
      <c r="D3148" s="16" t="inlineStr">
        <is>
          <t>128-18877749658232582</t>
        </is>
      </c>
      <c r="E3148" s="16" t="inlineStr">
        <is>
          <t>Shipped</t>
        </is>
      </c>
      <c r="F3148" s="16" t="inlineStr">
        <is>
          <t>LV54W25</t>
        </is>
      </c>
      <c r="G3148" s="16" t="inlineStr">
        <is>
          <t>TIANLAI Lámpara Ventilador E27 2 en 1, Silenciosa, LED Alta Luminosidad 180°, Instalación Rápida, Ahorro Energético para Dormitorio y Interiores Pequeños</t>
        </is>
      </c>
      <c r="H3148" s="16" t="inlineStr">
        <is>
          <t>1 Pieza</t>
        </is>
      </c>
      <c r="I3148" s="16" t="n">
        <v>1</v>
      </c>
      <c r="J3148" s="17" t="n">
        <v>78</v>
      </c>
      <c r="K3148" s="17" t="n">
        <v>82.51000000000001</v>
      </c>
      <c r="L3148" s="17" t="n">
        <v>25.86</v>
      </c>
      <c r="M3148" s="17" t="n">
        <v>0</v>
      </c>
      <c r="N3148" s="17">
        <f>K3148*0.08+L3148*0.08</f>
        <v/>
      </c>
      <c r="O3148" s="17">
        <f>-(K3148*0.025+L3148*0.025)</f>
        <v/>
      </c>
      <c r="P3148" s="17">
        <f>32</f>
        <v/>
      </c>
      <c r="Q3148" s="17">
        <f>J3148+L3148+N3148+O3148-P3148-M3148</f>
        <v/>
      </c>
    </row>
    <row r="3149">
      <c r="A3149" s="16" t="inlineStr">
        <is>
          <t>5.29-6.4</t>
        </is>
      </c>
      <c r="B3149" s="16" t="inlineStr">
        <is>
          <t>PO-128-19127496192630198</t>
        </is>
      </c>
      <c r="C3149" s="16" t="inlineStr">
        <is>
          <t>Shipped</t>
        </is>
      </c>
      <c r="D3149" s="16" t="inlineStr">
        <is>
          <t>128-19127454249590198</t>
        </is>
      </c>
      <c r="E3149" s="16" t="inlineStr">
        <is>
          <t>Shipped</t>
        </is>
      </c>
      <c r="F3149" s="16" t="inlineStr">
        <is>
          <t>LV64W25</t>
        </is>
      </c>
      <c r="G31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49" s="16" t="inlineStr">
        <is>
          <t>Blanco</t>
        </is>
      </c>
      <c r="I3149" s="16" t="n">
        <v>2</v>
      </c>
      <c r="J3149" s="17" t="n">
        <v>246</v>
      </c>
      <c r="K3149" s="17" t="n">
        <v>262.76</v>
      </c>
      <c r="L3149" s="17" t="n">
        <v>0</v>
      </c>
      <c r="M3149" s="17" t="n">
        <v>0</v>
      </c>
      <c r="N3149" s="17">
        <f>K3149*0.08+L3149*0.08</f>
        <v/>
      </c>
      <c r="O3149" s="17">
        <f>-(K3149*0.025+L3149*0.025)</f>
        <v/>
      </c>
      <c r="P3149" s="17">
        <f>32</f>
        <v/>
      </c>
      <c r="Q3149" s="17">
        <f>J3149+L3149+N3149+O3149-P3149-M3149</f>
        <v/>
      </c>
    </row>
    <row r="3150">
      <c r="A3150" s="16" t="inlineStr">
        <is>
          <t>5.29-6.4</t>
        </is>
      </c>
      <c r="B3150" s="16" t="inlineStr">
        <is>
          <t>PO-128-18773819884152178</t>
        </is>
      </c>
      <c r="C3150" s="16" t="inlineStr">
        <is>
          <t>Shipped</t>
        </is>
      </c>
      <c r="D3150" s="16" t="inlineStr">
        <is>
          <t>128-18773840855672178</t>
        </is>
      </c>
      <c r="E3150" s="16" t="inlineStr">
        <is>
          <t>Shipped</t>
        </is>
      </c>
      <c r="F3150" s="16" t="inlineStr">
        <is>
          <t>LV64W25</t>
        </is>
      </c>
      <c r="G31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50" s="16" t="inlineStr">
        <is>
          <t>Blanco</t>
        </is>
      </c>
      <c r="I3150" s="16" t="n">
        <v>2</v>
      </c>
      <c r="J3150" s="17" t="n">
        <v>246</v>
      </c>
      <c r="K3150" s="17" t="n">
        <v>262.76</v>
      </c>
      <c r="L3150" s="17" t="n">
        <v>0</v>
      </c>
      <c r="M3150" s="17" t="n">
        <v>0</v>
      </c>
      <c r="N3150" s="17">
        <f>K3150*0.08+L3150*0.08</f>
        <v/>
      </c>
      <c r="O3150" s="17">
        <f>-(K3150*0.025+L3150*0.025)</f>
        <v/>
      </c>
      <c r="P3150" s="17">
        <f>32</f>
        <v/>
      </c>
      <c r="Q3150" s="17">
        <f>J3150+L3150+N3150+O3150-P3150-M3150</f>
        <v/>
      </c>
    </row>
    <row r="3151">
      <c r="A3151" s="16" t="inlineStr">
        <is>
          <t>5.29-6.4</t>
        </is>
      </c>
      <c r="B3151" s="16" t="inlineStr">
        <is>
          <t>PO-128-18989386302071983</t>
        </is>
      </c>
      <c r="C3151" s="16" t="inlineStr">
        <is>
          <t>Shipped</t>
        </is>
      </c>
      <c r="D3151" s="16" t="inlineStr">
        <is>
          <t>128-18989375816311983</t>
        </is>
      </c>
      <c r="E3151" s="16" t="inlineStr">
        <is>
          <t>Shipped</t>
        </is>
      </c>
      <c r="F3151" s="16" t="inlineStr">
        <is>
          <t>LV54W25</t>
        </is>
      </c>
      <c r="G3151" s="16" t="inlineStr">
        <is>
          <t>TIANLAI Lámpara Ventilador E27 2 en 1, Silenciosa, LED Alta Luminosidad 180°, Instalación Rápida, Ahorro Energético para Dormitorio y Interiores Pequeños</t>
        </is>
      </c>
      <c r="H3151" s="16" t="inlineStr">
        <is>
          <t>1 Pieza</t>
        </is>
      </c>
      <c r="I3151" s="16" t="n">
        <v>1</v>
      </c>
      <c r="J3151" s="17" t="n">
        <v>78</v>
      </c>
      <c r="K3151" s="17" t="n">
        <v>71.75</v>
      </c>
      <c r="L3151" s="17" t="n">
        <v>25.86</v>
      </c>
      <c r="M3151" s="17" t="n">
        <v>0</v>
      </c>
      <c r="N3151" s="17">
        <f>K3151*0.08+L3151*0.08</f>
        <v/>
      </c>
      <c r="O3151" s="17">
        <f>-(K3151*0.025+L3151*0.025)</f>
        <v/>
      </c>
      <c r="P3151" s="17">
        <f>32</f>
        <v/>
      </c>
      <c r="Q3151" s="17">
        <f>J3151+L3151+N3151+O3151-P3151-M3151</f>
        <v/>
      </c>
    </row>
    <row r="3152">
      <c r="A3152" s="16" t="inlineStr">
        <is>
          <t>5.29-6.4</t>
        </is>
      </c>
      <c r="B3152" s="16" t="inlineStr">
        <is>
          <t>PO-128-07736695816312492</t>
        </is>
      </c>
      <c r="C3152" s="16" t="inlineStr">
        <is>
          <t>Shipped</t>
        </is>
      </c>
      <c r="D3152" s="16" t="inlineStr">
        <is>
          <t>128-07736690573432492</t>
        </is>
      </c>
      <c r="E3152" s="16" t="inlineStr">
        <is>
          <t>Shipped</t>
        </is>
      </c>
      <c r="F3152" s="16" t="inlineStr">
        <is>
          <t>BSC04</t>
        </is>
      </c>
      <c r="G3152" s="16" t="inlineStr">
        <is>
          <t>TIANLAI Báscula Digital BSC04/BSC07, Alta Precisión, Fácil Operación, Ligera y Portátil, Función Tara, Unidad Dual oz/g, Ideal para Cocina, Control de Porciones, Sellos y Objetos Pequeños, Uso en Hogar y Viaje</t>
        </is>
      </c>
      <c r="H3152" s="16" t="inlineStr">
        <is>
          <t>5g/White</t>
        </is>
      </c>
      <c r="I3152" s="16" t="n">
        <v>1</v>
      </c>
      <c r="J3152" s="17" t="n">
        <v>58</v>
      </c>
      <c r="K3152" s="17" t="n">
        <v>91.22</v>
      </c>
      <c r="L3152" s="17" t="n">
        <v>25.86</v>
      </c>
      <c r="M3152" s="17" t="n">
        <v>0</v>
      </c>
      <c r="N3152" s="17">
        <f>K3152*0.08+L3152*0.08</f>
        <v/>
      </c>
      <c r="O3152" s="17">
        <f>-(K3152*0.025+L3152*0.025)</f>
        <v/>
      </c>
      <c r="P3152" s="17">
        <f>32</f>
        <v/>
      </c>
      <c r="Q3152" s="17">
        <f>J3152+L3152+N3152+O3152-P3152-M3152</f>
        <v/>
      </c>
    </row>
    <row r="3153">
      <c r="A3153" s="16" t="inlineStr">
        <is>
          <t>5.29-6.4</t>
        </is>
      </c>
      <c r="B3153" s="16" t="inlineStr">
        <is>
          <t>PO-128-08085347336310478</t>
        </is>
      </c>
      <c r="C3153" s="16" t="inlineStr">
        <is>
          <t>Shipped</t>
        </is>
      </c>
      <c r="D3153" s="16" t="inlineStr">
        <is>
          <t>128-08085305393270478</t>
        </is>
      </c>
      <c r="E3153" s="16" t="inlineStr">
        <is>
          <t>Shipped</t>
        </is>
      </c>
      <c r="F3153" s="16" t="inlineStr">
        <is>
          <t>LV54W25</t>
        </is>
      </c>
      <c r="G3153" s="16" t="inlineStr">
        <is>
          <t>TIANLAI Lámpara Ventilador E27 2 en 1, Silenciosa, LED Alta Luminosidad 180°, Instalación Rápida, Ahorro Energético para Dormitorio y Interiores Pequeños</t>
        </is>
      </c>
      <c r="H3153" s="16" t="inlineStr">
        <is>
          <t>1 Pieza</t>
        </is>
      </c>
      <c r="I3153" s="16" t="n">
        <v>4</v>
      </c>
      <c r="J3153" s="17" t="n">
        <v>312</v>
      </c>
      <c r="K3153" s="17" t="n">
        <v>319.28</v>
      </c>
      <c r="L3153" s="17" t="n">
        <v>0</v>
      </c>
      <c r="M3153" s="17" t="n">
        <v>0</v>
      </c>
      <c r="N3153" s="17">
        <f>K3153*0.08+L3153*0.08</f>
        <v/>
      </c>
      <c r="O3153" s="17">
        <f>-(K3153*0.025+L3153*0.025)</f>
        <v/>
      </c>
      <c r="P3153" s="17">
        <f>32</f>
        <v/>
      </c>
      <c r="Q3153" s="17">
        <f>J3153+L3153+N3153+O3153-P3153-M3153</f>
        <v/>
      </c>
    </row>
    <row r="3154">
      <c r="A3154" s="16" t="inlineStr">
        <is>
          <t>5.29-6.4</t>
        </is>
      </c>
      <c r="B3154" s="16" t="inlineStr">
        <is>
          <t>PO-128-07568539397753494</t>
        </is>
      </c>
      <c r="C3154" s="16" t="inlineStr">
        <is>
          <t>Shipped</t>
        </is>
      </c>
      <c r="D3154" s="16" t="inlineStr">
        <is>
          <t>128-07568703237753494</t>
        </is>
      </c>
      <c r="E3154" s="16" t="inlineStr">
        <is>
          <t>Shipped</t>
        </is>
      </c>
      <c r="F3154" s="16" t="inlineStr">
        <is>
          <t>LV54W25</t>
        </is>
      </c>
      <c r="G3154" s="16" t="inlineStr">
        <is>
          <t>TIANLAI Lámpara Ventilador E27 2 en 1, Silenciosa, LED Alta Luminosidad 180°, Instalación Rápida, Ahorro Energético para Dormitorio y Interiores Pequeños</t>
        </is>
      </c>
      <c r="H3154" s="16" t="inlineStr">
        <is>
          <t>1 Pieza</t>
        </is>
      </c>
      <c r="I3154" s="16" t="n">
        <v>1</v>
      </c>
      <c r="J3154" s="17" t="n">
        <v>78</v>
      </c>
      <c r="K3154" s="17" t="n">
        <v>82.51000000000001</v>
      </c>
      <c r="L3154" s="17" t="n">
        <v>25.86</v>
      </c>
      <c r="M3154" s="17" t="n">
        <v>0</v>
      </c>
      <c r="N3154" s="17">
        <f>K3154*0.08+L3154*0.08</f>
        <v/>
      </c>
      <c r="O3154" s="17">
        <f>-(K3154*0.025+L3154*0.025)</f>
        <v/>
      </c>
      <c r="P3154" s="17">
        <f>32</f>
        <v/>
      </c>
      <c r="Q3154" s="17">
        <f>J3154+L3154+N3154+O3154-P3154-M3154</f>
        <v/>
      </c>
    </row>
    <row r="3155">
      <c r="A3155" s="16" t="inlineStr">
        <is>
          <t>5.29-6.4</t>
        </is>
      </c>
      <c r="B3155" s="16" t="inlineStr">
        <is>
          <t>PO-128-07711317793913605</t>
        </is>
      </c>
      <c r="C3155" s="16" t="inlineStr">
        <is>
          <t>Shipped</t>
        </is>
      </c>
      <c r="D3155" s="16" t="inlineStr">
        <is>
          <t>128-07711469837433605</t>
        </is>
      </c>
      <c r="E3155" s="16" t="inlineStr">
        <is>
          <t>Shipped</t>
        </is>
      </c>
      <c r="F3155" s="16" t="inlineStr">
        <is>
          <t>LV54W25</t>
        </is>
      </c>
      <c r="G3155" s="16" t="inlineStr">
        <is>
          <t>TIANLAI Lámpara Ventilador E27 2 en 1, Silenciosa, LED Alta Luminosidad 180°, Instalación Rápida, Ahorro Energético para Dormitorio y Interiores Pequeños</t>
        </is>
      </c>
      <c r="H3155" s="16" t="inlineStr">
        <is>
          <t>1 Pieza</t>
        </is>
      </c>
      <c r="I3155" s="16" t="n">
        <v>3</v>
      </c>
      <c r="J3155" s="17" t="n">
        <v>234</v>
      </c>
      <c r="K3155" s="17" t="n">
        <v>247.53</v>
      </c>
      <c r="L3155" s="17" t="n">
        <v>0</v>
      </c>
      <c r="M3155" s="17" t="n">
        <v>0</v>
      </c>
      <c r="N3155" s="17">
        <f>K3155*0.08+L3155*0.08</f>
        <v/>
      </c>
      <c r="O3155" s="17">
        <f>-(K3155*0.025+L3155*0.025)</f>
        <v/>
      </c>
      <c r="P3155" s="17">
        <f>32</f>
        <v/>
      </c>
      <c r="Q3155" s="17">
        <f>J3155+L3155+N3155+O3155-P3155-M3155</f>
        <v/>
      </c>
    </row>
    <row r="3156">
      <c r="A3156" s="16" t="inlineStr">
        <is>
          <t>5.29-6.4</t>
        </is>
      </c>
      <c r="B3156" s="16" t="inlineStr">
        <is>
          <t>PO-128-07843741315192878</t>
        </is>
      </c>
      <c r="C3156" s="16" t="inlineStr">
        <is>
          <t>Shipped</t>
        </is>
      </c>
      <c r="D3156" s="16" t="inlineStr">
        <is>
          <t>128-07843783258232878</t>
        </is>
      </c>
      <c r="E3156" s="16" t="inlineStr">
        <is>
          <t>Shipped</t>
        </is>
      </c>
      <c r="F3156" s="16" t="inlineStr">
        <is>
          <t>VB349T</t>
        </is>
      </c>
      <c r="G3156" s="16" t="inlineStr">
        <is>
          <t>LINKBITS Altavoz Portátil de Doble Altavoz - 3 Pulgadas, Sonido HD, Emparejamiento Rápido de Bluetooth, Conectividad TWS, Reproducción Multimodo (Micro SD/USB/Radio FM) - Perfecto para Oficina, Viajes y Espacios Pequeños</t>
        </is>
      </c>
      <c r="H3156" s="16" t="inlineStr">
        <is>
          <t>NEGRO</t>
        </is>
      </c>
      <c r="I3156" s="16" t="n">
        <v>1</v>
      </c>
      <c r="J3156" s="17" t="n">
        <v>81</v>
      </c>
      <c r="K3156" s="17" t="n">
        <v>8.050000000000001</v>
      </c>
      <c r="L3156" s="17" t="n">
        <v>25.86</v>
      </c>
      <c r="M3156" s="17" t="n">
        <v>0</v>
      </c>
      <c r="N3156" s="17">
        <f>K3156*0.08+L3156*0.08</f>
        <v/>
      </c>
      <c r="O3156" s="17">
        <f>-(K3156*0.025+L3156*0.025)</f>
        <v/>
      </c>
      <c r="P3156" s="17">
        <f>32</f>
        <v/>
      </c>
      <c r="Q3156" s="17">
        <f>J3156+L3156+N3156+O3156-P3156-M3156</f>
        <v/>
      </c>
    </row>
    <row r="3157">
      <c r="A3157" s="16" t="inlineStr">
        <is>
          <t>5.29-6.4</t>
        </is>
      </c>
      <c r="B3157" s="16" t="inlineStr">
        <is>
          <t>PO-128-07949837217911158</t>
        </is>
      </c>
      <c r="C3157" s="16" t="inlineStr">
        <is>
          <t>Shipped</t>
        </is>
      </c>
      <c r="D3157" s="16" t="inlineStr">
        <is>
          <t>128-07949858189431158</t>
        </is>
      </c>
      <c r="E3157" s="16" t="inlineStr">
        <is>
          <t>Shipped</t>
        </is>
      </c>
      <c r="F3157" s="16" t="inlineStr">
        <is>
          <t>TLCD02-8P-R</t>
        </is>
      </c>
      <c r="G315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157" s="16" t="inlineStr">
        <is>
          <t>ROJO/pantalla de 8.5 pulgadas</t>
        </is>
      </c>
      <c r="I3157" s="16" t="n">
        <v>1</v>
      </c>
      <c r="J3157" s="17" t="n">
        <v>25</v>
      </c>
      <c r="K3157" s="17" t="n">
        <v>33.98</v>
      </c>
      <c r="L3157" s="17" t="n">
        <v>25.86</v>
      </c>
      <c r="M3157" s="17" t="n">
        <v>0</v>
      </c>
      <c r="N3157" s="17">
        <f>K3157*0.08+L3157*0.08</f>
        <v/>
      </c>
      <c r="O3157" s="17">
        <f>-(K3157*0.025+L3157*0.025)</f>
        <v/>
      </c>
      <c r="P3157" s="17">
        <f>32</f>
        <v/>
      </c>
      <c r="Q3157" s="17">
        <f>J3157+L3157+N3157+O3157-P3157-M3157</f>
        <v/>
      </c>
    </row>
    <row r="3158">
      <c r="A3158" s="16" t="inlineStr">
        <is>
          <t>5.29-6.4</t>
        </is>
      </c>
      <c r="B3158" s="16" t="inlineStr">
        <is>
          <t>PO-128-07668090642553863</t>
        </is>
      </c>
      <c r="C3158" s="16" t="inlineStr">
        <is>
          <t>Shipped</t>
        </is>
      </c>
      <c r="D3158" s="16" t="inlineStr">
        <is>
          <t>128-07668088676473863</t>
        </is>
      </c>
      <c r="E3158" s="16" t="inlineStr">
        <is>
          <t>Shipped</t>
        </is>
      </c>
      <c r="F3158" s="16" t="inlineStr">
        <is>
          <t>KTS-2031</t>
        </is>
      </c>
      <c r="G3158" s="16" t="inlineStr">
        <is>
          <t>Bocina inalámbrica de 3 pulgadas con linterna multifuncional y panel solar integrado.Altavoz Portátil con Linterna LED 4 Modos, Radio FM, Bluetooth, Carga Solar, Ideal para Apagones, Emergencias, Campo y Exteriores</t>
        </is>
      </c>
      <c r="H3158" s="16" t="inlineStr">
        <is>
          <t>NEGRO</t>
        </is>
      </c>
      <c r="I3158" s="16" t="n">
        <v>1</v>
      </c>
      <c r="J3158" s="17" t="n">
        <v>90</v>
      </c>
      <c r="K3158" s="17" t="n">
        <v>99.22</v>
      </c>
      <c r="L3158" s="17" t="n">
        <v>25.86</v>
      </c>
      <c r="M3158" s="17" t="n">
        <v>0</v>
      </c>
      <c r="N3158" s="17">
        <f>K3158*0.08+L3158*0.08</f>
        <v/>
      </c>
      <c r="O3158" s="17">
        <f>-(K3158*0.025+L3158*0.025)</f>
        <v/>
      </c>
      <c r="P3158" s="17">
        <f>32</f>
        <v/>
      </c>
      <c r="Q3158" s="17">
        <f>J3158+L3158+N3158+O3158-P3158-M3158</f>
        <v/>
      </c>
    </row>
    <row r="3159">
      <c r="A3159" s="16" t="inlineStr">
        <is>
          <t>5.29-6.4</t>
        </is>
      </c>
      <c r="B3159" s="16" t="inlineStr">
        <is>
          <t>PO-128-08204405215350664</t>
        </is>
      </c>
      <c r="C3159" s="16" t="inlineStr">
        <is>
          <t>Shipped</t>
        </is>
      </c>
      <c r="D3159" s="16" t="inlineStr">
        <is>
          <t>128-08204415701110664</t>
        </is>
      </c>
      <c r="E3159" s="16" t="inlineStr">
        <is>
          <t>Shipped</t>
        </is>
      </c>
      <c r="F3159" s="16" t="inlineStr">
        <is>
          <t>LV54W25</t>
        </is>
      </c>
      <c r="G3159" s="16" t="inlineStr">
        <is>
          <t>TIANLAI Lámpara Ventilador E27 2 en 1, Silenciosa, LED Alta Luminosidad 180°, Instalación Rápida, Ahorro Energético para Dormitorio y Interiores Pequeños</t>
        </is>
      </c>
      <c r="H3159" s="16" t="inlineStr">
        <is>
          <t>1 Pieza</t>
        </is>
      </c>
      <c r="I3159" s="16" t="n">
        <v>1</v>
      </c>
      <c r="J3159" s="17" t="n">
        <v>78</v>
      </c>
      <c r="K3159" s="17" t="n">
        <v>79.81999999999999</v>
      </c>
      <c r="L3159" s="17" t="n">
        <v>25.86</v>
      </c>
      <c r="M3159" s="17" t="n">
        <v>0</v>
      </c>
      <c r="N3159" s="17">
        <f>K3159*0.08+L3159*0.08</f>
        <v/>
      </c>
      <c r="O3159" s="17">
        <f>-(K3159*0.025+L3159*0.025)</f>
        <v/>
      </c>
      <c r="P3159" s="17">
        <f>32</f>
        <v/>
      </c>
      <c r="Q3159" s="17">
        <f>J3159+L3159+N3159+O3159-P3159-M3159</f>
        <v/>
      </c>
    </row>
    <row r="3160">
      <c r="A3160" s="16" t="inlineStr">
        <is>
          <t>5.29-6.4</t>
        </is>
      </c>
      <c r="B3160" s="16" t="inlineStr">
        <is>
          <t>PO-128-07717425400953633</t>
        </is>
      </c>
      <c r="C3160" s="16" t="inlineStr">
        <is>
          <t>Shipped</t>
        </is>
      </c>
      <c r="D3160" s="16" t="inlineStr">
        <is>
          <t>128-07717362486393633</t>
        </is>
      </c>
      <c r="E3160" s="16" t="inlineStr">
        <is>
          <t>Shipped</t>
        </is>
      </c>
      <c r="F3160" s="16" t="inlineStr">
        <is>
          <t>LV64W25</t>
        </is>
      </c>
      <c r="G31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60" s="16" t="inlineStr">
        <is>
          <t>Blanco</t>
        </is>
      </c>
      <c r="I3160" s="16" t="n">
        <v>1</v>
      </c>
      <c r="J3160" s="17" t="n">
        <v>123</v>
      </c>
      <c r="K3160" s="17" t="n">
        <v>131.38</v>
      </c>
      <c r="L3160" s="17" t="n">
        <v>25.86</v>
      </c>
      <c r="M3160" s="17" t="n">
        <v>0</v>
      </c>
      <c r="N3160" s="17">
        <f>K3160*0.08+L3160*0.08</f>
        <v/>
      </c>
      <c r="O3160" s="17">
        <f>-(K3160*0.025+L3160*0.025)</f>
        <v/>
      </c>
      <c r="P3160" s="17">
        <f>32</f>
        <v/>
      </c>
      <c r="Q3160" s="17">
        <f>J3160+L3160+N3160+O3160-P3160-M3160</f>
        <v/>
      </c>
    </row>
    <row r="3161">
      <c r="A3161" s="16" t="inlineStr">
        <is>
          <t>5.29-6.4</t>
        </is>
      </c>
      <c r="B3161" s="16" t="inlineStr">
        <is>
          <t>PO-128-08019680945271831</t>
        </is>
      </c>
      <c r="C3161" s="16" t="inlineStr">
        <is>
          <t>Shipped</t>
        </is>
      </c>
      <c r="D3161" s="16" t="inlineStr">
        <is>
          <t>128-08019694052471831</t>
        </is>
      </c>
      <c r="E3161" s="16" t="inlineStr">
        <is>
          <t>Shipped</t>
        </is>
      </c>
      <c r="F3161" s="16" t="inlineStr">
        <is>
          <t>LV54W25</t>
        </is>
      </c>
      <c r="G3161" s="16" t="inlineStr">
        <is>
          <t>TIANLAI Lámpara Ventilador E27 2 en 1, Silenciosa, LED Alta Luminosidad 180°, Instalación Rápida, Ahorro Energético para Dormitorio y Interiores Pequeños</t>
        </is>
      </c>
      <c r="H3161" s="16" t="inlineStr">
        <is>
          <t>1 Pieza</t>
        </is>
      </c>
      <c r="I3161" s="16" t="n">
        <v>3</v>
      </c>
      <c r="J3161" s="17" t="n">
        <v>234</v>
      </c>
      <c r="K3161" s="17" t="n">
        <v>239.46</v>
      </c>
      <c r="L3161" s="17" t="n">
        <v>0</v>
      </c>
      <c r="M3161" s="17" t="n">
        <v>0</v>
      </c>
      <c r="N3161" s="17">
        <f>K3161*0.08+L3161*0.08</f>
        <v/>
      </c>
      <c r="O3161" s="17">
        <f>-(K3161*0.025+L3161*0.025)</f>
        <v/>
      </c>
      <c r="P3161" s="17">
        <f>32</f>
        <v/>
      </c>
      <c r="Q3161" s="17">
        <f>J3161+L3161+N3161+O3161-P3161-M3161</f>
        <v/>
      </c>
    </row>
    <row r="3162">
      <c r="A3162" s="16" t="inlineStr">
        <is>
          <t>5.29-6.4</t>
        </is>
      </c>
      <c r="B3162" s="16" t="inlineStr">
        <is>
          <t>PO-128-07606408266873207</t>
        </is>
      </c>
      <c r="C3162" s="16" t="inlineStr">
        <is>
          <t>Shipped</t>
        </is>
      </c>
      <c r="D3162" s="16" t="inlineStr">
        <is>
          <t>128-07606429238393207</t>
        </is>
      </c>
      <c r="E3162" s="16" t="inlineStr">
        <is>
          <t>Shipped</t>
        </is>
      </c>
      <c r="F3162" s="16" t="inlineStr">
        <is>
          <t>TL1455N20B</t>
        </is>
      </c>
      <c r="G3162" s="16" t="inlineStr">
        <is>
          <t>LINK BITS Soporte para TV 14 A 55 Pulgadas, Base para TV Pantalla Articulado Inclinable y Giratorio, MAX VESA 400×400 mm, Soporta hasta 18kg, adaptarse a la mayoría de los televisores de 14 Pulgadas/20 Pulgadas/32 Pulgadas/42 Pulgadas/55 pulgadas</t>
        </is>
      </c>
      <c r="H3162" s="16" t="inlineStr">
        <is>
          <t>TL1455N20B</t>
        </is>
      </c>
      <c r="I3162" s="16" t="n">
        <v>1</v>
      </c>
      <c r="J3162" s="17" t="n">
        <v>85</v>
      </c>
      <c r="K3162" s="17" t="n">
        <v>135.34</v>
      </c>
      <c r="L3162" s="17" t="n">
        <v>25.86</v>
      </c>
      <c r="M3162" s="17" t="n">
        <v>0</v>
      </c>
      <c r="N3162" s="17">
        <f>K3162*0.08+L3162*0.08</f>
        <v/>
      </c>
      <c r="O3162" s="17">
        <f>-(K3162*0.025+L3162*0.025)</f>
        <v/>
      </c>
      <c r="P3162" s="17">
        <f>32</f>
        <v/>
      </c>
      <c r="Q3162" s="17">
        <f>J3162+L3162+N3162+O3162-P3162-M3162</f>
        <v/>
      </c>
    </row>
    <row r="3163">
      <c r="A3163" s="16" t="inlineStr">
        <is>
          <t>5.29-6.4</t>
        </is>
      </c>
      <c r="B3163" s="16" t="inlineStr">
        <is>
          <t>PO-128-08242743734390628</t>
        </is>
      </c>
      <c r="C3163" s="16" t="inlineStr">
        <is>
          <t>Shipped</t>
        </is>
      </c>
      <c r="D3163" s="16" t="inlineStr">
        <is>
          <t>128-08242683441270628</t>
        </is>
      </c>
      <c r="E3163" s="16" t="inlineStr">
        <is>
          <t>Shipped</t>
        </is>
      </c>
      <c r="F3163" s="16" t="inlineStr">
        <is>
          <t>KTS-2031</t>
        </is>
      </c>
      <c r="G3163" s="16" t="inlineStr">
        <is>
          <t>Bocina inalámbrica de 3 pulgadas con linterna multifuncional y panel solar integrado.Altavoz Portátil con Linterna LED 4 Modos, Radio FM, Bluetooth, Carga Solar, Ideal para Apagones, Emergencias, Campo y Exteriores</t>
        </is>
      </c>
      <c r="H3163" s="16" t="inlineStr">
        <is>
          <t>NEGRO</t>
        </is>
      </c>
      <c r="I3163" s="16" t="n">
        <v>1</v>
      </c>
      <c r="J3163" s="17" t="n">
        <v>90</v>
      </c>
      <c r="K3163" s="17" t="n">
        <v>95.93000000000001</v>
      </c>
      <c r="L3163" s="17" t="n">
        <v>25.86</v>
      </c>
      <c r="M3163" s="17" t="n">
        <v>0</v>
      </c>
      <c r="N3163" s="17">
        <f>K3163*0.08+L3163*0.08</f>
        <v/>
      </c>
      <c r="O3163" s="17">
        <f>-(K3163*0.025+L3163*0.025)</f>
        <v/>
      </c>
      <c r="P3163" s="17">
        <f>32</f>
        <v/>
      </c>
      <c r="Q3163" s="17">
        <f>J3163+L3163+N3163+O3163-P3163-M3163</f>
        <v/>
      </c>
    </row>
    <row r="3164">
      <c r="A3164" s="16" t="inlineStr">
        <is>
          <t>5.29-6.4</t>
        </is>
      </c>
      <c r="B3164" s="16" t="inlineStr">
        <is>
          <t>PO-128-07994598925431981</t>
        </is>
      </c>
      <c r="C3164" s="16" t="inlineStr">
        <is>
          <t>Shipped</t>
        </is>
      </c>
      <c r="D3164" s="16" t="inlineStr">
        <is>
          <t>128-07994674947191981</t>
        </is>
      </c>
      <c r="E3164" s="16" t="inlineStr">
        <is>
          <t>Shipped</t>
        </is>
      </c>
      <c r="F3164" s="16" t="inlineStr">
        <is>
          <t>KTS-2031</t>
        </is>
      </c>
      <c r="G3164" s="16" t="inlineStr">
        <is>
          <t>Bocina inalámbrica de 3 pulgadas con linterna multifuncional y panel solar integrado.Altavoz Portátil con Linterna LED 4 Modos, Radio FM, Bluetooth, Carga Solar, Ideal para Apagones, Emergencias, Campo y Exteriores</t>
        </is>
      </c>
      <c r="H3164" s="16" t="inlineStr">
        <is>
          <t>NEGRO</t>
        </is>
      </c>
      <c r="I3164" s="16" t="n">
        <v>4</v>
      </c>
      <c r="J3164" s="17" t="n">
        <v>360</v>
      </c>
      <c r="K3164" s="17" t="n">
        <v>396.88</v>
      </c>
      <c r="L3164" s="17" t="n">
        <v>0</v>
      </c>
      <c r="M3164" s="17" t="n">
        <v>0</v>
      </c>
      <c r="N3164" s="17">
        <f>K3164*0.08+L3164*0.08</f>
        <v/>
      </c>
      <c r="O3164" s="17">
        <f>-(K3164*0.025+L3164*0.025)</f>
        <v/>
      </c>
      <c r="P3164" s="17">
        <f>32</f>
        <v/>
      </c>
      <c r="Q3164" s="17">
        <f>J3164+L3164+N3164+O3164-P3164-M3164</f>
        <v/>
      </c>
    </row>
    <row r="3165">
      <c r="A3165" s="16" t="inlineStr">
        <is>
          <t>5.29-6.4</t>
        </is>
      </c>
      <c r="B3165" s="16" t="inlineStr">
        <is>
          <t>PO-128-07907795367031408</t>
        </is>
      </c>
      <c r="C3165" s="16" t="inlineStr">
        <is>
          <t>Shipped</t>
        </is>
      </c>
      <c r="D3165" s="16" t="inlineStr">
        <is>
          <t>128-07907791434871408</t>
        </is>
      </c>
      <c r="E3165" s="16" t="inlineStr">
        <is>
          <t>Shipped</t>
        </is>
      </c>
      <c r="F3165" s="16" t="inlineStr">
        <is>
          <t>LV54W25</t>
        </is>
      </c>
      <c r="G3165" s="16" t="inlineStr">
        <is>
          <t>TIANLAI Lámpara Ventilador E27 2 en 1, Silenciosa, LED Alta Luminosidad 180°, Instalación Rápida, Ahorro Energético para Dormitorio y Interiores Pequeños</t>
        </is>
      </c>
      <c r="H3165" s="16" t="inlineStr">
        <is>
          <t>1 Pieza</t>
        </is>
      </c>
      <c r="I3165" s="16" t="n">
        <v>1</v>
      </c>
      <c r="J3165" s="17" t="n">
        <v>78</v>
      </c>
      <c r="K3165" s="17" t="n">
        <v>82.51000000000001</v>
      </c>
      <c r="L3165" s="17" t="n">
        <v>25.86</v>
      </c>
      <c r="M3165" s="17" t="n">
        <v>0</v>
      </c>
      <c r="N3165" s="17">
        <f>K3165*0.08+L3165*0.08</f>
        <v/>
      </c>
      <c r="O3165" s="17">
        <f>-(K3165*0.025+L3165*0.025)</f>
        <v/>
      </c>
      <c r="P3165" s="17">
        <f>32</f>
        <v/>
      </c>
      <c r="Q3165" s="17">
        <f>J3165+L3165+N3165+O3165-P3165-M3165</f>
        <v/>
      </c>
    </row>
    <row r="3166">
      <c r="A3166" s="16" t="inlineStr">
        <is>
          <t>5.29-6.4</t>
        </is>
      </c>
      <c r="B3166" s="16" t="inlineStr">
        <is>
          <t>PO-128-07598301130873447</t>
        </is>
      </c>
      <c r="C3166" s="16" t="inlineStr">
        <is>
          <t>Shipped</t>
        </is>
      </c>
      <c r="D3166" s="16" t="inlineStr">
        <is>
          <t>128-07598343073913447</t>
        </is>
      </c>
      <c r="E3166" s="16" t="inlineStr">
        <is>
          <t>Shipped</t>
        </is>
      </c>
      <c r="F3166" s="16" t="inlineStr">
        <is>
          <t>LV64W25</t>
        </is>
      </c>
      <c r="G31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66" s="16" t="inlineStr">
        <is>
          <t>Blanco</t>
        </is>
      </c>
      <c r="I3166" s="16" t="n">
        <v>1</v>
      </c>
      <c r="J3166" s="17" t="n">
        <v>123</v>
      </c>
      <c r="K3166" s="17" t="n">
        <v>105.1</v>
      </c>
      <c r="L3166" s="17" t="n">
        <v>25.86</v>
      </c>
      <c r="M3166" s="17" t="n">
        <v>0</v>
      </c>
      <c r="N3166" s="17">
        <f>K3166*0.08+L3166*0.08</f>
        <v/>
      </c>
      <c r="O3166" s="17">
        <f>-(K3166*0.025+L3166*0.025)</f>
        <v/>
      </c>
      <c r="P3166" s="17">
        <f>32</f>
        <v/>
      </c>
      <c r="Q3166" s="17">
        <f>J3166+L3166+N3166+O3166-P3166-M3166</f>
        <v/>
      </c>
    </row>
    <row r="3167">
      <c r="A3167" s="16" t="inlineStr">
        <is>
          <t>5.29-6.4</t>
        </is>
      </c>
      <c r="B3167" s="16" t="inlineStr">
        <is>
          <t>PO-128-07735796370552434</t>
        </is>
      </c>
      <c r="C3167" s="16" t="inlineStr">
        <is>
          <t>Shipped</t>
        </is>
      </c>
      <c r="D3167" s="16" t="inlineStr">
        <is>
          <t>128-07735775399032434</t>
        </is>
      </c>
      <c r="E3167" s="16" t="inlineStr">
        <is>
          <t>Shipped</t>
        </is>
      </c>
      <c r="F3167" s="16" t="inlineStr">
        <is>
          <t>LV54W25</t>
        </is>
      </c>
      <c r="G3167" s="16" t="inlineStr">
        <is>
          <t>TIANLAI Lámpara Ventilador E27 2 en 1, Silenciosa, LED Alta Luminosidad 180°, Instalación Rápida, Ahorro Energético para Dormitorio y Interiores Pequeños</t>
        </is>
      </c>
      <c r="H3167" s="16" t="inlineStr">
        <is>
          <t>1 Pieza</t>
        </is>
      </c>
      <c r="I3167" s="16" t="n">
        <v>1</v>
      </c>
      <c r="J3167" s="17" t="n">
        <v>78</v>
      </c>
      <c r="K3167" s="17" t="n">
        <v>79.81999999999999</v>
      </c>
      <c r="L3167" s="17" t="n">
        <v>25.86</v>
      </c>
      <c r="M3167" s="17" t="n">
        <v>0</v>
      </c>
      <c r="N3167" s="17">
        <f>K3167*0.08+L3167*0.08</f>
        <v/>
      </c>
      <c r="O3167" s="17">
        <f>-(K3167*0.025+L3167*0.025)</f>
        <v/>
      </c>
      <c r="P3167" s="17">
        <f>32</f>
        <v/>
      </c>
      <c r="Q3167" s="17">
        <f>J3167+L3167+N3167+O3167-P3167-M3167</f>
        <v/>
      </c>
    </row>
    <row r="3168">
      <c r="A3168" s="16" t="inlineStr">
        <is>
          <t>5.29-6.4</t>
        </is>
      </c>
      <c r="B3168" s="16" t="inlineStr">
        <is>
          <t>PO-128-08087296335990466</t>
        </is>
      </c>
      <c r="C3168" s="16" t="inlineStr">
        <is>
          <t>Shipped</t>
        </is>
      </c>
      <c r="D3168" s="16" t="inlineStr">
        <is>
          <t>128-08087343521910466</t>
        </is>
      </c>
      <c r="E3168" s="16" t="inlineStr">
        <is>
          <t>Shipped</t>
        </is>
      </c>
      <c r="F3168" s="16" t="inlineStr">
        <is>
          <t>LV54W25</t>
        </is>
      </c>
      <c r="G3168" s="16" t="inlineStr">
        <is>
          <t>TIANLAI Lámpara Ventilador E27 2 en 1, Silenciosa, LED Alta Luminosidad 180°, Instalación Rápida, Ahorro Energético para Dormitorio y Interiores Pequeños</t>
        </is>
      </c>
      <c r="H3168" s="16" t="inlineStr">
        <is>
          <t>1 Pieza</t>
        </is>
      </c>
      <c r="I3168" s="16" t="n">
        <v>2</v>
      </c>
      <c r="J3168" s="17" t="n">
        <v>156</v>
      </c>
      <c r="K3168" s="17" t="n">
        <v>165.02</v>
      </c>
      <c r="L3168" s="17" t="n">
        <v>25.86</v>
      </c>
      <c r="M3168" s="17" t="n">
        <v>0</v>
      </c>
      <c r="N3168" s="17">
        <f>K3168*0.08+L3168*0.08</f>
        <v/>
      </c>
      <c r="O3168" s="17">
        <f>-(K3168*0.025+L3168*0.025)</f>
        <v/>
      </c>
      <c r="P3168" s="17">
        <f>32</f>
        <v/>
      </c>
      <c r="Q3168" s="17">
        <f>J3168+L3168+N3168+O3168-P3168-M3168</f>
        <v/>
      </c>
    </row>
    <row r="3169">
      <c r="A3169" s="16" t="inlineStr">
        <is>
          <t>5.29-6.4</t>
        </is>
      </c>
      <c r="B3169" s="16" t="inlineStr">
        <is>
          <t>PO-128-07566075620473511</t>
        </is>
      </c>
      <c r="C3169" s="16" t="inlineStr">
        <is>
          <t>Shipped</t>
        </is>
      </c>
      <c r="D3169" s="16" t="inlineStr">
        <is>
          <t>128-07566117563513511</t>
        </is>
      </c>
      <c r="E3169" s="16" t="inlineStr">
        <is>
          <t>Shipped</t>
        </is>
      </c>
      <c r="F3169" s="16" t="inlineStr">
        <is>
          <t>KTS-1936</t>
        </is>
      </c>
      <c r="G3169" s="16" t="inlineStr">
        <is>
          <t>Espejo con Luz para Makeup，Espejo con Luz LED y Bocina Bluetooth，Espejo para Maquillaje con Aumentos y Luces LED de Intensidad Ajustable，Lente de Aumento 10X+Reproductor TF+ TWS，espejo de portátil y para estudiantes, oficina, dormitorio, mejor regalo</t>
        </is>
      </c>
      <c r="H3169" s="16" t="inlineStr">
        <is>
          <t>BLANCO</t>
        </is>
      </c>
      <c r="I3169" s="16" t="n">
        <v>1</v>
      </c>
      <c r="J3169" s="17" t="n">
        <v>220</v>
      </c>
      <c r="K3169" s="17" t="n">
        <v>238.53</v>
      </c>
      <c r="L3169" s="17" t="n">
        <v>25.86</v>
      </c>
      <c r="M3169" s="17" t="n">
        <v>0</v>
      </c>
      <c r="N3169" s="17">
        <f>K3169*0.08+L3169*0.08</f>
        <v/>
      </c>
      <c r="O3169" s="17">
        <f>-(K3169*0.025+L3169*0.025)</f>
        <v/>
      </c>
      <c r="P3169" s="17">
        <f>32</f>
        <v/>
      </c>
      <c r="Q3169" s="17">
        <f>J3169+L3169+N3169+O3169-P3169-M3169</f>
        <v/>
      </c>
    </row>
    <row r="3170">
      <c r="A3170" s="16" t="inlineStr">
        <is>
          <t>5.29-6.4</t>
        </is>
      </c>
      <c r="B3170" s="16" t="inlineStr">
        <is>
          <t>PO-128-08212055826550685</t>
        </is>
      </c>
      <c r="C3170" s="16" t="inlineStr">
        <is>
          <t>Shipped</t>
        </is>
      </c>
      <c r="D3170" s="16" t="inlineStr">
        <is>
          <t>128-08212076798070685</t>
        </is>
      </c>
      <c r="E3170" s="16" t="inlineStr">
        <is>
          <t>Shipped</t>
        </is>
      </c>
      <c r="F3170" s="16" t="inlineStr">
        <is>
          <t>LV64W25</t>
        </is>
      </c>
      <c r="G31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0" s="16" t="inlineStr">
        <is>
          <t>Blanco</t>
        </is>
      </c>
      <c r="I3170" s="16" t="n">
        <v>1</v>
      </c>
      <c r="J3170" s="17" t="n">
        <v>123</v>
      </c>
      <c r="K3170" s="17" t="n">
        <v>131.38</v>
      </c>
      <c r="L3170" s="17" t="n">
        <v>25.86</v>
      </c>
      <c r="M3170" s="17" t="n">
        <v>0</v>
      </c>
      <c r="N3170" s="17">
        <f>K3170*0.08+L3170*0.08</f>
        <v/>
      </c>
      <c r="O3170" s="17">
        <f>-(K3170*0.025+L3170*0.025)</f>
        <v/>
      </c>
      <c r="P3170" s="17">
        <f>32</f>
        <v/>
      </c>
      <c r="Q3170" s="17">
        <f>J3170+L3170+N3170+O3170-P3170-M3170</f>
        <v/>
      </c>
    </row>
    <row r="3171">
      <c r="A3171" s="16" t="inlineStr">
        <is>
          <t>5.29-6.4</t>
        </is>
      </c>
      <c r="B3171" s="16" t="inlineStr">
        <is>
          <t>PO-128-07753629084792329</t>
        </is>
      </c>
      <c r="C3171" s="16" t="inlineStr">
        <is>
          <t>Shipped</t>
        </is>
      </c>
      <c r="D3171" s="16" t="inlineStr">
        <is>
          <t>128-07753618599032329</t>
        </is>
      </c>
      <c r="E3171" s="16" t="inlineStr">
        <is>
          <t>Shipped</t>
        </is>
      </c>
      <c r="F3171" s="16" t="inlineStr">
        <is>
          <t>LV64W25</t>
        </is>
      </c>
      <c r="G31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1" s="16" t="inlineStr">
        <is>
          <t>Blanco</t>
        </is>
      </c>
      <c r="I3171" s="16" t="n">
        <v>1</v>
      </c>
      <c r="J3171" s="17" t="n">
        <v>123</v>
      </c>
      <c r="K3171" s="17" t="n">
        <v>126.94</v>
      </c>
      <c r="L3171" s="17" t="n">
        <v>25.86</v>
      </c>
      <c r="M3171" s="17" t="n">
        <v>0</v>
      </c>
      <c r="N3171" s="17">
        <f>K3171*0.08+L3171*0.08</f>
        <v/>
      </c>
      <c r="O3171" s="17">
        <f>-(K3171*0.025+L3171*0.025)</f>
        <v/>
      </c>
      <c r="P3171" s="17">
        <f>32</f>
        <v/>
      </c>
      <c r="Q3171" s="17">
        <f>J3171+L3171+N3171+O3171-P3171-M3171</f>
        <v/>
      </c>
    </row>
    <row r="3172">
      <c r="A3172" s="16" t="inlineStr">
        <is>
          <t>5.29-6.4</t>
        </is>
      </c>
      <c r="B3172" s="16" t="inlineStr">
        <is>
          <t>PO-128-08001616100472003</t>
        </is>
      </c>
      <c r="C3172" s="16" t="inlineStr">
        <is>
          <t>Shipped</t>
        </is>
      </c>
      <c r="D3172" s="16" t="inlineStr">
        <is>
          <t>128-08001626586232003</t>
        </is>
      </c>
      <c r="E3172" s="16" t="inlineStr">
        <is>
          <t>Shipped</t>
        </is>
      </c>
      <c r="F3172" s="16" t="inlineStr">
        <is>
          <t>LV64W25</t>
        </is>
      </c>
      <c r="G31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2" s="16" t="inlineStr">
        <is>
          <t>Blanco</t>
        </is>
      </c>
      <c r="I3172" s="16" t="n">
        <v>1</v>
      </c>
      <c r="J3172" s="17" t="n">
        <v>123</v>
      </c>
      <c r="K3172" s="17" t="n">
        <v>122.84</v>
      </c>
      <c r="L3172" s="17" t="n">
        <v>25.86</v>
      </c>
      <c r="M3172" s="17" t="n">
        <v>0</v>
      </c>
      <c r="N3172" s="17">
        <f>K3172*0.08+L3172*0.08</f>
        <v/>
      </c>
      <c r="O3172" s="17">
        <f>-(K3172*0.025+L3172*0.025)</f>
        <v/>
      </c>
      <c r="P3172" s="17">
        <f>32</f>
        <v/>
      </c>
      <c r="Q3172" s="17">
        <f>J3172+L3172+N3172+O3172-P3172-M3172</f>
        <v/>
      </c>
    </row>
    <row r="3173">
      <c r="A3173" s="16" t="inlineStr">
        <is>
          <t>5.29-6.4</t>
        </is>
      </c>
      <c r="B3173" s="16" t="inlineStr">
        <is>
          <t>PO-128-07660708273274035</t>
        </is>
      </c>
      <c r="C3173" s="16" t="inlineStr">
        <is>
          <t>Shipped</t>
        </is>
      </c>
      <c r="D3173" s="16" t="inlineStr">
        <is>
          <t>128-07660666330234035</t>
        </is>
      </c>
      <c r="E3173" s="16" t="inlineStr">
        <is>
          <t>Shipped</t>
        </is>
      </c>
      <c r="F3173" s="16" t="inlineStr">
        <is>
          <t>KTS-2031</t>
        </is>
      </c>
      <c r="G3173" s="16" t="inlineStr">
        <is>
          <t>Bocina inalámbrica de 3 pulgadas con linterna multifuncional y panel solar integrado.Altavoz Portátil con Linterna LED 4 Modos, Radio FM, Bluetooth, Carga Solar, Ideal para Apagones, Emergencias, Campo y Exteriores</t>
        </is>
      </c>
      <c r="H3173" s="16" t="inlineStr">
        <is>
          <t>NEGRO</t>
        </is>
      </c>
      <c r="I3173" s="16" t="n">
        <v>1</v>
      </c>
      <c r="J3173" s="17" t="n">
        <v>90</v>
      </c>
      <c r="K3173" s="17" t="n">
        <v>99.22</v>
      </c>
      <c r="L3173" s="17" t="n">
        <v>25.86</v>
      </c>
      <c r="M3173" s="17" t="n">
        <v>0</v>
      </c>
      <c r="N3173" s="17">
        <f>K3173*0.08+L3173*0.08</f>
        <v/>
      </c>
      <c r="O3173" s="17">
        <f>-(K3173*0.025+L3173*0.025)</f>
        <v/>
      </c>
      <c r="P3173" s="17">
        <f>32</f>
        <v/>
      </c>
      <c r="Q3173" s="17">
        <f>J3173+L3173+N3173+O3173-P3173-M3173</f>
        <v/>
      </c>
    </row>
    <row r="3174">
      <c r="A3174" s="16" t="inlineStr">
        <is>
          <t>5.29-6.4</t>
        </is>
      </c>
      <c r="B3174" s="16" t="inlineStr">
        <is>
          <t>PO-128-08118962593910150</t>
        </is>
      </c>
      <c r="C3174" s="16" t="inlineStr">
        <is>
          <t>Shipped</t>
        </is>
      </c>
      <c r="D3174" s="16" t="inlineStr">
        <is>
          <t>128-08118988808310150</t>
        </is>
      </c>
      <c r="E3174" s="16" t="inlineStr">
        <is>
          <t>Shipped</t>
        </is>
      </c>
      <c r="F3174" s="16" t="inlineStr">
        <is>
          <t>LV54W25</t>
        </is>
      </c>
      <c r="G3174" s="16" t="inlineStr">
        <is>
          <t>TIANLAI Lámpara Ventilador E27 2 en 1, Silenciosa, LED Alta Luminosidad 180°, Instalación Rápida, Ahorro Energético para Dormitorio y Interiores Pequeños</t>
        </is>
      </c>
      <c r="H3174" s="16" t="inlineStr">
        <is>
          <t>1 Pieza</t>
        </is>
      </c>
      <c r="I3174" s="16" t="n">
        <v>1</v>
      </c>
      <c r="J3174" s="17" t="n">
        <v>78</v>
      </c>
      <c r="K3174" s="17" t="n">
        <v>71.75</v>
      </c>
      <c r="L3174" s="17" t="n">
        <v>25.86</v>
      </c>
      <c r="M3174" s="17" t="n">
        <v>0</v>
      </c>
      <c r="N3174" s="17">
        <f>K3174*0.08+L3174*0.08</f>
        <v/>
      </c>
      <c r="O3174" s="17">
        <f>-(K3174*0.025+L3174*0.025)</f>
        <v/>
      </c>
      <c r="P3174" s="17">
        <f>32</f>
        <v/>
      </c>
      <c r="Q3174" s="17">
        <f>J3174+L3174+N3174+O3174-P3174-M3174</f>
        <v/>
      </c>
    </row>
    <row r="3175">
      <c r="A3175" s="16" t="inlineStr">
        <is>
          <t>5.29-6.4</t>
        </is>
      </c>
      <c r="B3175" s="16" t="inlineStr">
        <is>
          <t>PO-128-08153639068790073</t>
        </is>
      </c>
      <c r="C3175" s="16" t="inlineStr">
        <is>
          <t>Shipped</t>
        </is>
      </c>
      <c r="D3175" s="16" t="inlineStr">
        <is>
          <t>128-08153618097270073</t>
        </is>
      </c>
      <c r="E3175" s="16" t="inlineStr">
        <is>
          <t>Shipped</t>
        </is>
      </c>
      <c r="F3175" s="16" t="inlineStr">
        <is>
          <t>TL1412N17C</t>
        </is>
      </c>
      <c r="G3175" s="16" t="inlineStr">
        <is>
          <t>Linkbits, Soporte de Pared Fijo para TV y Monitor de 14"-43", Ultra Delgado 2.3cm, Fuerte Capacidad de Peso de 25KG, Fácil Instalación con Accesorios Completos</t>
        </is>
      </c>
      <c r="H3175" s="16" t="inlineStr">
        <is>
          <t>NEGRO</t>
        </is>
      </c>
      <c r="I3175" s="16" t="n">
        <v>1</v>
      </c>
      <c r="J3175" s="17" t="n">
        <v>36.84</v>
      </c>
      <c r="K3175" s="17" t="n">
        <v>56.06</v>
      </c>
      <c r="L3175" s="17" t="n">
        <v>10.22</v>
      </c>
      <c r="M3175" s="17" t="n">
        <v>0</v>
      </c>
      <c r="N3175" s="17">
        <f>K3175*0.08+L3175*0.08</f>
        <v/>
      </c>
      <c r="O3175" s="17">
        <f>-(K3175*0.025+L3175*0.025)</f>
        <v/>
      </c>
      <c r="P3175" s="17">
        <f>32</f>
        <v/>
      </c>
      <c r="Q3175" s="17">
        <f>J3175+L3175+N3175+O3175-P3175-M3175</f>
        <v/>
      </c>
    </row>
    <row r="3176">
      <c r="A3176" s="16" t="inlineStr">
        <is>
          <t>5.29-6.4</t>
        </is>
      </c>
      <c r="B3176" s="16" t="inlineStr">
        <is>
          <t>PO-128-08153639068790073</t>
        </is>
      </c>
      <c r="C3176" s="16" t="inlineStr">
        <is>
          <t>Shipped</t>
        </is>
      </c>
      <c r="D3176" s="16" t="inlineStr">
        <is>
          <t>128-08153597125750073</t>
        </is>
      </c>
      <c r="E3176" s="16" t="inlineStr">
        <is>
          <t>Shipped</t>
        </is>
      </c>
      <c r="F3176" s="16" t="inlineStr">
        <is>
          <t>TL2663N18C</t>
        </is>
      </c>
      <c r="G3176" s="16" t="inlineStr">
        <is>
          <t>Linkbits，Soporte de pared fijo para televisores de 26"-63", Ultra-Delgado Compatible con VESA 400x400mm, Capacidad de Peso Fuerte de 25KG, Instalación Fácil Sin Electricidad</t>
        </is>
      </c>
      <c r="H3176" s="16" t="inlineStr">
        <is>
          <t>NEGRO</t>
        </is>
      </c>
      <c r="I3176" s="16" t="n">
        <v>1</v>
      </c>
      <c r="J3176" s="17" t="n">
        <v>48.5</v>
      </c>
      <c r="K3176" s="17" t="n">
        <v>85.66</v>
      </c>
      <c r="L3176" s="17" t="n">
        <v>15.64</v>
      </c>
      <c r="M3176" s="17" t="n">
        <v>0</v>
      </c>
      <c r="N3176" s="17">
        <f>K3176*0.08+L3176*0.08</f>
        <v/>
      </c>
      <c r="O3176" s="17">
        <f>-(K3176*0.025+L3176*0.025)</f>
        <v/>
      </c>
      <c r="P3176" s="17">
        <f>32</f>
        <v/>
      </c>
      <c r="Q3176" s="17">
        <f>J3176+L3176+N3176+O3176-P3176-M3176</f>
        <v/>
      </c>
    </row>
    <row r="3177">
      <c r="A3177" s="16" t="inlineStr">
        <is>
          <t>5.29-6.4</t>
        </is>
      </c>
      <c r="B3177" s="16" t="inlineStr">
        <is>
          <t>PO-128-08196375806070840</t>
        </is>
      </c>
      <c r="C3177" s="16" t="inlineStr">
        <is>
          <t>Shipped</t>
        </is>
      </c>
      <c r="D3177" s="16" t="inlineStr">
        <is>
          <t>128-08196354834550840</t>
        </is>
      </c>
      <c r="E3177" s="16" t="inlineStr">
        <is>
          <t>Shipped</t>
        </is>
      </c>
      <c r="F3177" s="16" t="inlineStr">
        <is>
          <t>LV64W25</t>
        </is>
      </c>
      <c r="G31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7" s="16" t="inlineStr">
        <is>
          <t>Blanco</t>
        </is>
      </c>
      <c r="I3177" s="16" t="n">
        <v>1</v>
      </c>
      <c r="J3177" s="17" t="n">
        <v>123</v>
      </c>
      <c r="K3177" s="17" t="n">
        <v>126.94</v>
      </c>
      <c r="L3177" s="17" t="n">
        <v>25.86</v>
      </c>
      <c r="M3177" s="17" t="n">
        <v>0</v>
      </c>
      <c r="N3177" s="17">
        <f>K3177*0.08+L3177*0.08</f>
        <v/>
      </c>
      <c r="O3177" s="17">
        <f>-(K3177*0.025+L3177*0.025)</f>
        <v/>
      </c>
      <c r="P3177" s="17">
        <f>32</f>
        <v/>
      </c>
      <c r="Q3177" s="17">
        <f>J3177+L3177+N3177+O3177-P3177-M3177</f>
        <v/>
      </c>
    </row>
    <row r="3178">
      <c r="A3178" s="16" t="inlineStr">
        <is>
          <t>5.29-6.4</t>
        </is>
      </c>
      <c r="B3178" s="16" t="inlineStr">
        <is>
          <t>PO-128-07812781048952169</t>
        </is>
      </c>
      <c r="C3178" s="16" t="inlineStr">
        <is>
          <t>Shipped</t>
        </is>
      </c>
      <c r="D3178" s="16" t="inlineStr">
        <is>
          <t>128-07812739105912169</t>
        </is>
      </c>
      <c r="E3178" s="16" t="inlineStr">
        <is>
          <t>Shipped</t>
        </is>
      </c>
      <c r="F3178" s="16" t="inlineStr">
        <is>
          <t>LV64W25</t>
        </is>
      </c>
      <c r="G31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78" s="16" t="inlineStr">
        <is>
          <t>Blanco</t>
        </is>
      </c>
      <c r="I3178" s="16" t="n">
        <v>6</v>
      </c>
      <c r="J3178" s="17" t="n">
        <v>738</v>
      </c>
      <c r="K3178" s="17" t="n">
        <v>647.42</v>
      </c>
      <c r="L3178" s="17" t="n">
        <v>0</v>
      </c>
      <c r="M3178" s="17" t="n">
        <v>0</v>
      </c>
      <c r="N3178" s="17">
        <f>K3178*0.08+L3178*0.08</f>
        <v/>
      </c>
      <c r="O3178" s="17">
        <f>-(K3178*0.025+L3178*0.025)</f>
        <v/>
      </c>
      <c r="P3178" s="17">
        <f>32</f>
        <v/>
      </c>
      <c r="Q3178" s="17">
        <f>J3178+L3178+N3178+O3178-P3178-M3178</f>
        <v/>
      </c>
    </row>
    <row r="3179">
      <c r="A3179" s="16" t="inlineStr">
        <is>
          <t>5.29-6.4</t>
        </is>
      </c>
      <c r="B3179" s="16" t="inlineStr">
        <is>
          <t>PO-128-07566140286073511</t>
        </is>
      </c>
      <c r="C3179" s="16" t="inlineStr">
        <is>
          <t>Shipped</t>
        </is>
      </c>
      <c r="D3179" s="16" t="inlineStr">
        <is>
          <t>128-07566038049913511</t>
        </is>
      </c>
      <c r="E3179" s="16" t="inlineStr">
        <is>
          <t>Shipped</t>
        </is>
      </c>
      <c r="F3179" s="16" t="inlineStr">
        <is>
          <t>KTS-1936</t>
        </is>
      </c>
      <c r="G3179" s="16" t="inlineStr">
        <is>
          <t>Espejo con Luz para Makeup，Espejo con Luz LED y Bocina Bluetooth，Espejo para Maquillaje con Aumentos y Luces LED de Intensidad Ajustable，Lente de Aumento 10X+Reproductor TF+ TWS，espejo de portátil y para estudiantes, oficina, dormitorio, mejor regalo</t>
        </is>
      </c>
      <c r="H3179" s="16" t="inlineStr">
        <is>
          <t>BLANCO</t>
        </is>
      </c>
      <c r="I3179" s="16" t="n">
        <v>1</v>
      </c>
      <c r="J3179" s="17" t="n">
        <v>220</v>
      </c>
      <c r="K3179" s="17" t="n">
        <v>238.53</v>
      </c>
      <c r="L3179" s="17" t="n">
        <v>25.86</v>
      </c>
      <c r="M3179" s="17" t="n">
        <v>0</v>
      </c>
      <c r="N3179" s="17">
        <f>K3179*0.08+L3179*0.08</f>
        <v/>
      </c>
      <c r="O3179" s="17">
        <f>-(K3179*0.025+L3179*0.025)</f>
        <v/>
      </c>
      <c r="P3179" s="17">
        <f>32</f>
        <v/>
      </c>
      <c r="Q3179" s="17">
        <f>J3179+L3179+N3179+O3179-P3179-M3179</f>
        <v/>
      </c>
    </row>
    <row r="3180">
      <c r="A3180" s="16" t="inlineStr">
        <is>
          <t>5.29-6.4</t>
        </is>
      </c>
      <c r="B3180" s="16" t="inlineStr">
        <is>
          <t>PO-128-07964958303351260</t>
        </is>
      </c>
      <c r="C3180" s="16" t="inlineStr">
        <is>
          <t>Shipped</t>
        </is>
      </c>
      <c r="D3180" s="16" t="inlineStr">
        <is>
          <t>128-07964968789111260</t>
        </is>
      </c>
      <c r="E3180" s="16" t="inlineStr">
        <is>
          <t>Shipped</t>
        </is>
      </c>
      <c r="F3180" s="16" t="inlineStr">
        <is>
          <t>LV64W25</t>
        </is>
      </c>
      <c r="G31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80" s="16" t="inlineStr">
        <is>
          <t>Blanco</t>
        </is>
      </c>
      <c r="I3180" s="16" t="n">
        <v>1</v>
      </c>
      <c r="J3180" s="17" t="n">
        <v>123</v>
      </c>
      <c r="K3180" s="17" t="n">
        <v>136.49</v>
      </c>
      <c r="L3180" s="17" t="n">
        <v>25.86</v>
      </c>
      <c r="M3180" s="17" t="n">
        <v>0</v>
      </c>
      <c r="N3180" s="17">
        <f>K3180*0.08+L3180*0.08</f>
        <v/>
      </c>
      <c r="O3180" s="17">
        <f>-(K3180*0.025+L3180*0.025)</f>
        <v/>
      </c>
      <c r="P3180" s="17">
        <f>32</f>
        <v/>
      </c>
      <c r="Q3180" s="17">
        <f>J3180+L3180+N3180+O3180-P3180-M3180</f>
        <v/>
      </c>
    </row>
    <row r="3181">
      <c r="A3181" s="16" t="inlineStr">
        <is>
          <t>5.29-6.4</t>
        </is>
      </c>
      <c r="B3181" s="16" t="inlineStr">
        <is>
          <t>PO-128-07946665295991179</t>
        </is>
      </c>
      <c r="C3181" s="16" t="inlineStr">
        <is>
          <t>Shipped</t>
        </is>
      </c>
      <c r="D3181" s="16" t="inlineStr">
        <is>
          <t>128-07946623352951179</t>
        </is>
      </c>
      <c r="E3181" s="16" t="inlineStr">
        <is>
          <t>Shipped</t>
        </is>
      </c>
      <c r="F3181" s="16" t="inlineStr">
        <is>
          <t>TLCD06-12P-N</t>
        </is>
      </c>
      <c r="G318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181" s="16" t="inlineStr">
        <is>
          <t>NEGRO/pantalla de 12 pulgadas</t>
        </is>
      </c>
      <c r="I3181" s="16" t="n">
        <v>1</v>
      </c>
      <c r="J3181" s="17" t="n">
        <v>35</v>
      </c>
      <c r="K3181" s="17" t="n">
        <v>11.16</v>
      </c>
      <c r="L3181" s="17" t="n">
        <v>25.86</v>
      </c>
      <c r="M3181" s="17" t="n">
        <v>0</v>
      </c>
      <c r="N3181" s="17">
        <f>K3181*0.08+L3181*0.08</f>
        <v/>
      </c>
      <c r="O3181" s="17">
        <f>-(K3181*0.025+L3181*0.025)</f>
        <v/>
      </c>
      <c r="P3181" s="17">
        <f>32</f>
        <v/>
      </c>
      <c r="Q3181" s="17">
        <f>J3181+L3181+N3181+O3181-P3181-M3181</f>
        <v/>
      </c>
    </row>
    <row r="3182">
      <c r="A3182" s="16" t="inlineStr">
        <is>
          <t>5.29-6.4</t>
        </is>
      </c>
      <c r="B3182" s="16" t="inlineStr">
        <is>
          <t>PO-128-08027186046071915</t>
        </is>
      </c>
      <c r="C3182" s="16" t="inlineStr">
        <is>
          <t>Shipped</t>
        </is>
      </c>
      <c r="D3182" s="16" t="inlineStr">
        <is>
          <t>128-08027144103031915</t>
        </is>
      </c>
      <c r="E3182" s="16" t="inlineStr">
        <is>
          <t>Shipped</t>
        </is>
      </c>
      <c r="F3182" s="16" t="inlineStr">
        <is>
          <t>KTS-2031</t>
        </is>
      </c>
      <c r="G3182" s="16" t="inlineStr">
        <is>
          <t>Bocina inalámbrica de 3 pulgadas con linterna multifuncional y panel solar integrado.Altavoz Portátil con Linterna LED 4 Modos, Radio FM, Bluetooth, Carga Solar, Ideal para Apagones, Emergencias, Campo y Exteriores</t>
        </is>
      </c>
      <c r="H3182" s="16" t="inlineStr">
        <is>
          <t>NEGRO</t>
        </is>
      </c>
      <c r="I3182" s="16" t="n">
        <v>1</v>
      </c>
      <c r="J3182" s="17" t="n">
        <v>90</v>
      </c>
      <c r="K3182" s="17" t="n">
        <v>99.22</v>
      </c>
      <c r="L3182" s="17" t="n">
        <v>25.86</v>
      </c>
      <c r="M3182" s="17" t="n">
        <v>0</v>
      </c>
      <c r="N3182" s="17">
        <f>K3182*0.08+L3182*0.08</f>
        <v/>
      </c>
      <c r="O3182" s="17">
        <f>-(K3182*0.025+L3182*0.025)</f>
        <v/>
      </c>
      <c r="P3182" s="17">
        <f>32</f>
        <v/>
      </c>
      <c r="Q3182" s="17">
        <f>J3182+L3182+N3182+O3182-P3182-M3182</f>
        <v/>
      </c>
    </row>
    <row r="3183">
      <c r="A3183" s="16" t="inlineStr">
        <is>
          <t>5.29-6.4</t>
        </is>
      </c>
      <c r="B3183" s="16" t="inlineStr">
        <is>
          <t>PO-128-07666632645753870</t>
        </is>
      </c>
      <c r="C3183" s="16" t="inlineStr">
        <is>
          <t>Shipped</t>
        </is>
      </c>
      <c r="D3183" s="16" t="inlineStr">
        <is>
          <t>128-07666653617273870</t>
        </is>
      </c>
      <c r="E3183" s="16" t="inlineStr">
        <is>
          <t>Shipped</t>
        </is>
      </c>
      <c r="F3183" s="16" t="inlineStr">
        <is>
          <t>TL1412N17C</t>
        </is>
      </c>
      <c r="G3183" s="16" t="inlineStr">
        <is>
          <t>Linkbits, Soporte de Pared Fijo para TV y Monitor de 14"-43", Ultra Delgado 2.3cm, Fuerte Capacidad de Peso de 25KG, Fácil Instalación con Accesorios Completos</t>
        </is>
      </c>
      <c r="H3183" s="16" t="inlineStr">
        <is>
          <t>NEGRO</t>
        </is>
      </c>
      <c r="I3183" s="16" t="n">
        <v>2</v>
      </c>
      <c r="J3183" s="17" t="n">
        <v>73.68000000000001</v>
      </c>
      <c r="K3183" s="17" t="n">
        <v>112.12</v>
      </c>
      <c r="L3183" s="17" t="n">
        <v>25.86</v>
      </c>
      <c r="M3183" s="17" t="n">
        <v>0</v>
      </c>
      <c r="N3183" s="17">
        <f>K3183*0.08+L3183*0.08</f>
        <v/>
      </c>
      <c r="O3183" s="17">
        <f>-(K3183*0.025+L3183*0.025)</f>
        <v/>
      </c>
      <c r="P3183" s="17">
        <f>32</f>
        <v/>
      </c>
      <c r="Q3183" s="17">
        <f>J3183+L3183+N3183+O3183-P3183-M3183</f>
        <v/>
      </c>
    </row>
    <row r="3184">
      <c r="A3184" s="16" t="inlineStr">
        <is>
          <t>5.29-6.4</t>
        </is>
      </c>
      <c r="B3184" s="16" t="inlineStr">
        <is>
          <t>PO-128-07983731766391148</t>
        </is>
      </c>
      <c r="C3184" s="16" t="inlineStr">
        <is>
          <t>Shipped</t>
        </is>
      </c>
      <c r="D3184" s="16" t="inlineStr">
        <is>
          <t>128-07983752737911148</t>
        </is>
      </c>
      <c r="E3184" s="16" t="inlineStr">
        <is>
          <t>Shipped</t>
        </is>
      </c>
      <c r="F3184" s="16" t="inlineStr">
        <is>
          <t>LV54W25</t>
        </is>
      </c>
      <c r="G3184" s="16" t="inlineStr">
        <is>
          <t>TIANLAI Lámpara Ventilador E27 2 en 1, Silenciosa, LED Alta Luminosidad 180°, Instalación Rápida, Ahorro Energético para Dormitorio y Interiores Pequeños</t>
        </is>
      </c>
      <c r="H3184" s="16" t="inlineStr">
        <is>
          <t>1 Pieza</t>
        </is>
      </c>
      <c r="I3184" s="16" t="n">
        <v>1</v>
      </c>
      <c r="J3184" s="17" t="n">
        <v>78</v>
      </c>
      <c r="K3184" s="17" t="n">
        <v>79.81999999999999</v>
      </c>
      <c r="L3184" s="17" t="n">
        <v>25.86</v>
      </c>
      <c r="M3184" s="17" t="n">
        <v>0</v>
      </c>
      <c r="N3184" s="17">
        <f>K3184*0.08+L3184*0.08</f>
        <v/>
      </c>
      <c r="O3184" s="17">
        <f>-(K3184*0.025+L3184*0.025)</f>
        <v/>
      </c>
      <c r="P3184" s="17">
        <f>32</f>
        <v/>
      </c>
      <c r="Q3184" s="17">
        <f>J3184+L3184+N3184+O3184-P3184-M3184</f>
        <v/>
      </c>
    </row>
    <row r="3185">
      <c r="A3185" s="16" t="inlineStr">
        <is>
          <t>5.29-6.4</t>
        </is>
      </c>
      <c r="B3185" s="16" t="inlineStr">
        <is>
          <t>PO-128-07908238359671470</t>
        </is>
      </c>
      <c r="C3185" s="16" t="inlineStr">
        <is>
          <t>Shipped</t>
        </is>
      </c>
      <c r="D3185" s="16" t="inlineStr">
        <is>
          <t>128-07908272438391470</t>
        </is>
      </c>
      <c r="E3185" s="16" t="inlineStr">
        <is>
          <t>Shipped</t>
        </is>
      </c>
      <c r="F3185" s="16" t="inlineStr">
        <is>
          <t>TLCD01-4P-nN</t>
        </is>
      </c>
      <c r="G318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185" s="16" t="inlineStr">
        <is>
          <t>NEGRO/pantalla de 4.5 pulgadas</t>
        </is>
      </c>
      <c r="I3185" s="16" t="n">
        <v>1</v>
      </c>
      <c r="J3185" s="17" t="n">
        <v>20</v>
      </c>
      <c r="K3185" s="17" t="n">
        <v>19.15</v>
      </c>
      <c r="L3185" s="17" t="n">
        <v>25.86</v>
      </c>
      <c r="M3185" s="17" t="n">
        <v>0</v>
      </c>
      <c r="N3185" s="17">
        <f>K3185*0.08+L3185*0.08</f>
        <v/>
      </c>
      <c r="O3185" s="17">
        <f>-(K3185*0.025+L3185*0.025)</f>
        <v/>
      </c>
      <c r="P3185" s="17">
        <f>32</f>
        <v/>
      </c>
      <c r="Q3185" s="17">
        <f>J3185+L3185+N3185+O3185-P3185-M3185</f>
        <v/>
      </c>
    </row>
    <row r="3186">
      <c r="A3186" s="16" t="inlineStr">
        <is>
          <t>5.29-6.4</t>
        </is>
      </c>
      <c r="B3186" s="16" t="inlineStr">
        <is>
          <t>PO-128-07698059799673746</t>
        </is>
      </c>
      <c r="C3186" s="16" t="inlineStr">
        <is>
          <t>Shipped</t>
        </is>
      </c>
      <c r="D3186" s="16" t="inlineStr">
        <is>
          <t>128-07698118782073746</t>
        </is>
      </c>
      <c r="E3186" s="16" t="inlineStr">
        <is>
          <t>Shipped</t>
        </is>
      </c>
      <c r="F3186" s="16" t="inlineStr">
        <is>
          <t>BSC07</t>
        </is>
      </c>
      <c r="G3186" s="16" t="inlineStr">
        <is>
          <t>TIANLAI Báscula Digital BSC04/BSC07, Alta Precisión, Fácil Operación, Ligera y Portátil, Función Tara, Unidad Dual oz/g, Ideal para Cocina, Control de Porciones, Sellos y Objetos Pequeños, Uso en Hogar y Viaje</t>
        </is>
      </c>
      <c r="H3186" s="16" t="inlineStr">
        <is>
          <t>1g/White</t>
        </is>
      </c>
      <c r="I3186" s="16" t="n">
        <v>1</v>
      </c>
      <c r="J3186" s="17" t="n">
        <v>38</v>
      </c>
      <c r="K3186" s="17" t="n">
        <v>50.22</v>
      </c>
      <c r="L3186" s="17" t="n">
        <v>25.86</v>
      </c>
      <c r="M3186" s="17" t="n">
        <v>0</v>
      </c>
      <c r="N3186" s="17">
        <f>K3186*0.08+L3186*0.08</f>
        <v/>
      </c>
      <c r="O3186" s="17">
        <f>-(K3186*0.025+L3186*0.025)</f>
        <v/>
      </c>
      <c r="P3186" s="17">
        <f>32</f>
        <v/>
      </c>
      <c r="Q3186" s="17">
        <f>J3186+L3186+N3186+O3186-P3186-M3186</f>
        <v/>
      </c>
    </row>
    <row r="3187">
      <c r="A3187" s="16" t="inlineStr">
        <is>
          <t>5.29-6.4</t>
        </is>
      </c>
      <c r="B3187" s="16" t="inlineStr">
        <is>
          <t>PO-128-08222357607030751</t>
        </is>
      </c>
      <c r="C3187" s="16" t="inlineStr">
        <is>
          <t>Shipped</t>
        </is>
      </c>
      <c r="D3187" s="16" t="inlineStr">
        <is>
          <t>128-08222364160630751</t>
        </is>
      </c>
      <c r="E3187" s="16" t="inlineStr">
        <is>
          <t>Shipped</t>
        </is>
      </c>
      <c r="F3187" s="16" t="inlineStr">
        <is>
          <t>LV54W25</t>
        </is>
      </c>
      <c r="G3187" s="16" t="inlineStr">
        <is>
          <t>TIANLAI Lámpara Ventilador E27 2 en 1, Silenciosa, LED Alta Luminosidad 180°, Instalación Rápida, Ahorro Energético para Dormitorio y Interiores Pequeños</t>
        </is>
      </c>
      <c r="H3187" s="16" t="inlineStr">
        <is>
          <t>1 Pieza</t>
        </is>
      </c>
      <c r="I3187" s="16" t="n">
        <v>1</v>
      </c>
      <c r="J3187" s="17" t="n">
        <v>78</v>
      </c>
      <c r="K3187" s="17" t="n">
        <v>79.81999999999999</v>
      </c>
      <c r="L3187" s="17" t="n">
        <v>25.86</v>
      </c>
      <c r="M3187" s="17" t="n">
        <v>0</v>
      </c>
      <c r="N3187" s="17">
        <f>K3187*0.08+L3187*0.08</f>
        <v/>
      </c>
      <c r="O3187" s="17">
        <f>-(K3187*0.025+L3187*0.025)</f>
        <v/>
      </c>
      <c r="P3187" s="17">
        <f>32</f>
        <v/>
      </c>
      <c r="Q3187" s="17">
        <f>J3187+L3187+N3187+O3187-P3187-M3187</f>
        <v/>
      </c>
    </row>
    <row r="3188">
      <c r="A3188" s="16" t="inlineStr">
        <is>
          <t>5.29-6.4</t>
        </is>
      </c>
      <c r="B3188" s="16" t="inlineStr">
        <is>
          <t>PO-128-07795443610232078</t>
        </is>
      </c>
      <c r="C3188" s="16" t="inlineStr">
        <is>
          <t>Shipped</t>
        </is>
      </c>
      <c r="D3188" s="16" t="inlineStr">
        <is>
          <t>128-07795422638712078</t>
        </is>
      </c>
      <c r="E3188" s="16" t="inlineStr">
        <is>
          <t>Shipped</t>
        </is>
      </c>
      <c r="F3188" s="16" t="inlineStr">
        <is>
          <t>VB349T</t>
        </is>
      </c>
      <c r="G3188" s="16" t="inlineStr">
        <is>
          <t>LINKBITS Altavoz Portátil de Doble Altavoz - 3 Pulgadas, Sonido HD, Emparejamiento Rápido de Bluetooth, Conectividad TWS, Reproducción Multimodo (Micro SD/USB/Radio FM) - Perfecto para Oficina, Viajes y Espacios Pequeños</t>
        </is>
      </c>
      <c r="H3188" s="16" t="inlineStr">
        <is>
          <t>NEGRO</t>
        </is>
      </c>
      <c r="I3188" s="16" t="n">
        <v>1</v>
      </c>
      <c r="J3188" s="17" t="n">
        <v>81</v>
      </c>
      <c r="K3188" s="17" t="n">
        <v>94.26000000000001</v>
      </c>
      <c r="L3188" s="17" t="n">
        <v>25.86</v>
      </c>
      <c r="M3188" s="17" t="n">
        <v>0</v>
      </c>
      <c r="N3188" s="17">
        <f>K3188*0.08+L3188*0.08</f>
        <v/>
      </c>
      <c r="O3188" s="17">
        <f>-(K3188*0.025+L3188*0.025)</f>
        <v/>
      </c>
      <c r="P3188" s="17">
        <f>32</f>
        <v/>
      </c>
      <c r="Q3188" s="17">
        <f>J3188+L3188+N3188+O3188-P3188-M3188</f>
        <v/>
      </c>
    </row>
    <row r="3189">
      <c r="A3189" s="16" t="inlineStr">
        <is>
          <t>5.29-6.4</t>
        </is>
      </c>
      <c r="B3189" s="16" t="inlineStr">
        <is>
          <t>PO-128-08004836629112046</t>
        </is>
      </c>
      <c r="C3189" s="16" t="inlineStr">
        <is>
          <t>Shipped</t>
        </is>
      </c>
      <c r="D3189" s="16" t="inlineStr">
        <is>
          <t>128-08004904786552046</t>
        </is>
      </c>
      <c r="E3189" s="16" t="inlineStr">
        <is>
          <t>Shipped</t>
        </is>
      </c>
      <c r="F3189" s="16" t="inlineStr">
        <is>
          <t>LV54W25</t>
        </is>
      </c>
      <c r="G3189" s="16" t="inlineStr">
        <is>
          <t>TIANLAI Lámpara Ventilador E27 2 en 1, Silenciosa, LED Alta Luminosidad 180°, Instalación Rápida, Ahorro Energético para Dormitorio y Interiores Pequeños</t>
        </is>
      </c>
      <c r="H3189" s="16" t="inlineStr">
        <is>
          <t>1 Pieza</t>
        </is>
      </c>
      <c r="I3189" s="16" t="n">
        <v>1</v>
      </c>
      <c r="J3189" s="17" t="n">
        <v>78</v>
      </c>
      <c r="K3189" s="17" t="n">
        <v>82.51000000000001</v>
      </c>
      <c r="L3189" s="17" t="n">
        <v>25.86</v>
      </c>
      <c r="M3189" s="17" t="n">
        <v>0</v>
      </c>
      <c r="N3189" s="17">
        <f>K3189*0.08+L3189*0.08</f>
        <v/>
      </c>
      <c r="O3189" s="17">
        <f>-(K3189*0.025+L3189*0.025)</f>
        <v/>
      </c>
      <c r="P3189" s="17">
        <f>32</f>
        <v/>
      </c>
      <c r="Q3189" s="17">
        <f>J3189+L3189+N3189+O3189-P3189-M3189</f>
        <v/>
      </c>
    </row>
    <row r="3190">
      <c r="A3190" s="16" t="inlineStr">
        <is>
          <t>5.29-6.4</t>
        </is>
      </c>
      <c r="B3190" s="16" t="inlineStr">
        <is>
          <t>PO-128-07867748465272737</t>
        </is>
      </c>
      <c r="C3190" s="16" t="inlineStr">
        <is>
          <t>Shipped</t>
        </is>
      </c>
      <c r="D3190" s="16" t="inlineStr">
        <is>
          <t>128-07867727493752737</t>
        </is>
      </c>
      <c r="E3190" s="16" t="inlineStr">
        <is>
          <t>Shipped</t>
        </is>
      </c>
      <c r="F3190" s="16" t="inlineStr">
        <is>
          <t>KTS-2031</t>
        </is>
      </c>
      <c r="G3190" s="16" t="inlineStr">
        <is>
          <t>Bocina inalámbrica de 3 pulgadas con linterna multifuncional y panel solar integrado.Altavoz Portátil con Linterna LED 4 Modos, Radio FM, Bluetooth, Carga Solar, Ideal para Apagones, Emergencias, Campo y Exteriores</t>
        </is>
      </c>
      <c r="H3190" s="16" t="inlineStr">
        <is>
          <t>NEGRO</t>
        </is>
      </c>
      <c r="I3190" s="16" t="n">
        <v>1</v>
      </c>
      <c r="J3190" s="17" t="n">
        <v>90</v>
      </c>
      <c r="K3190" s="17" t="n">
        <v>99.22</v>
      </c>
      <c r="L3190" s="17" t="n">
        <v>25.86</v>
      </c>
      <c r="M3190" s="17" t="n">
        <v>0</v>
      </c>
      <c r="N3190" s="17">
        <f>K3190*0.08+L3190*0.08</f>
        <v/>
      </c>
      <c r="O3190" s="17">
        <f>-(K3190*0.025+L3190*0.025)</f>
        <v/>
      </c>
      <c r="P3190" s="17">
        <f>32</f>
        <v/>
      </c>
      <c r="Q3190" s="17">
        <f>J3190+L3190+N3190+O3190-P3190-M3190</f>
        <v/>
      </c>
    </row>
    <row r="3191">
      <c r="A3191" s="16" t="inlineStr">
        <is>
          <t>5.29-6.4</t>
        </is>
      </c>
      <c r="B3191" s="16" t="inlineStr">
        <is>
          <t>PO-128-08019212350071832</t>
        </is>
      </c>
      <c r="C3191" s="16" t="inlineStr">
        <is>
          <t>Shipped</t>
        </is>
      </c>
      <c r="D3191" s="16" t="inlineStr">
        <is>
          <t>128-08019201864311832</t>
        </is>
      </c>
      <c r="E3191" s="16" t="inlineStr">
        <is>
          <t>Shipped</t>
        </is>
      </c>
      <c r="F3191" s="16" t="inlineStr">
        <is>
          <t>LV54W25</t>
        </is>
      </c>
      <c r="G3191" s="16" t="inlineStr">
        <is>
          <t>TIANLAI Lámpara Ventilador E27 2 en 1, Silenciosa, LED Alta Luminosidad 180°, Instalación Rápida, Ahorro Energético para Dormitorio y Interiores Pequeños</t>
        </is>
      </c>
      <c r="H3191" s="16" t="inlineStr">
        <is>
          <t>1 Pieza</t>
        </is>
      </c>
      <c r="I3191" s="16" t="n">
        <v>3</v>
      </c>
      <c r="J3191" s="17" t="n">
        <v>234</v>
      </c>
      <c r="K3191" s="17" t="n">
        <v>247.53</v>
      </c>
      <c r="L3191" s="17" t="n">
        <v>0</v>
      </c>
      <c r="M3191" s="17" t="n">
        <v>0</v>
      </c>
      <c r="N3191" s="17">
        <f>K3191*0.08+L3191*0.08</f>
        <v/>
      </c>
      <c r="O3191" s="17">
        <f>-(K3191*0.025+L3191*0.025)</f>
        <v/>
      </c>
      <c r="P3191" s="17">
        <f>32</f>
        <v/>
      </c>
      <c r="Q3191" s="17">
        <f>J3191+L3191+N3191+O3191-P3191-M3191</f>
        <v/>
      </c>
    </row>
    <row r="3192">
      <c r="A3192" s="16" t="inlineStr">
        <is>
          <t>5.29-6.4</t>
        </is>
      </c>
      <c r="B3192" s="16" t="inlineStr">
        <is>
          <t>PO-128-07884397486712572</t>
        </is>
      </c>
      <c r="C3192" s="16" t="inlineStr">
        <is>
          <t>Shipped</t>
        </is>
      </c>
      <c r="D3192" s="16" t="inlineStr">
        <is>
          <t>128-07884418458232572</t>
        </is>
      </c>
      <c r="E3192" s="16" t="inlineStr">
        <is>
          <t>Shipped</t>
        </is>
      </c>
      <c r="F3192" s="16" t="inlineStr">
        <is>
          <t>KTS-2031</t>
        </is>
      </c>
      <c r="G3192" s="16" t="inlineStr">
        <is>
          <t>Bocina inalámbrica de 3 pulgadas con linterna multifuncional y panel solar integrado.Altavoz Portátil con Linterna LED 4 Modos, Radio FM, Bluetooth, Carga Solar, Ideal para Apagones, Emergencias, Campo y Exteriores</t>
        </is>
      </c>
      <c r="H3192" s="16" t="inlineStr">
        <is>
          <t>NEGRO</t>
        </is>
      </c>
      <c r="I3192" s="16" t="n">
        <v>1</v>
      </c>
      <c r="J3192" s="17" t="n">
        <v>90</v>
      </c>
      <c r="K3192" s="17" t="n">
        <v>56.12</v>
      </c>
      <c r="L3192" s="17" t="n">
        <v>25.86</v>
      </c>
      <c r="M3192" s="17" t="n">
        <v>0</v>
      </c>
      <c r="N3192" s="17">
        <f>K3192*0.08+L3192*0.08</f>
        <v/>
      </c>
      <c r="O3192" s="17">
        <f>-(K3192*0.025+L3192*0.025)</f>
        <v/>
      </c>
      <c r="P3192" s="17">
        <f>32</f>
        <v/>
      </c>
      <c r="Q3192" s="17">
        <f>J3192+L3192+N3192+O3192-P3192-M3192</f>
        <v/>
      </c>
    </row>
    <row r="3193">
      <c r="A3193" s="16" t="inlineStr">
        <is>
          <t>5.29-6.4</t>
        </is>
      </c>
      <c r="B3193" s="16" t="inlineStr">
        <is>
          <t>PO-128-08151890238070083</t>
        </is>
      </c>
      <c r="C3193" s="16" t="inlineStr">
        <is>
          <t>Shipped</t>
        </is>
      </c>
      <c r="D3193" s="16" t="inlineStr">
        <is>
          <t>128-08151916452470083</t>
        </is>
      </c>
      <c r="E3193" s="16" t="inlineStr">
        <is>
          <t>Shipped</t>
        </is>
      </c>
      <c r="F3193" s="16" t="inlineStr">
        <is>
          <t>KTS-2031</t>
        </is>
      </c>
      <c r="G3193" s="16" t="inlineStr">
        <is>
          <t>Bocina inalámbrica de 3 pulgadas con linterna multifuncional y panel solar integrado.Altavoz Portátil con Linterna LED 4 Modos, Radio FM, Bluetooth, Carga Solar, Ideal para Apagones, Emergencias, Campo y Exteriores</t>
        </is>
      </c>
      <c r="H3193" s="16" t="inlineStr">
        <is>
          <t>NEGRO</t>
        </is>
      </c>
      <c r="I3193" s="16" t="n">
        <v>3</v>
      </c>
      <c r="J3193" s="17" t="n">
        <v>270</v>
      </c>
      <c r="K3193" s="17" t="n">
        <v>297.66</v>
      </c>
      <c r="L3193" s="17" t="n">
        <v>0</v>
      </c>
      <c r="M3193" s="17" t="n">
        <v>0</v>
      </c>
      <c r="N3193" s="17">
        <f>K3193*0.08+L3193*0.08</f>
        <v/>
      </c>
      <c r="O3193" s="17">
        <f>-(K3193*0.025+L3193*0.025)</f>
        <v/>
      </c>
      <c r="P3193" s="17">
        <f>32</f>
        <v/>
      </c>
      <c r="Q3193" s="17">
        <f>J3193+L3193+N3193+O3193-P3193-M3193</f>
        <v/>
      </c>
    </row>
    <row r="3194">
      <c r="A3194" s="16" t="inlineStr">
        <is>
          <t>5.29-6.4</t>
        </is>
      </c>
      <c r="B3194" s="16" t="inlineStr">
        <is>
          <t>PO-128-07686556805753945</t>
        </is>
      </c>
      <c r="C3194" s="16" t="inlineStr">
        <is>
          <t>Shipped</t>
        </is>
      </c>
      <c r="D3194" s="16" t="inlineStr">
        <is>
          <t>128-07686521416313945</t>
        </is>
      </c>
      <c r="E3194" s="16" t="inlineStr">
        <is>
          <t>Shipped</t>
        </is>
      </c>
      <c r="F3194" s="16" t="inlineStr">
        <is>
          <t>LV54W25</t>
        </is>
      </c>
      <c r="G3194" s="16" t="inlineStr">
        <is>
          <t>TIANLAI Lámpara Ventilador E27 2 en 1, Silenciosa, LED Alta Luminosidad 180°, Instalación Rápida, Ahorro Energético para Dormitorio y Interiores Pequeños</t>
        </is>
      </c>
      <c r="H3194" s="16" t="inlineStr">
        <is>
          <t>1 Pieza</t>
        </is>
      </c>
      <c r="I3194" s="16" t="n">
        <v>1</v>
      </c>
      <c r="J3194" s="17" t="n">
        <v>78</v>
      </c>
      <c r="K3194" s="17" t="n">
        <v>89.68000000000001</v>
      </c>
      <c r="L3194" s="17" t="n">
        <v>0</v>
      </c>
      <c r="M3194" s="17" t="n">
        <v>0</v>
      </c>
      <c r="N3194" s="17">
        <f>K3194*0.08+L3194*0.08</f>
        <v/>
      </c>
      <c r="O3194" s="17">
        <f>-(K3194*0.025+L3194*0.025)</f>
        <v/>
      </c>
      <c r="P3194" s="17">
        <f>32</f>
        <v/>
      </c>
      <c r="Q3194" s="17">
        <f>J3194+L3194+N3194+O3194-P3194-M3194</f>
        <v/>
      </c>
    </row>
    <row r="3195">
      <c r="A3195" s="16" t="inlineStr">
        <is>
          <t>5.29-6.4</t>
        </is>
      </c>
      <c r="B3195" s="16" t="inlineStr">
        <is>
          <t>PO-128-07686556805753945</t>
        </is>
      </c>
      <c r="C3195" s="16" t="inlineStr">
        <is>
          <t>Shipped</t>
        </is>
      </c>
      <c r="D3195" s="16" t="inlineStr">
        <is>
          <t>128-07686516173433945</t>
        </is>
      </c>
      <c r="E3195" s="16" t="inlineStr">
        <is>
          <t>Shipped</t>
        </is>
      </c>
      <c r="F3195" s="16" t="inlineStr">
        <is>
          <t>KTS-2031</t>
        </is>
      </c>
      <c r="G3195" s="16" t="inlineStr">
        <is>
          <t>Bocina inalámbrica de 3 pulgadas con linterna multifuncional y panel solar integrado.Altavoz Portátil con Linterna LED 4 Modos, Radio FM, Bluetooth, Carga Solar, Ideal para Apagones, Emergencias, Campo y Exteriores</t>
        </is>
      </c>
      <c r="H3195" s="16" t="inlineStr">
        <is>
          <t>NEGRO</t>
        </is>
      </c>
      <c r="I3195" s="16" t="n">
        <v>3</v>
      </c>
      <c r="J3195" s="17" t="n">
        <v>270</v>
      </c>
      <c r="K3195" s="17" t="n">
        <v>297.66</v>
      </c>
      <c r="L3195" s="17" t="n">
        <v>0</v>
      </c>
      <c r="M3195" s="17" t="n">
        <v>0</v>
      </c>
      <c r="N3195" s="17">
        <f>K3195*0.08+L3195*0.08</f>
        <v/>
      </c>
      <c r="O3195" s="17">
        <f>-(K3195*0.025+L3195*0.025)</f>
        <v/>
      </c>
      <c r="P3195" s="17">
        <f>32</f>
        <v/>
      </c>
      <c r="Q3195" s="17">
        <f>J3195+L3195+N3195+O3195-P3195-M3195</f>
        <v/>
      </c>
    </row>
    <row r="3196">
      <c r="A3196" s="16" t="inlineStr">
        <is>
          <t>5.29-6.4</t>
        </is>
      </c>
      <c r="B3196" s="16" t="inlineStr">
        <is>
          <t>PO-128-07850074035832904</t>
        </is>
      </c>
      <c r="C3196" s="16" t="inlineStr">
        <is>
          <t>Shipped</t>
        </is>
      </c>
      <c r="D3196" s="16" t="inlineStr">
        <is>
          <t>128-07850084521592904</t>
        </is>
      </c>
      <c r="E3196" s="16" t="inlineStr">
        <is>
          <t>Shipped</t>
        </is>
      </c>
      <c r="F3196" s="16" t="inlineStr">
        <is>
          <t>LV54W25</t>
        </is>
      </c>
      <c r="G3196" s="16" t="inlineStr">
        <is>
          <t>TIANLAI Lámpara Ventilador E27 2 en 1, Silenciosa, LED Alta Luminosidad 180°, Instalación Rápida, Ahorro Energético para Dormitorio y Interiores Pequeños</t>
        </is>
      </c>
      <c r="H3196" s="16" t="inlineStr">
        <is>
          <t>1 Pieza</t>
        </is>
      </c>
      <c r="I3196" s="16" t="n">
        <v>1</v>
      </c>
      <c r="J3196" s="17" t="n">
        <v>78</v>
      </c>
      <c r="K3196" s="17" t="n">
        <v>82.51000000000001</v>
      </c>
      <c r="L3196" s="17" t="n">
        <v>25.86</v>
      </c>
      <c r="M3196" s="17" t="n">
        <v>0</v>
      </c>
      <c r="N3196" s="17">
        <f>K3196*0.08+L3196*0.08</f>
        <v/>
      </c>
      <c r="O3196" s="17">
        <f>-(K3196*0.025+L3196*0.025)</f>
        <v/>
      </c>
      <c r="P3196" s="17">
        <f>32</f>
        <v/>
      </c>
      <c r="Q3196" s="17">
        <f>J3196+L3196+N3196+O3196-P3196-M3196</f>
        <v/>
      </c>
    </row>
    <row r="3197">
      <c r="A3197" s="16" t="inlineStr">
        <is>
          <t>5.29-6.4</t>
        </is>
      </c>
      <c r="B3197" s="16" t="inlineStr">
        <is>
          <t>PO-128-07820639488632952</t>
        </is>
      </c>
      <c r="C3197" s="16" t="inlineStr">
        <is>
          <t>Shipped</t>
        </is>
      </c>
      <c r="D3197" s="16" t="inlineStr">
        <is>
          <t>128-07820694538872952</t>
        </is>
      </c>
      <c r="E3197" s="16" t="inlineStr">
        <is>
          <t>Shipped</t>
        </is>
      </c>
      <c r="F3197" s="16" t="inlineStr">
        <is>
          <t>KTS-2031</t>
        </is>
      </c>
      <c r="G3197" s="16" t="inlineStr">
        <is>
          <t>Bocina inalámbrica de 3 pulgadas con linterna multifuncional y panel solar integrado.Altavoz Portátil con Linterna LED 4 Modos, Radio FM, Bluetooth, Carga Solar, Ideal para Apagones, Emergencias, Campo y Exteriores</t>
        </is>
      </c>
      <c r="H3197" s="16" t="inlineStr">
        <is>
          <t>NEGRO</t>
        </is>
      </c>
      <c r="I3197" s="16" t="n">
        <v>1</v>
      </c>
      <c r="J3197" s="17" t="n">
        <v>90</v>
      </c>
      <c r="K3197" s="17" t="n">
        <v>99.22</v>
      </c>
      <c r="L3197" s="17" t="n">
        <v>25.86</v>
      </c>
      <c r="M3197" s="17" t="n">
        <v>0</v>
      </c>
      <c r="N3197" s="17">
        <f>K3197*0.08+L3197*0.08</f>
        <v/>
      </c>
      <c r="O3197" s="17">
        <f>-(K3197*0.025+L3197*0.025)</f>
        <v/>
      </c>
      <c r="P3197" s="17">
        <f>32</f>
        <v/>
      </c>
      <c r="Q3197" s="17">
        <f>J3197+L3197+N3197+O3197-P3197-M3197</f>
        <v/>
      </c>
    </row>
    <row r="3198">
      <c r="A3198" s="16" t="inlineStr">
        <is>
          <t>5.29-6.4</t>
        </is>
      </c>
      <c r="B3198" s="16" t="inlineStr">
        <is>
          <t>PO-128-07725194476153651</t>
        </is>
      </c>
      <c r="C3198" s="16" t="inlineStr">
        <is>
          <t>Shipped</t>
        </is>
      </c>
      <c r="D3198" s="16" t="inlineStr">
        <is>
          <t>128-07725215447673651</t>
        </is>
      </c>
      <c r="E3198" s="16" t="inlineStr">
        <is>
          <t>Shipped</t>
        </is>
      </c>
      <c r="F3198" s="16" t="inlineStr">
        <is>
          <t>LV64W25</t>
        </is>
      </c>
      <c r="G31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198" s="16" t="inlineStr">
        <is>
          <t>Blanco</t>
        </is>
      </c>
      <c r="I3198" s="16" t="n">
        <v>2</v>
      </c>
      <c r="J3198" s="17" t="n">
        <v>250</v>
      </c>
      <c r="K3198" s="17" t="n">
        <v>19.26</v>
      </c>
      <c r="L3198" s="17" t="n">
        <v>0</v>
      </c>
      <c r="M3198" s="17" t="n">
        <v>0</v>
      </c>
      <c r="N3198" s="17">
        <f>K3198*0.08+L3198*0.08</f>
        <v/>
      </c>
      <c r="O3198" s="17">
        <f>-(K3198*0.025+L3198*0.025)</f>
        <v/>
      </c>
      <c r="P3198" s="17">
        <f>32</f>
        <v/>
      </c>
      <c r="Q3198" s="17">
        <f>J3198+L3198+N3198+O3198-P3198-M3198</f>
        <v/>
      </c>
    </row>
    <row r="3199">
      <c r="A3199" s="16" t="inlineStr">
        <is>
          <t>5.29-6.4</t>
        </is>
      </c>
      <c r="B3199" s="16" t="inlineStr">
        <is>
          <t>PO-128-08030305311351894</t>
        </is>
      </c>
      <c r="C3199" s="16" t="inlineStr">
        <is>
          <t>Shipped</t>
        </is>
      </c>
      <c r="D3199" s="16" t="inlineStr">
        <is>
          <t>128-08030263368311894</t>
        </is>
      </c>
      <c r="E3199" s="16" t="inlineStr">
        <is>
          <t>Shipped</t>
        </is>
      </c>
      <c r="F3199" s="16" t="inlineStr">
        <is>
          <t>LV54W25</t>
        </is>
      </c>
      <c r="G3199" s="16" t="inlineStr">
        <is>
          <t>TIANLAI Lámpara Ventilador E27 2 en 1, Silenciosa, LED Alta Luminosidad 180°, Instalación Rápida, Ahorro Energético para Dormitorio y Interiores Pequeños</t>
        </is>
      </c>
      <c r="H3199" s="16" t="inlineStr">
        <is>
          <t>1 Pieza</t>
        </is>
      </c>
      <c r="I3199" s="16" t="n">
        <v>1</v>
      </c>
      <c r="J3199" s="17" t="n">
        <v>78</v>
      </c>
      <c r="K3199" s="17" t="n">
        <v>82.51000000000001</v>
      </c>
      <c r="L3199" s="17" t="n">
        <v>25.86</v>
      </c>
      <c r="M3199" s="17" t="n">
        <v>0</v>
      </c>
      <c r="N3199" s="17">
        <f>K3199*0.08+L3199*0.08</f>
        <v/>
      </c>
      <c r="O3199" s="17">
        <f>-(K3199*0.025+L3199*0.025)</f>
        <v/>
      </c>
      <c r="P3199" s="17">
        <f>32</f>
        <v/>
      </c>
      <c r="Q3199" s="17">
        <f>J3199+L3199+N3199+O3199-P3199-M3199</f>
        <v/>
      </c>
    </row>
    <row r="3200">
      <c r="A3200" s="16" t="inlineStr">
        <is>
          <t>5.29-6.4</t>
        </is>
      </c>
      <c r="B3200" s="16" t="inlineStr">
        <is>
          <t>PO-128-07950362767991157</t>
        </is>
      </c>
      <c r="C3200" s="16" t="inlineStr">
        <is>
          <t>Shipped</t>
        </is>
      </c>
      <c r="D3200" s="16" t="inlineStr">
        <is>
          <t>128-07950320824951157</t>
        </is>
      </c>
      <c r="E3200" s="16" t="inlineStr">
        <is>
          <t>Shipped</t>
        </is>
      </c>
      <c r="F3200" s="16" t="inlineStr">
        <is>
          <t>KTS-2031</t>
        </is>
      </c>
      <c r="G3200" s="16" t="inlineStr">
        <is>
          <t>Bocina inalámbrica de 3 pulgadas con linterna multifuncional y panel solar integrado.Altavoz Portátil con Linterna LED 4 Modos, Radio FM, Bluetooth, Carga Solar, Ideal para Apagones, Emergencias, Campo y Exteriores</t>
        </is>
      </c>
      <c r="H3200" s="16" t="inlineStr">
        <is>
          <t>NEGRO</t>
        </is>
      </c>
      <c r="I3200" s="16" t="n">
        <v>1</v>
      </c>
      <c r="J3200" s="17" t="n">
        <v>90</v>
      </c>
      <c r="K3200" s="17" t="n">
        <v>16.46</v>
      </c>
      <c r="L3200" s="17" t="n">
        <v>25.86</v>
      </c>
      <c r="M3200" s="17" t="n">
        <v>0</v>
      </c>
      <c r="N3200" s="17">
        <f>K3200*0.08+L3200*0.08</f>
        <v/>
      </c>
      <c r="O3200" s="17">
        <f>-(K3200*0.025+L3200*0.025)</f>
        <v/>
      </c>
      <c r="P3200" s="17">
        <f>32</f>
        <v/>
      </c>
      <c r="Q3200" s="17">
        <f>J3200+L3200+N3200+O3200-P3200-M3200</f>
        <v/>
      </c>
    </row>
    <row r="3201">
      <c r="A3201" s="16" t="inlineStr">
        <is>
          <t>5.29-6.4</t>
        </is>
      </c>
      <c r="B3201" s="16" t="inlineStr">
        <is>
          <t>PO-128-07601171989113428</t>
        </is>
      </c>
      <c r="C3201" s="16" t="inlineStr">
        <is>
          <t>Shipped</t>
        </is>
      </c>
      <c r="D3201" s="16" t="inlineStr">
        <is>
          <t>128-07601248010873428</t>
        </is>
      </c>
      <c r="E3201" s="16" t="inlineStr">
        <is>
          <t>Shipped</t>
        </is>
      </c>
      <c r="F3201" s="16" t="inlineStr">
        <is>
          <t>TLCD06-12P-R</t>
        </is>
      </c>
      <c r="G320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201" s="16" t="inlineStr">
        <is>
          <t>ROJO/pantalla de 12 pulgadas</t>
        </is>
      </c>
      <c r="I3201" s="16" t="n">
        <v>1</v>
      </c>
      <c r="J3201" s="17" t="n">
        <v>35</v>
      </c>
      <c r="K3201" s="17" t="n">
        <v>11.16</v>
      </c>
      <c r="L3201" s="17" t="n">
        <v>25.86</v>
      </c>
      <c r="M3201" s="17" t="n">
        <v>0</v>
      </c>
      <c r="N3201" s="17">
        <f>K3201*0.08+L3201*0.08</f>
        <v/>
      </c>
      <c r="O3201" s="17">
        <f>-(K3201*0.025+L3201*0.025)</f>
        <v/>
      </c>
      <c r="P3201" s="17">
        <f>32</f>
        <v/>
      </c>
      <c r="Q3201" s="17">
        <f>J3201+L3201+N3201+O3201-P3201-M3201</f>
        <v/>
      </c>
    </row>
    <row r="3202">
      <c r="A3202" s="16" t="inlineStr">
        <is>
          <t>5.29-6.4</t>
        </is>
      </c>
      <c r="B3202" s="16" t="inlineStr">
        <is>
          <t>PO-128-08066134764151619</t>
        </is>
      </c>
      <c r="C3202" s="16" t="inlineStr">
        <is>
          <t>Shipped</t>
        </is>
      </c>
      <c r="D3202" s="16" t="inlineStr">
        <is>
          <t>128-08066092821111619</t>
        </is>
      </c>
      <c r="E3202" s="16" t="inlineStr">
        <is>
          <t>Shipped</t>
        </is>
      </c>
      <c r="F3202" s="16" t="inlineStr">
        <is>
          <t>KTS-2031</t>
        </is>
      </c>
      <c r="G3202" s="16" t="inlineStr">
        <is>
          <t>Bocina inalámbrica de 3 pulgadas con linterna multifuncional y panel solar integrado.Altavoz Portátil con Linterna LED 4 Modos, Radio FM, Bluetooth, Carga Solar, Ideal para Apagones, Emergencias, Campo y Exteriores</t>
        </is>
      </c>
      <c r="H3202" s="16" t="inlineStr">
        <is>
          <t>NEGRO</t>
        </is>
      </c>
      <c r="I3202" s="16" t="n">
        <v>1</v>
      </c>
      <c r="J3202" s="17" t="n">
        <v>90</v>
      </c>
      <c r="K3202" s="17" t="n">
        <v>99.22</v>
      </c>
      <c r="L3202" s="17" t="n">
        <v>25.86</v>
      </c>
      <c r="M3202" s="17" t="n">
        <v>0</v>
      </c>
      <c r="N3202" s="17">
        <f>K3202*0.08+L3202*0.08</f>
        <v/>
      </c>
      <c r="O3202" s="17">
        <f>-(K3202*0.025+L3202*0.025)</f>
        <v/>
      </c>
      <c r="P3202" s="17">
        <f>32</f>
        <v/>
      </c>
      <c r="Q3202" s="17">
        <f>J3202+L3202+N3202+O3202-P3202-M3202</f>
        <v/>
      </c>
    </row>
    <row r="3203">
      <c r="A3203" s="16" t="inlineStr">
        <is>
          <t>5.29-6.4</t>
        </is>
      </c>
      <c r="B3203" s="16" t="inlineStr">
        <is>
          <t>PO-128-07570596485753546</t>
        </is>
      </c>
      <c r="C3203" s="16" t="inlineStr">
        <is>
          <t>Shipped</t>
        </is>
      </c>
      <c r="D3203" s="16" t="inlineStr">
        <is>
          <t>128-07570578135673546</t>
        </is>
      </c>
      <c r="E3203" s="16" t="inlineStr">
        <is>
          <t>Shipped</t>
        </is>
      </c>
      <c r="F3203" s="16" t="inlineStr">
        <is>
          <t>LV54W25</t>
        </is>
      </c>
      <c r="G3203" s="16" t="inlineStr">
        <is>
          <t>TIANLAI Lámpara Ventilador E27 2 en 1, Silenciosa, LED Alta Luminosidad 180°, Instalación Rápida, Ahorro Energético para Dormitorio y Interiores Pequeños</t>
        </is>
      </c>
      <c r="H3203" s="16" t="inlineStr">
        <is>
          <t>1 Pieza</t>
        </is>
      </c>
      <c r="I3203" s="16" t="n">
        <v>1</v>
      </c>
      <c r="J3203" s="17" t="n">
        <v>78</v>
      </c>
      <c r="K3203" s="17" t="n">
        <v>82.51000000000001</v>
      </c>
      <c r="L3203" s="17" t="n">
        <v>25.86</v>
      </c>
      <c r="M3203" s="17" t="n">
        <v>0</v>
      </c>
      <c r="N3203" s="17">
        <f>K3203*0.08+L3203*0.08</f>
        <v/>
      </c>
      <c r="O3203" s="17">
        <f>-(K3203*0.025+L3203*0.025)</f>
        <v/>
      </c>
      <c r="P3203" s="17">
        <f>32</f>
        <v/>
      </c>
      <c r="Q3203" s="17">
        <f>J3203+L3203+N3203+O3203-P3203-M3203</f>
        <v/>
      </c>
    </row>
    <row r="3204">
      <c r="A3204" s="16" t="inlineStr">
        <is>
          <t>5.29-6.4</t>
        </is>
      </c>
      <c r="B3204" s="16" t="inlineStr">
        <is>
          <t>PO-128-13118329221753313</t>
        </is>
      </c>
      <c r="C3204" s="16" t="inlineStr">
        <is>
          <t>Shipped</t>
        </is>
      </c>
      <c r="D3204" s="16" t="inlineStr">
        <is>
          <t>128-13118371164793313</t>
        </is>
      </c>
      <c r="E3204" s="16" t="inlineStr">
        <is>
          <t>Shipped</t>
        </is>
      </c>
      <c r="F3204" s="16" t="inlineStr">
        <is>
          <t>BSC07</t>
        </is>
      </c>
      <c r="G3204" s="16" t="inlineStr">
        <is>
          <t>TIANLAI Báscula Digital BSC04/BSC07, Alta Precisión, Fácil Operación, Ligera y Portátil, Función Tara, Unidad Dual oz/g, Ideal para Cocina, Control de Porciones, Sellos y Objetos Pequeños, Uso en Hogar y Viaje</t>
        </is>
      </c>
      <c r="H3204" s="16" t="inlineStr">
        <is>
          <t>1g/White</t>
        </is>
      </c>
      <c r="I3204" s="16" t="n">
        <v>1</v>
      </c>
      <c r="J3204" s="17" t="n">
        <v>38</v>
      </c>
      <c r="K3204" s="17" t="n">
        <v>50.22</v>
      </c>
      <c r="L3204" s="17" t="n">
        <v>25.86</v>
      </c>
      <c r="M3204" s="17" t="n">
        <v>0</v>
      </c>
      <c r="N3204" s="17">
        <f>K3204*0.08+L3204*0.08</f>
        <v/>
      </c>
      <c r="O3204" s="17">
        <f>-(K3204*0.025+L3204*0.025)</f>
        <v/>
      </c>
      <c r="P3204" s="17">
        <f>32</f>
        <v/>
      </c>
      <c r="Q3204" s="17">
        <f>J3204+L3204+N3204+O3204-P3204-M3204</f>
        <v/>
      </c>
    </row>
    <row r="3205">
      <c r="A3205" s="16" t="inlineStr">
        <is>
          <t>5.29-6.4</t>
        </is>
      </c>
      <c r="B3205" s="16" t="inlineStr">
        <is>
          <t>PO-128-13471023688311083</t>
        </is>
      </c>
      <c r="C3205" s="16" t="inlineStr">
        <is>
          <t>Shipped</t>
        </is>
      </c>
      <c r="D3205" s="16" t="inlineStr">
        <is>
          <t>128-13471091845751083</t>
        </is>
      </c>
      <c r="E3205" s="16" t="inlineStr">
        <is>
          <t>Shipped</t>
        </is>
      </c>
      <c r="F3205" s="16" t="inlineStr">
        <is>
          <t>LV54W25</t>
        </is>
      </c>
      <c r="G3205" s="16" t="inlineStr">
        <is>
          <t>TIANLAI Lámpara Ventilador E27 2 en 1, Silenciosa, LED Alta Luminosidad 180°, Instalación Rápida, Ahorro Energético para Dormitorio y Interiores Pequeños</t>
        </is>
      </c>
      <c r="H3205" s="16" t="inlineStr">
        <is>
          <t>1 Pieza</t>
        </is>
      </c>
      <c r="I3205" s="16" t="n">
        <v>1</v>
      </c>
      <c r="J3205" s="17" t="n">
        <v>78</v>
      </c>
      <c r="K3205" s="17" t="n">
        <v>82.51000000000001</v>
      </c>
      <c r="L3205" s="17" t="n">
        <v>25.86</v>
      </c>
      <c r="M3205" s="17" t="n">
        <v>0</v>
      </c>
      <c r="N3205" s="17">
        <f>K3205*0.08+L3205*0.08</f>
        <v/>
      </c>
      <c r="O3205" s="17">
        <f>-(K3205*0.025+L3205*0.025)</f>
        <v/>
      </c>
      <c r="P3205" s="17">
        <f>32</f>
        <v/>
      </c>
      <c r="Q3205" s="17">
        <f>J3205+L3205+N3205+O3205-P3205-M3205</f>
        <v/>
      </c>
    </row>
    <row r="3206">
      <c r="A3206" s="16" t="inlineStr">
        <is>
          <t>5.29-6.4</t>
        </is>
      </c>
      <c r="B3206" s="16" t="inlineStr">
        <is>
          <t>PO-128-13135528591993147</t>
        </is>
      </c>
      <c r="C3206" s="16" t="inlineStr">
        <is>
          <t>Shipped</t>
        </is>
      </c>
      <c r="D3206" s="16" t="inlineStr">
        <is>
          <t>128-13135486648953147</t>
        </is>
      </c>
      <c r="E3206" s="16" t="inlineStr">
        <is>
          <t>Shipped</t>
        </is>
      </c>
      <c r="F3206" s="16" t="inlineStr">
        <is>
          <t>KTS-2031</t>
        </is>
      </c>
      <c r="G3206" s="16" t="inlineStr">
        <is>
          <t>Bocina inalámbrica de 3 pulgadas con linterna multifuncional y panel solar integrado.Altavoz Portátil con Linterna LED 4 Modos, Radio FM, Bluetooth, Carga Solar, Ideal para Apagones, Emergencias, Campo y Exteriores</t>
        </is>
      </c>
      <c r="H3206" s="16" t="inlineStr">
        <is>
          <t>NEGRO</t>
        </is>
      </c>
      <c r="I3206" s="16" t="n">
        <v>1</v>
      </c>
      <c r="J3206" s="17" t="n">
        <v>90</v>
      </c>
      <c r="K3206" s="17" t="n">
        <v>56.12</v>
      </c>
      <c r="L3206" s="17" t="n">
        <v>25.86</v>
      </c>
      <c r="M3206" s="17" t="n">
        <v>0</v>
      </c>
      <c r="N3206" s="17">
        <f>K3206*0.08+L3206*0.08</f>
        <v/>
      </c>
      <c r="O3206" s="17">
        <f>-(K3206*0.025+L3206*0.025)</f>
        <v/>
      </c>
      <c r="P3206" s="17">
        <f>32</f>
        <v/>
      </c>
      <c r="Q3206" s="17">
        <f>J3206+L3206+N3206+O3206-P3206-M3206</f>
        <v/>
      </c>
    </row>
    <row r="3207">
      <c r="A3207" s="16" t="inlineStr">
        <is>
          <t>5.29-6.4</t>
        </is>
      </c>
      <c r="B3207" s="16" t="inlineStr">
        <is>
          <t>PO-128-13395235861112687</t>
        </is>
      </c>
      <c r="C3207" s="16" t="inlineStr">
        <is>
          <t>Shipped</t>
        </is>
      </c>
      <c r="D3207" s="16" t="inlineStr">
        <is>
          <t>128-13395193918072687</t>
        </is>
      </c>
      <c r="E3207" s="16" t="inlineStr">
        <is>
          <t>Shipped</t>
        </is>
      </c>
      <c r="F3207" s="16" t="inlineStr">
        <is>
          <t>KTS-2031</t>
        </is>
      </c>
      <c r="G3207" s="16" t="inlineStr">
        <is>
          <t>Bocina inalámbrica de 3 pulgadas con linterna multifuncional y panel solar integrado.Altavoz Portátil con Linterna LED 4 Modos, Radio FM, Bluetooth, Carga Solar, Ideal para Apagones, Emergencias, Campo y Exteriores</t>
        </is>
      </c>
      <c r="H3207" s="16" t="inlineStr">
        <is>
          <t>NEGRO</t>
        </is>
      </c>
      <c r="I3207" s="16" t="n">
        <v>6</v>
      </c>
      <c r="J3207" s="17" t="n">
        <v>540</v>
      </c>
      <c r="K3207" s="17" t="n">
        <v>466.02</v>
      </c>
      <c r="L3207" s="17" t="n">
        <v>0</v>
      </c>
      <c r="M3207" s="17" t="n">
        <v>0</v>
      </c>
      <c r="N3207" s="17">
        <f>K3207*0.08+L3207*0.08</f>
        <v/>
      </c>
      <c r="O3207" s="17">
        <f>-(K3207*0.025+L3207*0.025)</f>
        <v/>
      </c>
      <c r="P3207" s="17">
        <f>32</f>
        <v/>
      </c>
      <c r="Q3207" s="17">
        <f>J3207+L3207+N3207+O3207-P3207-M3207</f>
        <v/>
      </c>
    </row>
    <row r="3208">
      <c r="A3208" s="16" t="inlineStr">
        <is>
          <t>5.29-6.4</t>
        </is>
      </c>
      <c r="B3208" s="16" t="inlineStr">
        <is>
          <t>PO-128-13557070459511592</t>
        </is>
      </c>
      <c r="C3208" s="16" t="inlineStr">
        <is>
          <t>Shipped</t>
        </is>
      </c>
      <c r="D3208" s="16" t="inlineStr">
        <is>
          <t>128-13557049487991592</t>
        </is>
      </c>
      <c r="E3208" s="16" t="inlineStr">
        <is>
          <t>Shipped</t>
        </is>
      </c>
      <c r="F3208" s="16" t="inlineStr">
        <is>
          <t>KTS-2031</t>
        </is>
      </c>
      <c r="G3208" s="16" t="inlineStr">
        <is>
          <t>Bocina inalámbrica de 3 pulgadas con linterna multifuncional y panel solar integrado.Altavoz Portátil con Linterna LED 4 Modos, Radio FM, Bluetooth, Carga Solar, Ideal para Apagones, Emergencias, Campo y Exteriores</t>
        </is>
      </c>
      <c r="H3208" s="16" t="inlineStr">
        <is>
          <t>NEGRO</t>
        </is>
      </c>
      <c r="I3208" s="16" t="n">
        <v>1</v>
      </c>
      <c r="J3208" s="17" t="n">
        <v>90</v>
      </c>
      <c r="K3208" s="17" t="n">
        <v>84.34</v>
      </c>
      <c r="L3208" s="17" t="n">
        <v>25.86</v>
      </c>
      <c r="M3208" s="17" t="n">
        <v>0</v>
      </c>
      <c r="N3208" s="17">
        <f>K3208*0.08+L3208*0.08</f>
        <v/>
      </c>
      <c r="O3208" s="17">
        <f>-(K3208*0.025+L3208*0.025)</f>
        <v/>
      </c>
      <c r="P3208" s="17">
        <f>32</f>
        <v/>
      </c>
      <c r="Q3208" s="17">
        <f>J3208+L3208+N3208+O3208-P3208-M3208</f>
        <v/>
      </c>
    </row>
    <row r="3209">
      <c r="A3209" s="16" t="inlineStr">
        <is>
          <t>5.29-6.4</t>
        </is>
      </c>
      <c r="B3209" s="16" t="inlineStr">
        <is>
          <t>PO-128-13309821604472170</t>
        </is>
      </c>
      <c r="C3209" s="16" t="inlineStr">
        <is>
          <t>Shipped</t>
        </is>
      </c>
      <c r="D3209" s="16" t="inlineStr">
        <is>
          <t>128-13309842575992170</t>
        </is>
      </c>
      <c r="E3209" s="16" t="inlineStr">
        <is>
          <t>Shipped</t>
        </is>
      </c>
      <c r="F3209" s="16" t="inlineStr">
        <is>
          <t>LV64W25</t>
        </is>
      </c>
      <c r="G32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09" s="16" t="inlineStr">
        <is>
          <t>Blanco</t>
        </is>
      </c>
      <c r="I3209" s="16" t="n">
        <v>3</v>
      </c>
      <c r="J3209" s="17" t="n">
        <v>375</v>
      </c>
      <c r="K3209" s="17" t="n">
        <v>386.82</v>
      </c>
      <c r="L3209" s="17" t="n">
        <v>0</v>
      </c>
      <c r="M3209" s="17" t="n">
        <v>0</v>
      </c>
      <c r="N3209" s="17">
        <f>K3209*0.08+L3209*0.08</f>
        <v/>
      </c>
      <c r="O3209" s="17">
        <f>-(K3209*0.025+L3209*0.025)</f>
        <v/>
      </c>
      <c r="P3209" s="17">
        <f>32</f>
        <v/>
      </c>
      <c r="Q3209" s="17">
        <f>J3209+L3209+N3209+O3209-P3209-M3209</f>
        <v/>
      </c>
    </row>
    <row r="3210">
      <c r="A3210" s="16" t="inlineStr">
        <is>
          <t>5.29-6.4</t>
        </is>
      </c>
      <c r="B3210" s="16" t="inlineStr">
        <is>
          <t>PO-128-13403671777911418</t>
        </is>
      </c>
      <c r="C3210" s="16" t="inlineStr">
        <is>
          <t>Shipped</t>
        </is>
      </c>
      <c r="D3210" s="16" t="inlineStr">
        <is>
          <t>128-13403724206711418</t>
        </is>
      </c>
      <c r="E3210" s="16" t="inlineStr">
        <is>
          <t>Shipped</t>
        </is>
      </c>
      <c r="F3210" s="16" t="inlineStr">
        <is>
          <t>LV64W25</t>
        </is>
      </c>
      <c r="G32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10" s="16" t="inlineStr">
        <is>
          <t>Blanco</t>
        </is>
      </c>
      <c r="I3210" s="16" t="n">
        <v>1</v>
      </c>
      <c r="J3210" s="17" t="n">
        <v>125</v>
      </c>
      <c r="K3210" s="17" t="n">
        <v>133.23</v>
      </c>
      <c r="L3210" s="17" t="n">
        <v>25.86</v>
      </c>
      <c r="M3210" s="17" t="n">
        <v>0</v>
      </c>
      <c r="N3210" s="17">
        <f>K3210*0.08+L3210*0.08</f>
        <v/>
      </c>
      <c r="O3210" s="17">
        <f>-(K3210*0.025+L3210*0.025)</f>
        <v/>
      </c>
      <c r="P3210" s="17">
        <f>32</f>
        <v/>
      </c>
      <c r="Q3210" s="17">
        <f>J3210+L3210+N3210+O3210-P3210-M3210</f>
        <v/>
      </c>
    </row>
    <row r="3211">
      <c r="A3211" s="16" t="inlineStr">
        <is>
          <t>5.29-6.4</t>
        </is>
      </c>
      <c r="B3211" s="16" t="inlineStr">
        <is>
          <t>PO-128-13578260900470442</t>
        </is>
      </c>
      <c r="C3211" s="16" t="inlineStr">
        <is>
          <t>Shipped</t>
        </is>
      </c>
      <c r="D3211" s="16" t="inlineStr">
        <is>
          <t>128-13578281871990442</t>
        </is>
      </c>
      <c r="E3211" s="16" t="inlineStr">
        <is>
          <t>Shipped</t>
        </is>
      </c>
      <c r="F3211" s="16" t="inlineStr">
        <is>
          <t>LV64W25</t>
        </is>
      </c>
      <c r="G32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11" s="16" t="inlineStr">
        <is>
          <t>Blanco</t>
        </is>
      </c>
      <c r="I3211" s="16" t="n">
        <v>5</v>
      </c>
      <c r="J3211" s="17" t="n">
        <v>625</v>
      </c>
      <c r="K3211" s="17" t="n">
        <v>666.15</v>
      </c>
      <c r="L3211" s="17" t="n">
        <v>0</v>
      </c>
      <c r="M3211" s="17" t="n">
        <v>0</v>
      </c>
      <c r="N3211" s="17">
        <f>K3211*0.08+L3211*0.08</f>
        <v/>
      </c>
      <c r="O3211" s="17">
        <f>-(K3211*0.025+L3211*0.025)</f>
        <v/>
      </c>
      <c r="P3211" s="17">
        <f>32</f>
        <v/>
      </c>
      <c r="Q3211" s="17">
        <f>J3211+L3211+N3211+O3211-P3211-M3211</f>
        <v/>
      </c>
    </row>
    <row r="3212">
      <c r="A3212" s="16" t="inlineStr">
        <is>
          <t>5.29-6.4</t>
        </is>
      </c>
      <c r="B3212" s="16" t="inlineStr">
        <is>
          <t>PO-128-13522830602871860</t>
        </is>
      </c>
      <c r="C3212" s="16" t="inlineStr">
        <is>
          <t>Shipped</t>
        </is>
      </c>
      <c r="D3212" s="16" t="inlineStr">
        <is>
          <t>128-13522841088631860</t>
        </is>
      </c>
      <c r="E3212" s="16" t="inlineStr">
        <is>
          <t>Shipped</t>
        </is>
      </c>
      <c r="F3212" s="16" t="inlineStr">
        <is>
          <t>LV54W25</t>
        </is>
      </c>
      <c r="G3212" s="16" t="inlineStr">
        <is>
          <t>TIANLAI Lámpara Ventilador E27 2 en 1, Silenciosa, LED Alta Luminosidad 180°, Instalación Rápida, Ahorro Energético para Dormitorio y Interiores Pequeños</t>
        </is>
      </c>
      <c r="H3212" s="16" t="inlineStr">
        <is>
          <t>1 Pieza</t>
        </is>
      </c>
      <c r="I3212" s="16" t="n">
        <v>1</v>
      </c>
      <c r="J3212" s="17" t="n">
        <v>78</v>
      </c>
      <c r="K3212" s="17" t="n">
        <v>89.68000000000001</v>
      </c>
      <c r="L3212" s="17" t="n">
        <v>25.86</v>
      </c>
      <c r="M3212" s="17" t="n">
        <v>0</v>
      </c>
      <c r="N3212" s="17">
        <f>K3212*0.08+L3212*0.08</f>
        <v/>
      </c>
      <c r="O3212" s="17">
        <f>-(K3212*0.025+L3212*0.025)</f>
        <v/>
      </c>
      <c r="P3212" s="17">
        <f>32</f>
        <v/>
      </c>
      <c r="Q3212" s="17">
        <f>J3212+L3212+N3212+O3212-P3212-M3212</f>
        <v/>
      </c>
    </row>
    <row r="3213">
      <c r="A3213" s="16" t="inlineStr">
        <is>
          <t>5.29-6.4</t>
        </is>
      </c>
      <c r="B3213" s="16" t="inlineStr">
        <is>
          <t>PO-128-13142470165113169</t>
        </is>
      </c>
      <c r="C3213" s="16" t="inlineStr">
        <is>
          <t>Shipped</t>
        </is>
      </c>
      <c r="D3213" s="16" t="inlineStr">
        <is>
          <t>128-13142575022713169</t>
        </is>
      </c>
      <c r="E3213" s="16" t="inlineStr">
        <is>
          <t>Shipped</t>
        </is>
      </c>
      <c r="F3213" s="16" t="inlineStr">
        <is>
          <t>KTS-2031</t>
        </is>
      </c>
      <c r="G3213" s="16" t="inlineStr">
        <is>
          <t>Bocina inalámbrica de 3 pulgadas con linterna multifuncional y panel solar integrado.Altavoz Portátil con Linterna LED 4 Modos, Radio FM, Bluetooth, Carga Solar, Ideal para Apagones, Emergencias, Campo y Exteriores</t>
        </is>
      </c>
      <c r="H3213" s="16" t="inlineStr">
        <is>
          <t>NEGRO</t>
        </is>
      </c>
      <c r="I3213" s="16" t="n">
        <v>3</v>
      </c>
      <c r="J3213" s="17" t="n">
        <v>270</v>
      </c>
      <c r="K3213" s="17" t="n">
        <v>297.66</v>
      </c>
      <c r="L3213" s="17" t="n">
        <v>0</v>
      </c>
      <c r="M3213" s="17" t="n">
        <v>0</v>
      </c>
      <c r="N3213" s="17">
        <f>K3213*0.08+L3213*0.08</f>
        <v/>
      </c>
      <c r="O3213" s="17">
        <f>-(K3213*0.025+L3213*0.025)</f>
        <v/>
      </c>
      <c r="P3213" s="17">
        <f>32</f>
        <v/>
      </c>
      <c r="Q3213" s="17">
        <f>J3213+L3213+N3213+O3213-P3213-M3213</f>
        <v/>
      </c>
    </row>
    <row r="3214">
      <c r="A3214" s="16" t="inlineStr">
        <is>
          <t>5.29-6.4</t>
        </is>
      </c>
      <c r="B3214" s="16" t="inlineStr">
        <is>
          <t>PO-128-13152421048954004</t>
        </is>
      </c>
      <c r="C3214" s="16" t="inlineStr">
        <is>
          <t>Shipped</t>
        </is>
      </c>
      <c r="D3214" s="16" t="inlineStr">
        <is>
          <t>128-13152426291834004</t>
        </is>
      </c>
      <c r="E3214" s="16" t="inlineStr">
        <is>
          <t>Shipped</t>
        </is>
      </c>
      <c r="F3214" s="16" t="inlineStr">
        <is>
          <t>LV54W25</t>
        </is>
      </c>
      <c r="G3214" s="16" t="inlineStr">
        <is>
          <t>TIANLAI Lámpara Ventilador E27 2 en 1, Silenciosa, LED Alta Luminosidad 180°, Instalación Rápida, Ahorro Energético para Dormitorio y Interiores Pequeños</t>
        </is>
      </c>
      <c r="H3214" s="16" t="inlineStr">
        <is>
          <t>1 Pieza</t>
        </is>
      </c>
      <c r="I3214" s="16" t="n">
        <v>4</v>
      </c>
      <c r="J3214" s="17" t="n">
        <v>312</v>
      </c>
      <c r="K3214" s="17" t="n">
        <v>330.04</v>
      </c>
      <c r="L3214" s="17" t="n">
        <v>0</v>
      </c>
      <c r="M3214" s="17" t="n">
        <v>0</v>
      </c>
      <c r="N3214" s="17">
        <f>K3214*0.08+L3214*0.08</f>
        <v/>
      </c>
      <c r="O3214" s="17">
        <f>-(K3214*0.025+L3214*0.025)</f>
        <v/>
      </c>
      <c r="P3214" s="17">
        <f>32</f>
        <v/>
      </c>
      <c r="Q3214" s="17">
        <f>J3214+L3214+N3214+O3214-P3214-M3214</f>
        <v/>
      </c>
    </row>
    <row r="3215">
      <c r="A3215" s="16" t="inlineStr">
        <is>
          <t>5.29-6.4</t>
        </is>
      </c>
      <c r="B3215" s="16" t="inlineStr">
        <is>
          <t>PO-128-13147758111353968</t>
        </is>
      </c>
      <c r="C3215" s="16" t="inlineStr">
        <is>
          <t>Shipped</t>
        </is>
      </c>
      <c r="D3215" s="16" t="inlineStr">
        <is>
          <t>128-13147670656633968</t>
        </is>
      </c>
      <c r="E3215" s="16" t="inlineStr">
        <is>
          <t>Shipped</t>
        </is>
      </c>
      <c r="F3215" s="16" t="inlineStr">
        <is>
          <t>KTS-2031</t>
        </is>
      </c>
      <c r="G3215" s="16" t="inlineStr">
        <is>
          <t>Bocina inalámbrica de 3 pulgadas con linterna multifuncional y panel solar integrado.Altavoz Portátil con Linterna LED 4 Modos, Radio FM, Bluetooth, Carga Solar, Ideal para Apagones, Emergencias, Campo y Exteriores</t>
        </is>
      </c>
      <c r="H3215" s="16" t="inlineStr">
        <is>
          <t>NEGRO</t>
        </is>
      </c>
      <c r="I3215" s="16" t="n">
        <v>1</v>
      </c>
      <c r="J3215" s="17" t="n">
        <v>90</v>
      </c>
      <c r="K3215" s="17" t="n">
        <v>99.22</v>
      </c>
      <c r="L3215" s="17" t="n">
        <v>0</v>
      </c>
      <c r="M3215" s="17" t="n">
        <v>0</v>
      </c>
      <c r="N3215" s="17">
        <f>K3215*0.08+L3215*0.08</f>
        <v/>
      </c>
      <c r="O3215" s="17">
        <f>-(K3215*0.025+L3215*0.025)</f>
        <v/>
      </c>
      <c r="P3215" s="17">
        <f>32</f>
        <v/>
      </c>
      <c r="Q3215" s="17">
        <f>J3215+L3215+N3215+O3215-P3215-M3215</f>
        <v/>
      </c>
    </row>
    <row r="3216">
      <c r="A3216" s="16" t="inlineStr">
        <is>
          <t>5.29-6.4</t>
        </is>
      </c>
      <c r="B3216" s="16" t="inlineStr">
        <is>
          <t>PO-128-13147758111353968</t>
        </is>
      </c>
      <c r="C3216" s="16" t="inlineStr">
        <is>
          <t>Shipped</t>
        </is>
      </c>
      <c r="D3216" s="16" t="inlineStr">
        <is>
          <t>128-13147737139833968</t>
        </is>
      </c>
      <c r="E3216" s="16" t="inlineStr">
        <is>
          <t>Shipped</t>
        </is>
      </c>
      <c r="F3216" s="16" t="inlineStr">
        <is>
          <t>KTS-2031</t>
        </is>
      </c>
      <c r="G3216" s="16" t="inlineStr">
        <is>
          <t>Bocina inalámbrica de 3 pulgadas con linterna multifuncional y panel solar integrado.Altavoz Portátil con Linterna LED 4 Modos, Radio FM, Bluetooth, Carga Solar, Ideal para Apagones, Emergencias, Campo y Exteriores</t>
        </is>
      </c>
      <c r="H3216" s="16" t="inlineStr">
        <is>
          <t>NEGRO</t>
        </is>
      </c>
      <c r="I3216" s="16" t="n">
        <v>3</v>
      </c>
      <c r="J3216" s="17" t="n">
        <v>270</v>
      </c>
      <c r="K3216" s="17" t="n">
        <v>271.8</v>
      </c>
      <c r="L3216" s="17" t="n">
        <v>0</v>
      </c>
      <c r="M3216" s="17" t="n">
        <v>0</v>
      </c>
      <c r="N3216" s="17">
        <f>K3216*0.08+L3216*0.08</f>
        <v/>
      </c>
      <c r="O3216" s="17">
        <f>-(K3216*0.025+L3216*0.025)</f>
        <v/>
      </c>
      <c r="P3216" s="17">
        <f>32</f>
        <v/>
      </c>
      <c r="Q3216" s="17">
        <f>J3216+L3216+N3216+O3216-P3216-M3216</f>
        <v/>
      </c>
    </row>
    <row r="3217">
      <c r="A3217" s="16" t="inlineStr">
        <is>
          <t>5.29-6.4</t>
        </is>
      </c>
      <c r="B3217" s="16" t="inlineStr">
        <is>
          <t>PO-128-13290168504952289</t>
        </is>
      </c>
      <c r="C3217" s="16" t="inlineStr">
        <is>
          <t>Shipped</t>
        </is>
      </c>
      <c r="D3217" s="16" t="inlineStr">
        <is>
          <t>128-13290220933752289</t>
        </is>
      </c>
      <c r="E3217" s="16" t="inlineStr">
        <is>
          <t>Shipped</t>
        </is>
      </c>
      <c r="F3217" s="16" t="inlineStr">
        <is>
          <t>LV54W25</t>
        </is>
      </c>
      <c r="G3217" s="16" t="inlineStr">
        <is>
          <t>TIANLAI Lámpara Ventilador E27 2 en 1, Silenciosa, LED Alta Luminosidad 180°, Instalación Rápida, Ahorro Energético para Dormitorio y Interiores Pequeños</t>
        </is>
      </c>
      <c r="H3217" s="16" t="inlineStr">
        <is>
          <t>1 Pieza</t>
        </is>
      </c>
      <c r="I3217" s="16" t="n">
        <v>2</v>
      </c>
      <c r="J3217" s="17" t="n">
        <v>156</v>
      </c>
      <c r="K3217" s="17" t="n">
        <v>165.02</v>
      </c>
      <c r="L3217" s="17" t="n">
        <v>25.86</v>
      </c>
      <c r="M3217" s="17" t="n">
        <v>0</v>
      </c>
      <c r="N3217" s="17">
        <f>K3217*0.08+L3217*0.08</f>
        <v/>
      </c>
      <c r="O3217" s="17">
        <f>-(K3217*0.025+L3217*0.025)</f>
        <v/>
      </c>
      <c r="P3217" s="17">
        <f>32</f>
        <v/>
      </c>
      <c r="Q3217" s="17">
        <f>J3217+L3217+N3217+O3217-P3217-M3217</f>
        <v/>
      </c>
    </row>
    <row r="3218">
      <c r="A3218" s="16" t="inlineStr">
        <is>
          <t>5.29-6.4</t>
        </is>
      </c>
      <c r="B3218" s="16" t="inlineStr">
        <is>
          <t>PO-128-13561253704311569</t>
        </is>
      </c>
      <c r="C3218" s="16" t="inlineStr">
        <is>
          <t>Shipped</t>
        </is>
      </c>
      <c r="D3218" s="16" t="inlineStr">
        <is>
          <t>128-13561264190071569</t>
        </is>
      </c>
      <c r="E3218" s="16" t="inlineStr">
        <is>
          <t>Shipped</t>
        </is>
      </c>
      <c r="F3218" s="16" t="inlineStr">
        <is>
          <t>KTS-2031</t>
        </is>
      </c>
      <c r="G3218" s="16" t="inlineStr">
        <is>
          <t>Bocina inalámbrica de 3 pulgadas con linterna multifuncional y panel solar integrado.Altavoz Portátil con Linterna LED 4 Modos, Radio FM, Bluetooth, Carga Solar, Ideal para Apagones, Emergencias, Campo y Exteriores</t>
        </is>
      </c>
      <c r="H3218" s="16" t="inlineStr">
        <is>
          <t>NEGRO</t>
        </is>
      </c>
      <c r="I3218" s="16" t="n">
        <v>2</v>
      </c>
      <c r="J3218" s="17" t="n">
        <v>180</v>
      </c>
      <c r="K3218" s="17" t="n">
        <v>198.44</v>
      </c>
      <c r="L3218" s="17" t="n">
        <v>25.86</v>
      </c>
      <c r="M3218" s="17" t="n">
        <v>0</v>
      </c>
      <c r="N3218" s="17">
        <f>K3218*0.08+L3218*0.08</f>
        <v/>
      </c>
      <c r="O3218" s="17">
        <f>-(K3218*0.025+L3218*0.025)</f>
        <v/>
      </c>
      <c r="P3218" s="17">
        <f>32</f>
        <v/>
      </c>
      <c r="Q3218" s="17">
        <f>J3218+L3218+N3218+O3218-P3218-M3218</f>
        <v/>
      </c>
    </row>
    <row r="3219">
      <c r="A3219" s="16" t="inlineStr">
        <is>
          <t>5.29-6.4</t>
        </is>
      </c>
      <c r="B3219" s="16" t="inlineStr">
        <is>
          <t>PO-128-13087636316793366</t>
        </is>
      </c>
      <c r="C3219" s="16" t="inlineStr">
        <is>
          <t>Shipped</t>
        </is>
      </c>
      <c r="D3219" s="16" t="inlineStr">
        <is>
          <t>128-13087615345273366</t>
        </is>
      </c>
      <c r="E3219" s="16" t="inlineStr">
        <is>
          <t>Shipped</t>
        </is>
      </c>
      <c r="F3219" s="16" t="inlineStr">
        <is>
          <t>KTS-2031</t>
        </is>
      </c>
      <c r="G3219" s="16" t="inlineStr">
        <is>
          <t>Bocina inalámbrica de 3 pulgadas con linterna multifuncional y panel solar integrado.Altavoz Portátil con Linterna LED 4 Modos, Radio FM, Bluetooth, Carga Solar, Ideal para Apagones, Emergencias, Campo y Exteriores</t>
        </is>
      </c>
      <c r="H3219" s="16" t="inlineStr">
        <is>
          <t>NEGRO</t>
        </is>
      </c>
      <c r="I3219" s="16" t="n">
        <v>1</v>
      </c>
      <c r="J3219" s="17" t="n">
        <v>90</v>
      </c>
      <c r="K3219" s="17" t="n">
        <v>99.22</v>
      </c>
      <c r="L3219" s="17" t="n">
        <v>25.86</v>
      </c>
      <c r="M3219" s="17" t="n">
        <v>0</v>
      </c>
      <c r="N3219" s="17">
        <f>K3219*0.08+L3219*0.08</f>
        <v/>
      </c>
      <c r="O3219" s="17">
        <f>-(K3219*0.025+L3219*0.025)</f>
        <v/>
      </c>
      <c r="P3219" s="17">
        <f>32</f>
        <v/>
      </c>
      <c r="Q3219" s="17">
        <f>J3219+L3219+N3219+O3219-P3219-M3219</f>
        <v/>
      </c>
    </row>
    <row r="3220">
      <c r="A3220" s="16" t="inlineStr">
        <is>
          <t>5.29-6.4</t>
        </is>
      </c>
      <c r="B3220" s="16" t="inlineStr">
        <is>
          <t>PO-128-13593088389750483</t>
        </is>
      </c>
      <c r="C3220" s="16" t="inlineStr">
        <is>
          <t>Shipped</t>
        </is>
      </c>
      <c r="D3220" s="16" t="inlineStr">
        <is>
          <t>128-13593224704630483</t>
        </is>
      </c>
      <c r="E3220" s="16" t="inlineStr">
        <is>
          <t>Shipped</t>
        </is>
      </c>
      <c r="F3220" s="16" t="inlineStr">
        <is>
          <t>LV54W25</t>
        </is>
      </c>
      <c r="G3220" s="16" t="inlineStr">
        <is>
          <t>TIANLAI Lámpara Ventilador E27 2 en 1, Silenciosa, LED Alta Luminosidad 180°, Instalación Rápida, Ahorro Energético para Dormitorio y Interiores Pequeños</t>
        </is>
      </c>
      <c r="H3220" s="16" t="inlineStr">
        <is>
          <t>1 Pieza</t>
        </is>
      </c>
      <c r="I3220" s="16" t="n">
        <v>3</v>
      </c>
      <c r="J3220" s="17" t="n">
        <v>234</v>
      </c>
      <c r="K3220" s="17" t="n">
        <v>251.12</v>
      </c>
      <c r="L3220" s="17" t="n">
        <v>0</v>
      </c>
      <c r="M3220" s="17" t="n">
        <v>0</v>
      </c>
      <c r="N3220" s="17">
        <f>K3220*0.08+L3220*0.08</f>
        <v/>
      </c>
      <c r="O3220" s="17">
        <f>-(K3220*0.025+L3220*0.025)</f>
        <v/>
      </c>
      <c r="P3220" s="17">
        <f>32</f>
        <v/>
      </c>
      <c r="Q3220" s="17">
        <f>J3220+L3220+N3220+O3220-P3220-M3220</f>
        <v/>
      </c>
    </row>
    <row r="3221">
      <c r="A3221" s="16" t="inlineStr">
        <is>
          <t>5.29-6.4</t>
        </is>
      </c>
      <c r="B3221" s="16" t="inlineStr">
        <is>
          <t>PO-128-13093185823353399</t>
        </is>
      </c>
      <c r="C3221" s="16" t="inlineStr">
        <is>
          <t>Shipped</t>
        </is>
      </c>
      <c r="D3221" s="16" t="inlineStr">
        <is>
          <t>128-13093164851833399</t>
        </is>
      </c>
      <c r="E3221" s="16" t="inlineStr">
        <is>
          <t>Shipped</t>
        </is>
      </c>
      <c r="F3221" s="16" t="inlineStr">
        <is>
          <t>LV54W25</t>
        </is>
      </c>
      <c r="G3221" s="16" t="inlineStr">
        <is>
          <t>TIANLAI Lámpara Ventilador E27 2 en 1, Silenciosa, LED Alta Luminosidad 180°, Instalación Rápida, Ahorro Energético para Dormitorio y Interiores Pequeños</t>
        </is>
      </c>
      <c r="H3221" s="16" t="inlineStr">
        <is>
          <t>1 Pieza</t>
        </is>
      </c>
      <c r="I3221" s="16" t="n">
        <v>1</v>
      </c>
      <c r="J3221" s="17" t="n">
        <v>74</v>
      </c>
      <c r="K3221" s="17" t="n">
        <v>61.86</v>
      </c>
      <c r="L3221" s="17" t="n">
        <v>25.86</v>
      </c>
      <c r="M3221" s="17" t="n">
        <v>0</v>
      </c>
      <c r="N3221" s="17">
        <f>K3221*0.08+L3221*0.08</f>
        <v/>
      </c>
      <c r="O3221" s="17">
        <f>-(K3221*0.025+L3221*0.025)</f>
        <v/>
      </c>
      <c r="P3221" s="17">
        <f>32</f>
        <v/>
      </c>
      <c r="Q3221" s="17">
        <f>J3221+L3221+N3221+O3221-P3221-M3221</f>
        <v/>
      </c>
    </row>
    <row r="3222">
      <c r="A3222" s="16" t="inlineStr">
        <is>
          <t>5.29-6.4</t>
        </is>
      </c>
      <c r="B3222" s="16" t="inlineStr">
        <is>
          <t>PO-128-13340743030392819</t>
        </is>
      </c>
      <c r="C3222" s="16" t="inlineStr">
        <is>
          <t>Shipped</t>
        </is>
      </c>
      <c r="D3222" s="16" t="inlineStr">
        <is>
          <t>128-13340902938232819</t>
        </is>
      </c>
      <c r="E3222" s="16" t="inlineStr">
        <is>
          <t>Shipped</t>
        </is>
      </c>
      <c r="F3222" s="16" t="inlineStr">
        <is>
          <t>LV54W25</t>
        </is>
      </c>
      <c r="G3222" s="16" t="inlineStr">
        <is>
          <t>TIANLAI Lámpara Ventilador E27 2 en 1, Silenciosa, LED Alta Luminosidad 180°, Instalación Rápida, Ahorro Energético para Dormitorio y Interiores Pequeños</t>
        </is>
      </c>
      <c r="H3222" s="16" t="inlineStr">
        <is>
          <t>1 Pieza</t>
        </is>
      </c>
      <c r="I3222" s="16" t="n">
        <v>2</v>
      </c>
      <c r="J3222" s="17" t="n">
        <v>148</v>
      </c>
      <c r="K3222" s="17" t="n">
        <v>71.48</v>
      </c>
      <c r="L3222" s="17" t="n">
        <v>25.86</v>
      </c>
      <c r="M3222" s="17" t="n">
        <v>0</v>
      </c>
      <c r="N3222" s="17">
        <f>K3222*0.08+L3222*0.08</f>
        <v/>
      </c>
      <c r="O3222" s="17">
        <f>-(K3222*0.025+L3222*0.025)</f>
        <v/>
      </c>
      <c r="P3222" s="17">
        <f>32</f>
        <v/>
      </c>
      <c r="Q3222" s="17">
        <f>J3222+L3222+N3222+O3222-P3222-M3222</f>
        <v/>
      </c>
    </row>
    <row r="3223">
      <c r="A3223" s="16" t="inlineStr">
        <is>
          <t>5.29-6.4</t>
        </is>
      </c>
      <c r="B3223" s="16" t="inlineStr">
        <is>
          <t>PO-128-13458206398071223</t>
        </is>
      </c>
      <c r="C3223" s="16" t="inlineStr">
        <is>
          <t>Shipped</t>
        </is>
      </c>
      <c r="D3223" s="16" t="inlineStr">
        <is>
          <t>128-13458190669431223</t>
        </is>
      </c>
      <c r="E3223" s="16" t="inlineStr">
        <is>
          <t>Shipped</t>
        </is>
      </c>
      <c r="F3223" s="16" t="inlineStr">
        <is>
          <t>KTS-2031</t>
        </is>
      </c>
      <c r="G3223" s="16" t="inlineStr">
        <is>
          <t>Bocina inalámbrica de 3 pulgadas con linterna multifuncional y panel solar integrado.Altavoz Portátil con Linterna LED 4 Modos, Radio FM, Bluetooth, Carga Solar, Ideal para Apagones, Emergencias, Campo y Exteriores</t>
        </is>
      </c>
      <c r="H3223" s="16" t="inlineStr">
        <is>
          <t>NEGRO</t>
        </is>
      </c>
      <c r="I3223" s="16" t="n">
        <v>3</v>
      </c>
      <c r="J3223" s="17" t="n">
        <v>264</v>
      </c>
      <c r="K3223" s="17" t="n">
        <v>291.66</v>
      </c>
      <c r="L3223" s="17" t="n">
        <v>0</v>
      </c>
      <c r="M3223" s="17" t="n">
        <v>0</v>
      </c>
      <c r="N3223" s="17">
        <f>K3223*0.08+L3223*0.08</f>
        <v/>
      </c>
      <c r="O3223" s="17">
        <f>-(K3223*0.025+L3223*0.025)</f>
        <v/>
      </c>
      <c r="P3223" s="17">
        <f>32</f>
        <v/>
      </c>
      <c r="Q3223" s="17">
        <f>J3223+L3223+N3223+O3223-P3223-M3223</f>
        <v/>
      </c>
    </row>
    <row r="3224">
      <c r="A3224" s="16" t="inlineStr">
        <is>
          <t>5.29-6.4</t>
        </is>
      </c>
      <c r="B3224" s="16" t="inlineStr">
        <is>
          <t>PO-128-13180052357753905</t>
        </is>
      </c>
      <c r="C3224" s="16" t="inlineStr">
        <is>
          <t>Shipped</t>
        </is>
      </c>
      <c r="D3224" s="16" t="inlineStr">
        <is>
          <t>128-13180041871993905</t>
        </is>
      </c>
      <c r="E3224" s="16" t="inlineStr">
        <is>
          <t>Shipped</t>
        </is>
      </c>
      <c r="F3224" s="16" t="inlineStr">
        <is>
          <t>KTS-2031</t>
        </is>
      </c>
      <c r="G3224" s="16" t="inlineStr">
        <is>
          <t>Bocina inalámbrica de 3 pulgadas con linterna multifuncional y panel solar integrado.Altavoz Portátil con Linterna LED 4 Modos, Radio FM, Bluetooth, Carga Solar, Ideal para Apagones, Emergencias, Campo y Exteriores</t>
        </is>
      </c>
      <c r="H3224" s="16" t="inlineStr">
        <is>
          <t>NEGRO</t>
        </is>
      </c>
      <c r="I3224" s="16" t="n">
        <v>1</v>
      </c>
      <c r="J3224" s="17" t="n">
        <v>88</v>
      </c>
      <c r="K3224" s="17" t="n">
        <v>97.22</v>
      </c>
      <c r="L3224" s="17" t="n">
        <v>25.86</v>
      </c>
      <c r="M3224" s="17" t="n">
        <v>0</v>
      </c>
      <c r="N3224" s="17">
        <f>K3224*0.08+L3224*0.08</f>
        <v/>
      </c>
      <c r="O3224" s="17">
        <f>-(K3224*0.025+L3224*0.025)</f>
        <v/>
      </c>
      <c r="P3224" s="17">
        <f>32</f>
        <v/>
      </c>
      <c r="Q3224" s="17">
        <f>J3224+L3224+N3224+O3224-P3224-M3224</f>
        <v/>
      </c>
    </row>
    <row r="3225">
      <c r="A3225" s="16" t="inlineStr">
        <is>
          <t>5.29-6.4</t>
        </is>
      </c>
      <c r="B3225" s="16" t="inlineStr">
        <is>
          <t>PO-128-13333331548793054</t>
        </is>
      </c>
      <c r="C3225" s="16" t="inlineStr">
        <is>
          <t>Shipped</t>
        </is>
      </c>
      <c r="D3225" s="16" t="inlineStr">
        <is>
          <t>128-13333289605753054</t>
        </is>
      </c>
      <c r="E3225" s="16" t="inlineStr">
        <is>
          <t>Shipped</t>
        </is>
      </c>
      <c r="F3225" s="16" t="inlineStr">
        <is>
          <t>LV64W25</t>
        </is>
      </c>
      <c r="G32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25" s="16" t="inlineStr">
        <is>
          <t>Blanco</t>
        </is>
      </c>
      <c r="I3225" s="16" t="n">
        <v>2</v>
      </c>
      <c r="J3225" s="17" t="n">
        <v>238</v>
      </c>
      <c r="K3225" s="17" t="n">
        <v>247.08</v>
      </c>
      <c r="L3225" s="17" t="n">
        <v>0</v>
      </c>
      <c r="M3225" s="17" t="n">
        <v>0</v>
      </c>
      <c r="N3225" s="17">
        <f>K3225*0.08+L3225*0.08</f>
        <v/>
      </c>
      <c r="O3225" s="17">
        <f>-(K3225*0.025+L3225*0.025)</f>
        <v/>
      </c>
      <c r="P3225" s="17">
        <f>32</f>
        <v/>
      </c>
      <c r="Q3225" s="17">
        <f>J3225+L3225+N3225+O3225-P3225-M3225</f>
        <v/>
      </c>
    </row>
    <row r="3226">
      <c r="A3226" s="16" t="inlineStr">
        <is>
          <t>5.29-6.4</t>
        </is>
      </c>
      <c r="B3226" s="16" t="inlineStr">
        <is>
          <t>PO-128-13149950444154021</t>
        </is>
      </c>
      <c r="C3226" s="16" t="inlineStr">
        <is>
          <t>Shipped</t>
        </is>
      </c>
      <c r="D3226" s="16" t="inlineStr">
        <is>
          <t>128-13149960929914021</t>
        </is>
      </c>
      <c r="E3226" s="16" t="inlineStr">
        <is>
          <t>Shipped</t>
        </is>
      </c>
      <c r="F3226" s="16" t="inlineStr">
        <is>
          <t>LV54W25</t>
        </is>
      </c>
      <c r="G3226" s="16" t="inlineStr">
        <is>
          <t>TIANLAI Lámpara Ventilador E27 2 en 1, Silenciosa, LED Alta Luminosidad 180°, Instalación Rápida, Ahorro Energético para Dormitorio y Interiores Pequeños</t>
        </is>
      </c>
      <c r="H3226" s="16" t="inlineStr">
        <is>
          <t>1 Pieza</t>
        </is>
      </c>
      <c r="I3226" s="16" t="n">
        <v>1</v>
      </c>
      <c r="J3226" s="17" t="n">
        <v>74</v>
      </c>
      <c r="K3226" s="17" t="n">
        <v>77.12</v>
      </c>
      <c r="L3226" s="17" t="n">
        <v>25.86</v>
      </c>
      <c r="M3226" s="17" t="n">
        <v>0</v>
      </c>
      <c r="N3226" s="17">
        <f>K3226*0.08+L3226*0.08</f>
        <v/>
      </c>
      <c r="O3226" s="17">
        <f>-(K3226*0.025+L3226*0.025)</f>
        <v/>
      </c>
      <c r="P3226" s="17">
        <f>32</f>
        <v/>
      </c>
      <c r="Q3226" s="17">
        <f>J3226+L3226+N3226+O3226-P3226-M3226</f>
        <v/>
      </c>
    </row>
    <row r="3227">
      <c r="A3227" s="16" t="inlineStr">
        <is>
          <t>5.29-6.4</t>
        </is>
      </c>
      <c r="B3227" s="16" t="inlineStr">
        <is>
          <t>PO-128-13129155748473121</t>
        </is>
      </c>
      <c r="C3227" s="16" t="inlineStr">
        <is>
          <t>Shipped</t>
        </is>
      </c>
      <c r="D3227" s="16" t="inlineStr">
        <is>
          <t>128-13129113805433121</t>
        </is>
      </c>
      <c r="E3227" s="16" t="inlineStr">
        <is>
          <t>Shipped</t>
        </is>
      </c>
      <c r="F3227" s="16" t="inlineStr">
        <is>
          <t>LV54W25</t>
        </is>
      </c>
      <c r="G3227" s="16" t="inlineStr">
        <is>
          <t>TIANLAI Lámpara Ventilador E27 2 en 1, Silenciosa, LED Alta Luminosidad 180°, Instalación Rápida, Ahorro Energético para Dormitorio y Interiores Pequeños</t>
        </is>
      </c>
      <c r="H3227" s="16" t="inlineStr">
        <is>
          <t>1 Pieza</t>
        </is>
      </c>
      <c r="I3227" s="16" t="n">
        <v>1</v>
      </c>
      <c r="J3227" s="17" t="n">
        <v>74</v>
      </c>
      <c r="K3227" s="17" t="n">
        <v>77.12</v>
      </c>
      <c r="L3227" s="17" t="n">
        <v>25.86</v>
      </c>
      <c r="M3227" s="17" t="n">
        <v>0</v>
      </c>
      <c r="N3227" s="17">
        <f>K3227*0.08+L3227*0.08</f>
        <v/>
      </c>
      <c r="O3227" s="17">
        <f>-(K3227*0.025+L3227*0.025)</f>
        <v/>
      </c>
      <c r="P3227" s="17">
        <f>32</f>
        <v/>
      </c>
      <c r="Q3227" s="17">
        <f>J3227+L3227+N3227+O3227-P3227-M3227</f>
        <v/>
      </c>
    </row>
    <row r="3228">
      <c r="A3228" s="16" t="inlineStr">
        <is>
          <t>5.29-6.4</t>
        </is>
      </c>
      <c r="B3228" s="16" t="inlineStr">
        <is>
          <t>PO-128-02492427722871942</t>
        </is>
      </c>
      <c r="C3228" s="16" t="inlineStr">
        <is>
          <t>Shipped</t>
        </is>
      </c>
      <c r="D3228" s="16" t="inlineStr">
        <is>
          <t>128-02492587630711942</t>
        </is>
      </c>
      <c r="E3228" s="16" t="inlineStr">
        <is>
          <t>Shipped</t>
        </is>
      </c>
      <c r="F3228" s="16" t="inlineStr">
        <is>
          <t>LV54W25</t>
        </is>
      </c>
      <c r="G3228" s="16" t="inlineStr">
        <is>
          <t>TIANLAI Lámpara Ventilador E27 2 en 1, Silenciosa, LED Alta Luminosidad 180°, Instalación Rápida, Ahorro Energético para Dormitorio y Interiores Pequeños</t>
        </is>
      </c>
      <c r="H3228" s="16" t="inlineStr">
        <is>
          <t>1 Pieza</t>
        </is>
      </c>
      <c r="I3228" s="16" t="n">
        <v>1</v>
      </c>
      <c r="J3228" s="17" t="n">
        <v>74</v>
      </c>
      <c r="K3228" s="17" t="n">
        <v>78.83</v>
      </c>
      <c r="L3228" s="17" t="n">
        <v>25.86</v>
      </c>
      <c r="M3228" s="17" t="n">
        <v>0</v>
      </c>
      <c r="N3228" s="17">
        <f>K3228*0.08+L3228*0.08</f>
        <v/>
      </c>
      <c r="O3228" s="17">
        <f>-(K3228*0.025+L3228*0.025)</f>
        <v/>
      </c>
      <c r="P3228" s="17">
        <f>32</f>
        <v/>
      </c>
      <c r="Q3228" s="17">
        <f>J3228+L3228+N3228+O3228-P3228-M3228</f>
        <v/>
      </c>
    </row>
    <row r="3229">
      <c r="A3229" s="16" t="inlineStr">
        <is>
          <t>5.29-6.4</t>
        </is>
      </c>
      <c r="B3229" s="16" t="inlineStr">
        <is>
          <t>PO-128-02687353065590783</t>
        </is>
      </c>
      <c r="C3229" s="16" t="inlineStr">
        <is>
          <t>Shipped</t>
        </is>
      </c>
      <c r="D3229" s="16" t="inlineStr">
        <is>
          <t>128-02687311122550783</t>
        </is>
      </c>
      <c r="E3229" s="16" t="inlineStr">
        <is>
          <t>Shipped</t>
        </is>
      </c>
      <c r="F3229" s="16" t="inlineStr">
        <is>
          <t>KTS-2031</t>
        </is>
      </c>
      <c r="G3229" s="16" t="inlineStr">
        <is>
          <t>Bocina inalámbrica de 3 pulgadas con linterna multifuncional y panel solar integrado.Altavoz Portátil con Linterna LED 4 Modos, Radio FM, Bluetooth, Carga Solar, Ideal para Apagones, Emergencias, Campo y Exteriores</t>
        </is>
      </c>
      <c r="H3229" s="16" t="inlineStr">
        <is>
          <t>NEGRO</t>
        </is>
      </c>
      <c r="I3229" s="16" t="n">
        <v>1</v>
      </c>
      <c r="J3229" s="17" t="n">
        <v>88</v>
      </c>
      <c r="K3229" s="17" t="n">
        <v>97.22</v>
      </c>
      <c r="L3229" s="17" t="n">
        <v>25.86</v>
      </c>
      <c r="M3229" s="17" t="n">
        <v>0</v>
      </c>
      <c r="N3229" s="17">
        <f>K3229*0.08+L3229*0.08</f>
        <v/>
      </c>
      <c r="O3229" s="17">
        <f>-(K3229*0.025+L3229*0.025)</f>
        <v/>
      </c>
      <c r="P3229" s="17">
        <f>32</f>
        <v/>
      </c>
      <c r="Q3229" s="17">
        <f>J3229+L3229+N3229+O3229-P3229-M3229</f>
        <v/>
      </c>
    </row>
    <row r="3230">
      <c r="A3230" s="16" t="inlineStr">
        <is>
          <t>5.29-6.4</t>
        </is>
      </c>
      <c r="B3230" s="16" t="inlineStr">
        <is>
          <t>PO-128-02215446372473595</t>
        </is>
      </c>
      <c r="C3230" s="16" t="inlineStr">
        <is>
          <t>Shipped</t>
        </is>
      </c>
      <c r="D3230" s="16" t="inlineStr">
        <is>
          <t>128-02215456858233595</t>
        </is>
      </c>
      <c r="E3230" s="16" t="inlineStr">
        <is>
          <t>Shipped</t>
        </is>
      </c>
      <c r="F3230" s="16" t="inlineStr">
        <is>
          <t>BSC07</t>
        </is>
      </c>
      <c r="G3230" s="16" t="inlineStr">
        <is>
          <t>TIANLAI Báscula Digital BSC04/BSC07, Alta Precisión, Fácil Operación, Ligera y Portátil, Función Tara, Unidad Dual oz/g, Ideal para Cocina, Control de Porciones, Sellos y Objetos Pequeños, Uso en Hogar y Viaje</t>
        </is>
      </c>
      <c r="H3230" s="16" t="inlineStr">
        <is>
          <t>1g/White</t>
        </is>
      </c>
      <c r="I3230" s="16" t="n">
        <v>1</v>
      </c>
      <c r="J3230" s="17" t="n">
        <v>35</v>
      </c>
      <c r="K3230" s="17" t="n">
        <v>47.22</v>
      </c>
      <c r="L3230" s="17" t="n">
        <v>25.86</v>
      </c>
      <c r="M3230" s="17" t="n">
        <v>0</v>
      </c>
      <c r="N3230" s="17">
        <f>K3230*0.08+L3230*0.08</f>
        <v/>
      </c>
      <c r="O3230" s="17">
        <f>-(K3230*0.025+L3230*0.025)</f>
        <v/>
      </c>
      <c r="P3230" s="17">
        <f>32</f>
        <v/>
      </c>
      <c r="Q3230" s="17">
        <f>J3230+L3230+N3230+O3230-P3230-M3230</f>
        <v/>
      </c>
    </row>
    <row r="3231">
      <c r="A3231" s="16" t="inlineStr">
        <is>
          <t>5.29-6.4</t>
        </is>
      </c>
      <c r="B3231" s="16" t="inlineStr">
        <is>
          <t>PO-128-02458211397751186</t>
        </is>
      </c>
      <c r="C3231" s="16" t="inlineStr">
        <is>
          <t>Shipped</t>
        </is>
      </c>
      <c r="D3231" s="16" t="inlineStr">
        <is>
          <t>128-02458347712631186</t>
        </is>
      </c>
      <c r="E3231" s="16" t="inlineStr">
        <is>
          <t>Shipped</t>
        </is>
      </c>
      <c r="F3231" s="16" t="inlineStr">
        <is>
          <t>TLCD01-4P-nN</t>
        </is>
      </c>
      <c r="G32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231" s="16" t="inlineStr">
        <is>
          <t>NEGRO/pantalla de 4.5 pulgadas</t>
        </is>
      </c>
      <c r="I3231" s="16" t="n">
        <v>1</v>
      </c>
      <c r="J3231" s="17" t="n">
        <v>19</v>
      </c>
      <c r="K3231" s="17" t="n">
        <v>18.1</v>
      </c>
      <c r="L3231" s="17" t="n">
        <v>0</v>
      </c>
      <c r="M3231" s="17" t="n">
        <v>0</v>
      </c>
      <c r="N3231" s="17">
        <f>K3231*0.08+L3231*0.08</f>
        <v/>
      </c>
      <c r="O3231" s="17">
        <f>-(K3231*0.025+L3231*0.025)</f>
        <v/>
      </c>
      <c r="P3231" s="17">
        <f>32</f>
        <v/>
      </c>
      <c r="Q3231" s="17">
        <f>J3231+L3231+N3231+O3231-P3231-M3231</f>
        <v/>
      </c>
    </row>
    <row r="3232">
      <c r="A3232" s="16" t="inlineStr">
        <is>
          <t>5.29-6.4</t>
        </is>
      </c>
      <c r="B3232" s="16" t="inlineStr">
        <is>
          <t>PO-128-02458211397751186</t>
        </is>
      </c>
      <c r="C3232" s="16" t="inlineStr">
        <is>
          <t>Shipped</t>
        </is>
      </c>
      <c r="D3232" s="16" t="inlineStr">
        <is>
          <t>128-02458305769591186</t>
        </is>
      </c>
      <c r="E3232" s="16" t="inlineStr">
        <is>
          <t>Shipped</t>
        </is>
      </c>
      <c r="F3232" s="16" t="inlineStr">
        <is>
          <t>B03W10-10PZS</t>
        </is>
      </c>
      <c r="G323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232" s="16" t="inlineStr">
        <is>
          <t>B03W10</t>
        </is>
      </c>
      <c r="I3232" s="16" t="n">
        <v>3</v>
      </c>
      <c r="J3232" s="17" t="n">
        <v>198</v>
      </c>
      <c r="K3232" s="17" t="n">
        <v>170.51</v>
      </c>
      <c r="L3232" s="17" t="n">
        <v>0</v>
      </c>
      <c r="M3232" s="17" t="n">
        <v>0</v>
      </c>
      <c r="N3232" s="17">
        <f>K3232*0.08+L3232*0.08</f>
        <v/>
      </c>
      <c r="O3232" s="17">
        <f>-(K3232*0.025+L3232*0.025)</f>
        <v/>
      </c>
      <c r="P3232" s="17">
        <f>32</f>
        <v/>
      </c>
      <c r="Q3232" s="17">
        <f>J3232+L3232+N3232+O3232-P3232-M3232</f>
        <v/>
      </c>
    </row>
    <row r="3233">
      <c r="A3233" s="16" t="inlineStr">
        <is>
          <t>5.29-6.4</t>
        </is>
      </c>
      <c r="B3233" s="16" t="inlineStr">
        <is>
          <t>PO-128-02735980388470557</t>
        </is>
      </c>
      <c r="C3233" s="16" t="inlineStr">
        <is>
          <t>Shipped</t>
        </is>
      </c>
      <c r="D3233" s="16" t="inlineStr">
        <is>
          <t>128-02736011845750557</t>
        </is>
      </c>
      <c r="E3233" s="16" t="inlineStr">
        <is>
          <t>Shipped</t>
        </is>
      </c>
      <c r="F3233" s="16" t="inlineStr">
        <is>
          <t>LV54W25</t>
        </is>
      </c>
      <c r="G3233" s="16" t="inlineStr">
        <is>
          <t>TIANLAI Lámpara Ventilador E27 2 en 1, Silenciosa, LED Alta Luminosidad 180°, Instalación Rápida, Ahorro Energético para Dormitorio y Interiores Pequeños</t>
        </is>
      </c>
      <c r="H3233" s="16" t="inlineStr">
        <is>
          <t>1 Pieza</t>
        </is>
      </c>
      <c r="I3233" s="16" t="n">
        <v>1</v>
      </c>
      <c r="J3233" s="17" t="n">
        <v>74</v>
      </c>
      <c r="K3233" s="17" t="n">
        <v>85.68000000000001</v>
      </c>
      <c r="L3233" s="17" t="n">
        <v>25.86</v>
      </c>
      <c r="M3233" s="17" t="n">
        <v>0</v>
      </c>
      <c r="N3233" s="17">
        <f>K3233*0.08+L3233*0.08</f>
        <v/>
      </c>
      <c r="O3233" s="17">
        <f>-(K3233*0.025+L3233*0.025)</f>
        <v/>
      </c>
      <c r="P3233" s="17">
        <f>32</f>
        <v/>
      </c>
      <c r="Q3233" s="17">
        <f>J3233+L3233+N3233+O3233-P3233-M3233</f>
        <v/>
      </c>
    </row>
    <row r="3234">
      <c r="A3234" s="16" t="inlineStr">
        <is>
          <t>5.29-6.4</t>
        </is>
      </c>
      <c r="B3234" s="16" t="inlineStr">
        <is>
          <t>PO-128-02469108682871251</t>
        </is>
      </c>
      <c r="C3234" s="16" t="inlineStr">
        <is>
          <t>Shipped</t>
        </is>
      </c>
      <c r="D3234" s="16" t="inlineStr">
        <is>
          <t>128-02469155868791251</t>
        </is>
      </c>
      <c r="E3234" s="16" t="inlineStr">
        <is>
          <t>Shipped</t>
        </is>
      </c>
      <c r="F3234" s="16" t="inlineStr">
        <is>
          <t>LV64W25</t>
        </is>
      </c>
      <c r="G32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34" s="16" t="inlineStr">
        <is>
          <t>Blanco</t>
        </is>
      </c>
      <c r="I3234" s="16" t="n">
        <v>1</v>
      </c>
      <c r="J3234" s="17" t="n">
        <v>119</v>
      </c>
      <c r="K3234" s="17" t="n">
        <v>123.54</v>
      </c>
      <c r="L3234" s="17" t="n">
        <v>15.92</v>
      </c>
      <c r="M3234" s="17" t="n">
        <v>0</v>
      </c>
      <c r="N3234" s="17">
        <f>K3234*0.08+L3234*0.08</f>
        <v/>
      </c>
      <c r="O3234" s="17">
        <f>-(K3234*0.025+L3234*0.025)</f>
        <v/>
      </c>
      <c r="P3234" s="17">
        <f>32</f>
        <v/>
      </c>
      <c r="Q3234" s="17">
        <f>J3234+L3234+N3234+O3234-P3234-M3234</f>
        <v/>
      </c>
    </row>
    <row r="3235">
      <c r="A3235" s="16" t="inlineStr">
        <is>
          <t>5.29-6.4</t>
        </is>
      </c>
      <c r="B3235" s="16" t="inlineStr">
        <is>
          <t>PO-128-02469108682871251</t>
        </is>
      </c>
      <c r="C3235" s="16" t="inlineStr">
        <is>
          <t>Shipped</t>
        </is>
      </c>
      <c r="D3235" s="16" t="inlineStr">
        <is>
          <t>128-02469134897271251</t>
        </is>
      </c>
      <c r="E3235" s="16" t="inlineStr">
        <is>
          <t>Shipped</t>
        </is>
      </c>
      <c r="F3235" s="16" t="inlineStr">
        <is>
          <t>LV54W25</t>
        </is>
      </c>
      <c r="G3235" s="16" t="inlineStr">
        <is>
          <t>TIANLAI Lámpara Ventilador E27 2 en 1, Silenciosa, LED Alta Luminosidad 180°, Instalación Rápida, Ahorro Energético para Dormitorio y Interiores Pequeños</t>
        </is>
      </c>
      <c r="H3235" s="16" t="inlineStr">
        <is>
          <t>1 Pieza</t>
        </is>
      </c>
      <c r="I3235" s="16" t="n">
        <v>1</v>
      </c>
      <c r="J3235" s="17" t="n">
        <v>74</v>
      </c>
      <c r="K3235" s="17" t="n">
        <v>77.12</v>
      </c>
      <c r="L3235" s="17" t="n">
        <v>9.94</v>
      </c>
      <c r="M3235" s="17" t="n">
        <v>0</v>
      </c>
      <c r="N3235" s="17">
        <f>K3235*0.08+L3235*0.08</f>
        <v/>
      </c>
      <c r="O3235" s="17">
        <f>-(K3235*0.025+L3235*0.025)</f>
        <v/>
      </c>
      <c r="P3235" s="17">
        <f>32</f>
        <v/>
      </c>
      <c r="Q3235" s="17">
        <f>J3235+L3235+N3235+O3235-P3235-M3235</f>
        <v/>
      </c>
    </row>
    <row r="3236">
      <c r="A3236" s="16" t="inlineStr">
        <is>
          <t>5.29-6.4</t>
        </is>
      </c>
      <c r="B3236" s="16" t="inlineStr">
        <is>
          <t>PO-128-02439074906231364</t>
        </is>
      </c>
      <c r="C3236" s="16" t="inlineStr">
        <is>
          <t>Shipped</t>
        </is>
      </c>
      <c r="D3236" s="16" t="inlineStr">
        <is>
          <t>128-02439098499191364</t>
        </is>
      </c>
      <c r="E3236" s="16" t="inlineStr">
        <is>
          <t>Shipped</t>
        </is>
      </c>
      <c r="F3236" s="16" t="inlineStr">
        <is>
          <t>KTS-2031</t>
        </is>
      </c>
      <c r="G3236" s="16" t="inlineStr">
        <is>
          <t>Bocina inalámbrica de 3 pulgadas con linterna multifuncional y panel solar integrado.Altavoz Portátil con Linterna LED 4 Modos, Radio FM, Bluetooth, Carga Solar, Ideal para Apagones, Emergencias, Campo y Exteriores</t>
        </is>
      </c>
      <c r="H3236" s="16" t="inlineStr">
        <is>
          <t>NEGRO</t>
        </is>
      </c>
      <c r="I3236" s="16" t="n">
        <v>1</v>
      </c>
      <c r="J3236" s="17" t="n">
        <v>88</v>
      </c>
      <c r="K3236" s="17" t="n">
        <v>97.22</v>
      </c>
      <c r="L3236" s="17" t="n">
        <v>25.86</v>
      </c>
      <c r="M3236" s="17" t="n">
        <v>0</v>
      </c>
      <c r="N3236" s="17">
        <f>K3236*0.08+L3236*0.08</f>
        <v/>
      </c>
      <c r="O3236" s="17">
        <f>-(K3236*0.025+L3236*0.025)</f>
        <v/>
      </c>
      <c r="P3236" s="17">
        <f>32</f>
        <v/>
      </c>
      <c r="Q3236" s="17">
        <f>J3236+L3236+N3236+O3236-P3236-M3236</f>
        <v/>
      </c>
    </row>
    <row r="3237">
      <c r="A3237" s="16" t="inlineStr">
        <is>
          <t>5.29-6.4</t>
        </is>
      </c>
      <c r="B3237" s="16" t="inlineStr">
        <is>
          <t>PO-128-02571956339831660</t>
        </is>
      </c>
      <c r="C3237" s="16" t="inlineStr">
        <is>
          <t>Shipped</t>
        </is>
      </c>
      <c r="D3237" s="16" t="inlineStr">
        <is>
          <t>128-02572108383351660</t>
        </is>
      </c>
      <c r="E3237" s="16" t="inlineStr">
        <is>
          <t>Shipped</t>
        </is>
      </c>
      <c r="F3237" s="16" t="inlineStr">
        <is>
          <t>VB349T</t>
        </is>
      </c>
      <c r="G3237" s="16" t="inlineStr">
        <is>
          <t>LINKBITS Altavoz Portátil de Doble Altavoz - 3 Pulgadas, Sonido HD, Emparejamiento Rápido de Bluetooth, Conectividad TWS, Reproducción Multimodo (Micro SD/USB/Radio FM) - Perfecto para Oficina, Viajes y Espacios Pequeños</t>
        </is>
      </c>
      <c r="H3237" s="16" t="inlineStr">
        <is>
          <t>NEGRO</t>
        </is>
      </c>
      <c r="I3237" s="16" t="n">
        <v>1</v>
      </c>
      <c r="J3237" s="17" t="n">
        <v>78</v>
      </c>
      <c r="K3237" s="17" t="n">
        <v>77.58</v>
      </c>
      <c r="L3237" s="17" t="n">
        <v>25.86</v>
      </c>
      <c r="M3237" s="17" t="n">
        <v>0</v>
      </c>
      <c r="N3237" s="17">
        <f>K3237*0.08+L3237*0.08</f>
        <v/>
      </c>
      <c r="O3237" s="17">
        <f>-(K3237*0.025+L3237*0.025)</f>
        <v/>
      </c>
      <c r="P3237" s="17">
        <f>32</f>
        <v/>
      </c>
      <c r="Q3237" s="17">
        <f>J3237+L3237+N3237+O3237-P3237-M3237</f>
        <v/>
      </c>
    </row>
    <row r="3238">
      <c r="A3238" s="16" t="inlineStr">
        <is>
          <t>5.29-6.4</t>
        </is>
      </c>
      <c r="B3238" s="16" t="inlineStr">
        <is>
          <t>PO-128-02590892862070460</t>
        </is>
      </c>
      <c r="C3238" s="16" t="inlineStr">
        <is>
          <t>Shipped</t>
        </is>
      </c>
      <c r="D3238" s="16" t="inlineStr">
        <is>
          <t>128-02590850919030460</t>
        </is>
      </c>
      <c r="E3238" s="16" t="inlineStr">
        <is>
          <t>Shipped</t>
        </is>
      </c>
      <c r="F3238" s="16" t="inlineStr">
        <is>
          <t>SB428T</t>
        </is>
      </c>
      <c r="G3238" s="16" t="inlineStr">
        <is>
          <t>LINK BITS Bocina Portátil con 2 Altavoces de 4" (5W×2), Sonido Potente, Luces LED, Bluetooth, USB/TF/FM - Ideal para Reuniones, Fiestas y Picnics en México</t>
        </is>
      </c>
      <c r="H3238" s="16" t="inlineStr">
        <is>
          <t>SB428T</t>
        </is>
      </c>
      <c r="I3238" s="16" t="n">
        <v>1</v>
      </c>
      <c r="J3238" s="17" t="n">
        <v>92</v>
      </c>
      <c r="K3238" s="17" t="n">
        <v>110.49</v>
      </c>
      <c r="L3238" s="17" t="n">
        <v>25.86</v>
      </c>
      <c r="M3238" s="17" t="n">
        <v>0</v>
      </c>
      <c r="N3238" s="17">
        <f>K3238*0.08+L3238*0.08</f>
        <v/>
      </c>
      <c r="O3238" s="17">
        <f>-(K3238*0.025+L3238*0.025)</f>
        <v/>
      </c>
      <c r="P3238" s="17">
        <f>32</f>
        <v/>
      </c>
      <c r="Q3238" s="17">
        <f>J3238+L3238+N3238+O3238-P3238-M3238</f>
        <v/>
      </c>
    </row>
    <row r="3239">
      <c r="A3239" s="16" t="inlineStr">
        <is>
          <t>5.29-6.4</t>
        </is>
      </c>
      <c r="B3239" s="16" t="inlineStr">
        <is>
          <t>PO-128-02111618079353252</t>
        </is>
      </c>
      <c r="C3239" s="16" t="inlineStr">
        <is>
          <t>Shipped</t>
        </is>
      </c>
      <c r="D3239" s="16" t="inlineStr">
        <is>
          <t>128-02111722936953252</t>
        </is>
      </c>
      <c r="E3239" s="16" t="inlineStr">
        <is>
          <t>Shipped</t>
        </is>
      </c>
      <c r="F3239" s="16" t="inlineStr">
        <is>
          <t>KTS-2031</t>
        </is>
      </c>
      <c r="G3239" s="16" t="inlineStr">
        <is>
          <t>Bocina inalámbrica de 3 pulgadas con linterna multifuncional y panel solar integrado.Altavoz Portátil con Linterna LED 4 Modos, Radio FM, Bluetooth, Carga Solar, Ideal para Apagones, Emergencias, Campo y Exteriores</t>
        </is>
      </c>
      <c r="H3239" s="16" t="inlineStr">
        <is>
          <t>NEGRO</t>
        </is>
      </c>
      <c r="I3239" s="16" t="n">
        <v>1</v>
      </c>
      <c r="J3239" s="17" t="n">
        <v>88</v>
      </c>
      <c r="K3239" s="17" t="n">
        <v>97.22</v>
      </c>
      <c r="L3239" s="17" t="n">
        <v>25.86</v>
      </c>
      <c r="M3239" s="17" t="n">
        <v>0</v>
      </c>
      <c r="N3239" s="17">
        <f>K3239*0.08+L3239*0.08</f>
        <v/>
      </c>
      <c r="O3239" s="17">
        <f>-(K3239*0.025+L3239*0.025)</f>
        <v/>
      </c>
      <c r="P3239" s="17">
        <f>32</f>
        <v/>
      </c>
      <c r="Q3239" s="17">
        <f>J3239+L3239+N3239+O3239-P3239-M3239</f>
        <v/>
      </c>
    </row>
    <row r="3240">
      <c r="A3240" s="16" t="inlineStr">
        <is>
          <t>5.29-6.4</t>
        </is>
      </c>
      <c r="B3240" s="16" t="inlineStr">
        <is>
          <t>PO-128-02277997573752199</t>
        </is>
      </c>
      <c r="C3240" s="16" t="inlineStr">
        <is>
          <t>Shipped</t>
        </is>
      </c>
      <c r="D3240" s="16" t="inlineStr">
        <is>
          <t>128-02277955630712199</t>
        </is>
      </c>
      <c r="E3240" s="16" t="inlineStr">
        <is>
          <t>Shipped</t>
        </is>
      </c>
      <c r="F3240" s="16" t="inlineStr">
        <is>
          <t>LV54W25</t>
        </is>
      </c>
      <c r="G3240" s="16" t="inlineStr">
        <is>
          <t>TIANLAI Lámpara Ventilador E27 2 en 1, Silenciosa, LED Alta Luminosidad 180°, Instalación Rápida, Ahorro Energético para Dormitorio y Interiores Pequeños</t>
        </is>
      </c>
      <c r="H3240" s="16" t="inlineStr">
        <is>
          <t>1 Pieza</t>
        </is>
      </c>
      <c r="I3240" s="16" t="n">
        <v>3</v>
      </c>
      <c r="J3240" s="17" t="n">
        <v>222</v>
      </c>
      <c r="K3240" s="17" t="n">
        <v>231.36</v>
      </c>
      <c r="L3240" s="17" t="n">
        <v>25.86</v>
      </c>
      <c r="M3240" s="17" t="n">
        <v>0</v>
      </c>
      <c r="N3240" s="17">
        <f>K3240*0.08+L3240*0.08</f>
        <v/>
      </c>
      <c r="O3240" s="17">
        <f>-(K3240*0.025+L3240*0.025)</f>
        <v/>
      </c>
      <c r="P3240" s="17">
        <f>32</f>
        <v/>
      </c>
      <c r="Q3240" s="17">
        <f>J3240+L3240+N3240+O3240-P3240-M3240</f>
        <v/>
      </c>
    </row>
    <row r="3241">
      <c r="A3241" s="16" t="inlineStr">
        <is>
          <t>5.29-6.4</t>
        </is>
      </c>
      <c r="B3241" s="16" t="inlineStr">
        <is>
          <t>PO-128-02251026678392551</t>
        </is>
      </c>
      <c r="C3241" s="16" t="inlineStr">
        <is>
          <t>Shipped</t>
        </is>
      </c>
      <c r="D3241" s="16" t="inlineStr">
        <is>
          <t>128-02251131535992551</t>
        </is>
      </c>
      <c r="E3241" s="16" t="inlineStr">
        <is>
          <t>Shipped</t>
        </is>
      </c>
      <c r="F3241" s="16" t="inlineStr">
        <is>
          <t>VB349T</t>
        </is>
      </c>
      <c r="G3241" s="16" t="inlineStr">
        <is>
          <t>LINKBITS Altavoz Portátil de Doble Altavoz - 3 Pulgadas, Sonido HD, Emparejamiento Rápido de Bluetooth, Conectividad TWS, Reproducción Multimodo (Micro SD/USB/Radio FM) - Perfecto para Oficina, Viajes y Espacios Pequeños</t>
        </is>
      </c>
      <c r="H3241" s="16" t="inlineStr">
        <is>
          <t>NEGRO</t>
        </is>
      </c>
      <c r="I3241" s="16" t="n">
        <v>1</v>
      </c>
      <c r="J3241" s="17" t="n">
        <v>78</v>
      </c>
      <c r="K3241" s="17" t="n">
        <v>91.26000000000001</v>
      </c>
      <c r="L3241" s="17" t="n">
        <v>25.86</v>
      </c>
      <c r="M3241" s="17" t="n">
        <v>0</v>
      </c>
      <c r="N3241" s="17">
        <f>K3241*0.08+L3241*0.08</f>
        <v/>
      </c>
      <c r="O3241" s="17">
        <f>-(K3241*0.025+L3241*0.025)</f>
        <v/>
      </c>
      <c r="P3241" s="17">
        <f>32</f>
        <v/>
      </c>
      <c r="Q3241" s="17">
        <f>J3241+L3241+N3241+O3241-P3241-M3241</f>
        <v/>
      </c>
    </row>
    <row r="3242">
      <c r="A3242" s="16" t="inlineStr">
        <is>
          <t>5.29-6.4</t>
        </is>
      </c>
      <c r="B3242" s="16" t="inlineStr">
        <is>
          <t>PO-128-02188780165753944</t>
        </is>
      </c>
      <c r="C3242" s="16" t="inlineStr">
        <is>
          <t>Shipped</t>
        </is>
      </c>
      <c r="D3242" s="16" t="inlineStr">
        <is>
          <t>128-02188885023353944</t>
        </is>
      </c>
      <c r="E3242" s="16" t="inlineStr">
        <is>
          <t>Shipped</t>
        </is>
      </c>
      <c r="F3242" s="16" t="inlineStr">
        <is>
          <t>LV64W25</t>
        </is>
      </c>
      <c r="G32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42" s="16" t="inlineStr">
        <is>
          <t>Blanco</t>
        </is>
      </c>
      <c r="I3242" s="16" t="n">
        <v>1</v>
      </c>
      <c r="J3242" s="17" t="n">
        <v>119</v>
      </c>
      <c r="K3242" s="17" t="n">
        <v>123.54</v>
      </c>
      <c r="L3242" s="17" t="n">
        <v>25.86</v>
      </c>
      <c r="M3242" s="17" t="n">
        <v>0</v>
      </c>
      <c r="N3242" s="17">
        <f>K3242*0.08+L3242*0.08</f>
        <v/>
      </c>
      <c r="O3242" s="17">
        <f>-(K3242*0.025+L3242*0.025)</f>
        <v/>
      </c>
      <c r="P3242" s="17">
        <f>32</f>
        <v/>
      </c>
      <c r="Q3242" s="17">
        <f>J3242+L3242+N3242+O3242-P3242-M3242</f>
        <v/>
      </c>
    </row>
    <row r="3243">
      <c r="A3243" s="16" t="inlineStr">
        <is>
          <t>5.29-6.4</t>
        </is>
      </c>
      <c r="B3243" s="16" t="inlineStr">
        <is>
          <t>PO-128-02383158887032786</t>
        </is>
      </c>
      <c r="C3243" s="16" t="inlineStr">
        <is>
          <t>Shipped</t>
        </is>
      </c>
      <c r="D3243" s="16" t="inlineStr">
        <is>
          <t>128-02383179858552786</t>
        </is>
      </c>
      <c r="E3243" s="16" t="inlineStr">
        <is>
          <t>Shipped</t>
        </is>
      </c>
      <c r="F3243" s="16" t="inlineStr">
        <is>
          <t>LV64W25</t>
        </is>
      </c>
      <c r="G32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43" s="16" t="inlineStr">
        <is>
          <t>Blanco</t>
        </is>
      </c>
      <c r="I3243" s="16" t="n">
        <v>2</v>
      </c>
      <c r="J3243" s="17" t="n">
        <v>238</v>
      </c>
      <c r="K3243" s="17" t="n">
        <v>247.08</v>
      </c>
      <c r="L3243" s="17" t="n">
        <v>0</v>
      </c>
      <c r="M3243" s="17" t="n">
        <v>0</v>
      </c>
      <c r="N3243" s="17">
        <f>K3243*0.08+L3243*0.08</f>
        <v/>
      </c>
      <c r="O3243" s="17">
        <f>-(K3243*0.025+L3243*0.025)</f>
        <v/>
      </c>
      <c r="P3243" s="17">
        <f>32</f>
        <v/>
      </c>
      <c r="Q3243" s="17">
        <f>J3243+L3243+N3243+O3243-P3243-M3243</f>
        <v/>
      </c>
    </row>
    <row r="3244">
      <c r="A3244" s="16" t="inlineStr">
        <is>
          <t>5.29-6.4</t>
        </is>
      </c>
      <c r="B3244" s="16" t="inlineStr">
        <is>
          <t>PO-128-21743466788472015</t>
        </is>
      </c>
      <c r="C3244" s="16" t="inlineStr">
        <is>
          <t>Shipped</t>
        </is>
      </c>
      <c r="D3244" s="16" t="inlineStr">
        <is>
          <t>128-21743472031352015</t>
        </is>
      </c>
      <c r="E3244" s="16" t="inlineStr">
        <is>
          <t>Shipped</t>
        </is>
      </c>
      <c r="F3244" s="16" t="inlineStr">
        <is>
          <t>LV54W25</t>
        </is>
      </c>
      <c r="G3244" s="16" t="inlineStr">
        <is>
          <t>TIANLAI Lámpara Ventilador E27 2 en 1, Silenciosa, LED Alta Luminosidad 180°, Instalación Rápida, Ahorro Energético para Dormitorio y Interiores Pequeños</t>
        </is>
      </c>
      <c r="H3244" s="16" t="inlineStr">
        <is>
          <t>1 Pieza</t>
        </is>
      </c>
      <c r="I3244" s="16" t="n">
        <v>1</v>
      </c>
      <c r="J3244" s="17" t="n">
        <v>74</v>
      </c>
      <c r="K3244" s="17" t="n">
        <v>85.68000000000001</v>
      </c>
      <c r="L3244" s="17" t="n">
        <v>25.86</v>
      </c>
      <c r="M3244" s="17" t="n">
        <v>0</v>
      </c>
      <c r="N3244" s="17">
        <f>K3244*0.08+L3244*0.08</f>
        <v/>
      </c>
      <c r="O3244" s="17">
        <f>-(K3244*0.025+L3244*0.025)</f>
        <v/>
      </c>
      <c r="P3244" s="17">
        <f>32</f>
        <v/>
      </c>
      <c r="Q3244" s="17">
        <f>J3244+L3244+N3244+O3244-P3244-M3244</f>
        <v/>
      </c>
    </row>
    <row r="3245">
      <c r="A3245" s="16" t="inlineStr">
        <is>
          <t>5.29-6.4</t>
        </is>
      </c>
      <c r="B3245" s="16" t="inlineStr">
        <is>
          <t>PO-128-21537600497272280</t>
        </is>
      </c>
      <c r="C3245" s="16" t="inlineStr">
        <is>
          <t>Shipped</t>
        </is>
      </c>
      <c r="D3245" s="16" t="inlineStr">
        <is>
          <t>128-21537736812152280</t>
        </is>
      </c>
      <c r="E3245" s="16" t="inlineStr">
        <is>
          <t>Shipped</t>
        </is>
      </c>
      <c r="F3245" s="16" t="inlineStr">
        <is>
          <t>LV54W25</t>
        </is>
      </c>
      <c r="G3245" s="16" t="inlineStr">
        <is>
          <t>TIANLAI Lámpara Ventilador E27 2 en 1, Silenciosa, LED Alta Luminosidad 180°, Instalación Rápida, Ahorro Energético para Dormitorio y Interiores Pequeños</t>
        </is>
      </c>
      <c r="H3245" s="16" t="inlineStr">
        <is>
          <t>1 Pieza</t>
        </is>
      </c>
      <c r="I3245" s="16" t="n">
        <v>1</v>
      </c>
      <c r="J3245" s="17" t="n">
        <v>74</v>
      </c>
      <c r="K3245" s="17" t="n">
        <v>76.26000000000001</v>
      </c>
      <c r="L3245" s="17" t="n">
        <v>25.86</v>
      </c>
      <c r="M3245" s="17" t="n">
        <v>0</v>
      </c>
      <c r="N3245" s="17">
        <f>K3245*0.08+L3245*0.08</f>
        <v/>
      </c>
      <c r="O3245" s="17">
        <f>-(K3245*0.025+L3245*0.025)</f>
        <v/>
      </c>
      <c r="P3245" s="17">
        <f>32</f>
        <v/>
      </c>
      <c r="Q3245" s="17">
        <f>J3245+L3245+N3245+O3245-P3245-M3245</f>
        <v/>
      </c>
    </row>
    <row r="3246">
      <c r="A3246" s="16" t="inlineStr">
        <is>
          <t>5.29-6.4</t>
        </is>
      </c>
      <c r="B3246" s="16" t="inlineStr">
        <is>
          <t>PO-128-21535614546552292</t>
        </is>
      </c>
      <c r="C3246" s="16" t="inlineStr">
        <is>
          <t>Shipped</t>
        </is>
      </c>
      <c r="D3246" s="16" t="inlineStr">
        <is>
          <t>128-21535656489592292</t>
        </is>
      </c>
      <c r="E3246" s="16" t="inlineStr">
        <is>
          <t>Shipped</t>
        </is>
      </c>
      <c r="F3246" s="16" t="inlineStr">
        <is>
          <t>KTS-2031</t>
        </is>
      </c>
      <c r="G3246" s="16" t="inlineStr">
        <is>
          <t>Bocina inalámbrica de 3 pulgadas con linterna multifuncional y panel solar integrado.Altavoz Portátil con Linterna LED 4 Modos, Radio FM, Bluetooth, Carga Solar, Ideal para Apagones, Emergencias, Campo y Exteriores</t>
        </is>
      </c>
      <c r="H3246" s="16" t="inlineStr">
        <is>
          <t>NEGRO</t>
        </is>
      </c>
      <c r="I3246" s="16" t="n">
        <v>3</v>
      </c>
      <c r="J3246" s="17" t="n">
        <v>264</v>
      </c>
      <c r="K3246" s="17" t="n">
        <v>291.66</v>
      </c>
      <c r="L3246" s="17" t="n">
        <v>0</v>
      </c>
      <c r="M3246" s="17" t="n">
        <v>0</v>
      </c>
      <c r="N3246" s="17">
        <f>K3246*0.08+L3246*0.08</f>
        <v/>
      </c>
      <c r="O3246" s="17">
        <f>-(K3246*0.025+L3246*0.025)</f>
        <v/>
      </c>
      <c r="P3246" s="17">
        <f>32</f>
        <v/>
      </c>
      <c r="Q3246" s="17">
        <f>J3246+L3246+N3246+O3246-P3246-M3246</f>
        <v/>
      </c>
    </row>
    <row r="3247">
      <c r="A3247" s="16" t="inlineStr">
        <is>
          <t>5.29-6.4</t>
        </is>
      </c>
      <c r="B3247" s="16" t="inlineStr">
        <is>
          <t>PO-128-21980505743990600</t>
        </is>
      </c>
      <c r="C3247" s="16" t="inlineStr">
        <is>
          <t>Shipped</t>
        </is>
      </c>
      <c r="D3247" s="16" t="inlineStr">
        <is>
          <t>128-21980513608310600</t>
        </is>
      </c>
      <c r="E3247" s="16" t="inlineStr">
        <is>
          <t>Shipped</t>
        </is>
      </c>
      <c r="F3247" s="16" t="inlineStr">
        <is>
          <t>LV54W25</t>
        </is>
      </c>
      <c r="G3247" s="16" t="inlineStr">
        <is>
          <t>TIANLAI Lámpara Ventilador E27 2 en 1, Silenciosa, LED Alta Luminosidad 180°, Instalación Rápida, Ahorro Energético para Dormitorio y Interiores Pequeños</t>
        </is>
      </c>
      <c r="H3247" s="16" t="inlineStr">
        <is>
          <t>1 Pieza</t>
        </is>
      </c>
      <c r="I3247" s="16" t="n">
        <v>5</v>
      </c>
      <c r="J3247" s="17" t="n">
        <v>370</v>
      </c>
      <c r="K3247" s="17" t="n">
        <v>381.3</v>
      </c>
      <c r="L3247" s="17" t="n">
        <v>0</v>
      </c>
      <c r="M3247" s="17" t="n">
        <v>0</v>
      </c>
      <c r="N3247" s="17">
        <f>K3247*0.08+L3247*0.08</f>
        <v/>
      </c>
      <c r="O3247" s="17">
        <f>-(K3247*0.025+L3247*0.025)</f>
        <v/>
      </c>
      <c r="P3247" s="17">
        <f>32</f>
        <v/>
      </c>
      <c r="Q3247" s="17">
        <f>J3247+L3247+N3247+O3247-P3247-M3247</f>
        <v/>
      </c>
    </row>
    <row r="3248">
      <c r="A3248" s="16" t="inlineStr">
        <is>
          <t>5.29-6.4</t>
        </is>
      </c>
      <c r="B3248" s="16" t="inlineStr">
        <is>
          <t>PO-128-21341762647673448</t>
        </is>
      </c>
      <c r="C3248" s="16" t="inlineStr">
        <is>
          <t>Shipped</t>
        </is>
      </c>
      <c r="D3248" s="16" t="inlineStr">
        <is>
          <t>128-21341773133433448</t>
        </is>
      </c>
      <c r="E3248" s="16" t="inlineStr">
        <is>
          <t>Shipped</t>
        </is>
      </c>
      <c r="F3248" s="16" t="inlineStr">
        <is>
          <t>LV54W25</t>
        </is>
      </c>
      <c r="G3248" s="16" t="inlineStr">
        <is>
          <t>TIANLAI Lámpara Ventilador E27 2 en 1, Silenciosa, LED Alta Luminosidad 180°, Instalación Rápida, Ahorro Energético para Dormitorio y Interiores Pequeños</t>
        </is>
      </c>
      <c r="H3248" s="16" t="inlineStr">
        <is>
          <t>1 Pieza</t>
        </is>
      </c>
      <c r="I3248" s="16" t="n">
        <v>1</v>
      </c>
      <c r="J3248" s="17" t="n">
        <v>74</v>
      </c>
      <c r="K3248" s="17" t="n">
        <v>85.68000000000001</v>
      </c>
      <c r="L3248" s="17" t="n">
        <v>25.86</v>
      </c>
      <c r="M3248" s="17" t="n">
        <v>0</v>
      </c>
      <c r="N3248" s="17">
        <f>K3248*0.08+L3248*0.08</f>
        <v/>
      </c>
      <c r="O3248" s="17">
        <f>-(K3248*0.025+L3248*0.025)</f>
        <v/>
      </c>
      <c r="P3248" s="17">
        <f>32</f>
        <v/>
      </c>
      <c r="Q3248" s="17">
        <f>J3248+L3248+N3248+O3248-P3248-M3248</f>
        <v/>
      </c>
    </row>
    <row r="3249">
      <c r="A3249" s="16" t="inlineStr">
        <is>
          <t>5.29-6.4</t>
        </is>
      </c>
      <c r="B3249" s="16" t="inlineStr">
        <is>
          <t>PO-128-21717231416951082</t>
        </is>
      </c>
      <c r="C3249" s="16" t="inlineStr">
        <is>
          <t>Shipped</t>
        </is>
      </c>
      <c r="D3249" s="16" t="inlineStr">
        <is>
          <t>128-21717189473911082</t>
        </is>
      </c>
      <c r="E3249" s="16" t="inlineStr">
        <is>
          <t>Shipped</t>
        </is>
      </c>
      <c r="F3249" s="16" t="inlineStr">
        <is>
          <t>LV64W25</t>
        </is>
      </c>
      <c r="G32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49" s="16" t="inlineStr">
        <is>
          <t>Blanco</t>
        </is>
      </c>
      <c r="I3249" s="16" t="n">
        <v>1</v>
      </c>
      <c r="J3249" s="17" t="n">
        <v>119</v>
      </c>
      <c r="K3249" s="17" t="n">
        <v>80.44</v>
      </c>
      <c r="L3249" s="17" t="n">
        <v>25.86</v>
      </c>
      <c r="M3249" s="17" t="n">
        <v>0</v>
      </c>
      <c r="N3249" s="17">
        <f>K3249*0.08+L3249*0.08</f>
        <v/>
      </c>
      <c r="O3249" s="17">
        <f>-(K3249*0.025+L3249*0.025)</f>
        <v/>
      </c>
      <c r="P3249" s="17">
        <f>32</f>
        <v/>
      </c>
      <c r="Q3249" s="17">
        <f>J3249+L3249+N3249+O3249-P3249-M3249</f>
        <v/>
      </c>
    </row>
    <row r="3250">
      <c r="A3250" s="16" t="inlineStr">
        <is>
          <t>5.29-6.4</t>
        </is>
      </c>
      <c r="B3250" s="16" t="inlineStr">
        <is>
          <t>PO-128-21862476232310152</t>
        </is>
      </c>
      <c r="C3250" s="16" t="inlineStr">
        <is>
          <t>Shipped</t>
        </is>
      </c>
      <c r="D3250" s="16" t="inlineStr">
        <is>
          <t>128-21862556186230152</t>
        </is>
      </c>
      <c r="E3250" s="16" t="inlineStr">
        <is>
          <t>Shipped</t>
        </is>
      </c>
      <c r="F3250" s="16" t="inlineStr">
        <is>
          <t>LV54W25</t>
        </is>
      </c>
      <c r="G3250" s="16" t="inlineStr">
        <is>
          <t>TIANLAI Lámpara Ventilador E27 2 en 1, Silenciosa, LED Alta Luminosidad 180°, Instalación Rápida, Ahorro Energético para Dormitorio y Interiores Pequeños</t>
        </is>
      </c>
      <c r="H3250" s="16" t="inlineStr">
        <is>
          <t>1 Pieza</t>
        </is>
      </c>
      <c r="I3250" s="16" t="n">
        <v>1</v>
      </c>
      <c r="J3250" s="17" t="n">
        <v>74</v>
      </c>
      <c r="K3250" s="17" t="n">
        <v>76.26000000000001</v>
      </c>
      <c r="L3250" s="17" t="n">
        <v>25.86</v>
      </c>
      <c r="M3250" s="17" t="n">
        <v>0</v>
      </c>
      <c r="N3250" s="17">
        <f>K3250*0.08+L3250*0.08</f>
        <v/>
      </c>
      <c r="O3250" s="17">
        <f>-(K3250*0.025+L3250*0.025)</f>
        <v/>
      </c>
      <c r="P3250" s="17">
        <f>32</f>
        <v/>
      </c>
      <c r="Q3250" s="17">
        <f>J3250+L3250+N3250+O3250-P3250-M3250</f>
        <v/>
      </c>
    </row>
    <row r="3251">
      <c r="A3251" s="16" t="inlineStr">
        <is>
          <t>5.29-6.4</t>
        </is>
      </c>
      <c r="B3251" s="16" t="inlineStr">
        <is>
          <t>PO-128-21659284869751493</t>
        </is>
      </c>
      <c r="C3251" s="16" t="inlineStr">
        <is>
          <t>Shipped</t>
        </is>
      </c>
      <c r="D3251" s="16" t="inlineStr">
        <is>
          <t>128-21659326812791493</t>
        </is>
      </c>
      <c r="E3251" s="16" t="inlineStr">
        <is>
          <t>Shipped</t>
        </is>
      </c>
      <c r="F3251" s="16" t="inlineStr">
        <is>
          <t>VB349T</t>
        </is>
      </c>
      <c r="G3251" s="16" t="inlineStr">
        <is>
          <t>LINKBITS Altavoz Portátil de Doble Altavoz - 3 Pulgadas, Sonido HD, Emparejamiento Rápido de Bluetooth, Conectividad TWS, Reproducción Multimodo (Micro SD/USB/Radio FM) - Perfecto para Oficina, Viajes y Espacios Pequeños</t>
        </is>
      </c>
      <c r="H3251" s="16" t="inlineStr">
        <is>
          <t>NEGRO</t>
        </is>
      </c>
      <c r="I3251" s="16" t="n">
        <v>1</v>
      </c>
      <c r="J3251" s="17" t="n">
        <v>78</v>
      </c>
      <c r="K3251" s="17" t="n">
        <v>91.26000000000001</v>
      </c>
      <c r="L3251" s="17" t="n">
        <v>25.86</v>
      </c>
      <c r="M3251" s="17" t="n">
        <v>0</v>
      </c>
      <c r="N3251" s="17">
        <f>K3251*0.08+L3251*0.08</f>
        <v/>
      </c>
      <c r="O3251" s="17">
        <f>-(K3251*0.025+L3251*0.025)</f>
        <v/>
      </c>
      <c r="P3251" s="17">
        <f>32</f>
        <v/>
      </c>
      <c r="Q3251" s="17">
        <f>J3251+L3251+N3251+O3251-P3251-M3251</f>
        <v/>
      </c>
    </row>
    <row r="3252">
      <c r="A3252" s="16" t="inlineStr">
        <is>
          <t>5.29-6.4</t>
        </is>
      </c>
      <c r="B3252" s="16" t="inlineStr">
        <is>
          <t>PO-128-21767749146231871</t>
        </is>
      </c>
      <c r="C3252" s="16" t="inlineStr">
        <is>
          <t>Shipped</t>
        </is>
      </c>
      <c r="D3252" s="16" t="inlineStr">
        <is>
          <t>128-21767707203191871</t>
        </is>
      </c>
      <c r="E3252" s="16" t="inlineStr">
        <is>
          <t>Shipped</t>
        </is>
      </c>
      <c r="F3252" s="16" t="inlineStr">
        <is>
          <t>LV64W25</t>
        </is>
      </c>
      <c r="G32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52" s="16" t="inlineStr">
        <is>
          <t>Blanco</t>
        </is>
      </c>
      <c r="I3252" s="16" t="n">
        <v>1</v>
      </c>
      <c r="J3252" s="17" t="n">
        <v>119</v>
      </c>
      <c r="K3252" s="17" t="n">
        <v>137.26</v>
      </c>
      <c r="L3252" s="17" t="n">
        <v>25.86</v>
      </c>
      <c r="M3252" s="17" t="n">
        <v>0</v>
      </c>
      <c r="N3252" s="17">
        <f>K3252*0.08+L3252*0.08</f>
        <v/>
      </c>
      <c r="O3252" s="17">
        <f>-(K3252*0.025+L3252*0.025)</f>
        <v/>
      </c>
      <c r="P3252" s="17">
        <f>32</f>
        <v/>
      </c>
      <c r="Q3252" s="17">
        <f>J3252+L3252+N3252+O3252-P3252-M3252</f>
        <v/>
      </c>
    </row>
    <row r="3253">
      <c r="A3253" s="16" t="inlineStr">
        <is>
          <t>5.29-6.4</t>
        </is>
      </c>
      <c r="B3253" s="16" t="inlineStr">
        <is>
          <t>PO-128-21881544013430230</t>
        </is>
      </c>
      <c r="C3253" s="16" t="inlineStr">
        <is>
          <t>Shipped</t>
        </is>
      </c>
      <c r="D3253" s="16" t="inlineStr">
        <is>
          <t>128-21881648871030230</t>
        </is>
      </c>
      <c r="E3253" s="16" t="inlineStr">
        <is>
          <t>Shipped</t>
        </is>
      </c>
      <c r="F3253" s="16" t="inlineStr">
        <is>
          <t>KTS-2031</t>
        </is>
      </c>
      <c r="G3253" s="16" t="inlineStr">
        <is>
          <t>Bocina inalámbrica de 3 pulgadas con linterna multifuncional y panel solar integrado.Altavoz Portátil con Linterna LED 4 Modos, Radio FM, Bluetooth, Carga Solar, Ideal para Apagones, Emergencias, Campo y Exteriores</t>
        </is>
      </c>
      <c r="H3253" s="16" t="inlineStr">
        <is>
          <t>NEGRO</t>
        </is>
      </c>
      <c r="I3253" s="16" t="n">
        <v>3</v>
      </c>
      <c r="J3253" s="17" t="n">
        <v>264</v>
      </c>
      <c r="K3253" s="17" t="n">
        <v>248.56</v>
      </c>
      <c r="L3253" s="17" t="n">
        <v>0</v>
      </c>
      <c r="M3253" s="17" t="n">
        <v>0</v>
      </c>
      <c r="N3253" s="17">
        <f>K3253*0.08+L3253*0.08</f>
        <v/>
      </c>
      <c r="O3253" s="17">
        <f>-(K3253*0.025+L3253*0.025)</f>
        <v/>
      </c>
      <c r="P3253" s="17">
        <f>32</f>
        <v/>
      </c>
      <c r="Q3253" s="17">
        <f>J3253+L3253+N3253+O3253-P3253-M3253</f>
        <v/>
      </c>
    </row>
    <row r="3254">
      <c r="A3254" s="16" t="inlineStr">
        <is>
          <t>5.29-6.4</t>
        </is>
      </c>
      <c r="B3254" s="16" t="inlineStr">
        <is>
          <t>PO-128-21766673070711877</t>
        </is>
      </c>
      <c r="C3254" s="16" t="inlineStr">
        <is>
          <t>Shipped</t>
        </is>
      </c>
      <c r="D3254" s="16" t="inlineStr">
        <is>
          <t>128-21766631127671877</t>
        </is>
      </c>
      <c r="E3254" s="16" t="inlineStr">
        <is>
          <t>Shipped</t>
        </is>
      </c>
      <c r="F3254" s="16" t="inlineStr">
        <is>
          <t>KTS-2031</t>
        </is>
      </c>
      <c r="G3254" s="16" t="inlineStr">
        <is>
          <t>Bocina inalámbrica de 3 pulgadas con linterna multifuncional y panel solar integrado.Altavoz Portátil con Linterna LED 4 Modos, Radio FM, Bluetooth, Carga Solar, Ideal para Apagones, Emergencias, Campo y Exteriores</t>
        </is>
      </c>
      <c r="H3254" s="16" t="inlineStr">
        <is>
          <t>NEGRO</t>
        </is>
      </c>
      <c r="I3254" s="16" t="n">
        <v>1</v>
      </c>
      <c r="J3254" s="17" t="n">
        <v>90</v>
      </c>
      <c r="K3254" s="17" t="n">
        <v>79.38</v>
      </c>
      <c r="L3254" s="17" t="n">
        <v>25.86</v>
      </c>
      <c r="M3254" s="17" t="n">
        <v>0</v>
      </c>
      <c r="N3254" s="17">
        <f>K3254*0.08+L3254*0.08</f>
        <v/>
      </c>
      <c r="O3254" s="17">
        <f>-(K3254*0.025+L3254*0.025)</f>
        <v/>
      </c>
      <c r="P3254" s="17">
        <f>32</f>
        <v/>
      </c>
      <c r="Q3254" s="17">
        <f>J3254+L3254+N3254+O3254-P3254-M3254</f>
        <v/>
      </c>
    </row>
    <row r="3255">
      <c r="A3255" s="16" t="inlineStr">
        <is>
          <t>5.29-6.4</t>
        </is>
      </c>
      <c r="B3255" s="16" t="inlineStr">
        <is>
          <t>PO-128-21322738801273563</t>
        </is>
      </c>
      <c r="C3255" s="16" t="inlineStr">
        <is>
          <t>Shipped</t>
        </is>
      </c>
      <c r="D3255" s="16" t="inlineStr">
        <is>
          <t>128-21322681129593563</t>
        </is>
      </c>
      <c r="E3255" s="16" t="inlineStr">
        <is>
          <t>Shipped</t>
        </is>
      </c>
      <c r="F3255" s="16" t="inlineStr">
        <is>
          <t>LV54W25</t>
        </is>
      </c>
      <c r="G3255" s="16" t="inlineStr">
        <is>
          <t>TIANLAI Lámpara Ventilador E27 2 en 1, Silenciosa, LED Alta Luminosidad 180°, Instalación Rápida, Ahorro Energético para Dormitorio y Interiores Pequeños</t>
        </is>
      </c>
      <c r="H3255" s="16" t="inlineStr">
        <is>
          <t>1 Pieza</t>
        </is>
      </c>
      <c r="I3255" s="16" t="n">
        <v>1</v>
      </c>
      <c r="J3255" s="17" t="n">
        <v>74</v>
      </c>
      <c r="K3255" s="17" t="n">
        <v>76.26000000000001</v>
      </c>
      <c r="L3255" s="17" t="n">
        <v>25.86</v>
      </c>
      <c r="M3255" s="17" t="n">
        <v>0</v>
      </c>
      <c r="N3255" s="17">
        <f>K3255*0.08+L3255*0.08</f>
        <v/>
      </c>
      <c r="O3255" s="17">
        <f>-(K3255*0.025+L3255*0.025)</f>
        <v/>
      </c>
      <c r="P3255" s="17">
        <f>32</f>
        <v/>
      </c>
      <c r="Q3255" s="17">
        <f>J3255+L3255+N3255+O3255-P3255-M3255</f>
        <v/>
      </c>
    </row>
    <row r="3256">
      <c r="A3256" s="16" t="inlineStr">
        <is>
          <t>5.29-6.4</t>
        </is>
      </c>
      <c r="B3256" s="16" t="inlineStr">
        <is>
          <t>PO-128-10769807340151887</t>
        </is>
      </c>
      <c r="C3256" s="16" t="inlineStr">
        <is>
          <t>Shipped</t>
        </is>
      </c>
      <c r="D3256" s="16" t="inlineStr">
        <is>
          <t>128-10769959383671887</t>
        </is>
      </c>
      <c r="E3256" s="16" t="inlineStr">
        <is>
          <t>Shipped</t>
        </is>
      </c>
      <c r="F3256" s="16" t="inlineStr">
        <is>
          <t>LV54W25</t>
        </is>
      </c>
      <c r="G3256" s="16" t="inlineStr">
        <is>
          <t>TIANLAI Lámpara Ventilador E27 2 en 1, Silenciosa, LED Alta Luminosidad 180°, Instalación Rápida, Ahorro Energético para Dormitorio y Interiores Pequeños</t>
        </is>
      </c>
      <c r="H3256" s="16" t="inlineStr">
        <is>
          <t>1 Pieza</t>
        </is>
      </c>
      <c r="I3256" s="16" t="n">
        <v>1</v>
      </c>
      <c r="J3256" s="17" t="n">
        <v>74</v>
      </c>
      <c r="K3256" s="17" t="n">
        <v>34.02</v>
      </c>
      <c r="L3256" s="17" t="n">
        <v>25.86</v>
      </c>
      <c r="M3256" s="17" t="n">
        <v>0</v>
      </c>
      <c r="N3256" s="17">
        <f>K3256*0.08+L3256*0.08</f>
        <v/>
      </c>
      <c r="O3256" s="17">
        <f>-(K3256*0.025+L3256*0.025)</f>
        <v/>
      </c>
      <c r="P3256" s="17">
        <f>32</f>
        <v/>
      </c>
      <c r="Q3256" s="17">
        <f>J3256+L3256+N3256+O3256-P3256-M3256</f>
        <v/>
      </c>
    </row>
    <row r="3257">
      <c r="A3257" s="16" t="inlineStr">
        <is>
          <t>5.29-6.4</t>
        </is>
      </c>
      <c r="B3257" s="16" t="inlineStr">
        <is>
          <t>PO-128-16464003116150715</t>
        </is>
      </c>
      <c r="C3257" s="16" t="inlineStr">
        <is>
          <t>Shipped</t>
        </is>
      </c>
      <c r="D3257" s="16" t="inlineStr">
        <is>
          <t>128-16463997873270715</t>
        </is>
      </c>
      <c r="E3257" s="16" t="inlineStr">
        <is>
          <t>Shipped</t>
        </is>
      </c>
      <c r="F3257" s="16" t="inlineStr">
        <is>
          <t>KTS-2031</t>
        </is>
      </c>
      <c r="G3257" s="16" t="inlineStr">
        <is>
          <t>Bocina inalámbrica de 3 pulgadas con linterna multifuncional y panel solar integrado.Altavoz Portátil con Linterna LED 4 Modos, Radio FM, Bluetooth, Carga Solar, Ideal para Apagones, Emergencias, Campo y Exteriores</t>
        </is>
      </c>
      <c r="H3257" s="16" t="inlineStr">
        <is>
          <t>NEGRO</t>
        </is>
      </c>
      <c r="I3257" s="16" t="n">
        <v>1</v>
      </c>
      <c r="J3257" s="17" t="n">
        <v>90</v>
      </c>
      <c r="K3257" s="17" t="n">
        <v>99.22</v>
      </c>
      <c r="L3257" s="17" t="n">
        <v>25.86</v>
      </c>
      <c r="M3257" s="17" t="n">
        <v>0</v>
      </c>
      <c r="N3257" s="17">
        <f>K3257*0.08+L3257*0.08</f>
        <v/>
      </c>
      <c r="O3257" s="17">
        <f>-(K3257*0.025+L3257*0.025)</f>
        <v/>
      </c>
      <c r="P3257" s="17">
        <f>32</f>
        <v/>
      </c>
      <c r="Q3257" s="17">
        <f>J3257+L3257+N3257+O3257-P3257-M3257</f>
        <v/>
      </c>
    </row>
    <row r="3258">
      <c r="A3258" s="16" t="inlineStr">
        <is>
          <t>5.29-6.4</t>
        </is>
      </c>
      <c r="B3258" s="16" t="inlineStr">
        <is>
          <t>PO-128-05220663166071043</t>
        </is>
      </c>
      <c r="C3258" s="16" t="inlineStr">
        <is>
          <t>Shipped</t>
        </is>
      </c>
      <c r="D3258" s="16" t="inlineStr">
        <is>
          <t>128-05220715594871043</t>
        </is>
      </c>
      <c r="E3258" s="16" t="inlineStr">
        <is>
          <t>Shipped</t>
        </is>
      </c>
      <c r="F3258" s="16" t="inlineStr">
        <is>
          <t>LV54W25</t>
        </is>
      </c>
      <c r="G3258" s="16" t="inlineStr">
        <is>
          <t>TIANLAI Lámpara Ventilador E27 2 en 1, Silenciosa, LED Alta Luminosidad 180°, Instalación Rápida, Ahorro Energético para Dormitorio y Interiores Pequeños</t>
        </is>
      </c>
      <c r="H3258" s="16" t="inlineStr">
        <is>
          <t>1 Pieza</t>
        </is>
      </c>
      <c r="I3258" s="16" t="n">
        <v>1</v>
      </c>
      <c r="J3258" s="17" t="n">
        <v>74</v>
      </c>
      <c r="K3258" s="17" t="n">
        <v>76.26000000000001</v>
      </c>
      <c r="L3258" s="17" t="n">
        <v>25.86</v>
      </c>
      <c r="M3258" s="17" t="n">
        <v>0</v>
      </c>
      <c r="N3258" s="17">
        <f>K3258*0.08+L3258*0.08</f>
        <v/>
      </c>
      <c r="O3258" s="17">
        <f>-(K3258*0.025+L3258*0.025)</f>
        <v/>
      </c>
      <c r="P3258" s="17">
        <f>32</f>
        <v/>
      </c>
      <c r="Q3258" s="17">
        <f>J3258+L3258+N3258+O3258-P3258-M3258</f>
        <v/>
      </c>
    </row>
    <row r="3259">
      <c r="A3259" s="16" t="inlineStr">
        <is>
          <t>5.29-6.4</t>
        </is>
      </c>
      <c r="B3259" s="16" t="inlineStr">
        <is>
          <t>PO-128-03380263596153373</t>
        </is>
      </c>
      <c r="C3259" s="16" t="inlineStr">
        <is>
          <t>Delivered</t>
        </is>
      </c>
      <c r="D3259" s="16" t="inlineStr">
        <is>
          <t>128-03380221653113373</t>
        </is>
      </c>
      <c r="E3259" s="16" t="inlineStr">
        <is>
          <t>Delivered</t>
        </is>
      </c>
      <c r="F3259" s="16" t="inlineStr">
        <is>
          <t>VB349T</t>
        </is>
      </c>
      <c r="G3259" s="16" t="inlineStr">
        <is>
          <t>LINKBITS Altavoz Portátil de Doble Altavoz - 3 Pulgadas, Sonido HD, Emparejamiento Rápido de Bluetooth, Conectividad TWS, Reproducción Multimodo (Micro SD/USB/Radio FM) - Perfecto para Oficina, Viajes y Espacios Pequeños</t>
        </is>
      </c>
      <c r="H3259" s="16" t="inlineStr">
        <is>
          <t>NEGRO</t>
        </is>
      </c>
      <c r="I3259" s="16" t="n">
        <v>1</v>
      </c>
      <c r="J3259" s="17" t="n">
        <v>81</v>
      </c>
      <c r="K3259" s="17" t="n">
        <v>51.16</v>
      </c>
      <c r="L3259" s="17" t="n">
        <v>25.86</v>
      </c>
      <c r="M3259" s="17" t="n">
        <v>0</v>
      </c>
      <c r="N3259" s="17">
        <f>K3259*0.08+L3259*0.08</f>
        <v/>
      </c>
      <c r="O3259" s="17">
        <f>-(K3259*0.025+L3259*0.025)</f>
        <v/>
      </c>
      <c r="P3259" s="17">
        <f>32</f>
        <v/>
      </c>
      <c r="Q3259" s="17">
        <f>J3259+L3259+N3259+O3259-P3259-M3259</f>
        <v/>
      </c>
    </row>
    <row r="3260">
      <c r="A3260" s="16" t="inlineStr">
        <is>
          <t>5.29-6.4</t>
        </is>
      </c>
      <c r="B3260" s="16" t="inlineStr">
        <is>
          <t>PO-128-03392633231993427</t>
        </is>
      </c>
      <c r="C3260" s="16" t="inlineStr">
        <is>
          <t>Delivered</t>
        </is>
      </c>
      <c r="D3260" s="16" t="inlineStr">
        <is>
          <t>128-03392654203513427</t>
        </is>
      </c>
      <c r="E3260" s="16" t="inlineStr">
        <is>
          <t>Delivered</t>
        </is>
      </c>
      <c r="F3260" s="16" t="inlineStr">
        <is>
          <t>LV54W25</t>
        </is>
      </c>
      <c r="G3260" s="16" t="inlineStr">
        <is>
          <t>TIANLAI Lámpara Ventilador E27 2 en 1, Silenciosa, LED Alta Luminosidad 180°, Instalación Rápida, Ahorro Energético para Dormitorio y Interiores Pequeños</t>
        </is>
      </c>
      <c r="H3260" s="16" t="inlineStr">
        <is>
          <t>1 Pieza</t>
        </is>
      </c>
      <c r="I3260" s="16" t="n">
        <v>1</v>
      </c>
      <c r="J3260" s="17" t="n">
        <v>78</v>
      </c>
      <c r="K3260" s="17" t="n">
        <v>79.81999999999999</v>
      </c>
      <c r="L3260" s="17" t="n">
        <v>12.93</v>
      </c>
      <c r="M3260" s="17" t="n">
        <v>0</v>
      </c>
      <c r="N3260" s="17">
        <f>K3260*0.08+L3260*0.08</f>
        <v/>
      </c>
      <c r="O3260" s="17">
        <f>-(K3260*0.025+L3260*0.025)</f>
        <v/>
      </c>
      <c r="P3260" s="17">
        <f>32</f>
        <v/>
      </c>
      <c r="Q3260" s="17">
        <f>J3260+L3260+N3260+O3260-P3260-M3260</f>
        <v/>
      </c>
    </row>
    <row r="3261">
      <c r="A3261" s="16" t="inlineStr">
        <is>
          <t>5.29-6.4</t>
        </is>
      </c>
      <c r="B3261" s="16" t="inlineStr">
        <is>
          <t>PO-128-03392633231993427</t>
        </is>
      </c>
      <c r="C3261" s="16" t="inlineStr">
        <is>
          <t>Delivered</t>
        </is>
      </c>
      <c r="D3261" s="16" t="inlineStr">
        <is>
          <t>128-03392662487673427</t>
        </is>
      </c>
      <c r="E3261" s="16" t="inlineStr">
        <is>
          <t>Delivered</t>
        </is>
      </c>
      <c r="F3261" s="16" t="inlineStr">
        <is>
          <t>LV54W25</t>
        </is>
      </c>
      <c r="G3261" s="16" t="inlineStr">
        <is>
          <t>TIANLAI Lámpara Ventilador E27 2 en 1, Silenciosa, LED Alta Luminosidad 180°, Instalación Rápida, Ahorro Energético para Dormitorio y Interiores Pequeños</t>
        </is>
      </c>
      <c r="H3261" s="16" t="inlineStr">
        <is>
          <t>1 Pieza</t>
        </is>
      </c>
      <c r="I3261" s="16" t="n">
        <v>1</v>
      </c>
      <c r="J3261" s="17" t="n">
        <v>78</v>
      </c>
      <c r="K3261" s="17" t="n">
        <v>79.81999999999999</v>
      </c>
      <c r="L3261" s="17" t="n">
        <v>12.93</v>
      </c>
      <c r="M3261" s="17" t="n">
        <v>0</v>
      </c>
      <c r="N3261" s="17">
        <f>K3261*0.08+L3261*0.08</f>
        <v/>
      </c>
      <c r="O3261" s="17">
        <f>-(K3261*0.025+L3261*0.025)</f>
        <v/>
      </c>
      <c r="P3261" s="17">
        <f>32</f>
        <v/>
      </c>
      <c r="Q3261" s="17">
        <f>J3261+L3261+N3261+O3261-P3261-M3261</f>
        <v/>
      </c>
    </row>
    <row r="3262">
      <c r="A3262" s="16" t="inlineStr">
        <is>
          <t>5.29-6.4</t>
        </is>
      </c>
      <c r="B3262" s="16" t="inlineStr">
        <is>
          <t>PO-128-03329745101433608</t>
        </is>
      </c>
      <c r="C3262" s="16" t="inlineStr">
        <is>
          <t>Delivered</t>
        </is>
      </c>
      <c r="D3262" s="16" t="inlineStr">
        <is>
          <t>128-03329755587193608</t>
        </is>
      </c>
      <c r="E3262" s="16" t="inlineStr">
        <is>
          <t>Delivered</t>
        </is>
      </c>
      <c r="F3262" s="16" t="inlineStr">
        <is>
          <t>TL1455N20B</t>
        </is>
      </c>
      <c r="G3262" s="16" t="inlineStr">
        <is>
          <t>LINK BITS Soporte para TV 14 A 55 Pulgadas, Base para TV Pantalla Articulado Inclinable y Giratorio, MAX VESA 400×400 mm, Soporta hasta 18kg, adaptarse a la mayoría de los televisores de 14 Pulgadas/20 Pulgadas/32 Pulgadas/42 Pulgadas/55 pulgadas</t>
        </is>
      </c>
      <c r="H3262" s="16" t="inlineStr">
        <is>
          <t>TL1455N20B</t>
        </is>
      </c>
      <c r="I3262" s="16" t="n">
        <v>1</v>
      </c>
      <c r="J3262" s="17" t="n">
        <v>80.5</v>
      </c>
      <c r="K3262" s="17" t="n">
        <v>90.52</v>
      </c>
      <c r="L3262" s="17" t="n">
        <v>25.86</v>
      </c>
      <c r="M3262" s="17" t="n">
        <v>0</v>
      </c>
      <c r="N3262" s="17">
        <f>K3262*0.08+L3262*0.08</f>
        <v/>
      </c>
      <c r="O3262" s="17">
        <f>-(K3262*0.025+L3262*0.025)</f>
        <v/>
      </c>
      <c r="P3262" s="17">
        <f>32</f>
        <v/>
      </c>
      <c r="Q3262" s="17">
        <f>J3262+L3262+N3262+O3262-P3262-M3262</f>
        <v/>
      </c>
    </row>
    <row r="3263">
      <c r="A3263" s="16" t="inlineStr">
        <is>
          <t>5.29-6.4</t>
        </is>
      </c>
      <c r="B3263" s="16" t="inlineStr">
        <is>
          <t>PO-128-03177841930872659</t>
        </is>
      </c>
      <c r="C3263" s="16" t="inlineStr">
        <is>
          <t>Delivered</t>
        </is>
      </c>
      <c r="D3263" s="16" t="inlineStr">
        <is>
          <t>128-03177883873912659</t>
        </is>
      </c>
      <c r="E3263" s="16" t="inlineStr">
        <is>
          <t>Delivered</t>
        </is>
      </c>
      <c r="F3263" s="16" t="inlineStr">
        <is>
          <t>LV54W25</t>
        </is>
      </c>
      <c r="G3263" s="16" t="inlineStr">
        <is>
          <t>TIANLAI Lámpara Ventilador E27 2 en 1, Silenciosa, LED Alta Luminosidad 180°, Instalación Rápida, Ahorro Energético para Dormitorio y Interiores Pequeños</t>
        </is>
      </c>
      <c r="H3263" s="16" t="inlineStr">
        <is>
          <t>1 Pieza</t>
        </is>
      </c>
      <c r="I3263" s="16" t="n">
        <v>1</v>
      </c>
      <c r="J3263" s="17" t="n">
        <v>78</v>
      </c>
      <c r="K3263" s="17" t="n">
        <v>82.51000000000001</v>
      </c>
      <c r="L3263" s="17" t="n">
        <v>25.86</v>
      </c>
      <c r="M3263" s="17" t="n">
        <v>0</v>
      </c>
      <c r="N3263" s="17">
        <f>K3263*0.08+L3263*0.08</f>
        <v/>
      </c>
      <c r="O3263" s="17">
        <f>-(K3263*0.025+L3263*0.025)</f>
        <v/>
      </c>
      <c r="P3263" s="17">
        <f>32</f>
        <v/>
      </c>
      <c r="Q3263" s="17">
        <f>J3263+L3263+N3263+O3263-P3263-M3263</f>
        <v/>
      </c>
    </row>
    <row r="3264">
      <c r="A3264" s="16" t="inlineStr">
        <is>
          <t>5.29-6.4</t>
        </is>
      </c>
      <c r="B3264" s="16" t="inlineStr">
        <is>
          <t>PO-128-03394258739833225</t>
        </is>
      </c>
      <c r="C3264" s="16" t="inlineStr">
        <is>
          <t>Delivered</t>
        </is>
      </c>
      <c r="D3264" s="16" t="inlineStr">
        <is>
          <t>128-03394227282553225</t>
        </is>
      </c>
      <c r="E3264" s="16" t="inlineStr">
        <is>
          <t>Delivered</t>
        </is>
      </c>
      <c r="F3264" s="16" t="inlineStr">
        <is>
          <t>LV64W25</t>
        </is>
      </c>
      <c r="G32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64" s="16" t="inlineStr">
        <is>
          <t>Blanco</t>
        </is>
      </c>
      <c r="I3264" s="16" t="n">
        <v>1</v>
      </c>
      <c r="J3264" s="17" t="n">
        <v>110.55</v>
      </c>
      <c r="K3264" s="17" t="n">
        <v>119.8</v>
      </c>
      <c r="L3264" s="17" t="n">
        <v>25.86</v>
      </c>
      <c r="M3264" s="17" t="n">
        <v>0</v>
      </c>
      <c r="N3264" s="17">
        <f>K3264*0.08+L3264*0.08</f>
        <v/>
      </c>
      <c r="O3264" s="17">
        <f>-(K3264*0.025+L3264*0.025)</f>
        <v/>
      </c>
      <c r="P3264" s="17">
        <f>32</f>
        <v/>
      </c>
      <c r="Q3264" s="17">
        <f>J3264+L3264+N3264+O3264-P3264-M3264</f>
        <v/>
      </c>
    </row>
    <row r="3265">
      <c r="A3265" s="16" t="inlineStr">
        <is>
          <t>5.29-6.4</t>
        </is>
      </c>
      <c r="B3265" s="16" t="inlineStr">
        <is>
          <t>PO-128-03234203546232259</t>
        </is>
      </c>
      <c r="C3265" s="16" t="inlineStr">
        <is>
          <t>Delivered</t>
        </is>
      </c>
      <c r="D3265" s="16" t="inlineStr">
        <is>
          <t>128-03234245489272259</t>
        </is>
      </c>
      <c r="E3265" s="16" t="inlineStr">
        <is>
          <t>Delivered</t>
        </is>
      </c>
      <c r="F3265" s="16" t="inlineStr">
        <is>
          <t>BSC07</t>
        </is>
      </c>
      <c r="G3265" s="16" t="inlineStr">
        <is>
          <t>TIANLAI Báscula Digital BSC04/BSC07, Alta Precisión, Fácil Operación, Ligera y Portátil, Función Tara, Unidad Dual oz/g, Ideal para Cocina, Control de Porciones, Sellos y Objetos Pequeños, Uso en Hogar y Viaje</t>
        </is>
      </c>
      <c r="H3265" s="16" t="inlineStr">
        <is>
          <t>1g/White</t>
        </is>
      </c>
      <c r="I3265" s="16" t="n">
        <v>1</v>
      </c>
      <c r="J3265" s="17" t="n">
        <v>38</v>
      </c>
      <c r="K3265" s="17" t="n">
        <v>50.22</v>
      </c>
      <c r="L3265" s="17" t="n">
        <v>25.86</v>
      </c>
      <c r="M3265" s="17" t="n">
        <v>0</v>
      </c>
      <c r="N3265" s="17">
        <f>K3265*0.08+L3265*0.08</f>
        <v/>
      </c>
      <c r="O3265" s="17">
        <f>-(K3265*0.025+L3265*0.025)</f>
        <v/>
      </c>
      <c r="P3265" s="17">
        <f>32</f>
        <v/>
      </c>
      <c r="Q3265" s="17">
        <f>J3265+L3265+N3265+O3265-P3265-M3265</f>
        <v/>
      </c>
    </row>
    <row r="3266">
      <c r="A3266" s="16" t="inlineStr">
        <is>
          <t>5.29-6.4</t>
        </is>
      </c>
      <c r="B3266" s="16" t="inlineStr">
        <is>
          <t>PO-128-02870967009910326</t>
        </is>
      </c>
      <c r="C3266" s="16" t="inlineStr">
        <is>
          <t>Delivered</t>
        </is>
      </c>
      <c r="D3266" s="16" t="inlineStr">
        <is>
          <t>128-02870938174070326</t>
        </is>
      </c>
      <c r="E3266" s="16" t="inlineStr">
        <is>
          <t>Delivered</t>
        </is>
      </c>
      <c r="F3266" s="16" t="inlineStr">
        <is>
          <t>KTS-1936</t>
        </is>
      </c>
      <c r="G3266" s="16" t="inlineStr">
        <is>
          <t>Espejo con Luz para Makeup，Espejo con Luz LED y Bocina Bluetooth，Espejo para Maquillaje con Aumentos y Luces LED de Intensidad Ajustable，Lente de Aumento 10X+Reproductor TF+ TWS，espejo de portátil y para estudiantes, oficina, dormitorio, mejor regalo</t>
        </is>
      </c>
      <c r="H3266" s="16" t="inlineStr">
        <is>
          <t>BLANCO</t>
        </is>
      </c>
      <c r="I3266" s="16" t="n">
        <v>1</v>
      </c>
      <c r="J3266" s="17" t="n">
        <v>220</v>
      </c>
      <c r="K3266" s="17" t="n">
        <v>181.37</v>
      </c>
      <c r="L3266" s="17" t="n">
        <v>25.86</v>
      </c>
      <c r="M3266" s="17" t="n">
        <v>0</v>
      </c>
      <c r="N3266" s="17">
        <f>K3266*0.08+L3266*0.08</f>
        <v/>
      </c>
      <c r="O3266" s="17">
        <f>-(K3266*0.025+L3266*0.025)</f>
        <v/>
      </c>
      <c r="P3266" s="17">
        <f>32</f>
        <v/>
      </c>
      <c r="Q3266" s="17">
        <f>J3266+L3266+N3266+O3266-P3266-M3266</f>
        <v/>
      </c>
    </row>
    <row r="3267">
      <c r="A3267" s="16" t="inlineStr">
        <is>
          <t>5.29-6.4</t>
        </is>
      </c>
      <c r="B3267" s="16" t="inlineStr">
        <is>
          <t>PO-128-03417056174713089</t>
        </is>
      </c>
      <c r="C3267" s="16" t="inlineStr">
        <is>
          <t>Delivered</t>
        </is>
      </c>
      <c r="D3267" s="16" t="inlineStr">
        <is>
          <t>128-03417161032313089</t>
        </is>
      </c>
      <c r="E3267" s="16" t="inlineStr">
        <is>
          <t>Delivered</t>
        </is>
      </c>
      <c r="F3267" s="16" t="inlineStr">
        <is>
          <t>LV54W25</t>
        </is>
      </c>
      <c r="G3267" s="16" t="inlineStr">
        <is>
          <t>TIANLAI Lámpara Ventilador E27 2 en 1, Silenciosa, LED Alta Luminosidad 180°, Instalación Rápida, Ahorro Energético para Dormitorio y Interiores Pequeños</t>
        </is>
      </c>
      <c r="H3267" s="16" t="inlineStr">
        <is>
          <t>1 Pieza</t>
        </is>
      </c>
      <c r="I3267" s="16" t="n">
        <v>2</v>
      </c>
      <c r="J3267" s="17" t="n">
        <v>156</v>
      </c>
      <c r="K3267" s="17" t="n">
        <v>179.36</v>
      </c>
      <c r="L3267" s="17" t="n">
        <v>25.86</v>
      </c>
      <c r="M3267" s="17" t="n">
        <v>7</v>
      </c>
      <c r="N3267" s="17">
        <f>K3267*0.08+L3267*0.08</f>
        <v/>
      </c>
      <c r="O3267" s="17">
        <f>-(K3267*0.025+L3267*0.025)</f>
        <v/>
      </c>
      <c r="P3267" s="17">
        <f>32</f>
        <v/>
      </c>
      <c r="Q3267" s="17">
        <f>J3267+L3267+N3267+O3267-P3267-M3267</f>
        <v/>
      </c>
    </row>
    <row r="3268">
      <c r="A3268" s="16" t="inlineStr">
        <is>
          <t>5.29-6.4</t>
        </is>
      </c>
      <c r="B3268" s="16" t="inlineStr">
        <is>
          <t>PO-128-02762149581430977</t>
        </is>
      </c>
      <c r="C3268" s="16" t="inlineStr">
        <is>
          <t>Delivered</t>
        </is>
      </c>
      <c r="D3268" s="16" t="inlineStr">
        <is>
          <t>128-02762170552950977</t>
        </is>
      </c>
      <c r="E3268" s="16" t="inlineStr">
        <is>
          <t>Delivered</t>
        </is>
      </c>
      <c r="F3268" s="16" t="inlineStr">
        <is>
          <t>VB349T</t>
        </is>
      </c>
      <c r="G3268" s="16" t="inlineStr">
        <is>
          <t>LINKBITS Altavoz Portátil de Doble Altavoz - 3 Pulgadas, Sonido HD, Emparejamiento Rápido de Bluetooth, Conectividad TWS, Reproducción Multimodo (Micro SD/USB/Radio FM) - Perfecto para Oficina, Viajes y Espacios Pequeños</t>
        </is>
      </c>
      <c r="H3268" s="16" t="inlineStr">
        <is>
          <t>NEGRO</t>
        </is>
      </c>
      <c r="I3268" s="16" t="n">
        <v>1</v>
      </c>
      <c r="J3268" s="17" t="n">
        <v>81</v>
      </c>
      <c r="K3268" s="17" t="n">
        <v>94.26000000000001</v>
      </c>
      <c r="L3268" s="17" t="n">
        <v>25.86</v>
      </c>
      <c r="M3268" s="17" t="n">
        <v>0</v>
      </c>
      <c r="N3268" s="17">
        <f>K3268*0.08+L3268*0.08</f>
        <v/>
      </c>
      <c r="O3268" s="17">
        <f>-(K3268*0.025+L3268*0.025)</f>
        <v/>
      </c>
      <c r="P3268" s="17">
        <f>32</f>
        <v/>
      </c>
      <c r="Q3268" s="17">
        <f>J3268+L3268+N3268+O3268-P3268-M3268</f>
        <v/>
      </c>
    </row>
    <row r="3269">
      <c r="A3269" s="16" t="inlineStr">
        <is>
          <t>5.29-6.4</t>
        </is>
      </c>
      <c r="B3269" s="16" t="inlineStr">
        <is>
          <t>PO-128-03389740001913442</t>
        </is>
      </c>
      <c r="C3269" s="16" t="inlineStr">
        <is>
          <t>Delivered</t>
        </is>
      </c>
      <c r="D3269" s="16" t="inlineStr">
        <is>
          <t>128-03389698058873442</t>
        </is>
      </c>
      <c r="E3269" s="16" t="inlineStr">
        <is>
          <t>Delivered</t>
        </is>
      </c>
      <c r="F3269" s="16" t="inlineStr">
        <is>
          <t>LV64W25</t>
        </is>
      </c>
      <c r="G32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69" s="16" t="inlineStr">
        <is>
          <t>Blanco</t>
        </is>
      </c>
      <c r="I3269" s="16" t="n">
        <v>2</v>
      </c>
      <c r="J3269" s="17" t="n">
        <v>246</v>
      </c>
      <c r="K3269" s="17" t="n">
        <v>254.29</v>
      </c>
      <c r="L3269" s="17" t="n">
        <v>0</v>
      </c>
      <c r="M3269" s="17" t="n">
        <v>0</v>
      </c>
      <c r="N3269" s="17">
        <f>K3269*0.08+L3269*0.08</f>
        <v/>
      </c>
      <c r="O3269" s="17">
        <f>-(K3269*0.025+L3269*0.025)</f>
        <v/>
      </c>
      <c r="P3269" s="17">
        <f>32</f>
        <v/>
      </c>
      <c r="Q3269" s="17">
        <f>J3269+L3269+N3269+O3269-P3269-M3269</f>
        <v/>
      </c>
    </row>
    <row r="3270">
      <c r="A3270" s="16" t="inlineStr">
        <is>
          <t>5.29-6.4</t>
        </is>
      </c>
      <c r="B3270" s="16" t="inlineStr">
        <is>
          <t>PO-128-03268162939513977</t>
        </is>
      </c>
      <c r="C3270" s="16" t="inlineStr">
        <is>
          <t>Delivered</t>
        </is>
      </c>
      <c r="D3270" s="16" t="inlineStr">
        <is>
          <t>128-03268197018233977</t>
        </is>
      </c>
      <c r="E3270" s="16" t="inlineStr">
        <is>
          <t>Delivered</t>
        </is>
      </c>
      <c r="F3270" s="16" t="inlineStr">
        <is>
          <t>LV64W25</t>
        </is>
      </c>
      <c r="G327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70" s="16" t="inlineStr">
        <is>
          <t>Blanco</t>
        </is>
      </c>
      <c r="I3270" s="16" t="n">
        <v>2</v>
      </c>
      <c r="J3270" s="17" t="n">
        <v>246</v>
      </c>
      <c r="K3270" s="17" t="n">
        <v>262.76</v>
      </c>
      <c r="L3270" s="17" t="n">
        <v>0</v>
      </c>
      <c r="M3270" s="17" t="n">
        <v>0</v>
      </c>
      <c r="N3270" s="17">
        <f>K3270*0.08+L3270*0.08</f>
        <v/>
      </c>
      <c r="O3270" s="17">
        <f>-(K3270*0.025+L3270*0.025)</f>
        <v/>
      </c>
      <c r="P3270" s="17">
        <f>32</f>
        <v/>
      </c>
      <c r="Q3270" s="17">
        <f>J3270+L3270+N3270+O3270-P3270-M3270</f>
        <v/>
      </c>
    </row>
    <row r="3271">
      <c r="A3271" s="16" t="inlineStr">
        <is>
          <t>5.29-6.4</t>
        </is>
      </c>
      <c r="B3271" s="16" t="inlineStr">
        <is>
          <t>PO-128-03416693023353091</t>
        </is>
      </c>
      <c r="C3271" s="16" t="inlineStr">
        <is>
          <t>Delivered</t>
        </is>
      </c>
      <c r="D3271" s="16" t="inlineStr">
        <is>
          <t>128-03416703509113091</t>
        </is>
      </c>
      <c r="E3271" s="16" t="inlineStr">
        <is>
          <t>Delivered</t>
        </is>
      </c>
      <c r="F3271" s="16" t="inlineStr">
        <is>
          <t>LV64W25</t>
        </is>
      </c>
      <c r="G32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71" s="16" t="inlineStr">
        <is>
          <t>Blanco</t>
        </is>
      </c>
      <c r="I3271" s="16" t="n">
        <v>2</v>
      </c>
      <c r="J3271" s="17" t="n">
        <v>246</v>
      </c>
      <c r="K3271" s="17" t="n">
        <v>240.17</v>
      </c>
      <c r="L3271" s="17" t="n">
        <v>0</v>
      </c>
      <c r="M3271" s="17" t="n">
        <v>0</v>
      </c>
      <c r="N3271" s="17">
        <f>K3271*0.08+L3271*0.08</f>
        <v/>
      </c>
      <c r="O3271" s="17">
        <f>-(K3271*0.025+L3271*0.025)</f>
        <v/>
      </c>
      <c r="P3271" s="17">
        <f>32</f>
        <v/>
      </c>
      <c r="Q3271" s="17">
        <f>J3271+L3271+N3271+O3271-P3271-M3271</f>
        <v/>
      </c>
    </row>
    <row r="3272">
      <c r="A3272" s="16" t="inlineStr">
        <is>
          <t>5.29-6.4</t>
        </is>
      </c>
      <c r="B3272" s="16" t="inlineStr">
        <is>
          <t>PO-128-03366225767033582</t>
        </is>
      </c>
      <c r="C3272" s="16" t="inlineStr">
        <is>
          <t>Delivered</t>
        </is>
      </c>
      <c r="D3272" s="16" t="inlineStr">
        <is>
          <t>128-03366217902713582</t>
        </is>
      </c>
      <c r="E3272" s="16" t="inlineStr">
        <is>
          <t>Delivered</t>
        </is>
      </c>
      <c r="F3272" s="16" t="inlineStr">
        <is>
          <t>LV54W25</t>
        </is>
      </c>
      <c r="G3272" s="16" t="inlineStr">
        <is>
          <t>TIANLAI Lámpara Ventilador E27 2 en 1, Silenciosa, LED Alta Luminosidad 180°, Instalación Rápida, Ahorro Energético para Dormitorio y Interiores Pequeños</t>
        </is>
      </c>
      <c r="H3272" s="16" t="inlineStr">
        <is>
          <t>1 Pieza</t>
        </is>
      </c>
      <c r="I3272" s="16" t="n">
        <v>1</v>
      </c>
      <c r="J3272" s="17" t="n">
        <v>78</v>
      </c>
      <c r="K3272" s="17" t="n">
        <v>82.51000000000001</v>
      </c>
      <c r="L3272" s="17" t="n">
        <v>25.86</v>
      </c>
      <c r="M3272" s="17" t="n">
        <v>0</v>
      </c>
      <c r="N3272" s="17">
        <f>K3272*0.08+L3272*0.08</f>
        <v/>
      </c>
      <c r="O3272" s="17">
        <f>-(K3272*0.025+L3272*0.025)</f>
        <v/>
      </c>
      <c r="P3272" s="17">
        <f>32</f>
        <v/>
      </c>
      <c r="Q3272" s="17">
        <f>J3272+L3272+N3272+O3272-P3272-M3272</f>
        <v/>
      </c>
    </row>
    <row r="3273">
      <c r="A3273" s="16" t="inlineStr">
        <is>
          <t>5.29-6.4</t>
        </is>
      </c>
      <c r="B3273" s="16" t="inlineStr">
        <is>
          <t>PO-128-19224010322550518</t>
        </is>
      </c>
      <c r="C3273" s="16" t="inlineStr">
        <is>
          <t>Delivered</t>
        </is>
      </c>
      <c r="D3273" s="16" t="inlineStr">
        <is>
          <t>128-19224170230390518</t>
        </is>
      </c>
      <c r="E3273" s="16" t="inlineStr">
        <is>
          <t>Delivered</t>
        </is>
      </c>
      <c r="F3273" s="16" t="inlineStr">
        <is>
          <t>TL1455N20B</t>
        </is>
      </c>
      <c r="G3273" s="16" t="inlineStr">
        <is>
          <t>LINK BITS Soporte para TV 14 A 55 Pulgadas, Base para TV Pantalla Articulado Inclinable y Giratorio, MAX VESA 400×400 mm, Soporta hasta 18kg, adaptarse a la mayoría de los televisores de 14 Pulgadas/20 Pulgadas/32 Pulgadas/42 Pulgadas/55 pulgadas</t>
        </is>
      </c>
      <c r="H3273" s="16" t="inlineStr">
        <is>
          <t>TL1455N20B</t>
        </is>
      </c>
      <c r="I3273" s="16" t="n">
        <v>1</v>
      </c>
      <c r="J3273" s="17" t="n">
        <v>85</v>
      </c>
      <c r="K3273" s="17" t="n">
        <v>95.02</v>
      </c>
      <c r="L3273" s="17" t="n">
        <v>25.86</v>
      </c>
      <c r="M3273" s="17" t="n">
        <v>0</v>
      </c>
      <c r="N3273" s="17">
        <f>K3273*0.08+L3273*0.08</f>
        <v/>
      </c>
      <c r="O3273" s="17">
        <f>-(K3273*0.025+L3273*0.025)</f>
        <v/>
      </c>
      <c r="P3273" s="17">
        <f>32</f>
        <v/>
      </c>
      <c r="Q3273" s="17">
        <f>J3273+L3273+N3273+O3273-P3273-M3273</f>
        <v/>
      </c>
    </row>
    <row r="3274">
      <c r="A3274" s="16" t="inlineStr">
        <is>
          <t>5.29-6.4</t>
        </is>
      </c>
      <c r="B3274" s="16" t="inlineStr">
        <is>
          <t>PO-128-18887589891192652</t>
        </is>
      </c>
      <c r="C3274" s="16" t="inlineStr">
        <is>
          <t>Delivered</t>
        </is>
      </c>
      <c r="D3274" s="16" t="inlineStr">
        <is>
          <t>128-18887547948152652</t>
        </is>
      </c>
      <c r="E3274" s="16" t="inlineStr">
        <is>
          <t>Delivered</t>
        </is>
      </c>
      <c r="F3274" s="16" t="inlineStr">
        <is>
          <t>LV64W25</t>
        </is>
      </c>
      <c r="G32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74" s="16" t="inlineStr">
        <is>
          <t>Blanco</t>
        </is>
      </c>
      <c r="I3274" s="16" t="n">
        <v>2</v>
      </c>
      <c r="J3274" s="17" t="n">
        <v>246</v>
      </c>
      <c r="K3274" s="17" t="n">
        <v>262.76</v>
      </c>
      <c r="L3274" s="17" t="n">
        <v>0</v>
      </c>
      <c r="M3274" s="17" t="n">
        <v>0</v>
      </c>
      <c r="N3274" s="17">
        <f>K3274*0.08+L3274*0.08</f>
        <v/>
      </c>
      <c r="O3274" s="17">
        <f>-(K3274*0.025+L3274*0.025)</f>
        <v/>
      </c>
      <c r="P3274" s="17">
        <f>32</f>
        <v/>
      </c>
      <c r="Q3274" s="17">
        <f>J3274+L3274+N3274+O3274-P3274-M3274</f>
        <v/>
      </c>
    </row>
    <row r="3275">
      <c r="A3275" s="16" t="inlineStr">
        <is>
          <t>5.29-6.4</t>
        </is>
      </c>
      <c r="B3275" s="16" t="inlineStr">
        <is>
          <t>PO-128-18606338140793240</t>
        </is>
      </c>
      <c r="C3275" s="16" t="inlineStr">
        <is>
          <t>Delivered</t>
        </is>
      </c>
      <c r="D3275" s="16" t="inlineStr">
        <is>
          <t>128-18606380083833240</t>
        </is>
      </c>
      <c r="E3275" s="16" t="inlineStr">
        <is>
          <t>Delivered</t>
        </is>
      </c>
      <c r="F3275" s="16" t="inlineStr">
        <is>
          <t>LV54W25</t>
        </is>
      </c>
      <c r="G3275" s="16" t="inlineStr">
        <is>
          <t>TIANLAI Lámpara Ventilador E27 2 en 1, Silenciosa, LED Alta Luminosidad 180°, Instalación Rápida, Ahorro Energético para Dormitorio y Interiores Pequeños</t>
        </is>
      </c>
      <c r="H3275" s="16" t="inlineStr">
        <is>
          <t>1 Pieza</t>
        </is>
      </c>
      <c r="I3275" s="16" t="n">
        <v>3</v>
      </c>
      <c r="J3275" s="17" t="n">
        <v>234</v>
      </c>
      <c r="K3275" s="17" t="n">
        <v>173.28</v>
      </c>
      <c r="L3275" s="17" t="n">
        <v>0</v>
      </c>
      <c r="M3275" s="17" t="n">
        <v>0</v>
      </c>
      <c r="N3275" s="17">
        <f>K3275*0.08+L3275*0.08</f>
        <v/>
      </c>
      <c r="O3275" s="17">
        <f>-(K3275*0.025+L3275*0.025)</f>
        <v/>
      </c>
      <c r="P3275" s="17">
        <f>32</f>
        <v/>
      </c>
      <c r="Q3275" s="17">
        <f>J3275+L3275+N3275+O3275-P3275-M3275</f>
        <v/>
      </c>
    </row>
    <row r="3276">
      <c r="A3276" s="16" t="inlineStr">
        <is>
          <t>5.29-6.4</t>
        </is>
      </c>
      <c r="B3276" s="16" t="inlineStr">
        <is>
          <t>PO-128-18862793011832737</t>
        </is>
      </c>
      <c r="C3276" s="16" t="inlineStr">
        <is>
          <t>Delivered</t>
        </is>
      </c>
      <c r="D3276" s="16" t="inlineStr">
        <is>
          <t>128-18862958817912737</t>
        </is>
      </c>
      <c r="E3276" s="16" t="inlineStr">
        <is>
          <t>Delivered</t>
        </is>
      </c>
      <c r="F3276" s="16" t="inlineStr">
        <is>
          <t>SB428T</t>
        </is>
      </c>
      <c r="G3276" s="16" t="inlineStr">
        <is>
          <t>LINK BITS Bocina Portátil con 2 Altavoces de 4" (5W×2), Sonido Potente, Luces LED, Bluetooth, USB/TF/FM - Ideal para Reuniones, Fiestas y Picnics en México</t>
        </is>
      </c>
      <c r="H3276" s="16" t="inlineStr">
        <is>
          <t>SB428T</t>
        </is>
      </c>
      <c r="I3276" s="16" t="n">
        <v>3</v>
      </c>
      <c r="J3276" s="17" t="n">
        <v>291</v>
      </c>
      <c r="K3276" s="17" t="n">
        <v>306.82</v>
      </c>
      <c r="L3276" s="17" t="n">
        <v>0</v>
      </c>
      <c r="M3276" s="17" t="n">
        <v>13.29</v>
      </c>
      <c r="N3276" s="17">
        <f>K3276*0.08+L3276*0.08</f>
        <v/>
      </c>
      <c r="O3276" s="17">
        <f>-(K3276*0.025+L3276*0.025)</f>
        <v/>
      </c>
      <c r="P3276" s="17">
        <f>32</f>
        <v/>
      </c>
      <c r="Q3276" s="17">
        <f>J3276+L3276+N3276+O3276-P3276-M3276</f>
        <v/>
      </c>
    </row>
    <row r="3277">
      <c r="A3277" s="16" t="inlineStr">
        <is>
          <t>5.29-6.4</t>
        </is>
      </c>
      <c r="B3277" s="16" t="inlineStr">
        <is>
          <t>PO-128-19147953203830076</t>
        </is>
      </c>
      <c r="C3277" s="16" t="inlineStr">
        <is>
          <t>Delivered</t>
        </is>
      </c>
      <c r="D3277" s="16" t="inlineStr">
        <is>
          <t>128-19147963689590076</t>
        </is>
      </c>
      <c r="E3277" s="16" t="inlineStr">
        <is>
          <t>Delivered</t>
        </is>
      </c>
      <c r="F3277" s="16" t="inlineStr">
        <is>
          <t>LV54W25</t>
        </is>
      </c>
      <c r="G3277" s="16" t="inlineStr">
        <is>
          <t>TIANLAI Lámpara Ventilador E27 2 en 1, Silenciosa, LED Alta Luminosidad 180°, Instalación Rápida, Ahorro Energético para Dormitorio y Interiores Pequeños</t>
        </is>
      </c>
      <c r="H3277" s="16" t="inlineStr">
        <is>
          <t>1 Pieza</t>
        </is>
      </c>
      <c r="I3277" s="16" t="n">
        <v>3</v>
      </c>
      <c r="J3277" s="17" t="n">
        <v>234</v>
      </c>
      <c r="K3277" s="17" t="n">
        <v>239.46</v>
      </c>
      <c r="L3277" s="17" t="n">
        <v>0</v>
      </c>
      <c r="M3277" s="17" t="n">
        <v>0</v>
      </c>
      <c r="N3277" s="17">
        <f>K3277*0.08+L3277*0.08</f>
        <v/>
      </c>
      <c r="O3277" s="17">
        <f>-(K3277*0.025+L3277*0.025)</f>
        <v/>
      </c>
      <c r="P3277" s="17">
        <f>32</f>
        <v/>
      </c>
      <c r="Q3277" s="17">
        <f>J3277+L3277+N3277+O3277-P3277-M3277</f>
        <v/>
      </c>
    </row>
    <row r="3278">
      <c r="A3278" s="16" t="inlineStr">
        <is>
          <t>5.29-6.4</t>
        </is>
      </c>
      <c r="B3278" s="16" t="inlineStr">
        <is>
          <t>PO-128-18730929802872435</t>
        </is>
      </c>
      <c r="C3278" s="16" t="inlineStr">
        <is>
          <t>Delivered</t>
        </is>
      </c>
      <c r="D3278" s="16" t="inlineStr">
        <is>
          <t>128-18731081846392435</t>
        </is>
      </c>
      <c r="E3278" s="16" t="inlineStr">
        <is>
          <t>Delivered</t>
        </is>
      </c>
      <c r="F3278" s="16" t="inlineStr">
        <is>
          <t>LV54W25</t>
        </is>
      </c>
      <c r="G3278" s="16" t="inlineStr">
        <is>
          <t>TIANLAI Lámpara Ventilador E27 2 en 1, Silenciosa, LED Alta Luminosidad 180°, Instalación Rápida, Ahorro Energético para Dormitorio y Interiores Pequeños</t>
        </is>
      </c>
      <c r="H3278" s="16" t="inlineStr">
        <is>
          <t>1 Pieza</t>
        </is>
      </c>
      <c r="I3278" s="16" t="n">
        <v>1</v>
      </c>
      <c r="J3278" s="17" t="n">
        <v>78</v>
      </c>
      <c r="K3278" s="17" t="n">
        <v>79.81999999999999</v>
      </c>
      <c r="L3278" s="17" t="n">
        <v>25.86</v>
      </c>
      <c r="M3278" s="17" t="n">
        <v>0</v>
      </c>
      <c r="N3278" s="17">
        <f>K3278*0.08+L3278*0.08</f>
        <v/>
      </c>
      <c r="O3278" s="17">
        <f>-(K3278*0.025+L3278*0.025)</f>
        <v/>
      </c>
      <c r="P3278" s="17">
        <f>32</f>
        <v/>
      </c>
      <c r="Q3278" s="17">
        <f>J3278+L3278+N3278+O3278-P3278-M3278</f>
        <v/>
      </c>
    </row>
    <row r="3279">
      <c r="A3279" s="16" t="inlineStr">
        <is>
          <t>5.29-6.4</t>
        </is>
      </c>
      <c r="B3279" s="16" t="inlineStr">
        <is>
          <t>PO-128-19188465454710858</t>
        </is>
      </c>
      <c r="C3279" s="16" t="inlineStr">
        <is>
          <t>Delivered</t>
        </is>
      </c>
      <c r="D3279" s="16" t="inlineStr">
        <is>
          <t>128-19188449726070858</t>
        </is>
      </c>
      <c r="E3279" s="16" t="inlineStr">
        <is>
          <t>Delivered</t>
        </is>
      </c>
      <c r="F3279" s="16" t="inlineStr">
        <is>
          <t>LV54W25</t>
        </is>
      </c>
      <c r="G3279" s="16" t="inlineStr">
        <is>
          <t>TIANLAI Lámpara Ventilador E27 2 en 1, Silenciosa, LED Alta Luminosidad 180°, Instalación Rápida, Ahorro Energético para Dormitorio y Interiores Pequeños</t>
        </is>
      </c>
      <c r="H3279" s="16" t="inlineStr">
        <is>
          <t>1 Pieza</t>
        </is>
      </c>
      <c r="I3279" s="16" t="n">
        <v>1</v>
      </c>
      <c r="J3279" s="17" t="n">
        <v>78</v>
      </c>
      <c r="K3279" s="17" t="n">
        <v>79.81999999999999</v>
      </c>
      <c r="L3279" s="17" t="n">
        <v>25.86</v>
      </c>
      <c r="M3279" s="17" t="n">
        <v>0</v>
      </c>
      <c r="N3279" s="17">
        <f>K3279*0.08+L3279*0.08</f>
        <v/>
      </c>
      <c r="O3279" s="17">
        <f>-(K3279*0.025+L3279*0.025)</f>
        <v/>
      </c>
      <c r="P3279" s="17">
        <f>32</f>
        <v/>
      </c>
      <c r="Q3279" s="17">
        <f>J3279+L3279+N3279+O3279-P3279-M3279</f>
        <v/>
      </c>
    </row>
    <row r="3280">
      <c r="A3280" s="16" t="inlineStr">
        <is>
          <t>5.29-6.4</t>
        </is>
      </c>
      <c r="B3280" s="16" t="inlineStr">
        <is>
          <t>PO-128-19194682578550887</t>
        </is>
      </c>
      <c r="C3280" s="16" t="inlineStr">
        <is>
          <t>Delivered</t>
        </is>
      </c>
      <c r="D3280" s="16" t="inlineStr">
        <is>
          <t>128-19194732769910887</t>
        </is>
      </c>
      <c r="E3280" s="16" t="inlineStr">
        <is>
          <t>Delivered</t>
        </is>
      </c>
      <c r="F3280" s="16" t="inlineStr">
        <is>
          <t>LV64W25</t>
        </is>
      </c>
      <c r="G32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0" s="16" t="inlineStr">
        <is>
          <t>Blanco</t>
        </is>
      </c>
      <c r="I3280" s="16" t="n">
        <v>1</v>
      </c>
      <c r="J3280" s="17" t="n">
        <v>123</v>
      </c>
      <c r="K3280" s="17" t="n">
        <v>131.38</v>
      </c>
      <c r="L3280" s="17" t="n">
        <v>0</v>
      </c>
      <c r="M3280" s="17" t="n">
        <v>0</v>
      </c>
      <c r="N3280" s="17">
        <f>K3280*0.08+L3280*0.08</f>
        <v/>
      </c>
      <c r="O3280" s="17">
        <f>-(K3280*0.025+L3280*0.025)</f>
        <v/>
      </c>
      <c r="P3280" s="17">
        <f>32</f>
        <v/>
      </c>
      <c r="Q3280" s="17">
        <f>J3280+L3280+N3280+O3280-P3280-M3280</f>
        <v/>
      </c>
    </row>
    <row r="3281">
      <c r="A3281" s="16" t="inlineStr">
        <is>
          <t>5.29-6.4</t>
        </is>
      </c>
      <c r="B3281" s="16" t="inlineStr">
        <is>
          <t>PO-128-19194682578550887</t>
        </is>
      </c>
      <c r="C3281" s="16" t="inlineStr">
        <is>
          <t>Delivered</t>
        </is>
      </c>
      <c r="D3281" s="16" t="inlineStr">
        <is>
          <t>128-19194787436150887</t>
        </is>
      </c>
      <c r="E3281" s="16" t="inlineStr">
        <is>
          <t>Delivered</t>
        </is>
      </c>
      <c r="F3281" s="16" t="inlineStr">
        <is>
          <t>LV64W25</t>
        </is>
      </c>
      <c r="G328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1" s="16" t="inlineStr">
        <is>
          <t>Blanco</t>
        </is>
      </c>
      <c r="I3281" s="16" t="n">
        <v>2</v>
      </c>
      <c r="J3281" s="17" t="n">
        <v>246</v>
      </c>
      <c r="K3281" s="17" t="n">
        <v>262.76</v>
      </c>
      <c r="L3281" s="17" t="n">
        <v>0</v>
      </c>
      <c r="M3281" s="17" t="n">
        <v>0</v>
      </c>
      <c r="N3281" s="17">
        <f>K3281*0.08+L3281*0.08</f>
        <v/>
      </c>
      <c r="O3281" s="17">
        <f>-(K3281*0.025+L3281*0.025)</f>
        <v/>
      </c>
      <c r="P3281" s="17">
        <f>32</f>
        <v/>
      </c>
      <c r="Q3281" s="17">
        <f>J3281+L3281+N3281+O3281-P3281-M3281</f>
        <v/>
      </c>
    </row>
    <row r="3282">
      <c r="A3282" s="16" t="inlineStr">
        <is>
          <t>5.29-6.4</t>
        </is>
      </c>
      <c r="B3282" s="16" t="inlineStr">
        <is>
          <t>PO-128-18645980406394028</t>
        </is>
      </c>
      <c r="C3282" s="16" t="inlineStr">
        <is>
          <t>Delivered</t>
        </is>
      </c>
      <c r="D3282" s="16" t="inlineStr">
        <is>
          <t>128-18646001377914028</t>
        </is>
      </c>
      <c r="E3282" s="16" t="inlineStr">
        <is>
          <t>Delivered</t>
        </is>
      </c>
      <c r="F3282" s="16" t="inlineStr">
        <is>
          <t>LV64W25</t>
        </is>
      </c>
      <c r="G328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2" s="16" t="inlineStr">
        <is>
          <t>Blanco</t>
        </is>
      </c>
      <c r="I3282" s="16" t="n">
        <v>2</v>
      </c>
      <c r="J3282" s="17" t="n">
        <v>246</v>
      </c>
      <c r="K3282" s="17" t="n">
        <v>180</v>
      </c>
      <c r="L3282" s="17" t="n">
        <v>0</v>
      </c>
      <c r="M3282" s="17" t="n">
        <v>0</v>
      </c>
      <c r="N3282" s="17">
        <f>K3282*0.08+L3282*0.08</f>
        <v/>
      </c>
      <c r="O3282" s="17">
        <f>-(K3282*0.025+L3282*0.025)</f>
        <v/>
      </c>
      <c r="P3282" s="17">
        <f>32</f>
        <v/>
      </c>
      <c r="Q3282" s="17">
        <f>J3282+L3282+N3282+O3282-P3282-M3282</f>
        <v/>
      </c>
    </row>
    <row r="3283">
      <c r="A3283" s="16" t="inlineStr">
        <is>
          <t>5.29-6.4</t>
        </is>
      </c>
      <c r="B3283" s="16" t="inlineStr">
        <is>
          <t>PO-128-18926991908471331</t>
        </is>
      </c>
      <c r="C3283" s="16" t="inlineStr">
        <is>
          <t>Delivered</t>
        </is>
      </c>
      <c r="D3283" s="16" t="inlineStr">
        <is>
          <t>128-18926997151351331</t>
        </is>
      </c>
      <c r="E3283" s="16" t="inlineStr">
        <is>
          <t>Delivered</t>
        </is>
      </c>
      <c r="F3283" s="16" t="inlineStr">
        <is>
          <t>EM12W12</t>
        </is>
      </c>
      <c r="G3283" s="16" t="inlineStr">
        <is>
          <t>TIANLAI Lámpara Solar de Emergencia, 1pc 960lm IP4 5 Modos con SOS, Recargable USB+Solar con Gancho, Linterna Portátil para Camping Hogar Senderismo Pesca</t>
        </is>
      </c>
      <c r="H3283" s="16" t="inlineStr">
        <is>
          <t>BLANCO</t>
        </is>
      </c>
      <c r="I3283" s="16" t="n">
        <v>1</v>
      </c>
      <c r="J3283" s="17" t="n">
        <v>82</v>
      </c>
      <c r="K3283" s="17" t="n">
        <v>126.37</v>
      </c>
      <c r="L3283" s="17" t="n">
        <v>25.86</v>
      </c>
      <c r="M3283" s="17" t="n">
        <v>0</v>
      </c>
      <c r="N3283" s="17">
        <f>K3283*0.08+L3283*0.08</f>
        <v/>
      </c>
      <c r="O3283" s="17">
        <f>-(K3283*0.025+L3283*0.025)</f>
        <v/>
      </c>
      <c r="P3283" s="17">
        <f>32</f>
        <v/>
      </c>
      <c r="Q3283" s="17">
        <f>J3283+L3283+N3283+O3283-P3283-M3283</f>
        <v/>
      </c>
    </row>
    <row r="3284">
      <c r="A3284" s="16" t="inlineStr">
        <is>
          <t>5.29-6.4</t>
        </is>
      </c>
      <c r="B3284" s="16" t="inlineStr">
        <is>
          <t>PO-128-18661533773434065</t>
        </is>
      </c>
      <c r="C3284" s="16" t="inlineStr">
        <is>
          <t>Delivered</t>
        </is>
      </c>
      <c r="D3284" s="16" t="inlineStr">
        <is>
          <t>128-18661518044794065</t>
        </is>
      </c>
      <c r="E3284" s="16" t="inlineStr">
        <is>
          <t>Delivered</t>
        </is>
      </c>
      <c r="F3284" s="16" t="inlineStr">
        <is>
          <t>KTS-2031</t>
        </is>
      </c>
      <c r="G3284" s="16" t="inlineStr">
        <is>
          <t>Bocina inalámbrica de 3 pulgadas con linterna multifuncional y panel solar integrado.Altavoz Portátil con Linterna LED 4 Modos, Radio FM, Bluetooth, Carga Solar, Ideal para Apagones, Emergencias, Campo y Exteriores</t>
        </is>
      </c>
      <c r="H3284" s="16" t="inlineStr">
        <is>
          <t>NEGRO</t>
        </is>
      </c>
      <c r="I3284" s="16" t="n">
        <v>1</v>
      </c>
      <c r="J3284" s="17" t="n">
        <v>90</v>
      </c>
      <c r="K3284" s="17" t="n">
        <v>116.97</v>
      </c>
      <c r="L3284" s="17" t="n">
        <v>25.86</v>
      </c>
      <c r="M3284" s="17" t="n">
        <v>0</v>
      </c>
      <c r="N3284" s="17">
        <f>K3284*0.08+L3284*0.08</f>
        <v/>
      </c>
      <c r="O3284" s="17">
        <f>-(K3284*0.025+L3284*0.025)</f>
        <v/>
      </c>
      <c r="P3284" s="17">
        <f>32</f>
        <v/>
      </c>
      <c r="Q3284" s="17">
        <f>J3284+L3284+N3284+O3284-P3284-M3284</f>
        <v/>
      </c>
    </row>
    <row r="3285">
      <c r="A3285" s="16" t="inlineStr">
        <is>
          <t>5.29-6.4</t>
        </is>
      </c>
      <c r="B3285" s="16" t="inlineStr">
        <is>
          <t>PO-128-18560392131193514</t>
        </is>
      </c>
      <c r="C3285" s="16" t="inlineStr">
        <is>
          <t>Delivered</t>
        </is>
      </c>
      <c r="D3285" s="16" t="inlineStr">
        <is>
          <t>128-18560460288633514</t>
        </is>
      </c>
      <c r="E3285" s="16" t="inlineStr">
        <is>
          <t>Delivered</t>
        </is>
      </c>
      <c r="F3285" s="16" t="inlineStr">
        <is>
          <t>LV64W25</t>
        </is>
      </c>
      <c r="G32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5" s="16" t="inlineStr">
        <is>
          <t>Blanco</t>
        </is>
      </c>
      <c r="I3285" s="16" t="n">
        <v>3</v>
      </c>
      <c r="J3285" s="17" t="n">
        <v>369</v>
      </c>
      <c r="K3285" s="17" t="n">
        <v>351.04</v>
      </c>
      <c r="L3285" s="17" t="n">
        <v>0</v>
      </c>
      <c r="M3285" s="17" t="n">
        <v>0</v>
      </c>
      <c r="N3285" s="17">
        <f>K3285*0.08+L3285*0.08</f>
        <v/>
      </c>
      <c r="O3285" s="17">
        <f>-(K3285*0.025+L3285*0.025)</f>
        <v/>
      </c>
      <c r="P3285" s="17">
        <f>32</f>
        <v/>
      </c>
      <c r="Q3285" s="17">
        <f>J3285+L3285+N3285+O3285-P3285-M3285</f>
        <v/>
      </c>
    </row>
    <row r="3286">
      <c r="A3286" s="16" t="inlineStr">
        <is>
          <t>5.29-6.4</t>
        </is>
      </c>
      <c r="B3286" s="16" t="inlineStr">
        <is>
          <t>PO-128-19229280384630553</t>
        </is>
      </c>
      <c r="C3286" s="16" t="inlineStr">
        <is>
          <t>Delivered</t>
        </is>
      </c>
      <c r="D3286" s="16" t="inlineStr">
        <is>
          <t>128-19229322327670553</t>
        </is>
      </c>
      <c r="E3286" s="16" t="inlineStr">
        <is>
          <t>Delivered</t>
        </is>
      </c>
      <c r="F3286" s="16" t="inlineStr">
        <is>
          <t>LV54W25</t>
        </is>
      </c>
      <c r="G3286" s="16" t="inlineStr">
        <is>
          <t>TIANLAI Lámpara Ventilador E27 2 en 1, Silenciosa, LED Alta Luminosidad 180°, Instalación Rápida, Ahorro Energético para Dormitorio y Interiores Pequeños</t>
        </is>
      </c>
      <c r="H3286" s="16" t="inlineStr">
        <is>
          <t>1 Pieza</t>
        </is>
      </c>
      <c r="I3286" s="16" t="n">
        <v>3</v>
      </c>
      <c r="J3286" s="17" t="n">
        <v>234</v>
      </c>
      <c r="K3286" s="17" t="n">
        <v>247.53</v>
      </c>
      <c r="L3286" s="17" t="n">
        <v>0</v>
      </c>
      <c r="M3286" s="17" t="n">
        <v>0</v>
      </c>
      <c r="N3286" s="17">
        <f>K3286*0.08+L3286*0.08</f>
        <v/>
      </c>
      <c r="O3286" s="17">
        <f>-(K3286*0.025+L3286*0.025)</f>
        <v/>
      </c>
      <c r="P3286" s="17">
        <f>32</f>
        <v/>
      </c>
      <c r="Q3286" s="17">
        <f>J3286+L3286+N3286+O3286-P3286-M3286</f>
        <v/>
      </c>
    </row>
    <row r="3287">
      <c r="A3287" s="16" t="inlineStr">
        <is>
          <t>5.29-6.4</t>
        </is>
      </c>
      <c r="B3287" s="16" t="inlineStr">
        <is>
          <t>PO-128-19169465999990972</t>
        </is>
      </c>
      <c r="C3287" s="16" t="inlineStr">
        <is>
          <t>Delivered</t>
        </is>
      </c>
      <c r="D3287" s="16" t="inlineStr">
        <is>
          <t>128-19169424056950972</t>
        </is>
      </c>
      <c r="E3287" s="16" t="inlineStr">
        <is>
          <t>Delivered</t>
        </is>
      </c>
      <c r="F3287" s="16" t="inlineStr">
        <is>
          <t>LV64W25</t>
        </is>
      </c>
      <c r="G32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7" s="16" t="inlineStr">
        <is>
          <t>Blanco</t>
        </is>
      </c>
      <c r="I3287" s="16" t="n">
        <v>2</v>
      </c>
      <c r="J3287" s="17" t="n">
        <v>246</v>
      </c>
      <c r="K3287" s="17" t="n">
        <v>262.76</v>
      </c>
      <c r="L3287" s="17" t="n">
        <v>0</v>
      </c>
      <c r="M3287" s="17" t="n">
        <v>23.18</v>
      </c>
      <c r="N3287" s="17">
        <f>K3287*0.08+L3287*0.08</f>
        <v/>
      </c>
      <c r="O3287" s="17">
        <f>-(K3287*0.025+L3287*0.025)</f>
        <v/>
      </c>
      <c r="P3287" s="17">
        <f>32</f>
        <v/>
      </c>
      <c r="Q3287" s="17">
        <f>J3287+L3287+N3287+O3287-P3287-M3287</f>
        <v/>
      </c>
    </row>
    <row r="3288">
      <c r="A3288" s="16" t="inlineStr">
        <is>
          <t>5.29-6.4</t>
        </is>
      </c>
      <c r="B3288" s="16" t="inlineStr">
        <is>
          <t>PO-128-18728038840952453</t>
        </is>
      </c>
      <c r="C3288" s="16" t="inlineStr">
        <is>
          <t>Delivered</t>
        </is>
      </c>
      <c r="D3288" s="16" t="inlineStr">
        <is>
          <t>128-18727996897912453</t>
        </is>
      </c>
      <c r="E3288" s="16" t="inlineStr">
        <is>
          <t>Delivered</t>
        </is>
      </c>
      <c r="F3288" s="16" t="inlineStr">
        <is>
          <t>LV64W25</t>
        </is>
      </c>
      <c r="G32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88" s="16" t="inlineStr">
        <is>
          <t>Blanco</t>
        </is>
      </c>
      <c r="I3288" s="16" t="n">
        <v>1</v>
      </c>
      <c r="J3288" s="17" t="n">
        <v>123</v>
      </c>
      <c r="K3288" s="17" t="n">
        <v>141.27</v>
      </c>
      <c r="L3288" s="17" t="n">
        <v>25.86</v>
      </c>
      <c r="M3288" s="17" t="n">
        <v>0</v>
      </c>
      <c r="N3288" s="17">
        <f>K3288*0.08+L3288*0.08</f>
        <v/>
      </c>
      <c r="O3288" s="17">
        <f>-(K3288*0.025+L3288*0.025)</f>
        <v/>
      </c>
      <c r="P3288" s="17">
        <f>32</f>
        <v/>
      </c>
      <c r="Q3288" s="17">
        <f>J3288+L3288+N3288+O3288-P3288-M3288</f>
        <v/>
      </c>
    </row>
    <row r="3289">
      <c r="A3289" s="16" t="inlineStr">
        <is>
          <t>5.29-6.4</t>
        </is>
      </c>
      <c r="B3289" s="16" t="inlineStr">
        <is>
          <t>PO-128-18695924931193794</t>
        </is>
      </c>
      <c r="C3289" s="16" t="inlineStr">
        <is>
          <t>Delivered</t>
        </is>
      </c>
      <c r="D3289" s="16" t="inlineStr">
        <is>
          <t>128-18695945902713794</t>
        </is>
      </c>
      <c r="E3289" s="16" t="inlineStr">
        <is>
          <t>Delivered</t>
        </is>
      </c>
      <c r="F3289" s="16" t="inlineStr">
        <is>
          <t>LV54W25</t>
        </is>
      </c>
      <c r="G3289" s="16" t="inlineStr">
        <is>
          <t>TIANLAI Lámpara Ventilador E27 2 en 1, Silenciosa, LED Alta Luminosidad 180°, Instalación Rápida, Ahorro Energético para Dormitorio y Interiores Pequeños</t>
        </is>
      </c>
      <c r="H3289" s="16" t="inlineStr">
        <is>
          <t>1 Pieza</t>
        </is>
      </c>
      <c r="I3289" s="16" t="n">
        <v>1</v>
      </c>
      <c r="J3289" s="17" t="n">
        <v>78</v>
      </c>
      <c r="K3289" s="17" t="n">
        <v>79.81999999999999</v>
      </c>
      <c r="L3289" s="17" t="n">
        <v>25.86</v>
      </c>
      <c r="M3289" s="17" t="n">
        <v>0</v>
      </c>
      <c r="N3289" s="17">
        <f>K3289*0.08+L3289*0.08</f>
        <v/>
      </c>
      <c r="O3289" s="17">
        <f>-(K3289*0.025+L3289*0.025)</f>
        <v/>
      </c>
      <c r="P3289" s="17">
        <f>32</f>
        <v/>
      </c>
      <c r="Q3289" s="17">
        <f>J3289+L3289+N3289+O3289-P3289-M3289</f>
        <v/>
      </c>
    </row>
    <row r="3290">
      <c r="A3290" s="16" t="inlineStr">
        <is>
          <t>5.29-6.4</t>
        </is>
      </c>
      <c r="B3290" s="16" t="inlineStr">
        <is>
          <t>PO-128-18693934367353806</t>
        </is>
      </c>
      <c r="C3290" s="16" t="inlineStr">
        <is>
          <t>Delivered</t>
        </is>
      </c>
      <c r="D3290" s="16" t="inlineStr">
        <is>
          <t>128-18694002524793806</t>
        </is>
      </c>
      <c r="E3290" s="16" t="inlineStr">
        <is>
          <t>Delivered</t>
        </is>
      </c>
      <c r="F3290" s="16" t="inlineStr">
        <is>
          <t>LV54W25</t>
        </is>
      </c>
      <c r="G3290" s="16" t="inlineStr">
        <is>
          <t>TIANLAI Lámpara Ventilador E27 2 en 1, Silenciosa, LED Alta Luminosidad 180°, Instalación Rápida, Ahorro Energético para Dormitorio y Interiores Pequeños</t>
        </is>
      </c>
      <c r="H3290" s="16" t="inlineStr">
        <is>
          <t>1 Pieza</t>
        </is>
      </c>
      <c r="I3290" s="16" t="n">
        <v>1</v>
      </c>
      <c r="J3290" s="17" t="n">
        <v>78</v>
      </c>
      <c r="K3290" s="17" t="n">
        <v>82.51000000000001</v>
      </c>
      <c r="L3290" s="17" t="n">
        <v>25.86</v>
      </c>
      <c r="M3290" s="17" t="n">
        <v>0</v>
      </c>
      <c r="N3290" s="17">
        <f>K3290*0.08+L3290*0.08</f>
        <v/>
      </c>
      <c r="O3290" s="17">
        <f>-(K3290*0.025+L3290*0.025)</f>
        <v/>
      </c>
      <c r="P3290" s="17">
        <f>32</f>
        <v/>
      </c>
      <c r="Q3290" s="17">
        <f>J3290+L3290+N3290+O3290-P3290-M3290</f>
        <v/>
      </c>
    </row>
    <row r="3291">
      <c r="A3291" s="16" t="inlineStr">
        <is>
          <t>5.29-6.4</t>
        </is>
      </c>
      <c r="B3291" s="16" t="inlineStr">
        <is>
          <t>PO-128-18773336330872183</t>
        </is>
      </c>
      <c r="C3291" s="16" t="inlineStr">
        <is>
          <t>Delivered</t>
        </is>
      </c>
      <c r="D3291" s="16" t="inlineStr">
        <is>
          <t>128-18773294387832183</t>
        </is>
      </c>
      <c r="E3291" s="16" t="inlineStr">
        <is>
          <t>Delivered</t>
        </is>
      </c>
      <c r="F3291" s="16" t="inlineStr">
        <is>
          <t>KTS-2031</t>
        </is>
      </c>
      <c r="G3291" s="16" t="inlineStr">
        <is>
          <t>Bocina inalámbrica de 3 pulgadas con linterna multifuncional y panel solar integrado.Altavoz Portátil con Linterna LED 4 Modos, Radio FM, Bluetooth, Carga Solar, Ideal para Apagones, Emergencias, Campo y Exteriores</t>
        </is>
      </c>
      <c r="H3291" s="16" t="inlineStr">
        <is>
          <t>NEGRO</t>
        </is>
      </c>
      <c r="I3291" s="16" t="n">
        <v>1</v>
      </c>
      <c r="J3291" s="17" t="n">
        <v>90</v>
      </c>
      <c r="K3291" s="17" t="n">
        <v>116.97</v>
      </c>
      <c r="L3291" s="17" t="n">
        <v>25.86</v>
      </c>
      <c r="M3291" s="17" t="n">
        <v>0</v>
      </c>
      <c r="N3291" s="17">
        <f>K3291*0.08+L3291*0.08</f>
        <v/>
      </c>
      <c r="O3291" s="17">
        <f>-(K3291*0.025+L3291*0.025)</f>
        <v/>
      </c>
      <c r="P3291" s="17">
        <f>32</f>
        <v/>
      </c>
      <c r="Q3291" s="17">
        <f>J3291+L3291+N3291+O3291-P3291-M3291</f>
        <v/>
      </c>
    </row>
    <row r="3292">
      <c r="A3292" s="16" t="inlineStr">
        <is>
          <t>5.29-6.4</t>
        </is>
      </c>
      <c r="B3292" s="16" t="inlineStr">
        <is>
          <t>PO-128-18728933673592447</t>
        </is>
      </c>
      <c r="C3292" s="16" t="inlineStr">
        <is>
          <t>Delivered</t>
        </is>
      </c>
      <c r="D3292" s="16" t="inlineStr">
        <is>
          <t>128-18729038531192447</t>
        </is>
      </c>
      <c r="E3292" s="16" t="inlineStr">
        <is>
          <t>Delivered</t>
        </is>
      </c>
      <c r="F3292" s="16" t="inlineStr">
        <is>
          <t>TL2663N18C</t>
        </is>
      </c>
      <c r="G3292" s="16" t="inlineStr">
        <is>
          <t>Linkbits，Soporte de pared fijo para televisores de 26"-63", Ultra-Delgado Compatible con VESA 400x400mm, Capacidad de Peso Fuerte de 25KG, Instalación Fácil Sin Electricidad</t>
        </is>
      </c>
      <c r="H3292" s="16" t="inlineStr">
        <is>
          <t>NEGRO</t>
        </is>
      </c>
      <c r="I3292" s="16" t="n">
        <v>1</v>
      </c>
      <c r="J3292" s="17" t="n">
        <v>48.5</v>
      </c>
      <c r="K3292" s="17" t="n">
        <v>85.66</v>
      </c>
      <c r="L3292" s="17" t="n">
        <v>25.86</v>
      </c>
      <c r="M3292" s="17" t="n">
        <v>0</v>
      </c>
      <c r="N3292" s="17">
        <f>K3292*0.08+L3292*0.08</f>
        <v/>
      </c>
      <c r="O3292" s="17">
        <f>-(K3292*0.025+L3292*0.025)</f>
        <v/>
      </c>
      <c r="P3292" s="17">
        <f>32</f>
        <v/>
      </c>
      <c r="Q3292" s="17">
        <f>J3292+L3292+N3292+O3292-P3292-M3292</f>
        <v/>
      </c>
    </row>
    <row r="3293">
      <c r="A3293" s="16" t="inlineStr">
        <is>
          <t>5.29-6.4</t>
        </is>
      </c>
      <c r="B3293" s="16" t="inlineStr">
        <is>
          <t>PO-128-19190324777590849</t>
        </is>
      </c>
      <c r="C3293" s="16" t="inlineStr">
        <is>
          <t>Delivered</t>
        </is>
      </c>
      <c r="D3293" s="16" t="inlineStr">
        <is>
          <t>128-19190429635190849</t>
        </is>
      </c>
      <c r="E3293" s="16" t="inlineStr">
        <is>
          <t>Delivered</t>
        </is>
      </c>
      <c r="F3293" s="16" t="inlineStr">
        <is>
          <t>LV54W25</t>
        </is>
      </c>
      <c r="G3293" s="16" t="inlineStr">
        <is>
          <t>TIANLAI Lámpara Ventilador E27 2 en 1, Silenciosa, LED Alta Luminosidad 180°, Instalación Rápida, Ahorro Energético para Dormitorio y Interiores Pequeños</t>
        </is>
      </c>
      <c r="H3293" s="16" t="inlineStr">
        <is>
          <t>1 Pieza</t>
        </is>
      </c>
      <c r="I3293" s="16" t="n">
        <v>1</v>
      </c>
      <c r="J3293" s="17" t="n">
        <v>78</v>
      </c>
      <c r="K3293" s="17" t="n">
        <v>39.41</v>
      </c>
      <c r="L3293" s="17" t="n">
        <v>25.86</v>
      </c>
      <c r="M3293" s="17" t="n">
        <v>0</v>
      </c>
      <c r="N3293" s="17">
        <f>K3293*0.08+L3293*0.08</f>
        <v/>
      </c>
      <c r="O3293" s="17">
        <f>-(K3293*0.025+L3293*0.025)</f>
        <v/>
      </c>
      <c r="P3293" s="17">
        <f>32</f>
        <v/>
      </c>
      <c r="Q3293" s="17">
        <f>J3293+L3293+N3293+O3293-P3293-M3293</f>
        <v/>
      </c>
    </row>
    <row r="3294">
      <c r="A3294" s="16" t="inlineStr">
        <is>
          <t>5.29-6.4</t>
        </is>
      </c>
      <c r="B3294" s="16" t="inlineStr">
        <is>
          <t>PO-128-18717163075193668</t>
        </is>
      </c>
      <c r="C3294" s="16" t="inlineStr">
        <is>
          <t>Delivered</t>
        </is>
      </c>
      <c r="D3294" s="16" t="inlineStr">
        <is>
          <t>128-18717121132153668</t>
        </is>
      </c>
      <c r="E3294" s="16" t="inlineStr">
        <is>
          <t>Delivered</t>
        </is>
      </c>
      <c r="F3294" s="16" t="inlineStr">
        <is>
          <t>LV54W25</t>
        </is>
      </c>
      <c r="G3294" s="16" t="inlineStr">
        <is>
          <t>TIANLAI Lámpara Ventilador E27 2 en 1, Silenciosa, LED Alta Luminosidad 180°, Instalación Rápida, Ahorro Energético para Dormitorio y Interiores Pequeños</t>
        </is>
      </c>
      <c r="H3294" s="16" t="inlineStr">
        <is>
          <t>1 Pieza</t>
        </is>
      </c>
      <c r="I3294" s="16" t="n">
        <v>1</v>
      </c>
      <c r="J3294" s="17" t="n">
        <v>78</v>
      </c>
      <c r="K3294" s="17" t="n">
        <v>39.41</v>
      </c>
      <c r="L3294" s="17" t="n">
        <v>25.86</v>
      </c>
      <c r="M3294" s="17" t="n">
        <v>0</v>
      </c>
      <c r="N3294" s="17">
        <f>K3294*0.08+L3294*0.08</f>
        <v/>
      </c>
      <c r="O3294" s="17">
        <f>-(K3294*0.025+L3294*0.025)</f>
        <v/>
      </c>
      <c r="P3294" s="17">
        <f>32</f>
        <v/>
      </c>
      <c r="Q3294" s="17">
        <f>J3294+L3294+N3294+O3294-P3294-M3294</f>
        <v/>
      </c>
    </row>
    <row r="3295">
      <c r="A3295" s="16" t="inlineStr">
        <is>
          <t>5.29-6.4</t>
        </is>
      </c>
      <c r="B3295" s="16" t="inlineStr">
        <is>
          <t>PO-128-18696032594553795</t>
        </is>
      </c>
      <c r="C3295" s="16" t="inlineStr">
        <is>
          <t>Delivered</t>
        </is>
      </c>
      <c r="D3295" s="16" t="inlineStr">
        <is>
          <t>128-18696048323193795</t>
        </is>
      </c>
      <c r="E3295" s="16" t="inlineStr">
        <is>
          <t>Delivered</t>
        </is>
      </c>
      <c r="F3295" s="16" t="inlineStr">
        <is>
          <t>LV64W25</t>
        </is>
      </c>
      <c r="G32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95" s="16" t="inlineStr">
        <is>
          <t>Blanco</t>
        </is>
      </c>
      <c r="I3295" s="16" t="n">
        <v>3</v>
      </c>
      <c r="J3295" s="17" t="n">
        <v>369</v>
      </c>
      <c r="K3295" s="17" t="n">
        <v>295.71</v>
      </c>
      <c r="L3295" s="17" t="n">
        <v>0</v>
      </c>
      <c r="M3295" s="17" t="n">
        <v>26.1</v>
      </c>
      <c r="N3295" s="17">
        <f>K3295*0.08+L3295*0.08</f>
        <v/>
      </c>
      <c r="O3295" s="17">
        <f>-(K3295*0.025+L3295*0.025)</f>
        <v/>
      </c>
      <c r="P3295" s="17">
        <f>32</f>
        <v/>
      </c>
      <c r="Q3295" s="17">
        <f>J3295+L3295+N3295+O3295-P3295-M3295</f>
        <v/>
      </c>
    </row>
    <row r="3296">
      <c r="A3296" s="16" t="inlineStr">
        <is>
          <t>5.29-6.4</t>
        </is>
      </c>
      <c r="B3296" s="16" t="inlineStr">
        <is>
          <t>PO-128-19000511816312045</t>
        </is>
      </c>
      <c r="C3296" s="16" t="inlineStr">
        <is>
          <t>Delivered</t>
        </is>
      </c>
      <c r="D3296" s="16" t="inlineStr">
        <is>
          <t>128-19000469873272045</t>
        </is>
      </c>
      <c r="E3296" s="16" t="inlineStr">
        <is>
          <t>Delivered</t>
        </is>
      </c>
      <c r="F3296" s="16" t="inlineStr">
        <is>
          <t>B03W10-10PZS</t>
        </is>
      </c>
      <c r="G329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296" s="16" t="inlineStr">
        <is>
          <t>B03W10</t>
        </is>
      </c>
      <c r="I3296" s="16" t="n">
        <v>3</v>
      </c>
      <c r="J3296" s="17" t="n">
        <v>231</v>
      </c>
      <c r="K3296" s="17" t="n">
        <v>242.85</v>
      </c>
      <c r="L3296" s="17" t="n">
        <v>0</v>
      </c>
      <c r="M3296" s="17" t="n">
        <v>0</v>
      </c>
      <c r="N3296" s="17">
        <f>K3296*0.08+L3296*0.08</f>
        <v/>
      </c>
      <c r="O3296" s="17">
        <f>-(K3296*0.025+L3296*0.025)</f>
        <v/>
      </c>
      <c r="P3296" s="17">
        <f>32</f>
        <v/>
      </c>
      <c r="Q3296" s="17">
        <f>J3296+L3296+N3296+O3296-P3296-M3296</f>
        <v/>
      </c>
    </row>
    <row r="3297">
      <c r="A3297" s="16" t="inlineStr">
        <is>
          <t>5.29-6.4</t>
        </is>
      </c>
      <c r="B3297" s="16" t="inlineStr">
        <is>
          <t>PO-128-19112541430390353</t>
        </is>
      </c>
      <c r="C3297" s="16" t="inlineStr">
        <is>
          <t>Delivered</t>
        </is>
      </c>
      <c r="D3297" s="16" t="inlineStr">
        <is>
          <t>128-19112509973110353</t>
        </is>
      </c>
      <c r="E3297" s="16" t="inlineStr">
        <is>
          <t>Delivered</t>
        </is>
      </c>
      <c r="F3297" s="16" t="inlineStr">
        <is>
          <t>LV54W25</t>
        </is>
      </c>
      <c r="G3297" s="16" t="inlineStr">
        <is>
          <t>TIANLAI Lámpara Ventilador E27 2 en 1, Silenciosa, LED Alta Luminosidad 180°, Instalación Rápida, Ahorro Energético para Dormitorio y Interiores Pequeños</t>
        </is>
      </c>
      <c r="H3297" s="16" t="inlineStr">
        <is>
          <t>1 Pieza</t>
        </is>
      </c>
      <c r="I3297" s="16" t="n">
        <v>2</v>
      </c>
      <c r="J3297" s="17" t="n">
        <v>156</v>
      </c>
      <c r="K3297" s="17" t="n">
        <v>165.02</v>
      </c>
      <c r="L3297" s="17" t="n">
        <v>25.86</v>
      </c>
      <c r="M3297" s="17" t="n">
        <v>0</v>
      </c>
      <c r="N3297" s="17">
        <f>K3297*0.08+L3297*0.08</f>
        <v/>
      </c>
      <c r="O3297" s="17">
        <f>-(K3297*0.025+L3297*0.025)</f>
        <v/>
      </c>
      <c r="P3297" s="17">
        <f>32</f>
        <v/>
      </c>
      <c r="Q3297" s="17">
        <f>J3297+L3297+N3297+O3297-P3297-M3297</f>
        <v/>
      </c>
    </row>
    <row r="3298">
      <c r="A3298" s="16" t="inlineStr">
        <is>
          <t>5.29-6.4</t>
        </is>
      </c>
      <c r="B3298" s="16" t="inlineStr">
        <is>
          <t>PO-128-18742193265272558</t>
        </is>
      </c>
      <c r="C3298" s="16" t="inlineStr">
        <is>
          <t>Delivered</t>
        </is>
      </c>
      <c r="D3298" s="16" t="inlineStr">
        <is>
          <t>128-18742298122872558</t>
        </is>
      </c>
      <c r="E3298" s="16" t="inlineStr">
        <is>
          <t>Delivered</t>
        </is>
      </c>
      <c r="F3298" s="16" t="inlineStr">
        <is>
          <t>LV64W25</t>
        </is>
      </c>
      <c r="G32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298" s="16" t="inlineStr">
        <is>
          <t>Blanco</t>
        </is>
      </c>
      <c r="I3298" s="16" t="n">
        <v>2</v>
      </c>
      <c r="J3298" s="17" t="n">
        <v>246</v>
      </c>
      <c r="K3298" s="17" t="n">
        <v>262.76</v>
      </c>
      <c r="L3298" s="17" t="n">
        <v>0</v>
      </c>
      <c r="M3298" s="17" t="n">
        <v>0</v>
      </c>
      <c r="N3298" s="17">
        <f>K3298*0.08+L3298*0.08</f>
        <v/>
      </c>
      <c r="O3298" s="17">
        <f>-(K3298*0.025+L3298*0.025)</f>
        <v/>
      </c>
      <c r="P3298" s="17">
        <f>32</f>
        <v/>
      </c>
      <c r="Q3298" s="17">
        <f>J3298+L3298+N3298+O3298-P3298-M3298</f>
        <v/>
      </c>
    </row>
    <row r="3299">
      <c r="A3299" s="16" t="inlineStr">
        <is>
          <t>5.29-6.4</t>
        </is>
      </c>
      <c r="B3299" s="16" t="inlineStr">
        <is>
          <t>PO-128-18640085289593169</t>
        </is>
      </c>
      <c r="C3299" s="16" t="inlineStr">
        <is>
          <t>Delivered</t>
        </is>
      </c>
      <c r="D3299" s="16" t="inlineStr">
        <is>
          <t>128-18640137718393169</t>
        </is>
      </c>
      <c r="E3299" s="16" t="inlineStr">
        <is>
          <t>Delivered</t>
        </is>
      </c>
      <c r="F3299" s="16" t="inlineStr">
        <is>
          <t>TLCD06-12P-N</t>
        </is>
      </c>
      <c r="G329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299" s="16" t="inlineStr">
        <is>
          <t>NEGRO/pantalla de 12 pulgadas</t>
        </is>
      </c>
      <c r="I3299" s="16" t="n">
        <v>1</v>
      </c>
      <c r="J3299" s="17" t="n">
        <v>35</v>
      </c>
      <c r="K3299" s="17" t="n">
        <v>21.51</v>
      </c>
      <c r="L3299" s="17" t="n">
        <v>25.86</v>
      </c>
      <c r="M3299" s="17" t="n">
        <v>0</v>
      </c>
      <c r="N3299" s="17">
        <f>K3299*0.08+L3299*0.08</f>
        <v/>
      </c>
      <c r="O3299" s="17">
        <f>-(K3299*0.025+L3299*0.025)</f>
        <v/>
      </c>
      <c r="P3299" s="17">
        <f>32</f>
        <v/>
      </c>
      <c r="Q3299" s="17">
        <f>J3299+L3299+N3299+O3299-P3299-M3299</f>
        <v/>
      </c>
    </row>
    <row r="3300">
      <c r="A3300" s="16" t="inlineStr">
        <is>
          <t>5.29-6.4</t>
        </is>
      </c>
      <c r="B3300" s="16" t="inlineStr">
        <is>
          <t>PO-128-18842052280952861</t>
        </is>
      </c>
      <c r="C3300" s="16" t="inlineStr">
        <is>
          <t>Delivered</t>
        </is>
      </c>
      <c r="D3300" s="16" t="inlineStr">
        <is>
          <t>128-18842094223992861</t>
        </is>
      </c>
      <c r="E3300" s="16" t="inlineStr">
        <is>
          <t>Delivered</t>
        </is>
      </c>
      <c r="F3300" s="16" t="inlineStr">
        <is>
          <t>LV54W25</t>
        </is>
      </c>
      <c r="G3300" s="16" t="inlineStr">
        <is>
          <t>TIANLAI Lámpara Ventilador E27 2 en 1, Silenciosa, LED Alta Luminosidad 180°, Instalación Rápida, Ahorro Energético para Dormitorio y Interiores Pequeños</t>
        </is>
      </c>
      <c r="H3300" s="16" t="inlineStr">
        <is>
          <t>1 Pieza</t>
        </is>
      </c>
      <c r="I3300" s="16" t="n">
        <v>1</v>
      </c>
      <c r="J3300" s="17" t="n">
        <v>78</v>
      </c>
      <c r="K3300" s="17" t="n">
        <v>82.51000000000001</v>
      </c>
      <c r="L3300" s="17" t="n">
        <v>25.86</v>
      </c>
      <c r="M3300" s="17" t="n">
        <v>0</v>
      </c>
      <c r="N3300" s="17">
        <f>K3300*0.08+L3300*0.08</f>
        <v/>
      </c>
      <c r="O3300" s="17">
        <f>-(K3300*0.025+L3300*0.025)</f>
        <v/>
      </c>
      <c r="P3300" s="17">
        <f>32</f>
        <v/>
      </c>
      <c r="Q3300" s="17">
        <f>J3300+L3300+N3300+O3300-P3300-M3300</f>
        <v/>
      </c>
    </row>
    <row r="3301">
      <c r="A3301" s="16" t="inlineStr">
        <is>
          <t>5.29-6.4</t>
        </is>
      </c>
      <c r="B3301" s="16" t="inlineStr">
        <is>
          <t>PO-128-18801380414072142</t>
        </is>
      </c>
      <c r="C3301" s="16" t="inlineStr">
        <is>
          <t>Delivered</t>
        </is>
      </c>
      <c r="D3301" s="16" t="inlineStr">
        <is>
          <t>128-18801383035512142</t>
        </is>
      </c>
      <c r="E3301" s="16" t="inlineStr">
        <is>
          <t>Delivered</t>
        </is>
      </c>
      <c r="F3301" s="16" t="inlineStr">
        <is>
          <t>LV64W25</t>
        </is>
      </c>
      <c r="G33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1" s="16" t="inlineStr">
        <is>
          <t>Blanco</t>
        </is>
      </c>
      <c r="I3301" s="16" t="n">
        <v>1</v>
      </c>
      <c r="J3301" s="17" t="n">
        <v>123</v>
      </c>
      <c r="K3301" s="17" t="n">
        <v>131.38</v>
      </c>
      <c r="L3301" s="17" t="n">
        <v>25.86</v>
      </c>
      <c r="M3301" s="17" t="n">
        <v>0</v>
      </c>
      <c r="N3301" s="17">
        <f>K3301*0.08+L3301*0.08</f>
        <v/>
      </c>
      <c r="O3301" s="17">
        <f>-(K3301*0.025+L3301*0.025)</f>
        <v/>
      </c>
      <c r="P3301" s="17">
        <f>32</f>
        <v/>
      </c>
      <c r="Q3301" s="17">
        <f>J3301+L3301+N3301+O3301-P3301-M3301</f>
        <v/>
      </c>
    </row>
    <row r="3302">
      <c r="A3302" s="16" t="inlineStr">
        <is>
          <t>5.29-6.4</t>
        </is>
      </c>
      <c r="B3302" s="16" t="inlineStr">
        <is>
          <t>PO-128-18825856256633020</t>
        </is>
      </c>
      <c r="C3302" s="16" t="inlineStr">
        <is>
          <t>Delivered</t>
        </is>
      </c>
      <c r="D3302" s="16" t="inlineStr">
        <is>
          <t>128-18825861499513020</t>
        </is>
      </c>
      <c r="E3302" s="16" t="inlineStr">
        <is>
          <t>Delivered</t>
        </is>
      </c>
      <c r="F3302" s="16" t="inlineStr">
        <is>
          <t>LV54W25</t>
        </is>
      </c>
      <c r="G3302" s="16" t="inlineStr">
        <is>
          <t>TIANLAI Lámpara Ventilador E27 2 en 1, Silenciosa, LED Alta Luminosidad 180°, Instalación Rápida, Ahorro Energético para Dormitorio y Interiores Pequeños</t>
        </is>
      </c>
      <c r="H3302" s="16" t="inlineStr">
        <is>
          <t>1 Pieza</t>
        </is>
      </c>
      <c r="I3302" s="16" t="n">
        <v>1</v>
      </c>
      <c r="J3302" s="17" t="n">
        <v>78</v>
      </c>
      <c r="K3302" s="17" t="n">
        <v>82.51000000000001</v>
      </c>
      <c r="L3302" s="17" t="n">
        <v>25.86</v>
      </c>
      <c r="M3302" s="17" t="n">
        <v>3.22</v>
      </c>
      <c r="N3302" s="17">
        <f>K3302*0.08+L3302*0.08</f>
        <v/>
      </c>
      <c r="O3302" s="17">
        <f>-(K3302*0.025+L3302*0.025)</f>
        <v/>
      </c>
      <c r="P3302" s="17">
        <f>32</f>
        <v/>
      </c>
      <c r="Q3302" s="17">
        <f>J3302+L3302+N3302+O3302-P3302-M3302</f>
        <v/>
      </c>
    </row>
    <row r="3303">
      <c r="A3303" s="16" t="inlineStr">
        <is>
          <t>5.29-6.4</t>
        </is>
      </c>
      <c r="B3303" s="16" t="inlineStr">
        <is>
          <t>PO-128-19072446669430398</t>
        </is>
      </c>
      <c r="C3303" s="16" t="inlineStr">
        <is>
          <t>Delivered</t>
        </is>
      </c>
      <c r="D3303" s="16" t="inlineStr">
        <is>
          <t>128-19072365404790398</t>
        </is>
      </c>
      <c r="E3303" s="16" t="inlineStr">
        <is>
          <t>Delivered</t>
        </is>
      </c>
      <c r="F3303" s="16" t="inlineStr">
        <is>
          <t>LV64W25</t>
        </is>
      </c>
      <c r="G33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3" s="16" t="inlineStr">
        <is>
          <t>Blanco</t>
        </is>
      </c>
      <c r="I3303" s="16" t="n">
        <v>2</v>
      </c>
      <c r="J3303" s="17" t="n">
        <v>246</v>
      </c>
      <c r="K3303" s="17" t="n">
        <v>262.76</v>
      </c>
      <c r="L3303" s="17" t="n">
        <v>0</v>
      </c>
      <c r="M3303" s="17" t="n">
        <v>0</v>
      </c>
      <c r="N3303" s="17">
        <f>K3303*0.08+L3303*0.08</f>
        <v/>
      </c>
      <c r="O3303" s="17">
        <f>-(K3303*0.025+L3303*0.025)</f>
        <v/>
      </c>
      <c r="P3303" s="17">
        <f>32</f>
        <v/>
      </c>
      <c r="Q3303" s="17">
        <f>J3303+L3303+N3303+O3303-P3303-M3303</f>
        <v/>
      </c>
    </row>
    <row r="3304">
      <c r="A3304" s="16" t="inlineStr">
        <is>
          <t>5.29-6.4</t>
        </is>
      </c>
      <c r="B3304" s="16" t="inlineStr">
        <is>
          <t>PO-128-19006945331831812</t>
        </is>
      </c>
      <c r="C3304" s="16" t="inlineStr">
        <is>
          <t>Delivered</t>
        </is>
      </c>
      <c r="D3304" s="16" t="inlineStr">
        <is>
          <t>128-19006913874551812</t>
        </is>
      </c>
      <c r="E3304" s="16" t="inlineStr">
        <is>
          <t>Delivered</t>
        </is>
      </c>
      <c r="F3304" s="16" t="inlineStr">
        <is>
          <t>LV54W25</t>
        </is>
      </c>
      <c r="G3304" s="16" t="inlineStr">
        <is>
          <t>TIANLAI Lámpara Ventilador E27 2 en 1, Silenciosa, LED Alta Luminosidad 180°, Instalación Rápida, Ahorro Energético para Dormitorio y Interiores Pequeños</t>
        </is>
      </c>
      <c r="H3304" s="16" t="inlineStr">
        <is>
          <t>1 Pieza</t>
        </is>
      </c>
      <c r="I3304" s="16" t="n">
        <v>5</v>
      </c>
      <c r="J3304" s="17" t="n">
        <v>390</v>
      </c>
      <c r="K3304" s="17" t="n">
        <v>343.88</v>
      </c>
      <c r="L3304" s="17" t="n">
        <v>0</v>
      </c>
      <c r="M3304" s="17" t="n">
        <v>15.35</v>
      </c>
      <c r="N3304" s="17">
        <f>K3304*0.08+L3304*0.08</f>
        <v/>
      </c>
      <c r="O3304" s="17">
        <f>-(K3304*0.025+L3304*0.025)</f>
        <v/>
      </c>
      <c r="P3304" s="17">
        <f>32</f>
        <v/>
      </c>
      <c r="Q3304" s="17">
        <f>J3304+L3304+N3304+O3304-P3304-M3304</f>
        <v/>
      </c>
    </row>
    <row r="3305">
      <c r="A3305" s="16" t="inlineStr">
        <is>
          <t>5.29-6.4</t>
        </is>
      </c>
      <c r="B3305" s="16" t="inlineStr">
        <is>
          <t>PO-128-19125972792950209</t>
        </is>
      </c>
      <c r="C3305" s="16" t="inlineStr">
        <is>
          <t>Delivered</t>
        </is>
      </c>
      <c r="D3305" s="16" t="inlineStr">
        <is>
          <t>128-19125993764470209</t>
        </is>
      </c>
      <c r="E3305" s="16" t="inlineStr">
        <is>
          <t>Delivered</t>
        </is>
      </c>
      <c r="F3305" s="16" t="inlineStr">
        <is>
          <t>LV64W25</t>
        </is>
      </c>
      <c r="G33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5" s="16" t="inlineStr">
        <is>
          <t>Blanco</t>
        </is>
      </c>
      <c r="I3305" s="16" t="n">
        <v>1</v>
      </c>
      <c r="J3305" s="17" t="n">
        <v>123</v>
      </c>
      <c r="K3305" s="17" t="n">
        <v>131.38</v>
      </c>
      <c r="L3305" s="17" t="n">
        <v>25.86</v>
      </c>
      <c r="M3305" s="17" t="n">
        <v>0</v>
      </c>
      <c r="N3305" s="17">
        <f>K3305*0.08+L3305*0.08</f>
        <v/>
      </c>
      <c r="O3305" s="17">
        <f>-(K3305*0.025+L3305*0.025)</f>
        <v/>
      </c>
      <c r="P3305" s="17">
        <f>32</f>
        <v/>
      </c>
      <c r="Q3305" s="17">
        <f>J3305+L3305+N3305+O3305-P3305-M3305</f>
        <v/>
      </c>
    </row>
    <row r="3306">
      <c r="A3306" s="16" t="inlineStr">
        <is>
          <t>5.29-6.4</t>
        </is>
      </c>
      <c r="B3306" s="16" t="inlineStr">
        <is>
          <t>PO-128-18865441956472720</t>
        </is>
      </c>
      <c r="C3306" s="16" t="inlineStr">
        <is>
          <t>Delivered</t>
        </is>
      </c>
      <c r="D3306" s="16" t="inlineStr">
        <is>
          <t>128-18865468170872720</t>
        </is>
      </c>
      <c r="E3306" s="16" t="inlineStr">
        <is>
          <t>Delivered</t>
        </is>
      </c>
      <c r="F3306" s="16" t="inlineStr">
        <is>
          <t>SB428T</t>
        </is>
      </c>
      <c r="G3306" s="16" t="inlineStr">
        <is>
          <t>LINK BITS Bocina Portátil con 2 Altavoces de 4" (5W×2), Sonido Potente, Luces LED, Bluetooth, USB/TF/FM - Ideal para Reuniones, Fiestas y Picnics en México</t>
        </is>
      </c>
      <c r="H3306" s="16" t="inlineStr">
        <is>
          <t>SB428T</t>
        </is>
      </c>
      <c r="I3306" s="16" t="n">
        <v>1</v>
      </c>
      <c r="J3306" s="17" t="n">
        <v>97</v>
      </c>
      <c r="K3306" s="17" t="n">
        <v>115.49</v>
      </c>
      <c r="L3306" s="17" t="n">
        <v>25.86</v>
      </c>
      <c r="M3306" s="17" t="n">
        <v>0</v>
      </c>
      <c r="N3306" s="17">
        <f>K3306*0.08+L3306*0.08</f>
        <v/>
      </c>
      <c r="O3306" s="17">
        <f>-(K3306*0.025+L3306*0.025)</f>
        <v/>
      </c>
      <c r="P3306" s="17">
        <f>32</f>
        <v/>
      </c>
      <c r="Q3306" s="17">
        <f>J3306+L3306+N3306+O3306-P3306-M3306</f>
        <v/>
      </c>
    </row>
    <row r="3307">
      <c r="A3307" s="16" t="inlineStr">
        <is>
          <t>5.29-6.4</t>
        </is>
      </c>
      <c r="B3307" s="16" t="inlineStr">
        <is>
          <t>PO-128-18606464318073241</t>
        </is>
      </c>
      <c r="C3307" s="16" t="inlineStr">
        <is>
          <t>Delivered</t>
        </is>
      </c>
      <c r="D3307" s="16" t="inlineStr">
        <is>
          <t>128-18606569175673241</t>
        </is>
      </c>
      <c r="E3307" s="16" t="inlineStr">
        <is>
          <t>Delivered</t>
        </is>
      </c>
      <c r="F3307" s="16" t="inlineStr">
        <is>
          <t>LV64W25</t>
        </is>
      </c>
      <c r="G33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7" s="16" t="inlineStr">
        <is>
          <t>Blanco</t>
        </is>
      </c>
      <c r="I3307" s="16" t="n">
        <v>2</v>
      </c>
      <c r="J3307" s="17" t="n">
        <v>246</v>
      </c>
      <c r="K3307" s="17" t="n">
        <v>262.76</v>
      </c>
      <c r="L3307" s="17" t="n">
        <v>0</v>
      </c>
      <c r="M3307" s="17" t="n">
        <v>0</v>
      </c>
      <c r="N3307" s="17">
        <f>K3307*0.08+L3307*0.08</f>
        <v/>
      </c>
      <c r="O3307" s="17">
        <f>-(K3307*0.025+L3307*0.025)</f>
        <v/>
      </c>
      <c r="P3307" s="17">
        <f>32</f>
        <v/>
      </c>
      <c r="Q3307" s="17">
        <f>J3307+L3307+N3307+O3307-P3307-M3307</f>
        <v/>
      </c>
    </row>
    <row r="3308">
      <c r="A3308" s="16" t="inlineStr">
        <is>
          <t>5.29-6.4</t>
        </is>
      </c>
      <c r="B3308" s="16" t="inlineStr">
        <is>
          <t>PO-128-18984986767991945</t>
        </is>
      </c>
      <c r="C3308" s="16" t="inlineStr">
        <is>
          <t>Delivered</t>
        </is>
      </c>
      <c r="D3308" s="16" t="inlineStr">
        <is>
          <t>128-18985028711031945</t>
        </is>
      </c>
      <c r="E3308" s="16" t="inlineStr">
        <is>
          <t>Delivered</t>
        </is>
      </c>
      <c r="F3308" s="16" t="inlineStr">
        <is>
          <t>TLCD06-12P-A</t>
        </is>
      </c>
      <c r="G330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08" s="16" t="inlineStr">
        <is>
          <t>AZUL/pantalla de 12 pulgadas</t>
        </is>
      </c>
      <c r="I3308" s="16" t="n">
        <v>1</v>
      </c>
      <c r="J3308" s="17" t="n">
        <v>35</v>
      </c>
      <c r="K3308" s="17" t="n">
        <v>21.51</v>
      </c>
      <c r="L3308" s="17" t="n">
        <v>25.86</v>
      </c>
      <c r="M3308" s="17" t="n">
        <v>0</v>
      </c>
      <c r="N3308" s="17">
        <f>K3308*0.08+L3308*0.08</f>
        <v/>
      </c>
      <c r="O3308" s="17">
        <f>-(K3308*0.025+L3308*0.025)</f>
        <v/>
      </c>
      <c r="P3308" s="17">
        <f>32</f>
        <v/>
      </c>
      <c r="Q3308" s="17">
        <f>J3308+L3308+N3308+O3308-P3308-M3308</f>
        <v/>
      </c>
    </row>
    <row r="3309">
      <c r="A3309" s="16" t="inlineStr">
        <is>
          <t>5.29-6.4</t>
        </is>
      </c>
      <c r="B3309" s="16" t="inlineStr">
        <is>
          <t>PO-128-18652149781114057</t>
        </is>
      </c>
      <c r="C3309" s="16" t="inlineStr">
        <is>
          <t>Delivered</t>
        </is>
      </c>
      <c r="D3309" s="16" t="inlineStr">
        <is>
          <t>128-18652107838074057</t>
        </is>
      </c>
      <c r="E3309" s="16" t="inlineStr">
        <is>
          <t>Delivered</t>
        </is>
      </c>
      <c r="F3309" s="16" t="inlineStr">
        <is>
          <t>LV64W25</t>
        </is>
      </c>
      <c r="G33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09" s="16" t="inlineStr">
        <is>
          <t>Blanco</t>
        </is>
      </c>
      <c r="I3309" s="16" t="n">
        <v>1</v>
      </c>
      <c r="J3309" s="17" t="n">
        <v>123</v>
      </c>
      <c r="K3309" s="17" t="n">
        <v>141.27</v>
      </c>
      <c r="L3309" s="17" t="n">
        <v>25.86</v>
      </c>
      <c r="M3309" s="17" t="n">
        <v>0</v>
      </c>
      <c r="N3309" s="17">
        <f>K3309*0.08+L3309*0.08</f>
        <v/>
      </c>
      <c r="O3309" s="17">
        <f>-(K3309*0.025+L3309*0.025)</f>
        <v/>
      </c>
      <c r="P3309" s="17">
        <f>32</f>
        <v/>
      </c>
      <c r="Q3309" s="17">
        <f>J3309+L3309+N3309+O3309-P3309-M3309</f>
        <v/>
      </c>
    </row>
    <row r="3310">
      <c r="A3310" s="16" t="inlineStr">
        <is>
          <t>5.29-6.4</t>
        </is>
      </c>
      <c r="B3310" s="16" t="inlineStr">
        <is>
          <t>PO-128-19055621550711586</t>
        </is>
      </c>
      <c r="C3310" s="16" t="inlineStr">
        <is>
          <t>Delivered</t>
        </is>
      </c>
      <c r="D3310" s="16" t="inlineStr">
        <is>
          <t>128-19055590093431586</t>
        </is>
      </c>
      <c r="E3310" s="16" t="inlineStr">
        <is>
          <t>Delivered</t>
        </is>
      </c>
      <c r="F3310" s="16" t="inlineStr">
        <is>
          <t>LV54W25</t>
        </is>
      </c>
      <c r="G3310" s="16" t="inlineStr">
        <is>
          <t>TIANLAI Lámpara Ventilador E27 2 en 1, Silenciosa, LED Alta Luminosidad 180°, Instalación Rápida, Ahorro Energético para Dormitorio y Interiores Pequeños</t>
        </is>
      </c>
      <c r="H3310" s="16" t="inlineStr">
        <is>
          <t>1 Pieza</t>
        </is>
      </c>
      <c r="I3310" s="16" t="n">
        <v>1</v>
      </c>
      <c r="J3310" s="17" t="n">
        <v>78</v>
      </c>
      <c r="K3310" s="17" t="n">
        <v>82.51000000000001</v>
      </c>
      <c r="L3310" s="17" t="n">
        <v>25.86</v>
      </c>
      <c r="M3310" s="17" t="n">
        <v>0</v>
      </c>
      <c r="N3310" s="17">
        <f>K3310*0.08+L3310*0.08</f>
        <v/>
      </c>
      <c r="O3310" s="17">
        <f>-(K3310*0.025+L3310*0.025)</f>
        <v/>
      </c>
      <c r="P3310" s="17">
        <f>32</f>
        <v/>
      </c>
      <c r="Q3310" s="17">
        <f>J3310+L3310+N3310+O3310-P3310-M3310</f>
        <v/>
      </c>
    </row>
    <row r="3311">
      <c r="A3311" s="16" t="inlineStr">
        <is>
          <t>5.29-6.4</t>
        </is>
      </c>
      <c r="B3311" s="16" t="inlineStr">
        <is>
          <t>PO-128-19227317228150565</t>
        </is>
      </c>
      <c r="C3311" s="16" t="inlineStr">
        <is>
          <t>Delivered</t>
        </is>
      </c>
      <c r="D3311" s="16" t="inlineStr">
        <is>
          <t>128-19227243827830565</t>
        </is>
      </c>
      <c r="E3311" s="16" t="inlineStr">
        <is>
          <t>Delivered</t>
        </is>
      </c>
      <c r="F3311" s="16" t="inlineStr">
        <is>
          <t>LV54W25</t>
        </is>
      </c>
      <c r="G3311" s="16" t="inlineStr">
        <is>
          <t>TIANLAI Lámpara Ventilador E27 2 en 1, Silenciosa, LED Alta Luminosidad 180°, Instalación Rápida, Ahorro Energético para Dormitorio y Interiores Pequeños</t>
        </is>
      </c>
      <c r="H3311" s="16" t="inlineStr">
        <is>
          <t>1 Pieza</t>
        </is>
      </c>
      <c r="I3311" s="16" t="n">
        <v>3</v>
      </c>
      <c r="J3311" s="17" t="n">
        <v>234</v>
      </c>
      <c r="K3311" s="17" t="n">
        <v>247.53</v>
      </c>
      <c r="L3311" s="17" t="n">
        <v>0</v>
      </c>
      <c r="M3311" s="17" t="n">
        <v>0</v>
      </c>
      <c r="N3311" s="17">
        <f>K3311*0.08+L3311*0.08</f>
        <v/>
      </c>
      <c r="O3311" s="17">
        <f>-(K3311*0.025+L3311*0.025)</f>
        <v/>
      </c>
      <c r="P3311" s="17">
        <f>32</f>
        <v/>
      </c>
      <c r="Q3311" s="17">
        <f>J3311+L3311+N3311+O3311-P3311-M3311</f>
        <v/>
      </c>
    </row>
    <row r="3312">
      <c r="A3312" s="16" t="inlineStr">
        <is>
          <t>5.29-6.4</t>
        </is>
      </c>
      <c r="B3312" s="16" t="inlineStr">
        <is>
          <t>PO-128-18685023201913733</t>
        </is>
      </c>
      <c r="C3312" s="16" t="inlineStr">
        <is>
          <t>Delivered</t>
        </is>
      </c>
      <c r="D3312" s="16" t="inlineStr">
        <is>
          <t>128-18685002230393733</t>
        </is>
      </c>
      <c r="E3312" s="16" t="inlineStr">
        <is>
          <t>Delivered</t>
        </is>
      </c>
      <c r="F3312" s="16" t="inlineStr">
        <is>
          <t>LV64W25</t>
        </is>
      </c>
      <c r="G33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12" s="16" t="inlineStr">
        <is>
          <t>Blanco</t>
        </is>
      </c>
      <c r="I3312" s="16" t="n">
        <v>1</v>
      </c>
      <c r="J3312" s="17" t="n">
        <v>123</v>
      </c>
      <c r="K3312" s="17" t="n">
        <v>111.22</v>
      </c>
      <c r="L3312" s="17" t="n">
        <v>25.86</v>
      </c>
      <c r="M3312" s="17" t="n">
        <v>0</v>
      </c>
      <c r="N3312" s="17">
        <f>K3312*0.08+L3312*0.08</f>
        <v/>
      </c>
      <c r="O3312" s="17">
        <f>-(K3312*0.025+L3312*0.025)</f>
        <v/>
      </c>
      <c r="P3312" s="17">
        <f>32</f>
        <v/>
      </c>
      <c r="Q3312" s="17">
        <f>J3312+L3312+N3312+O3312-P3312-M3312</f>
        <v/>
      </c>
    </row>
    <row r="3313">
      <c r="A3313" s="16" t="inlineStr">
        <is>
          <t>5.29-6.4</t>
        </is>
      </c>
      <c r="B3313" s="16" t="inlineStr">
        <is>
          <t>PO-128-18885560873592600</t>
        </is>
      </c>
      <c r="C3313" s="16" t="inlineStr">
        <is>
          <t>Delivered</t>
        </is>
      </c>
      <c r="D3313" s="16" t="inlineStr">
        <is>
          <t>128-18885581845112600</t>
        </is>
      </c>
      <c r="E3313" s="16" t="inlineStr">
        <is>
          <t>Delivered</t>
        </is>
      </c>
      <c r="F3313" s="16" t="inlineStr">
        <is>
          <t>TL1455N20B</t>
        </is>
      </c>
      <c r="G3313" s="16" t="inlineStr">
        <is>
          <t>LINK BITS Soporte para TV 14 A 55 Pulgadas, Base para TV Pantalla Articulado Inclinable y Giratorio, MAX VESA 400×400 mm, Soporta hasta 18kg, adaptarse a la mayoría de los televisores de 14 Pulgadas/20 Pulgadas/32 Pulgadas/42 Pulgadas/55 pulgadas</t>
        </is>
      </c>
      <c r="H3313" s="16" t="inlineStr">
        <is>
          <t>TL1455N20B</t>
        </is>
      </c>
      <c r="I3313" s="16" t="n">
        <v>1</v>
      </c>
      <c r="J3313" s="17" t="n">
        <v>85</v>
      </c>
      <c r="K3313" s="17" t="n">
        <v>135.34</v>
      </c>
      <c r="L3313" s="17" t="n">
        <v>25.86</v>
      </c>
      <c r="M3313" s="17" t="n">
        <v>0</v>
      </c>
      <c r="N3313" s="17">
        <f>K3313*0.08+L3313*0.08</f>
        <v/>
      </c>
      <c r="O3313" s="17">
        <f>-(K3313*0.025+L3313*0.025)</f>
        <v/>
      </c>
      <c r="P3313" s="17">
        <f>32</f>
        <v/>
      </c>
      <c r="Q3313" s="17">
        <f>J3313+L3313+N3313+O3313-P3313-M3313</f>
        <v/>
      </c>
    </row>
    <row r="3314">
      <c r="A3314" s="16" t="inlineStr">
        <is>
          <t>5.29-6.4</t>
        </is>
      </c>
      <c r="B3314" s="16" t="inlineStr">
        <is>
          <t>PO-128-19134119516790030</t>
        </is>
      </c>
      <c r="C3314" s="16" t="inlineStr">
        <is>
          <t>Delivered</t>
        </is>
      </c>
      <c r="D3314" s="16" t="inlineStr">
        <is>
          <t>128-19134140488310030</t>
        </is>
      </c>
      <c r="E3314" s="16" t="inlineStr">
        <is>
          <t>Delivered</t>
        </is>
      </c>
      <c r="F3314" s="16" t="inlineStr">
        <is>
          <t>LV54W25</t>
        </is>
      </c>
      <c r="G3314" s="16" t="inlineStr">
        <is>
          <t>TIANLAI Lámpara Ventilador E27 2 en 1, Silenciosa, LED Alta Luminosidad 180°, Instalación Rápida, Ahorro Energético para Dormitorio y Interiores Pequeños</t>
        </is>
      </c>
      <c r="H3314" s="16" t="inlineStr">
        <is>
          <t>1 Pieza</t>
        </is>
      </c>
      <c r="I3314" s="16" t="n">
        <v>3</v>
      </c>
      <c r="J3314" s="17" t="n">
        <v>234</v>
      </c>
      <c r="K3314" s="17" t="n">
        <v>247.53</v>
      </c>
      <c r="L3314" s="17" t="n">
        <v>0</v>
      </c>
      <c r="M3314" s="17" t="n">
        <v>0</v>
      </c>
      <c r="N3314" s="17">
        <f>K3314*0.08+L3314*0.08</f>
        <v/>
      </c>
      <c r="O3314" s="17">
        <f>-(K3314*0.025+L3314*0.025)</f>
        <v/>
      </c>
      <c r="P3314" s="17">
        <f>32</f>
        <v/>
      </c>
      <c r="Q3314" s="17">
        <f>J3314+L3314+N3314+O3314-P3314-M3314</f>
        <v/>
      </c>
    </row>
    <row r="3315">
      <c r="A3315" s="16" t="inlineStr">
        <is>
          <t>5.29-6.4</t>
        </is>
      </c>
      <c r="B3315" s="16" t="inlineStr">
        <is>
          <t>PO-128-18775308943992235</t>
        </is>
      </c>
      <c r="C3315" s="16" t="inlineStr">
        <is>
          <t>Delivered</t>
        </is>
      </c>
      <c r="D3315" s="16" t="inlineStr">
        <is>
          <t>128-18775377101432235</t>
        </is>
      </c>
      <c r="E3315" s="16" t="inlineStr">
        <is>
          <t>Delivered</t>
        </is>
      </c>
      <c r="F3315" s="16" t="inlineStr">
        <is>
          <t>LV64W25</t>
        </is>
      </c>
      <c r="G33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15" s="16" t="inlineStr">
        <is>
          <t>Blanco</t>
        </is>
      </c>
      <c r="I3315" s="16" t="n">
        <v>1</v>
      </c>
      <c r="J3315" s="17" t="n">
        <v>123</v>
      </c>
      <c r="K3315" s="17" t="n">
        <v>141.27</v>
      </c>
      <c r="L3315" s="17" t="n">
        <v>25.86</v>
      </c>
      <c r="M3315" s="17" t="n">
        <v>0</v>
      </c>
      <c r="N3315" s="17">
        <f>K3315*0.08+L3315*0.08</f>
        <v/>
      </c>
      <c r="O3315" s="17">
        <f>-(K3315*0.025+L3315*0.025)</f>
        <v/>
      </c>
      <c r="P3315" s="17">
        <f>32</f>
        <v/>
      </c>
      <c r="Q3315" s="17">
        <f>J3315+L3315+N3315+O3315-P3315-M3315</f>
        <v/>
      </c>
    </row>
    <row r="3316">
      <c r="A3316" s="16" t="inlineStr">
        <is>
          <t>5.29-6.4</t>
        </is>
      </c>
      <c r="B3316" s="16" t="inlineStr">
        <is>
          <t>PO-128-18762023445112376</t>
        </is>
      </c>
      <c r="C3316" s="16" t="inlineStr">
        <is>
          <t>Delivered</t>
        </is>
      </c>
      <c r="D3316" s="16" t="inlineStr">
        <is>
          <t>128-18761991987832376</t>
        </is>
      </c>
      <c r="E3316" s="16" t="inlineStr">
        <is>
          <t>Delivered</t>
        </is>
      </c>
      <c r="F3316" s="16" t="inlineStr">
        <is>
          <t>LV64W25</t>
        </is>
      </c>
      <c r="G33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16" s="16" t="inlineStr">
        <is>
          <t>Blanco</t>
        </is>
      </c>
      <c r="I3316" s="16" t="n">
        <v>2</v>
      </c>
      <c r="J3316" s="17" t="n">
        <v>246</v>
      </c>
      <c r="K3316" s="17" t="n">
        <v>222.08</v>
      </c>
      <c r="L3316" s="17" t="n">
        <v>0</v>
      </c>
      <c r="M3316" s="17" t="n">
        <v>0</v>
      </c>
      <c r="N3316" s="17">
        <f>K3316*0.08+L3316*0.08</f>
        <v/>
      </c>
      <c r="O3316" s="17">
        <f>-(K3316*0.025+L3316*0.025)</f>
        <v/>
      </c>
      <c r="P3316" s="17">
        <f>32</f>
        <v/>
      </c>
      <c r="Q3316" s="17">
        <f>J3316+L3316+N3316+O3316-P3316-M3316</f>
        <v/>
      </c>
    </row>
    <row r="3317">
      <c r="A3317" s="16" t="inlineStr">
        <is>
          <t>5.29-6.4</t>
        </is>
      </c>
      <c r="B3317" s="16" t="inlineStr">
        <is>
          <t>PO-128-18592076196473455</t>
        </is>
      </c>
      <c r="C3317" s="16" t="inlineStr">
        <is>
          <t>Delivered</t>
        </is>
      </c>
      <c r="D3317" s="16" t="inlineStr">
        <is>
          <t>128-18592118139513455</t>
        </is>
      </c>
      <c r="E3317" s="16" t="inlineStr">
        <is>
          <t>Delivered</t>
        </is>
      </c>
      <c r="F3317" s="16" t="inlineStr">
        <is>
          <t>EM12W12</t>
        </is>
      </c>
      <c r="G3317" s="16" t="inlineStr">
        <is>
          <t>TIANLAI Lámpara Solar de Emergencia, 1pc 960lm IP4 5 Modos con SOS, Recargable USB+Solar con Gancho, Linterna Portátil para Camping Hogar Senderismo Pesca</t>
        </is>
      </c>
      <c r="H3317" s="16" t="inlineStr">
        <is>
          <t>BLANCO</t>
        </is>
      </c>
      <c r="I3317" s="16" t="n">
        <v>2</v>
      </c>
      <c r="J3317" s="17" t="n">
        <v>164</v>
      </c>
      <c r="K3317" s="17" t="n">
        <v>258.46</v>
      </c>
      <c r="L3317" s="17" t="n">
        <v>0</v>
      </c>
      <c r="M3317" s="17" t="n">
        <v>0</v>
      </c>
      <c r="N3317" s="17">
        <f>K3317*0.08+L3317*0.08</f>
        <v/>
      </c>
      <c r="O3317" s="17">
        <f>-(K3317*0.025+L3317*0.025)</f>
        <v/>
      </c>
      <c r="P3317" s="17">
        <f>32</f>
        <v/>
      </c>
      <c r="Q3317" s="17">
        <f>J3317+L3317+N3317+O3317-P3317-M3317</f>
        <v/>
      </c>
    </row>
    <row r="3318">
      <c r="A3318" s="16" t="inlineStr">
        <is>
          <t>5.29-6.4</t>
        </is>
      </c>
      <c r="B3318" s="16" t="inlineStr">
        <is>
          <t>PO-128-19206731141750687</t>
        </is>
      </c>
      <c r="C3318" s="16" t="inlineStr">
        <is>
          <t>Delivered</t>
        </is>
      </c>
      <c r="D3318" s="16" t="inlineStr">
        <is>
          <t>128-19206883185270687</t>
        </is>
      </c>
      <c r="E3318" s="16" t="inlineStr">
        <is>
          <t>Delivered</t>
        </is>
      </c>
      <c r="F3318" s="16" t="inlineStr">
        <is>
          <t>LV54W25</t>
        </is>
      </c>
      <c r="G3318" s="16" t="inlineStr">
        <is>
          <t>TIANLAI Lámpara Ventilador E27 2 en 1, Silenciosa, LED Alta Luminosidad 180°, Instalación Rápida, Ahorro Energético para Dormitorio y Interiores Pequeños</t>
        </is>
      </c>
      <c r="H3318" s="16" t="inlineStr">
        <is>
          <t>1 Pieza</t>
        </is>
      </c>
      <c r="I3318" s="16" t="n">
        <v>1</v>
      </c>
      <c r="J3318" s="17" t="n">
        <v>78</v>
      </c>
      <c r="K3318" s="17" t="n">
        <v>79.81999999999999</v>
      </c>
      <c r="L3318" s="17" t="n">
        <v>25.86</v>
      </c>
      <c r="M3318" s="17" t="n">
        <v>0</v>
      </c>
      <c r="N3318" s="17">
        <f>K3318*0.08+L3318*0.08</f>
        <v/>
      </c>
      <c r="O3318" s="17">
        <f>-(K3318*0.025+L3318*0.025)</f>
        <v/>
      </c>
      <c r="P3318" s="17">
        <f>32</f>
        <v/>
      </c>
      <c r="Q3318" s="17">
        <f>J3318+L3318+N3318+O3318-P3318-M3318</f>
        <v/>
      </c>
    </row>
    <row r="3319">
      <c r="A3319" s="16" t="inlineStr">
        <is>
          <t>5.29-6.4</t>
        </is>
      </c>
      <c r="B3319" s="16" t="inlineStr">
        <is>
          <t>PO-128-18601777439353205</t>
        </is>
      </c>
      <c r="C3319" s="16" t="inlineStr">
        <is>
          <t>Delivered</t>
        </is>
      </c>
      <c r="D3319" s="16" t="inlineStr">
        <is>
          <t>128-18601766953593205</t>
        </is>
      </c>
      <c r="E3319" s="16" t="inlineStr">
        <is>
          <t>Delivered</t>
        </is>
      </c>
      <c r="F3319" s="16" t="inlineStr">
        <is>
          <t>LV54W25</t>
        </is>
      </c>
      <c r="G3319" s="16" t="inlineStr">
        <is>
          <t>TIANLAI Lámpara Ventilador E27 2 en 1, Silenciosa, LED Alta Luminosidad 180°, Instalación Rápida, Ahorro Energético para Dormitorio y Interiores Pequeños</t>
        </is>
      </c>
      <c r="H3319" s="16" t="inlineStr">
        <is>
          <t>1 Pieza</t>
        </is>
      </c>
      <c r="I3319" s="16" t="n">
        <v>2</v>
      </c>
      <c r="J3319" s="17" t="n">
        <v>156</v>
      </c>
      <c r="K3319" s="17" t="n">
        <v>165.02</v>
      </c>
      <c r="L3319" s="17" t="n">
        <v>25.86</v>
      </c>
      <c r="M3319" s="17" t="n">
        <v>0</v>
      </c>
      <c r="N3319" s="17">
        <f>K3319*0.08+L3319*0.08</f>
        <v/>
      </c>
      <c r="O3319" s="17">
        <f>-(K3319*0.025+L3319*0.025)</f>
        <v/>
      </c>
      <c r="P3319" s="17">
        <f>32</f>
        <v/>
      </c>
      <c r="Q3319" s="17">
        <f>J3319+L3319+N3319+O3319-P3319-M3319</f>
        <v/>
      </c>
    </row>
    <row r="3320">
      <c r="A3320" s="16" t="inlineStr">
        <is>
          <t>5.29-6.4</t>
        </is>
      </c>
      <c r="B3320" s="16" t="inlineStr">
        <is>
          <t>PO-128-18634002842233141</t>
        </is>
      </c>
      <c r="C3320" s="16" t="inlineStr">
        <is>
          <t>Delivered</t>
        </is>
      </c>
      <c r="D3320" s="16" t="inlineStr">
        <is>
          <t>128-18634029056633141</t>
        </is>
      </c>
      <c r="E3320" s="16" t="inlineStr">
        <is>
          <t>Delivered</t>
        </is>
      </c>
      <c r="F3320" s="16" t="inlineStr">
        <is>
          <t>LV54W25</t>
        </is>
      </c>
      <c r="G3320" s="16" t="inlineStr">
        <is>
          <t>TIANLAI Lámpara Ventilador E27 2 en 1, Silenciosa, LED Alta Luminosidad 180°, Instalación Rápida, Ahorro Energético para Dormitorio y Interiores Pequeños</t>
        </is>
      </c>
      <c r="H3320" s="16" t="inlineStr">
        <is>
          <t>1 Pieza</t>
        </is>
      </c>
      <c r="I3320" s="16" t="n">
        <v>1</v>
      </c>
      <c r="J3320" s="17" t="n">
        <v>78</v>
      </c>
      <c r="K3320" s="17" t="n">
        <v>79.81999999999999</v>
      </c>
      <c r="L3320" s="17" t="n">
        <v>25.86</v>
      </c>
      <c r="M3320" s="17" t="n">
        <v>0</v>
      </c>
      <c r="N3320" s="17">
        <f>K3320*0.08+L3320*0.08</f>
        <v/>
      </c>
      <c r="O3320" s="17">
        <f>-(K3320*0.025+L3320*0.025)</f>
        <v/>
      </c>
      <c r="P3320" s="17">
        <f>32</f>
        <v/>
      </c>
      <c r="Q3320" s="17">
        <f>J3320+L3320+N3320+O3320-P3320-M3320</f>
        <v/>
      </c>
    </row>
    <row r="3321">
      <c r="A3321" s="16" t="inlineStr">
        <is>
          <t>5.29-6.4</t>
        </is>
      </c>
      <c r="B3321" s="16" t="inlineStr">
        <is>
          <t>PO-128-19183258727030827</t>
        </is>
      </c>
      <c r="C3321" s="16" t="inlineStr">
        <is>
          <t>Delivered</t>
        </is>
      </c>
      <c r="D3321" s="16" t="inlineStr">
        <is>
          <t>128-19183256760950827</t>
        </is>
      </c>
      <c r="E3321" s="16" t="inlineStr">
        <is>
          <t>Delivered</t>
        </is>
      </c>
      <c r="F3321" s="16" t="inlineStr">
        <is>
          <t>LV54W25</t>
        </is>
      </c>
      <c r="G3321" s="16" t="inlineStr">
        <is>
          <t>TIANLAI Lámpara Ventilador E27 2 en 1, Silenciosa, LED Alta Luminosidad 180°, Instalación Rápida, Ahorro Energético para Dormitorio y Interiores Pequeños</t>
        </is>
      </c>
      <c r="H3321" s="16" t="inlineStr">
        <is>
          <t>1 Pieza</t>
        </is>
      </c>
      <c r="I3321" s="16" t="n">
        <v>3</v>
      </c>
      <c r="J3321" s="17" t="n">
        <v>234</v>
      </c>
      <c r="K3321" s="17" t="n">
        <v>239.46</v>
      </c>
      <c r="L3321" s="17" t="n">
        <v>0</v>
      </c>
      <c r="M3321" s="17" t="n">
        <v>0</v>
      </c>
      <c r="N3321" s="17">
        <f>K3321*0.08+L3321*0.08</f>
        <v/>
      </c>
      <c r="O3321" s="17">
        <f>-(K3321*0.025+L3321*0.025)</f>
        <v/>
      </c>
      <c r="P3321" s="17">
        <f>32</f>
        <v/>
      </c>
      <c r="Q3321" s="17">
        <f>J3321+L3321+N3321+O3321-P3321-M3321</f>
        <v/>
      </c>
    </row>
    <row r="3322">
      <c r="A3322" s="16" t="inlineStr">
        <is>
          <t>5.29-6.4</t>
        </is>
      </c>
      <c r="B3322" s="16" t="inlineStr">
        <is>
          <t>PO-128-19095608863350260</t>
        </is>
      </c>
      <c r="C3322" s="16" t="inlineStr">
        <is>
          <t>Delivered</t>
        </is>
      </c>
      <c r="D3322" s="16" t="inlineStr">
        <is>
          <t>128-19095535463030260</t>
        </is>
      </c>
      <c r="E3322" s="16" t="inlineStr">
        <is>
          <t>Delivered</t>
        </is>
      </c>
      <c r="F3322" s="16" t="inlineStr">
        <is>
          <t>LV54W25</t>
        </is>
      </c>
      <c r="G3322" s="16" t="inlineStr">
        <is>
          <t>TIANLAI Lámpara Ventilador E27 2 en 1, Silenciosa, LED Alta Luminosidad 180°, Instalación Rápida, Ahorro Energético para Dormitorio y Interiores Pequeños</t>
        </is>
      </c>
      <c r="H3322" s="16" t="inlineStr">
        <is>
          <t>1 Pieza</t>
        </is>
      </c>
      <c r="I3322" s="16" t="n">
        <v>2</v>
      </c>
      <c r="J3322" s="17" t="n">
        <v>156</v>
      </c>
      <c r="K3322" s="17" t="n">
        <v>144.25</v>
      </c>
      <c r="L3322" s="17" t="n">
        <v>25.86</v>
      </c>
      <c r="M3322" s="17" t="n">
        <v>0</v>
      </c>
      <c r="N3322" s="17">
        <f>K3322*0.08+L3322*0.08</f>
        <v/>
      </c>
      <c r="O3322" s="17">
        <f>-(K3322*0.025+L3322*0.025)</f>
        <v/>
      </c>
      <c r="P3322" s="17">
        <f>32</f>
        <v/>
      </c>
      <c r="Q3322" s="17">
        <f>J3322+L3322+N3322+O3322-P3322-M3322</f>
        <v/>
      </c>
    </row>
    <row r="3323">
      <c r="A3323" s="16" t="inlineStr">
        <is>
          <t>5.29-6.4</t>
        </is>
      </c>
      <c r="B3323" s="16" t="inlineStr">
        <is>
          <t>PO-128-19119683876470180</t>
        </is>
      </c>
      <c r="C3323" s="16" t="inlineStr">
        <is>
          <t>Delivered</t>
        </is>
      </c>
      <c r="D3323" s="16" t="inlineStr">
        <is>
          <t>128-19119673390710180</t>
        </is>
      </c>
      <c r="E3323" s="16" t="inlineStr">
        <is>
          <t>Delivered</t>
        </is>
      </c>
      <c r="F3323" s="16" t="inlineStr">
        <is>
          <t>LV54W25</t>
        </is>
      </c>
      <c r="G3323" s="16" t="inlineStr">
        <is>
          <t>TIANLAI Lámpara Ventilador E27 2 en 1, Silenciosa, LED Alta Luminosidad 180°, Instalación Rápida, Ahorro Energético para Dormitorio y Interiores Pequeños</t>
        </is>
      </c>
      <c r="H3323" s="16" t="inlineStr">
        <is>
          <t>1 Pieza</t>
        </is>
      </c>
      <c r="I3323" s="16" t="n">
        <v>1</v>
      </c>
      <c r="J3323" s="17" t="n">
        <v>78</v>
      </c>
      <c r="K3323" s="17" t="n">
        <v>82.51000000000001</v>
      </c>
      <c r="L3323" s="17" t="n">
        <v>25.86</v>
      </c>
      <c r="M3323" s="17" t="n">
        <v>0</v>
      </c>
      <c r="N3323" s="17">
        <f>K3323*0.08+L3323*0.08</f>
        <v/>
      </c>
      <c r="O3323" s="17">
        <f>-(K3323*0.025+L3323*0.025)</f>
        <v/>
      </c>
      <c r="P3323" s="17">
        <f>32</f>
        <v/>
      </c>
      <c r="Q3323" s="17">
        <f>J3323+L3323+N3323+O3323-P3323-M3323</f>
        <v/>
      </c>
    </row>
    <row r="3324">
      <c r="A3324" s="16" t="inlineStr">
        <is>
          <t>5.29-6.4</t>
        </is>
      </c>
      <c r="B3324" s="16" t="inlineStr">
        <is>
          <t>PO-128-18946747167351213</t>
        </is>
      </c>
      <c r="C3324" s="16" t="inlineStr">
        <is>
          <t>Delivered</t>
        </is>
      </c>
      <c r="D3324" s="16" t="inlineStr">
        <is>
          <t>128-18946689495671213</t>
        </is>
      </c>
      <c r="E3324" s="16" t="inlineStr">
        <is>
          <t>Delivered</t>
        </is>
      </c>
      <c r="F3324" s="16" t="inlineStr">
        <is>
          <t>LV54W25</t>
        </is>
      </c>
      <c r="G3324" s="16" t="inlineStr">
        <is>
          <t>TIANLAI Lámpara Ventilador E27 2 en 1, Silenciosa, LED Alta Luminosidad 180°, Instalación Rápida, Ahorro Energético para Dormitorio y Interiores Pequeños</t>
        </is>
      </c>
      <c r="H3324" s="16" t="inlineStr">
        <is>
          <t>1 Pieza</t>
        </is>
      </c>
      <c r="I3324" s="16" t="n">
        <v>1</v>
      </c>
      <c r="J3324" s="17" t="n">
        <v>78</v>
      </c>
      <c r="K3324" s="17" t="n">
        <v>82.51000000000001</v>
      </c>
      <c r="L3324" s="17" t="n">
        <v>25.86</v>
      </c>
      <c r="M3324" s="17" t="n">
        <v>0</v>
      </c>
      <c r="N3324" s="17">
        <f>K3324*0.08+L3324*0.08</f>
        <v/>
      </c>
      <c r="O3324" s="17">
        <f>-(K3324*0.025+L3324*0.025)</f>
        <v/>
      </c>
      <c r="P3324" s="17">
        <f>32</f>
        <v/>
      </c>
      <c r="Q3324" s="17">
        <f>J3324+L3324+N3324+O3324-P3324-M3324</f>
        <v/>
      </c>
    </row>
    <row r="3325">
      <c r="A3325" s="16" t="inlineStr">
        <is>
          <t>5.29-6.4</t>
        </is>
      </c>
      <c r="B3325" s="16" t="inlineStr">
        <is>
          <t>PO-128-18560421263993514</t>
        </is>
      </c>
      <c r="C3325" s="16" t="inlineStr">
        <is>
          <t>Delivered</t>
        </is>
      </c>
      <c r="D3325" s="16" t="inlineStr">
        <is>
          <t>128-18560442235513514</t>
        </is>
      </c>
      <c r="E3325" s="16" t="inlineStr">
        <is>
          <t>Delivered</t>
        </is>
      </c>
      <c r="F3325" s="16" t="inlineStr">
        <is>
          <t>LV54W25</t>
        </is>
      </c>
      <c r="G3325" s="16" t="inlineStr">
        <is>
          <t>TIANLAI Lámpara Ventilador E27 2 en 1, Silenciosa, LED Alta Luminosidad 180°, Instalación Rápida, Ahorro Energético para Dormitorio y Interiores Pequeños</t>
        </is>
      </c>
      <c r="H3325" s="16" t="inlineStr">
        <is>
          <t>1 Pieza</t>
        </is>
      </c>
      <c r="I3325" s="16" t="n">
        <v>1</v>
      </c>
      <c r="J3325" s="17" t="n">
        <v>78</v>
      </c>
      <c r="K3325" s="17" t="n">
        <v>55.88</v>
      </c>
      <c r="L3325" s="17" t="n">
        <v>25.86</v>
      </c>
      <c r="M3325" s="17" t="n">
        <v>0</v>
      </c>
      <c r="N3325" s="17">
        <f>K3325*0.08+L3325*0.08</f>
        <v/>
      </c>
      <c r="O3325" s="17">
        <f>-(K3325*0.025+L3325*0.025)</f>
        <v/>
      </c>
      <c r="P3325" s="17">
        <f>32</f>
        <v/>
      </c>
      <c r="Q3325" s="17">
        <f>J3325+L3325+N3325+O3325-P3325-M3325</f>
        <v/>
      </c>
    </row>
    <row r="3326">
      <c r="A3326" s="16" t="inlineStr">
        <is>
          <t>5.29-6.4</t>
        </is>
      </c>
      <c r="B3326" s="16" t="inlineStr">
        <is>
          <t>PO-128-19239220209270620</t>
        </is>
      </c>
      <c r="C3326" s="16" t="inlineStr">
        <is>
          <t>Delivered</t>
        </is>
      </c>
      <c r="D3326" s="16" t="inlineStr">
        <is>
          <t>128-19239241180790620</t>
        </is>
      </c>
      <c r="E3326" s="16" t="inlineStr">
        <is>
          <t>Delivered</t>
        </is>
      </c>
      <c r="F3326" s="16" t="inlineStr">
        <is>
          <t>KTS-2031</t>
        </is>
      </c>
      <c r="G3326" s="16" t="inlineStr">
        <is>
          <t>Bocina inalámbrica de 3 pulgadas con linterna multifuncional y panel solar integrado.Altavoz Portátil con Linterna LED 4 Modos, Radio FM, Bluetooth, Carga Solar, Ideal para Apagones, Emergencias, Campo y Exteriores</t>
        </is>
      </c>
      <c r="H3326" s="16" t="inlineStr">
        <is>
          <t>NEGRO</t>
        </is>
      </c>
      <c r="I3326" s="16" t="n">
        <v>1</v>
      </c>
      <c r="J3326" s="17" t="n">
        <v>90</v>
      </c>
      <c r="K3326" s="17" t="n">
        <v>93.58</v>
      </c>
      <c r="L3326" s="17" t="n">
        <v>25.86</v>
      </c>
      <c r="M3326" s="17" t="n">
        <v>0</v>
      </c>
      <c r="N3326" s="17">
        <f>K3326*0.08+L3326*0.08</f>
        <v/>
      </c>
      <c r="O3326" s="17">
        <f>-(K3326*0.025+L3326*0.025)</f>
        <v/>
      </c>
      <c r="P3326" s="17">
        <f>32</f>
        <v/>
      </c>
      <c r="Q3326" s="17">
        <f>J3326+L3326+N3326+O3326-P3326-M3326</f>
        <v/>
      </c>
    </row>
    <row r="3327">
      <c r="A3327" s="16" t="inlineStr">
        <is>
          <t>5.29-6.4</t>
        </is>
      </c>
      <c r="B3327" s="16" t="inlineStr">
        <is>
          <t>PO-128-18823557212793035</t>
        </is>
      </c>
      <c r="C3327" s="16" t="inlineStr">
        <is>
          <t>Delivered</t>
        </is>
      </c>
      <c r="D3327" s="16" t="inlineStr">
        <is>
          <t>128-18823578184313035</t>
        </is>
      </c>
      <c r="E3327" s="16" t="inlineStr">
        <is>
          <t>Delivered</t>
        </is>
      </c>
      <c r="F3327" s="16" t="inlineStr">
        <is>
          <t>TLCD02-8P-N</t>
        </is>
      </c>
      <c r="G332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27" s="16" t="inlineStr">
        <is>
          <t>NEGRO/pantalla de 8.5 pulgadas</t>
        </is>
      </c>
      <c r="I3327" s="16" t="n">
        <v>1</v>
      </c>
      <c r="J3327" s="17" t="n">
        <v>25</v>
      </c>
      <c r="K3327" s="17" t="n">
        <v>29.47</v>
      </c>
      <c r="L3327" s="17" t="n">
        <v>25.86</v>
      </c>
      <c r="M3327" s="17" t="n">
        <v>0</v>
      </c>
      <c r="N3327" s="17">
        <f>K3327*0.08+L3327*0.08</f>
        <v/>
      </c>
      <c r="O3327" s="17">
        <f>-(K3327*0.025+L3327*0.025)</f>
        <v/>
      </c>
      <c r="P3327" s="17">
        <f>32</f>
        <v/>
      </c>
      <c r="Q3327" s="17">
        <f>J3327+L3327+N3327+O3327-P3327-M3327</f>
        <v/>
      </c>
    </row>
    <row r="3328">
      <c r="A3328" s="16" t="inlineStr">
        <is>
          <t>5.29-6.4</t>
        </is>
      </c>
      <c r="B3328" s="16" t="inlineStr">
        <is>
          <t>PO-128-18633970750073141</t>
        </is>
      </c>
      <c r="C3328" s="16" t="inlineStr">
        <is>
          <t>Delivered</t>
        </is>
      </c>
      <c r="D3328" s="16" t="inlineStr">
        <is>
          <t>128-18634023178873141</t>
        </is>
      </c>
      <c r="E3328" s="16" t="inlineStr">
        <is>
          <t>Delivered</t>
        </is>
      </c>
      <c r="F3328" s="16" t="inlineStr">
        <is>
          <t>LV64W25</t>
        </is>
      </c>
      <c r="G33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28" s="16" t="inlineStr">
        <is>
          <t>Blanco</t>
        </is>
      </c>
      <c r="I3328" s="16" t="n">
        <v>1</v>
      </c>
      <c r="J3328" s="17" t="n">
        <v>123</v>
      </c>
      <c r="K3328" s="17" t="n">
        <v>131.38</v>
      </c>
      <c r="L3328" s="17" t="n">
        <v>25.86</v>
      </c>
      <c r="M3328" s="17" t="n">
        <v>0</v>
      </c>
      <c r="N3328" s="17">
        <f>K3328*0.08+L3328*0.08</f>
        <v/>
      </c>
      <c r="O3328" s="17">
        <f>-(K3328*0.025+L3328*0.025)</f>
        <v/>
      </c>
      <c r="P3328" s="17">
        <f>32</f>
        <v/>
      </c>
      <c r="Q3328" s="17">
        <f>J3328+L3328+N3328+O3328-P3328-M3328</f>
        <v/>
      </c>
    </row>
    <row r="3329">
      <c r="A3329" s="16" t="inlineStr">
        <is>
          <t>5.29-6.4</t>
        </is>
      </c>
      <c r="B3329" s="16" t="inlineStr">
        <is>
          <t>PO-128-19164408607350938</t>
        </is>
      </c>
      <c r="C3329" s="16" t="inlineStr">
        <is>
          <t>Delivered</t>
        </is>
      </c>
      <c r="D3329" s="16" t="inlineStr">
        <is>
          <t>128-19164366664310938</t>
        </is>
      </c>
      <c r="E3329" s="16" t="inlineStr">
        <is>
          <t>Delivered</t>
        </is>
      </c>
      <c r="F3329" s="16" t="inlineStr">
        <is>
          <t>LV64W25</t>
        </is>
      </c>
      <c r="G33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29" s="16" t="inlineStr">
        <is>
          <t>Blanco</t>
        </is>
      </c>
      <c r="I3329" s="16" t="n">
        <v>1</v>
      </c>
      <c r="J3329" s="17" t="n">
        <v>123</v>
      </c>
      <c r="K3329" s="17" t="n">
        <v>131.38</v>
      </c>
      <c r="L3329" s="17" t="n">
        <v>25.86</v>
      </c>
      <c r="M3329" s="17" t="n">
        <v>0</v>
      </c>
      <c r="N3329" s="17">
        <f>K3329*0.08+L3329*0.08</f>
        <v/>
      </c>
      <c r="O3329" s="17">
        <f>-(K3329*0.025+L3329*0.025)</f>
        <v/>
      </c>
      <c r="P3329" s="17">
        <f>32</f>
        <v/>
      </c>
      <c r="Q3329" s="17">
        <f>J3329+L3329+N3329+O3329-P3329-M3329</f>
        <v/>
      </c>
    </row>
    <row r="3330">
      <c r="A3330" s="16" t="inlineStr">
        <is>
          <t>5.29-6.4</t>
        </is>
      </c>
      <c r="B3330" s="16" t="inlineStr">
        <is>
          <t>PO-128-19018517688951873</t>
        </is>
      </c>
      <c r="C3330" s="16" t="inlineStr">
        <is>
          <t>Delivered</t>
        </is>
      </c>
      <c r="D3330" s="16" t="inlineStr">
        <is>
          <t>128-19018622546551873</t>
        </is>
      </c>
      <c r="E3330" s="16" t="inlineStr">
        <is>
          <t>Delivered</t>
        </is>
      </c>
      <c r="F3330" s="16" t="inlineStr">
        <is>
          <t>LV54W25</t>
        </is>
      </c>
      <c r="G3330" s="16" t="inlineStr">
        <is>
          <t>TIANLAI Lámpara Ventilador E27 2 en 1, Silenciosa, LED Alta Luminosidad 180°, Instalación Rápida, Ahorro Energético para Dormitorio y Interiores Pequeños</t>
        </is>
      </c>
      <c r="H3330" s="16" t="inlineStr">
        <is>
          <t>1 Pieza</t>
        </is>
      </c>
      <c r="I3330" s="16" t="n">
        <v>1</v>
      </c>
      <c r="J3330" s="17" t="n">
        <v>78</v>
      </c>
      <c r="K3330" s="17" t="n">
        <v>82.51000000000001</v>
      </c>
      <c r="L3330" s="17" t="n">
        <v>25.86</v>
      </c>
      <c r="M3330" s="17" t="n">
        <v>0</v>
      </c>
      <c r="N3330" s="17">
        <f>K3330*0.08+L3330*0.08</f>
        <v/>
      </c>
      <c r="O3330" s="17">
        <f>-(K3330*0.025+L3330*0.025)</f>
        <v/>
      </c>
      <c r="P3330" s="17">
        <f>32</f>
        <v/>
      </c>
      <c r="Q3330" s="17">
        <f>J3330+L3330+N3330+O3330-P3330-M3330</f>
        <v/>
      </c>
    </row>
    <row r="3331">
      <c r="A3331" s="16" t="inlineStr">
        <is>
          <t>5.29-6.4</t>
        </is>
      </c>
      <c r="B3331" s="16" t="inlineStr">
        <is>
          <t>PO-128-19079293706870423</t>
        </is>
      </c>
      <c r="C3331" s="16" t="inlineStr">
        <is>
          <t>Delivered</t>
        </is>
      </c>
      <c r="D3331" s="16" t="inlineStr">
        <is>
          <t>128-19079241278070423</t>
        </is>
      </c>
      <c r="E3331" s="16" t="inlineStr">
        <is>
          <t>Delivered</t>
        </is>
      </c>
      <c r="F3331" s="16" t="inlineStr">
        <is>
          <t>TLCD02-8P-N</t>
        </is>
      </c>
      <c r="G33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31" s="16" t="inlineStr">
        <is>
          <t>NEGRO/pantalla de 8.5 pulgadas</t>
        </is>
      </c>
      <c r="I3331" s="16" t="n">
        <v>1</v>
      </c>
      <c r="J3331" s="17" t="n">
        <v>25</v>
      </c>
      <c r="K3331" s="17" t="n">
        <v>29.47</v>
      </c>
      <c r="L3331" s="17" t="n">
        <v>25.86</v>
      </c>
      <c r="M3331" s="17" t="n">
        <v>0</v>
      </c>
      <c r="N3331" s="17">
        <f>K3331*0.08+L3331*0.08</f>
        <v/>
      </c>
      <c r="O3331" s="17">
        <f>-(K3331*0.025+L3331*0.025)</f>
        <v/>
      </c>
      <c r="P3331" s="17">
        <f>32</f>
        <v/>
      </c>
      <c r="Q3331" s="17">
        <f>J3331+L3331+N3331+O3331-P3331-M3331</f>
        <v/>
      </c>
    </row>
    <row r="3332">
      <c r="A3332" s="16" t="inlineStr">
        <is>
          <t>5.29-6.4</t>
        </is>
      </c>
      <c r="B3332" s="16" t="inlineStr">
        <is>
          <t>PO-128-19136932680310015</t>
        </is>
      </c>
      <c r="C3332" s="16" t="inlineStr">
        <is>
          <t>Delivered</t>
        </is>
      </c>
      <c r="D3332" s="16" t="inlineStr">
        <is>
          <t>128-19137098486390015</t>
        </is>
      </c>
      <c r="E3332" s="16" t="inlineStr">
        <is>
          <t>Delivered</t>
        </is>
      </c>
      <c r="F3332" s="16" t="inlineStr">
        <is>
          <t>LV54W25</t>
        </is>
      </c>
      <c r="G3332" s="16" t="inlineStr">
        <is>
          <t>TIANLAI Lámpara Ventilador E27 2 en 1, Silenciosa, LED Alta Luminosidad 180°, Instalación Rápida, Ahorro Energético para Dormitorio y Interiores Pequeños</t>
        </is>
      </c>
      <c r="H3332" s="16" t="inlineStr">
        <is>
          <t>1 Pieza</t>
        </is>
      </c>
      <c r="I3332" s="16" t="n">
        <v>1</v>
      </c>
      <c r="J3332" s="17" t="n">
        <v>78</v>
      </c>
      <c r="K3332" s="17" t="n">
        <v>79.81999999999999</v>
      </c>
      <c r="L3332" s="17" t="n">
        <v>25.86</v>
      </c>
      <c r="M3332" s="17" t="n">
        <v>0</v>
      </c>
      <c r="N3332" s="17">
        <f>K3332*0.08+L3332*0.08</f>
        <v/>
      </c>
      <c r="O3332" s="17">
        <f>-(K3332*0.025+L3332*0.025)</f>
        <v/>
      </c>
      <c r="P3332" s="17">
        <f>32</f>
        <v/>
      </c>
      <c r="Q3332" s="17">
        <f>J3332+L3332+N3332+O3332-P3332-M3332</f>
        <v/>
      </c>
    </row>
    <row r="3333">
      <c r="A3333" s="16" t="inlineStr">
        <is>
          <t>5.29-6.4</t>
        </is>
      </c>
      <c r="B3333" s="16" t="inlineStr">
        <is>
          <t>PO-128-18645210849913968</t>
        </is>
      </c>
      <c r="C3333" s="16" t="inlineStr">
        <is>
          <t>Delivered</t>
        </is>
      </c>
      <c r="D3333" s="16" t="inlineStr">
        <is>
          <t>128-18645205607033968</t>
        </is>
      </c>
      <c r="E3333" s="16" t="inlineStr">
        <is>
          <t>Delivered</t>
        </is>
      </c>
      <c r="F3333" s="16" t="inlineStr">
        <is>
          <t>LV54W25</t>
        </is>
      </c>
      <c r="G3333" s="16" t="inlineStr">
        <is>
          <t>TIANLAI Lámpara Ventilador E27 2 en 1, Silenciosa, LED Alta Luminosidad 180°, Instalación Rápida, Ahorro Energético para Dormitorio y Interiores Pequeños</t>
        </is>
      </c>
      <c r="H3333" s="16" t="inlineStr">
        <is>
          <t>1 Pieza</t>
        </is>
      </c>
      <c r="I3333" s="16" t="n">
        <v>2</v>
      </c>
      <c r="J3333" s="17" t="n">
        <v>156</v>
      </c>
      <c r="K3333" s="17" t="n">
        <v>165.02</v>
      </c>
      <c r="L3333" s="17" t="n">
        <v>25.86</v>
      </c>
      <c r="M3333" s="17" t="n">
        <v>0</v>
      </c>
      <c r="N3333" s="17">
        <f>K3333*0.08+L3333*0.08</f>
        <v/>
      </c>
      <c r="O3333" s="17">
        <f>-(K3333*0.025+L3333*0.025)</f>
        <v/>
      </c>
      <c r="P3333" s="17">
        <f>32</f>
        <v/>
      </c>
      <c r="Q3333" s="17">
        <f>J3333+L3333+N3333+O3333-P3333-M3333</f>
        <v/>
      </c>
    </row>
    <row r="3334">
      <c r="A3334" s="16" t="inlineStr">
        <is>
          <t>5.29-6.4</t>
        </is>
      </c>
      <c r="B3334" s="16" t="inlineStr">
        <is>
          <t>PO-128-18897460557432659</t>
        </is>
      </c>
      <c r="C3334" s="16" t="inlineStr">
        <is>
          <t>Delivered</t>
        </is>
      </c>
      <c r="D3334" s="16" t="inlineStr">
        <is>
          <t>128-18897481528952659</t>
        </is>
      </c>
      <c r="E3334" s="16" t="inlineStr">
        <is>
          <t>Delivered</t>
        </is>
      </c>
      <c r="F3334" s="16" t="inlineStr">
        <is>
          <t>TL2663N18C</t>
        </is>
      </c>
      <c r="G3334" s="16" t="inlineStr">
        <is>
          <t>Linkbits，Soporte de pared fijo para televisores de 26"-63", Ultra-Delgado Compatible con VESA 400x400mm, Capacidad de Peso Fuerte de 25KG, Instalación Fácil Sin Electricidad</t>
        </is>
      </c>
      <c r="H3334" s="16" t="inlineStr">
        <is>
          <t>NEGRO</t>
        </is>
      </c>
      <c r="I3334" s="16" t="n">
        <v>1</v>
      </c>
      <c r="J3334" s="17" t="n">
        <v>48.5</v>
      </c>
      <c r="K3334" s="17" t="n">
        <v>85.66</v>
      </c>
      <c r="L3334" s="17" t="n">
        <v>25.86</v>
      </c>
      <c r="M3334" s="17" t="n">
        <v>0</v>
      </c>
      <c r="N3334" s="17">
        <f>K3334*0.08+L3334*0.08</f>
        <v/>
      </c>
      <c r="O3334" s="17">
        <f>-(K3334*0.025+L3334*0.025)</f>
        <v/>
      </c>
      <c r="P3334" s="17">
        <f>32</f>
        <v/>
      </c>
      <c r="Q3334" s="17">
        <f>J3334+L3334+N3334+O3334-P3334-M3334</f>
        <v/>
      </c>
    </row>
    <row r="3335">
      <c r="A3335" s="16" t="inlineStr">
        <is>
          <t>5.29-6.4</t>
        </is>
      </c>
      <c r="B3335" s="16" t="inlineStr">
        <is>
          <t>PO-128-19046273070711770</t>
        </is>
      </c>
      <c r="C3335" s="16" t="inlineStr">
        <is>
          <t>Delivered</t>
        </is>
      </c>
      <c r="D3335" s="16" t="inlineStr">
        <is>
          <t>128-19046227195511770</t>
        </is>
      </c>
      <c r="E3335" s="16" t="inlineStr">
        <is>
          <t>Delivered</t>
        </is>
      </c>
      <c r="F3335" s="16" t="inlineStr">
        <is>
          <t>LV54W25</t>
        </is>
      </c>
      <c r="G3335" s="16" t="inlineStr">
        <is>
          <t>TIANLAI Lámpara Ventilador E27 2 en 1, Silenciosa, LED Alta Luminosidad 180°, Instalación Rápida, Ahorro Energético para Dormitorio y Interiores Pequeños</t>
        </is>
      </c>
      <c r="H3335" s="16" t="inlineStr">
        <is>
          <t>1 Pieza</t>
        </is>
      </c>
      <c r="I3335" s="16" t="n">
        <v>1</v>
      </c>
      <c r="J3335" s="17" t="n">
        <v>78</v>
      </c>
      <c r="K3335" s="17" t="n">
        <v>68.87</v>
      </c>
      <c r="L3335" s="17" t="n">
        <v>25.86</v>
      </c>
      <c r="M3335" s="17" t="n">
        <v>0</v>
      </c>
      <c r="N3335" s="17">
        <f>K3335*0.08+L3335*0.08</f>
        <v/>
      </c>
      <c r="O3335" s="17">
        <f>-(K3335*0.025+L3335*0.025)</f>
        <v/>
      </c>
      <c r="P3335" s="17">
        <f>32</f>
        <v/>
      </c>
      <c r="Q3335" s="17">
        <f>J3335+L3335+N3335+O3335-P3335-M3335</f>
        <v/>
      </c>
    </row>
    <row r="3336">
      <c r="A3336" s="16" t="inlineStr">
        <is>
          <t>5.29-6.4</t>
        </is>
      </c>
      <c r="B3336" s="16" t="inlineStr">
        <is>
          <t>PO-128-18573266104953567</t>
        </is>
      </c>
      <c r="C3336" s="16" t="inlineStr">
        <is>
          <t>Delivered</t>
        </is>
      </c>
      <c r="D3336" s="16" t="inlineStr">
        <is>
          <t>128-18573308047993567</t>
        </is>
      </c>
      <c r="E3336" s="16" t="inlineStr">
        <is>
          <t>Delivered</t>
        </is>
      </c>
      <c r="F3336" s="16" t="inlineStr">
        <is>
          <t>LV54W25</t>
        </is>
      </c>
      <c r="G3336" s="16" t="inlineStr">
        <is>
          <t>TIANLAI Lámpara Ventilador E27 2 en 1, Silenciosa, LED Alta Luminosidad 180°, Instalación Rápida, Ahorro Energético para Dormitorio y Interiores Pequeños</t>
        </is>
      </c>
      <c r="H3336" s="16" t="inlineStr">
        <is>
          <t>1 Pieza</t>
        </is>
      </c>
      <c r="I3336" s="16" t="n">
        <v>1</v>
      </c>
      <c r="J3336" s="17" t="n">
        <v>78</v>
      </c>
      <c r="K3336" s="17" t="n">
        <v>36.72</v>
      </c>
      <c r="L3336" s="17" t="n">
        <v>25.86</v>
      </c>
      <c r="M3336" s="17" t="n">
        <v>0</v>
      </c>
      <c r="N3336" s="17">
        <f>K3336*0.08+L3336*0.08</f>
        <v/>
      </c>
      <c r="O3336" s="17">
        <f>-(K3336*0.025+L3336*0.025)</f>
        <v/>
      </c>
      <c r="P3336" s="17">
        <f>32</f>
        <v/>
      </c>
      <c r="Q3336" s="17">
        <f>J3336+L3336+N3336+O3336-P3336-M3336</f>
        <v/>
      </c>
    </row>
    <row r="3337">
      <c r="A3337" s="16" t="inlineStr">
        <is>
          <t>5.29-6.4</t>
        </is>
      </c>
      <c r="B3337" s="16" t="inlineStr">
        <is>
          <t>PO-128-18988703038071923</t>
        </is>
      </c>
      <c r="C3337" s="16" t="inlineStr">
        <is>
          <t>Delivered</t>
        </is>
      </c>
      <c r="D3337" s="16" t="inlineStr">
        <is>
          <t>128-18988650609271923</t>
        </is>
      </c>
      <c r="E3337" s="16" t="inlineStr">
        <is>
          <t>Delivered</t>
        </is>
      </c>
      <c r="F3337" s="16" t="inlineStr">
        <is>
          <t>LV64W25</t>
        </is>
      </c>
      <c r="G33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37" s="16" t="inlineStr">
        <is>
          <t>Blanco</t>
        </is>
      </c>
      <c r="I3337" s="16" t="n">
        <v>2</v>
      </c>
      <c r="J3337" s="17" t="n">
        <v>246</v>
      </c>
      <c r="K3337" s="17" t="n">
        <v>262.76</v>
      </c>
      <c r="L3337" s="17" t="n">
        <v>0</v>
      </c>
      <c r="M3337" s="17" t="n">
        <v>0</v>
      </c>
      <c r="N3337" s="17">
        <f>K3337*0.08+L3337*0.08</f>
        <v/>
      </c>
      <c r="O3337" s="17">
        <f>-(K3337*0.025+L3337*0.025)</f>
        <v/>
      </c>
      <c r="P3337" s="17">
        <f>32</f>
        <v/>
      </c>
      <c r="Q3337" s="17">
        <f>J3337+L3337+N3337+O3337-P3337-M3337</f>
        <v/>
      </c>
    </row>
    <row r="3338">
      <c r="A3338" s="16" t="inlineStr">
        <is>
          <t>5.29-6.4</t>
        </is>
      </c>
      <c r="B3338" s="16" t="inlineStr">
        <is>
          <t>PO-128-19206934200950684</t>
        </is>
      </c>
      <c r="C3338" s="16" t="inlineStr">
        <is>
          <t>Delivered</t>
        </is>
      </c>
      <c r="D3338" s="16" t="inlineStr">
        <is>
          <t>128-19206923715190684</t>
        </is>
      </c>
      <c r="E3338" s="16" t="inlineStr">
        <is>
          <t>Delivered</t>
        </is>
      </c>
      <c r="F3338" s="16" t="inlineStr">
        <is>
          <t>LV54W25</t>
        </is>
      </c>
      <c r="G3338" s="16" t="inlineStr">
        <is>
          <t>TIANLAI Lámpara Ventilador E27 2 en 1, Silenciosa, LED Alta Luminosidad 180°, Instalación Rápida, Ahorro Energético para Dormitorio y Interiores Pequeños</t>
        </is>
      </c>
      <c r="H3338" s="16" t="inlineStr">
        <is>
          <t>1 Pieza</t>
        </is>
      </c>
      <c r="I3338" s="16" t="n">
        <v>1</v>
      </c>
      <c r="J3338" s="17" t="n">
        <v>78</v>
      </c>
      <c r="K3338" s="17" t="n">
        <v>82.51000000000001</v>
      </c>
      <c r="L3338" s="17" t="n">
        <v>25.86</v>
      </c>
      <c r="M3338" s="17" t="n">
        <v>0</v>
      </c>
      <c r="N3338" s="17">
        <f>K3338*0.08+L3338*0.08</f>
        <v/>
      </c>
      <c r="O3338" s="17">
        <f>-(K3338*0.025+L3338*0.025)</f>
        <v/>
      </c>
      <c r="P3338" s="17">
        <f>32</f>
        <v/>
      </c>
      <c r="Q3338" s="17">
        <f>J3338+L3338+N3338+O3338-P3338-M3338</f>
        <v/>
      </c>
    </row>
    <row r="3339">
      <c r="A3339" s="16" t="inlineStr">
        <is>
          <t>5.29-6.4</t>
        </is>
      </c>
      <c r="B3339" s="16" t="inlineStr">
        <is>
          <t>PO-128-07846651866232863</t>
        </is>
      </c>
      <c r="C3339" s="16" t="inlineStr">
        <is>
          <t>Delivered</t>
        </is>
      </c>
      <c r="D3339" s="16" t="inlineStr">
        <is>
          <t>128-07846672837752863</t>
        </is>
      </c>
      <c r="E3339" s="16" t="inlineStr">
        <is>
          <t>Delivered</t>
        </is>
      </c>
      <c r="F3339" s="16" t="inlineStr">
        <is>
          <t>TL2663N18C</t>
        </is>
      </c>
      <c r="G3339" s="16" t="inlineStr">
        <is>
          <t>Linkbits，Soporte de pared fijo para televisores de 26"-63", Ultra-Delgado Compatible con VESA 400x400mm, Capacidad de Peso Fuerte de 25KG, Instalación Fácil Sin Electricidad</t>
        </is>
      </c>
      <c r="H3339" s="16" t="inlineStr">
        <is>
          <t>NEGRO</t>
        </is>
      </c>
      <c r="I3339" s="16" t="n">
        <v>1</v>
      </c>
      <c r="J3339" s="17" t="n">
        <v>48.5</v>
      </c>
      <c r="K3339" s="17" t="n">
        <v>85.66</v>
      </c>
      <c r="L3339" s="17" t="n">
        <v>25.86</v>
      </c>
      <c r="M3339" s="17" t="n">
        <v>0</v>
      </c>
      <c r="N3339" s="17">
        <f>K3339*0.08+L3339*0.08</f>
        <v/>
      </c>
      <c r="O3339" s="17">
        <f>-(K3339*0.025+L3339*0.025)</f>
        <v/>
      </c>
      <c r="P3339" s="17">
        <f>32</f>
        <v/>
      </c>
      <c r="Q3339" s="17">
        <f>J3339+L3339+N3339+O3339-P3339-M3339</f>
        <v/>
      </c>
    </row>
    <row r="3340">
      <c r="A3340" s="16" t="inlineStr">
        <is>
          <t>5.29-6.4</t>
        </is>
      </c>
      <c r="B3340" s="16" t="inlineStr">
        <is>
          <t>PO-128-07709097295993811</t>
        </is>
      </c>
      <c r="C3340" s="16" t="inlineStr">
        <is>
          <t>Delivered</t>
        </is>
      </c>
      <c r="D3340" s="16" t="inlineStr">
        <is>
          <t>128-07709123510393811</t>
        </is>
      </c>
      <c r="E3340" s="16" t="inlineStr">
        <is>
          <t>Delivered</t>
        </is>
      </c>
      <c r="F3340" s="16" t="inlineStr">
        <is>
          <t>LV54W25</t>
        </is>
      </c>
      <c r="G3340" s="16" t="inlineStr">
        <is>
          <t>TIANLAI Lámpara Ventilador E27 2 en 1, Silenciosa, LED Alta Luminosidad 180°, Instalación Rápida, Ahorro Energético para Dormitorio y Interiores Pequeños</t>
        </is>
      </c>
      <c r="H3340" s="16" t="inlineStr">
        <is>
          <t>1 Pieza</t>
        </is>
      </c>
      <c r="I3340" s="16" t="n">
        <v>1</v>
      </c>
      <c r="J3340" s="17" t="n">
        <v>78</v>
      </c>
      <c r="K3340" s="17" t="n">
        <v>79.81999999999999</v>
      </c>
      <c r="L3340" s="17" t="n">
        <v>25.86</v>
      </c>
      <c r="M3340" s="17" t="n">
        <v>0</v>
      </c>
      <c r="N3340" s="17">
        <f>K3340*0.08+L3340*0.08</f>
        <v/>
      </c>
      <c r="O3340" s="17">
        <f>-(K3340*0.025+L3340*0.025)</f>
        <v/>
      </c>
      <c r="P3340" s="17">
        <f>32</f>
        <v/>
      </c>
      <c r="Q3340" s="17">
        <f>J3340+L3340+N3340+O3340-P3340-M3340</f>
        <v/>
      </c>
    </row>
    <row r="3341">
      <c r="A3341" s="16" t="inlineStr">
        <is>
          <t>5.29-6.4</t>
        </is>
      </c>
      <c r="B3341" s="16" t="inlineStr">
        <is>
          <t>PO-128-07904520384631428</t>
        </is>
      </c>
      <c r="C3341" s="16" t="inlineStr">
        <is>
          <t>Delivered</t>
        </is>
      </c>
      <c r="D3341" s="16" t="inlineStr">
        <is>
          <t>128-07904452227191428</t>
        </is>
      </c>
      <c r="E3341" s="16" t="inlineStr">
        <is>
          <t>Delivered</t>
        </is>
      </c>
      <c r="F3341" s="16" t="inlineStr">
        <is>
          <t>LV54W25</t>
        </is>
      </c>
      <c r="G3341" s="16" t="inlineStr">
        <is>
          <t>TIANLAI Lámpara Ventilador E27 2 en 1, Silenciosa, LED Alta Luminosidad 180°, Instalación Rápida, Ahorro Energético para Dormitorio y Interiores Pequeños</t>
        </is>
      </c>
      <c r="H3341" s="16" t="inlineStr">
        <is>
          <t>1 Pieza</t>
        </is>
      </c>
      <c r="I3341" s="16" t="n">
        <v>1</v>
      </c>
      <c r="J3341" s="17" t="n">
        <v>78</v>
      </c>
      <c r="K3341" s="17" t="n">
        <v>79.81999999999999</v>
      </c>
      <c r="L3341" s="17" t="n">
        <v>25.86</v>
      </c>
      <c r="M3341" s="17" t="n">
        <v>0</v>
      </c>
      <c r="N3341" s="17">
        <f>K3341*0.08+L3341*0.08</f>
        <v/>
      </c>
      <c r="O3341" s="17">
        <f>-(K3341*0.025+L3341*0.025)</f>
        <v/>
      </c>
      <c r="P3341" s="17">
        <f>32</f>
        <v/>
      </c>
      <c r="Q3341" s="17">
        <f>J3341+L3341+N3341+O3341-P3341-M3341</f>
        <v/>
      </c>
    </row>
    <row r="3342">
      <c r="A3342" s="16" t="inlineStr">
        <is>
          <t>5.29-6.4</t>
        </is>
      </c>
      <c r="B3342" s="16" t="inlineStr">
        <is>
          <t>PO-128-08208471831670640</t>
        </is>
      </c>
      <c r="C3342" s="16" t="inlineStr">
        <is>
          <t>Delivered</t>
        </is>
      </c>
      <c r="D3342" s="16" t="inlineStr">
        <is>
          <t>128-08208456103030640</t>
        </is>
      </c>
      <c r="E3342" s="16" t="inlineStr">
        <is>
          <t>Delivered</t>
        </is>
      </c>
      <c r="F3342" s="16" t="inlineStr">
        <is>
          <t>LV54W25</t>
        </is>
      </c>
      <c r="G3342" s="16" t="inlineStr">
        <is>
          <t>TIANLAI Lámpara Ventilador E27 2 en 1, Silenciosa, LED Alta Luminosidad 180°, Instalación Rápida, Ahorro Energético para Dormitorio y Interiores Pequeños</t>
        </is>
      </c>
      <c r="H3342" s="16" t="inlineStr">
        <is>
          <t>1 Pieza</t>
        </is>
      </c>
      <c r="I3342" s="16" t="n">
        <v>2</v>
      </c>
      <c r="J3342" s="17" t="n">
        <v>156</v>
      </c>
      <c r="K3342" s="17" t="n">
        <v>159.64</v>
      </c>
      <c r="L3342" s="17" t="n">
        <v>25.86</v>
      </c>
      <c r="M3342" s="17" t="n">
        <v>0</v>
      </c>
      <c r="N3342" s="17">
        <f>K3342*0.08+L3342*0.08</f>
        <v/>
      </c>
      <c r="O3342" s="17">
        <f>-(K3342*0.025+L3342*0.025)</f>
        <v/>
      </c>
      <c r="P3342" s="17">
        <f>32</f>
        <v/>
      </c>
      <c r="Q3342" s="17">
        <f>J3342+L3342+N3342+O3342-P3342-M3342</f>
        <v/>
      </c>
    </row>
    <row r="3343">
      <c r="A3343" s="16" t="inlineStr">
        <is>
          <t>5.29-6.4</t>
        </is>
      </c>
      <c r="B3343" s="16" t="inlineStr">
        <is>
          <t>PO-128-08123232284790188</t>
        </is>
      </c>
      <c r="C3343" s="16" t="inlineStr">
        <is>
          <t>Delivered</t>
        </is>
      </c>
      <c r="D3343" s="16" t="inlineStr">
        <is>
          <t>128-08123221799030188</t>
        </is>
      </c>
      <c r="E3343" s="16" t="inlineStr">
        <is>
          <t>Delivered</t>
        </is>
      </c>
      <c r="F3343" s="16" t="inlineStr">
        <is>
          <t>LV54W25</t>
        </is>
      </c>
      <c r="G3343" s="16" t="inlineStr">
        <is>
          <t>TIANLAI Lámpara Ventilador E27 2 en 1, Silenciosa, LED Alta Luminosidad 180°, Instalación Rápida, Ahorro Energético para Dormitorio y Interiores Pequeños</t>
        </is>
      </c>
      <c r="H3343" s="16" t="inlineStr">
        <is>
          <t>1 Pieza</t>
        </is>
      </c>
      <c r="I3343" s="16" t="n">
        <v>5</v>
      </c>
      <c r="J3343" s="17" t="n">
        <v>390</v>
      </c>
      <c r="K3343" s="17" t="n">
        <v>412.55</v>
      </c>
      <c r="L3343" s="17" t="n">
        <v>0</v>
      </c>
      <c r="M3343" s="17" t="n">
        <v>0</v>
      </c>
      <c r="N3343" s="17">
        <f>K3343*0.08+L3343*0.08</f>
        <v/>
      </c>
      <c r="O3343" s="17">
        <f>-(K3343*0.025+L3343*0.025)</f>
        <v/>
      </c>
      <c r="P3343" s="17">
        <f>32</f>
        <v/>
      </c>
      <c r="Q3343" s="17">
        <f>J3343+L3343+N3343+O3343-P3343-M3343</f>
        <v/>
      </c>
    </row>
    <row r="3344">
      <c r="A3344" s="16" t="inlineStr">
        <is>
          <t>5.29-6.4</t>
        </is>
      </c>
      <c r="B3344" s="16" t="inlineStr">
        <is>
          <t>PO-128-07852984282232889</t>
        </is>
      </c>
      <c r="C3344" s="16" t="inlineStr">
        <is>
          <t>Delivered</t>
        </is>
      </c>
      <c r="D3344" s="16" t="inlineStr">
        <is>
          <t>128-07853026225272889</t>
        </is>
      </c>
      <c r="E3344" s="16" t="inlineStr">
        <is>
          <t>Delivered</t>
        </is>
      </c>
      <c r="F3344" s="16" t="inlineStr">
        <is>
          <t>KTS-2031</t>
        </is>
      </c>
      <c r="G3344" s="16" t="inlineStr">
        <is>
          <t>Bocina inalámbrica de 3 pulgadas con linterna multifuncional y panel solar integrado.Altavoz Portátil con Linterna LED 4 Modos, Radio FM, Bluetooth, Carga Solar, Ideal para Apagones, Emergencias, Campo y Exteriores</t>
        </is>
      </c>
      <c r="H3344" s="16" t="inlineStr">
        <is>
          <t>NEGRO</t>
        </is>
      </c>
      <c r="I3344" s="16" t="n">
        <v>1</v>
      </c>
      <c r="J3344" s="17" t="n">
        <v>90</v>
      </c>
      <c r="K3344" s="17" t="n">
        <v>116.97</v>
      </c>
      <c r="L3344" s="17" t="n">
        <v>12.93</v>
      </c>
      <c r="M3344" s="17" t="n">
        <v>0</v>
      </c>
      <c r="N3344" s="17">
        <f>K3344*0.08+L3344*0.08</f>
        <v/>
      </c>
      <c r="O3344" s="17">
        <f>-(K3344*0.025+L3344*0.025)</f>
        <v/>
      </c>
      <c r="P3344" s="17">
        <f>32</f>
        <v/>
      </c>
      <c r="Q3344" s="17">
        <f>J3344+L3344+N3344+O3344-P3344-M3344</f>
        <v/>
      </c>
    </row>
    <row r="3345">
      <c r="A3345" s="16" t="inlineStr">
        <is>
          <t>5.29-6.4</t>
        </is>
      </c>
      <c r="B3345" s="16" t="inlineStr">
        <is>
          <t>PO-128-07852984282232889</t>
        </is>
      </c>
      <c r="C3345" s="16" t="inlineStr">
        <is>
          <t>Delivered</t>
        </is>
      </c>
      <c r="D3345" s="16" t="inlineStr">
        <is>
          <t>128-07852959091832889</t>
        </is>
      </c>
      <c r="E3345" s="16" t="inlineStr">
        <is>
          <t>Delivered</t>
        </is>
      </c>
      <c r="F3345" s="16" t="inlineStr">
        <is>
          <t>KTS-2031</t>
        </is>
      </c>
      <c r="G3345" s="16" t="inlineStr">
        <is>
          <t>Bocina inalámbrica de 3 pulgadas con linterna multifuncional y panel solar integrado.Altavoz Portátil con Linterna LED 4 Modos, Radio FM, Bluetooth, Carga Solar, Ideal para Apagones, Emergencias, Campo y Exteriores</t>
        </is>
      </c>
      <c r="H3345" s="16" t="inlineStr">
        <is>
          <t>NEGRO</t>
        </is>
      </c>
      <c r="I3345" s="16" t="n">
        <v>1</v>
      </c>
      <c r="J3345" s="17" t="n">
        <v>90</v>
      </c>
      <c r="K3345" s="17" t="n">
        <v>116.97</v>
      </c>
      <c r="L3345" s="17" t="n">
        <v>12.93</v>
      </c>
      <c r="M3345" s="17" t="n">
        <v>0</v>
      </c>
      <c r="N3345" s="17">
        <f>K3345*0.08+L3345*0.08</f>
        <v/>
      </c>
      <c r="O3345" s="17">
        <f>-(K3345*0.025+L3345*0.025)</f>
        <v/>
      </c>
      <c r="P3345" s="17">
        <f>32</f>
        <v/>
      </c>
      <c r="Q3345" s="17">
        <f>J3345+L3345+N3345+O3345-P3345-M3345</f>
        <v/>
      </c>
    </row>
    <row r="3346">
      <c r="A3346" s="16" t="inlineStr">
        <is>
          <t>5.29-6.4</t>
        </is>
      </c>
      <c r="B3346" s="16" t="inlineStr">
        <is>
          <t>PO-128-07791217359992297</t>
        </is>
      </c>
      <c r="C3346" s="16" t="inlineStr">
        <is>
          <t>Delivered</t>
        </is>
      </c>
      <c r="D3346" s="16" t="inlineStr">
        <is>
          <t>128-07791251438712297</t>
        </is>
      </c>
      <c r="E3346" s="16" t="inlineStr">
        <is>
          <t>Delivered</t>
        </is>
      </c>
      <c r="F3346" s="16" t="inlineStr">
        <is>
          <t>TLCD06-12P-R</t>
        </is>
      </c>
      <c r="G334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46" s="16" t="inlineStr">
        <is>
          <t>ROJO/pantalla de 12 pulgadas</t>
        </is>
      </c>
      <c r="I3346" s="16" t="n">
        <v>1</v>
      </c>
      <c r="J3346" s="17" t="n">
        <v>35</v>
      </c>
      <c r="K3346" s="17" t="n">
        <v>64.61</v>
      </c>
      <c r="L3346" s="17" t="n">
        <v>25.86</v>
      </c>
      <c r="M3346" s="17" t="n">
        <v>0</v>
      </c>
      <c r="N3346" s="17">
        <f>K3346*0.08+L3346*0.08</f>
        <v/>
      </c>
      <c r="O3346" s="17">
        <f>-(K3346*0.025+L3346*0.025)</f>
        <v/>
      </c>
      <c r="P3346" s="17">
        <f>32</f>
        <v/>
      </c>
      <c r="Q3346" s="17">
        <f>J3346+L3346+N3346+O3346-P3346-M3346</f>
        <v/>
      </c>
    </row>
    <row r="3347">
      <c r="A3347" s="16" t="inlineStr">
        <is>
          <t>5.29-6.4</t>
        </is>
      </c>
      <c r="B3347" s="16" t="inlineStr">
        <is>
          <t>PO-128-08198005297270833</t>
        </is>
      </c>
      <c r="C3347" s="16" t="inlineStr">
        <is>
          <t>Delivered</t>
        </is>
      </c>
      <c r="D3347" s="16" t="inlineStr">
        <is>
          <t>128-08197984325750833</t>
        </is>
      </c>
      <c r="E3347" s="16" t="inlineStr">
        <is>
          <t>Delivered</t>
        </is>
      </c>
      <c r="F3347" s="16" t="inlineStr">
        <is>
          <t>TLCD02-8P-N</t>
        </is>
      </c>
      <c r="G334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47" s="16" t="inlineStr">
        <is>
          <t>NEGRO/pantalla de 8.5 pulgadas</t>
        </is>
      </c>
      <c r="I3347" s="16" t="n">
        <v>1</v>
      </c>
      <c r="J3347" s="17" t="n">
        <v>25</v>
      </c>
      <c r="K3347" s="17" t="n">
        <v>29.47</v>
      </c>
      <c r="L3347" s="17" t="n">
        <v>25.86</v>
      </c>
      <c r="M3347" s="17" t="n">
        <v>0</v>
      </c>
      <c r="N3347" s="17">
        <f>K3347*0.08+L3347*0.08</f>
        <v/>
      </c>
      <c r="O3347" s="17">
        <f>-(K3347*0.025+L3347*0.025)</f>
        <v/>
      </c>
      <c r="P3347" s="17">
        <f>32</f>
        <v/>
      </c>
      <c r="Q3347" s="17">
        <f>J3347+L3347+N3347+O3347-P3347-M3347</f>
        <v/>
      </c>
    </row>
    <row r="3348">
      <c r="A3348" s="16" t="inlineStr">
        <is>
          <t>5.29-6.4</t>
        </is>
      </c>
      <c r="B3348" s="16" t="inlineStr">
        <is>
          <t>PO-128-08185853243510777</t>
        </is>
      </c>
      <c r="C3348" s="16" t="inlineStr">
        <is>
          <t>Delivered</t>
        </is>
      </c>
      <c r="D3348" s="16" t="inlineStr">
        <is>
          <t>128-08185895186550777</t>
        </is>
      </c>
      <c r="E3348" s="16" t="inlineStr">
        <is>
          <t>Delivered</t>
        </is>
      </c>
      <c r="F3348" s="16" t="inlineStr">
        <is>
          <t>LV64W25</t>
        </is>
      </c>
      <c r="G33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48" s="16" t="inlineStr">
        <is>
          <t>Blanco</t>
        </is>
      </c>
      <c r="I3348" s="16" t="n">
        <v>1</v>
      </c>
      <c r="J3348" s="17" t="n">
        <v>123</v>
      </c>
      <c r="K3348" s="17" t="n">
        <v>131.38</v>
      </c>
      <c r="L3348" s="17" t="n">
        <v>25.86</v>
      </c>
      <c r="M3348" s="17" t="n">
        <v>0</v>
      </c>
      <c r="N3348" s="17">
        <f>K3348*0.08+L3348*0.08</f>
        <v/>
      </c>
      <c r="O3348" s="17">
        <f>-(K3348*0.025+L3348*0.025)</f>
        <v/>
      </c>
      <c r="P3348" s="17">
        <f>32</f>
        <v/>
      </c>
      <c r="Q3348" s="17">
        <f>J3348+L3348+N3348+O3348-P3348-M3348</f>
        <v/>
      </c>
    </row>
    <row r="3349">
      <c r="A3349" s="16" t="inlineStr">
        <is>
          <t>5.29-6.4</t>
        </is>
      </c>
      <c r="B3349" s="16" t="inlineStr">
        <is>
          <t>PO-128-07608821973113254</t>
        </is>
      </c>
      <c r="C3349" s="16" t="inlineStr">
        <is>
          <t>Delivered</t>
        </is>
      </c>
      <c r="D3349" s="16" t="inlineStr">
        <is>
          <t>128-07608832458873254</t>
        </is>
      </c>
      <c r="E3349" s="16" t="inlineStr">
        <is>
          <t>Delivered</t>
        </is>
      </c>
      <c r="F3349" s="16" t="inlineStr">
        <is>
          <t>SB428T</t>
        </is>
      </c>
      <c r="G3349" s="16" t="inlineStr">
        <is>
          <t>LINK BITS Bocina Portátil con 2 Altavoces de 4" (5W×2), Sonido Potente, Luces LED, Bluetooth, USB/TF/FM - Ideal para Reuniones, Fiestas y Picnics en México</t>
        </is>
      </c>
      <c r="H3349" s="16" t="inlineStr">
        <is>
          <t>SB428T</t>
        </is>
      </c>
      <c r="I3349" s="16" t="n">
        <v>1</v>
      </c>
      <c r="J3349" s="17" t="n">
        <v>97</v>
      </c>
      <c r="K3349" s="17" t="n">
        <v>115.49</v>
      </c>
      <c r="L3349" s="17" t="n">
        <v>25.86</v>
      </c>
      <c r="M3349" s="17" t="n">
        <v>0</v>
      </c>
      <c r="N3349" s="17">
        <f>K3349*0.08+L3349*0.08</f>
        <v/>
      </c>
      <c r="O3349" s="17">
        <f>-(K3349*0.025+L3349*0.025)</f>
        <v/>
      </c>
      <c r="P3349" s="17">
        <f>32</f>
        <v/>
      </c>
      <c r="Q3349" s="17">
        <f>J3349+L3349+N3349+O3349-P3349-M3349</f>
        <v/>
      </c>
    </row>
    <row r="3350">
      <c r="A3350" s="16" t="inlineStr">
        <is>
          <t>5.29-6.4</t>
        </is>
      </c>
      <c r="B3350" s="16" t="inlineStr">
        <is>
          <t>PO-128-08099242939510269</t>
        </is>
      </c>
      <c r="C3350" s="16" t="inlineStr">
        <is>
          <t>Delivered</t>
        </is>
      </c>
      <c r="D3350" s="16" t="inlineStr">
        <is>
          <t>128-08099263911030269</t>
        </is>
      </c>
      <c r="E3350" s="16" t="inlineStr">
        <is>
          <t>Delivered</t>
        </is>
      </c>
      <c r="F3350" s="16" t="inlineStr">
        <is>
          <t>VA371T</t>
        </is>
      </c>
      <c r="G3350" s="16" t="inlineStr">
        <is>
          <t>Linkbits Bocina Bluetooth Portátil 3" de Alta Gama，Hi-Res Audio y Graves Potentes，Luces LED + Soporte USB/TF/FM/TWS，Ideal para Hogar y Aire Libre</t>
        </is>
      </c>
      <c r="H3350" s="16" t="inlineStr">
        <is>
          <t>VA371T</t>
        </is>
      </c>
      <c r="I3350" s="16" t="n">
        <v>1</v>
      </c>
      <c r="J3350" s="17" t="n">
        <v>45.8</v>
      </c>
      <c r="K3350" s="17" t="n">
        <v>46.04</v>
      </c>
      <c r="L3350" s="17" t="n">
        <v>25.86</v>
      </c>
      <c r="M3350" s="17" t="n">
        <v>0</v>
      </c>
      <c r="N3350" s="17">
        <f>K3350*0.08+L3350*0.08</f>
        <v/>
      </c>
      <c r="O3350" s="17">
        <f>-(K3350*0.025+L3350*0.025)</f>
        <v/>
      </c>
      <c r="P3350" s="17">
        <f>32</f>
        <v/>
      </c>
      <c r="Q3350" s="17">
        <f>J3350+L3350+N3350+O3350-P3350-M3350</f>
        <v/>
      </c>
    </row>
    <row r="3351">
      <c r="A3351" s="16" t="inlineStr">
        <is>
          <t>5.29-6.4</t>
        </is>
      </c>
      <c r="B3351" s="16" t="inlineStr">
        <is>
          <t>PO-128-08239607882870585</t>
        </is>
      </c>
      <c r="C3351" s="16" t="inlineStr">
        <is>
          <t>Delivered</t>
        </is>
      </c>
      <c r="D3351" s="16" t="inlineStr">
        <is>
          <t>128-08239565939830585</t>
        </is>
      </c>
      <c r="E3351" s="16" t="inlineStr">
        <is>
          <t>Delivered</t>
        </is>
      </c>
      <c r="F3351" s="16" t="inlineStr">
        <is>
          <t>LV54W25</t>
        </is>
      </c>
      <c r="G3351" s="16" t="inlineStr">
        <is>
          <t>TIANLAI Lámpara Ventilador E27 2 en 1, Silenciosa, LED Alta Luminosidad 180°, Instalación Rápida, Ahorro Energético para Dormitorio y Interiores Pequeños</t>
        </is>
      </c>
      <c r="H3351" s="16" t="inlineStr">
        <is>
          <t>1 Pieza</t>
        </is>
      </c>
      <c r="I3351" s="16" t="n">
        <v>3</v>
      </c>
      <c r="J3351" s="17" t="n">
        <v>234</v>
      </c>
      <c r="K3351" s="17" t="n">
        <v>247.53</v>
      </c>
      <c r="L3351" s="17" t="n">
        <v>0</v>
      </c>
      <c r="M3351" s="17" t="n">
        <v>0</v>
      </c>
      <c r="N3351" s="17">
        <f>K3351*0.08+L3351*0.08</f>
        <v/>
      </c>
      <c r="O3351" s="17">
        <f>-(K3351*0.025+L3351*0.025)</f>
        <v/>
      </c>
      <c r="P3351" s="17">
        <f>32</f>
        <v/>
      </c>
      <c r="Q3351" s="17">
        <f>J3351+L3351+N3351+O3351-P3351-M3351</f>
        <v/>
      </c>
    </row>
    <row r="3352">
      <c r="A3352" s="16" t="inlineStr">
        <is>
          <t>5.29-6.4</t>
        </is>
      </c>
      <c r="B3352" s="16" t="inlineStr">
        <is>
          <t>PO-128-08139837187190027</t>
        </is>
      </c>
      <c r="C3352" s="16" t="inlineStr">
        <is>
          <t>Delivered</t>
        </is>
      </c>
      <c r="D3352" s="16" t="inlineStr">
        <is>
          <t>128-08139942044790027</t>
        </is>
      </c>
      <c r="E3352" s="16" t="inlineStr">
        <is>
          <t>Delivered</t>
        </is>
      </c>
      <c r="F3352" s="16" t="inlineStr">
        <is>
          <t>LV64W25</t>
        </is>
      </c>
      <c r="G33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52" s="16" t="inlineStr">
        <is>
          <t>Blanco</t>
        </is>
      </c>
      <c r="I3352" s="16" t="n">
        <v>3</v>
      </c>
      <c r="J3352" s="17" t="n">
        <v>369</v>
      </c>
      <c r="K3352" s="17" t="n">
        <v>380.71</v>
      </c>
      <c r="L3352" s="17" t="n">
        <v>0</v>
      </c>
      <c r="M3352" s="17" t="n">
        <v>10.8</v>
      </c>
      <c r="N3352" s="17">
        <f>K3352*0.08+L3352*0.08</f>
        <v/>
      </c>
      <c r="O3352" s="17">
        <f>-(K3352*0.025+L3352*0.025)</f>
        <v/>
      </c>
      <c r="P3352" s="17">
        <f>32</f>
        <v/>
      </c>
      <c r="Q3352" s="17">
        <f>J3352+L3352+N3352+O3352-P3352-M3352</f>
        <v/>
      </c>
    </row>
    <row r="3353">
      <c r="A3353" s="16" t="inlineStr">
        <is>
          <t>5.29-6.4</t>
        </is>
      </c>
      <c r="B3353" s="16" t="inlineStr">
        <is>
          <t>PO-128-07729885315193687</t>
        </is>
      </c>
      <c r="C3353" s="16" t="inlineStr">
        <is>
          <t>Delivered</t>
        </is>
      </c>
      <c r="D3353" s="16" t="inlineStr">
        <is>
          <t>128-07729906286713687</t>
        </is>
      </c>
      <c r="E3353" s="16" t="inlineStr">
        <is>
          <t>Delivered</t>
        </is>
      </c>
      <c r="F3353" s="16" t="inlineStr">
        <is>
          <t>LV54W25</t>
        </is>
      </c>
      <c r="G3353" s="16" t="inlineStr">
        <is>
          <t>TIANLAI Lámpara Ventilador E27 2 en 1, Silenciosa, LED Alta Luminosidad 180°, Instalación Rápida, Ahorro Energético para Dormitorio y Interiores Pequeños</t>
        </is>
      </c>
      <c r="H3353" s="16" t="inlineStr">
        <is>
          <t>1 Pieza</t>
        </is>
      </c>
      <c r="I3353" s="16" t="n">
        <v>1</v>
      </c>
      <c r="J3353" s="17" t="n">
        <v>78</v>
      </c>
      <c r="K3353" s="17" t="n">
        <v>89.68000000000001</v>
      </c>
      <c r="L3353" s="17" t="n">
        <v>25.86</v>
      </c>
      <c r="M3353" s="17" t="n">
        <v>0</v>
      </c>
      <c r="N3353" s="17">
        <f>K3353*0.08+L3353*0.08</f>
        <v/>
      </c>
      <c r="O3353" s="17">
        <f>-(K3353*0.025+L3353*0.025)</f>
        <v/>
      </c>
      <c r="P3353" s="17">
        <f>32</f>
        <v/>
      </c>
      <c r="Q3353" s="17">
        <f>J3353+L3353+N3353+O3353-P3353-M3353</f>
        <v/>
      </c>
    </row>
    <row r="3354">
      <c r="A3354" s="16" t="inlineStr">
        <is>
          <t>5.29-6.4</t>
        </is>
      </c>
      <c r="B3354" s="16" t="inlineStr">
        <is>
          <t>PO-128-07864878968952688</t>
        </is>
      </c>
      <c r="C3354" s="16" t="inlineStr">
        <is>
          <t>Delivered</t>
        </is>
      </c>
      <c r="D3354" s="16" t="inlineStr">
        <is>
          <t>128-07864920911992688</t>
        </is>
      </c>
      <c r="E3354" s="16" t="inlineStr">
        <is>
          <t>Delivered</t>
        </is>
      </c>
      <c r="F3354" s="16" t="inlineStr">
        <is>
          <t>LV54W25</t>
        </is>
      </c>
      <c r="G3354" s="16" t="inlineStr">
        <is>
          <t>TIANLAI Lámpara Ventilador E27 2 en 1, Silenciosa, LED Alta Luminosidad 180°, Instalación Rápida, Ahorro Energético para Dormitorio y Interiores Pequeños</t>
        </is>
      </c>
      <c r="H3354" s="16" t="inlineStr">
        <is>
          <t>1 Pieza</t>
        </is>
      </c>
      <c r="I3354" s="16" t="n">
        <v>3</v>
      </c>
      <c r="J3354" s="17" t="n">
        <v>234</v>
      </c>
      <c r="K3354" s="17" t="n">
        <v>247.53</v>
      </c>
      <c r="L3354" s="17" t="n">
        <v>0</v>
      </c>
      <c r="M3354" s="17" t="n">
        <v>0</v>
      </c>
      <c r="N3354" s="17">
        <f>K3354*0.08+L3354*0.08</f>
        <v/>
      </c>
      <c r="O3354" s="17">
        <f>-(K3354*0.025+L3354*0.025)</f>
        <v/>
      </c>
      <c r="P3354" s="17">
        <f>32</f>
        <v/>
      </c>
      <c r="Q3354" s="17">
        <f>J3354+L3354+N3354+O3354-P3354-M3354</f>
        <v/>
      </c>
    </row>
    <row r="3355">
      <c r="A3355" s="16" t="inlineStr">
        <is>
          <t>5.29-6.4</t>
        </is>
      </c>
      <c r="B3355" s="16" t="inlineStr">
        <is>
          <t>PO-128-07829412334713028</t>
        </is>
      </c>
      <c r="C3355" s="16" t="inlineStr">
        <is>
          <t>Delivered</t>
        </is>
      </c>
      <c r="D3355" s="16" t="inlineStr">
        <is>
          <t>128-07829370391673028</t>
        </is>
      </c>
      <c r="E3355" s="16" t="inlineStr">
        <is>
          <t>Delivered</t>
        </is>
      </c>
      <c r="F3355" s="16" t="inlineStr">
        <is>
          <t>LV54W25</t>
        </is>
      </c>
      <c r="G3355" s="16" t="inlineStr">
        <is>
          <t>TIANLAI Lámpara Ventilador E27 2 en 1, Silenciosa, LED Alta Luminosidad 180°, Instalación Rápida, Ahorro Energético para Dormitorio y Interiores Pequeños</t>
        </is>
      </c>
      <c r="H3355" s="16" t="inlineStr">
        <is>
          <t>1 Pieza</t>
        </is>
      </c>
      <c r="I3355" s="16" t="n">
        <v>1</v>
      </c>
      <c r="J3355" s="17" t="n">
        <v>78</v>
      </c>
      <c r="K3355" s="17" t="n">
        <v>19.48</v>
      </c>
      <c r="L3355" s="17" t="n">
        <v>25.86</v>
      </c>
      <c r="M3355" s="17" t="n">
        <v>0</v>
      </c>
      <c r="N3355" s="17">
        <f>K3355*0.08+L3355*0.08</f>
        <v/>
      </c>
      <c r="O3355" s="17">
        <f>-(K3355*0.025+L3355*0.025)</f>
        <v/>
      </c>
      <c r="P3355" s="17">
        <f>32</f>
        <v/>
      </c>
      <c r="Q3355" s="17">
        <f>J3355+L3355+N3355+O3355-P3355-M3355</f>
        <v/>
      </c>
    </row>
    <row r="3356">
      <c r="A3356" s="16" t="inlineStr">
        <is>
          <t>5.29-6.4</t>
        </is>
      </c>
      <c r="B3356" s="16" t="inlineStr">
        <is>
          <t>PO-128-07677659067513932</t>
        </is>
      </c>
      <c r="C3356" s="16" t="inlineStr">
        <is>
          <t>Delivered</t>
        </is>
      </c>
      <c r="D3356" s="16" t="inlineStr">
        <is>
          <t>128-07677701010553932</t>
        </is>
      </c>
      <c r="E3356" s="16" t="inlineStr">
        <is>
          <t>Delivered</t>
        </is>
      </c>
      <c r="F3356" s="16" t="inlineStr">
        <is>
          <t>LV64W25</t>
        </is>
      </c>
      <c r="G33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56" s="16" t="inlineStr">
        <is>
          <t>Blanco</t>
        </is>
      </c>
      <c r="I3356" s="16" t="n">
        <v>2</v>
      </c>
      <c r="J3356" s="17" t="n">
        <v>246</v>
      </c>
      <c r="K3356" s="17" t="n">
        <v>262.76</v>
      </c>
      <c r="L3356" s="17" t="n">
        <v>0</v>
      </c>
      <c r="M3356" s="17" t="n">
        <v>0</v>
      </c>
      <c r="N3356" s="17">
        <f>K3356*0.08+L3356*0.08</f>
        <v/>
      </c>
      <c r="O3356" s="17">
        <f>-(K3356*0.025+L3356*0.025)</f>
        <v/>
      </c>
      <c r="P3356" s="17">
        <f>32</f>
        <v/>
      </c>
      <c r="Q3356" s="17">
        <f>J3356+L3356+N3356+O3356-P3356-M3356</f>
        <v/>
      </c>
    </row>
    <row r="3357">
      <c r="A3357" s="16" t="inlineStr">
        <is>
          <t>5.29-6.4</t>
        </is>
      </c>
      <c r="B3357" s="16" t="inlineStr">
        <is>
          <t>PO-128-07686901660793943</t>
        </is>
      </c>
      <c r="C3357" s="16" t="inlineStr">
        <is>
          <t>Delivered</t>
        </is>
      </c>
      <c r="D3357" s="16" t="inlineStr">
        <is>
          <t>128-07686931151993943</t>
        </is>
      </c>
      <c r="E3357" s="16" t="inlineStr">
        <is>
          <t>Delivered</t>
        </is>
      </c>
      <c r="F3357" s="16" t="inlineStr">
        <is>
          <t>LV54W25</t>
        </is>
      </c>
      <c r="G3357" s="16" t="inlineStr">
        <is>
          <t>TIANLAI Lámpara Ventilador E27 2 en 1, Silenciosa, LED Alta Luminosidad 180°, Instalación Rápida, Ahorro Energético para Dormitorio y Interiores Pequeños</t>
        </is>
      </c>
      <c r="H3357" s="16" t="inlineStr">
        <is>
          <t>1 Pieza</t>
        </is>
      </c>
      <c r="I3357" s="16" t="n">
        <v>3</v>
      </c>
      <c r="J3357" s="17" t="n">
        <v>234</v>
      </c>
      <c r="K3357" s="17" t="n">
        <v>247.53</v>
      </c>
      <c r="L3357" s="17" t="n">
        <v>0</v>
      </c>
      <c r="M3357" s="17" t="n">
        <v>0</v>
      </c>
      <c r="N3357" s="17">
        <f>K3357*0.08+L3357*0.08</f>
        <v/>
      </c>
      <c r="O3357" s="17">
        <f>-(K3357*0.025+L3357*0.025)</f>
        <v/>
      </c>
      <c r="P3357" s="17">
        <f>32</f>
        <v/>
      </c>
      <c r="Q3357" s="17">
        <f>J3357+L3357+N3357+O3357-P3357-M3357</f>
        <v/>
      </c>
    </row>
    <row r="3358">
      <c r="A3358" s="16" t="inlineStr">
        <is>
          <t>5.29-6.4</t>
        </is>
      </c>
      <c r="B3358" s="16" t="inlineStr">
        <is>
          <t>PO-128-08191222403190809</t>
        </is>
      </c>
      <c r="C3358" s="16" t="inlineStr">
        <is>
          <t>Delivered</t>
        </is>
      </c>
      <c r="D3358" s="16" t="inlineStr">
        <is>
          <t>128-08191159488630809</t>
        </is>
      </c>
      <c r="E3358" s="16" t="inlineStr">
        <is>
          <t>Delivered</t>
        </is>
      </c>
      <c r="F3358" s="16" t="inlineStr">
        <is>
          <t>LV54W25</t>
        </is>
      </c>
      <c r="G3358" s="16" t="inlineStr">
        <is>
          <t>TIANLAI Lámpara Ventilador E27 2 en 1, Silenciosa, LED Alta Luminosidad 180°, Instalación Rápida, Ahorro Energético para Dormitorio y Interiores Pequeños</t>
        </is>
      </c>
      <c r="H3358" s="16" t="inlineStr">
        <is>
          <t>1 Pieza</t>
        </is>
      </c>
      <c r="I3358" s="16" t="n">
        <v>2</v>
      </c>
      <c r="J3358" s="17" t="n">
        <v>156</v>
      </c>
      <c r="K3358" s="17" t="n">
        <v>165.02</v>
      </c>
      <c r="L3358" s="17" t="n">
        <v>25.86</v>
      </c>
      <c r="M3358" s="17" t="n">
        <v>0</v>
      </c>
      <c r="N3358" s="17">
        <f>K3358*0.08+L3358*0.08</f>
        <v/>
      </c>
      <c r="O3358" s="17">
        <f>-(K3358*0.025+L3358*0.025)</f>
        <v/>
      </c>
      <c r="P3358" s="17">
        <f>32</f>
        <v/>
      </c>
      <c r="Q3358" s="17">
        <f>J3358+L3358+N3358+O3358-P3358-M3358</f>
        <v/>
      </c>
    </row>
    <row r="3359">
      <c r="A3359" s="16" t="inlineStr">
        <is>
          <t>5.29-6.4</t>
        </is>
      </c>
      <c r="B3359" s="16" t="inlineStr">
        <is>
          <t>PO-128-08129166016630219</t>
        </is>
      </c>
      <c r="C3359" s="16" t="inlineStr">
        <is>
          <t>Delivered</t>
        </is>
      </c>
      <c r="D3359" s="16" t="inlineStr">
        <is>
          <t>128-08129176502390219</t>
        </is>
      </c>
      <c r="E3359" s="16" t="inlineStr">
        <is>
          <t>Delivered</t>
        </is>
      </c>
      <c r="F3359" s="16" t="inlineStr">
        <is>
          <t>LV64W25</t>
        </is>
      </c>
      <c r="G33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59" s="16" t="inlineStr">
        <is>
          <t>Blanco</t>
        </is>
      </c>
      <c r="I3359" s="16" t="n">
        <v>1</v>
      </c>
      <c r="J3359" s="17" t="n">
        <v>123</v>
      </c>
      <c r="K3359" s="17" t="n">
        <v>141.27</v>
      </c>
      <c r="L3359" s="17" t="n">
        <v>25.86</v>
      </c>
      <c r="M3359" s="17" t="n">
        <v>0</v>
      </c>
      <c r="N3359" s="17">
        <f>K3359*0.08+L3359*0.08</f>
        <v/>
      </c>
      <c r="O3359" s="17">
        <f>-(K3359*0.025+L3359*0.025)</f>
        <v/>
      </c>
      <c r="P3359" s="17">
        <f>32</f>
        <v/>
      </c>
      <c r="Q3359" s="17">
        <f>J3359+L3359+N3359+O3359-P3359-M3359</f>
        <v/>
      </c>
    </row>
    <row r="3360">
      <c r="A3360" s="16" t="inlineStr">
        <is>
          <t>5.29-6.4</t>
        </is>
      </c>
      <c r="B3360" s="16" t="inlineStr">
        <is>
          <t>PO-128-08051116470391770</t>
        </is>
      </c>
      <c r="C3360" s="16" t="inlineStr">
        <is>
          <t>Delivered</t>
        </is>
      </c>
      <c r="D3360" s="16" t="inlineStr">
        <is>
          <t>128-08051095498871770</t>
        </is>
      </c>
      <c r="E3360" s="16" t="inlineStr">
        <is>
          <t>Delivered</t>
        </is>
      </c>
      <c r="F3360" s="16" t="inlineStr">
        <is>
          <t>LV54W25</t>
        </is>
      </c>
      <c r="G3360" s="16" t="inlineStr">
        <is>
          <t>TIANLAI Lámpara Ventilador E27 2 en 1, Silenciosa, LED Alta Luminosidad 180°, Instalación Rápida, Ahorro Energético para Dormitorio y Interiores Pequeños</t>
        </is>
      </c>
      <c r="H3360" s="16" t="inlineStr">
        <is>
          <t>1 Pieza</t>
        </is>
      </c>
      <c r="I3360" s="16" t="n">
        <v>1</v>
      </c>
      <c r="J3360" s="17" t="n">
        <v>78</v>
      </c>
      <c r="K3360" s="17" t="n">
        <v>89.68000000000001</v>
      </c>
      <c r="L3360" s="17" t="n">
        <v>25.86</v>
      </c>
      <c r="M3360" s="17" t="n">
        <v>0</v>
      </c>
      <c r="N3360" s="17">
        <f>K3360*0.08+L3360*0.08</f>
        <v/>
      </c>
      <c r="O3360" s="17">
        <f>-(K3360*0.025+L3360*0.025)</f>
        <v/>
      </c>
      <c r="P3360" s="17">
        <f>32</f>
        <v/>
      </c>
      <c r="Q3360" s="17">
        <f>J3360+L3360+N3360+O3360-P3360-M3360</f>
        <v/>
      </c>
    </row>
    <row r="3361">
      <c r="A3361" s="16" t="inlineStr">
        <is>
          <t>5.29-6.4</t>
        </is>
      </c>
      <c r="B3361" s="16" t="inlineStr">
        <is>
          <t>PO-128-08169212424310938</t>
        </is>
      </c>
      <c r="C3361" s="16" t="inlineStr">
        <is>
          <t>Delivered</t>
        </is>
      </c>
      <c r="D3361" s="16" t="inlineStr">
        <is>
          <t>128-08169254367350938</t>
        </is>
      </c>
      <c r="E3361" s="16" t="inlineStr">
        <is>
          <t>Delivered</t>
        </is>
      </c>
      <c r="F3361" s="16" t="inlineStr">
        <is>
          <t>LV54W25</t>
        </is>
      </c>
      <c r="G3361" s="16" t="inlineStr">
        <is>
          <t>TIANLAI Lámpara Ventilador E27 2 en 1, Silenciosa, LED Alta Luminosidad 180°, Instalación Rápida, Ahorro Energético para Dormitorio y Interiores Pequeños</t>
        </is>
      </c>
      <c r="H3361" s="16" t="inlineStr">
        <is>
          <t>1 Pieza</t>
        </is>
      </c>
      <c r="I3361" s="16" t="n">
        <v>3</v>
      </c>
      <c r="J3361" s="17" t="n">
        <v>234</v>
      </c>
      <c r="K3361" s="17" t="n">
        <v>239.46</v>
      </c>
      <c r="L3361" s="17" t="n">
        <v>0</v>
      </c>
      <c r="M3361" s="17" t="n">
        <v>0</v>
      </c>
      <c r="N3361" s="17">
        <f>K3361*0.08+L3361*0.08</f>
        <v/>
      </c>
      <c r="O3361" s="17">
        <f>-(K3361*0.025+L3361*0.025)</f>
        <v/>
      </c>
      <c r="P3361" s="17">
        <f>32</f>
        <v/>
      </c>
      <c r="Q3361" s="17">
        <f>J3361+L3361+N3361+O3361-P3361-M3361</f>
        <v/>
      </c>
    </row>
    <row r="3362">
      <c r="A3362" s="16" t="inlineStr">
        <is>
          <t>5.29-6.4</t>
        </is>
      </c>
      <c r="B3362" s="16" t="inlineStr">
        <is>
          <t>PO-128-07987962028151125</t>
        </is>
      </c>
      <c r="C3362" s="16" t="inlineStr">
        <is>
          <t>Delivered</t>
        </is>
      </c>
      <c r="D3362" s="16" t="inlineStr">
        <is>
          <t>128-07987920085111125</t>
        </is>
      </c>
      <c r="E3362" s="16" t="inlineStr">
        <is>
          <t>Delivered</t>
        </is>
      </c>
      <c r="F3362" s="16" t="inlineStr">
        <is>
          <t>KTS-2031</t>
        </is>
      </c>
      <c r="G3362" s="16" t="inlineStr">
        <is>
          <t>Bocina inalámbrica de 3 pulgadas con linterna multifuncional y panel solar integrado.Altavoz Portátil con Linterna LED 4 Modos, Radio FM, Bluetooth, Carga Solar, Ideal para Apagones, Emergencias, Campo y Exteriores</t>
        </is>
      </c>
      <c r="H3362" s="16" t="inlineStr">
        <is>
          <t>NEGRO</t>
        </is>
      </c>
      <c r="I3362" s="16" t="n">
        <v>1</v>
      </c>
      <c r="J3362" s="17" t="n">
        <v>90</v>
      </c>
      <c r="K3362" s="17" t="n">
        <v>56.12</v>
      </c>
      <c r="L3362" s="17" t="n">
        <v>25.86</v>
      </c>
      <c r="M3362" s="17" t="n">
        <v>0</v>
      </c>
      <c r="N3362" s="17">
        <f>K3362*0.08+L3362*0.08</f>
        <v/>
      </c>
      <c r="O3362" s="17">
        <f>-(K3362*0.025+L3362*0.025)</f>
        <v/>
      </c>
      <c r="P3362" s="17">
        <f>32</f>
        <v/>
      </c>
      <c r="Q3362" s="17">
        <f>J3362+L3362+N3362+O3362-P3362-M3362</f>
        <v/>
      </c>
    </row>
    <row r="3363">
      <c r="A3363" s="16" t="inlineStr">
        <is>
          <t>5.29-6.4</t>
        </is>
      </c>
      <c r="B3363" s="16" t="inlineStr">
        <is>
          <t>PO-128-08012305667191811</t>
        </is>
      </c>
      <c r="C3363" s="16" t="inlineStr">
        <is>
          <t>Delivered</t>
        </is>
      </c>
      <c r="D3363" s="16" t="inlineStr">
        <is>
          <t>128-08012358095991811</t>
        </is>
      </c>
      <c r="E3363" s="16" t="inlineStr">
        <is>
          <t>Delivered</t>
        </is>
      </c>
      <c r="F3363" s="16" t="inlineStr">
        <is>
          <t>LV64W25</t>
        </is>
      </c>
      <c r="G33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63" s="16" t="inlineStr">
        <is>
          <t>Blanco</t>
        </is>
      </c>
      <c r="I3363" s="16" t="n">
        <v>1</v>
      </c>
      <c r="J3363" s="17" t="n">
        <v>123</v>
      </c>
      <c r="K3363" s="17" t="n">
        <v>131.38</v>
      </c>
      <c r="L3363" s="17" t="n">
        <v>25.86</v>
      </c>
      <c r="M3363" s="17" t="n">
        <v>0</v>
      </c>
      <c r="N3363" s="17">
        <f>K3363*0.08+L3363*0.08</f>
        <v/>
      </c>
      <c r="O3363" s="17">
        <f>-(K3363*0.025+L3363*0.025)</f>
        <v/>
      </c>
      <c r="P3363" s="17">
        <f>32</f>
        <v/>
      </c>
      <c r="Q3363" s="17">
        <f>J3363+L3363+N3363+O3363-P3363-M3363</f>
        <v/>
      </c>
    </row>
    <row r="3364">
      <c r="A3364" s="16" t="inlineStr">
        <is>
          <t>5.29-6.4</t>
        </is>
      </c>
      <c r="B3364" s="16" t="inlineStr">
        <is>
          <t>PO-128-08078487708790393</t>
        </is>
      </c>
      <c r="C3364" s="16" t="inlineStr">
        <is>
          <t>Delivered</t>
        </is>
      </c>
      <c r="D3364" s="16" t="inlineStr">
        <is>
          <t>128-08078555866230393</t>
        </is>
      </c>
      <c r="E3364" s="16" t="inlineStr">
        <is>
          <t>Delivered</t>
        </is>
      </c>
      <c r="F3364" s="16" t="inlineStr">
        <is>
          <t>LV54W25</t>
        </is>
      </c>
      <c r="G3364" s="16" t="inlineStr">
        <is>
          <t>TIANLAI Lámpara Ventilador E27 2 en 1, Silenciosa, LED Alta Luminosidad 180°, Instalación Rápida, Ahorro Energético para Dormitorio y Interiores Pequeños</t>
        </is>
      </c>
      <c r="H3364" s="16" t="inlineStr">
        <is>
          <t>1 Pieza</t>
        </is>
      </c>
      <c r="I3364" s="16" t="n">
        <v>1</v>
      </c>
      <c r="J3364" s="17" t="n">
        <v>78</v>
      </c>
      <c r="K3364" s="17" t="n">
        <v>79.81999999999999</v>
      </c>
      <c r="L3364" s="17" t="n">
        <v>25.86</v>
      </c>
      <c r="M3364" s="17" t="n">
        <v>0</v>
      </c>
      <c r="N3364" s="17">
        <f>K3364*0.08+L3364*0.08</f>
        <v/>
      </c>
      <c r="O3364" s="17">
        <f>-(K3364*0.025+L3364*0.025)</f>
        <v/>
      </c>
      <c r="P3364" s="17">
        <f>32</f>
        <v/>
      </c>
      <c r="Q3364" s="17">
        <f>J3364+L3364+N3364+O3364-P3364-M3364</f>
        <v/>
      </c>
    </row>
    <row r="3365">
      <c r="A3365" s="16" t="inlineStr">
        <is>
          <t>5.29-6.4</t>
        </is>
      </c>
      <c r="B3365" s="16" t="inlineStr">
        <is>
          <t>PO-128-07583571029113343</t>
        </is>
      </c>
      <c r="C3365" s="16" t="inlineStr">
        <is>
          <t>Delivered</t>
        </is>
      </c>
      <c r="D3365" s="16" t="inlineStr">
        <is>
          <t>128-07583623457913343</t>
        </is>
      </c>
      <c r="E3365" s="16" t="inlineStr">
        <is>
          <t>Delivered</t>
        </is>
      </c>
      <c r="F3365" s="16" t="inlineStr">
        <is>
          <t>LV54W25</t>
        </is>
      </c>
      <c r="G3365" s="16" t="inlineStr">
        <is>
          <t>TIANLAI Lámpara Ventilador E27 2 en 1, Silenciosa, LED Alta Luminosidad 180°, Instalación Rápida, Ahorro Energético para Dormitorio y Interiores Pequeños</t>
        </is>
      </c>
      <c r="H3365" s="16" t="inlineStr">
        <is>
          <t>1 Pieza</t>
        </is>
      </c>
      <c r="I3365" s="16" t="n">
        <v>1</v>
      </c>
      <c r="J3365" s="17" t="n">
        <v>78</v>
      </c>
      <c r="K3365" s="17" t="n">
        <v>79.81999999999999</v>
      </c>
      <c r="L3365" s="17" t="n">
        <v>25.86</v>
      </c>
      <c r="M3365" s="17" t="n">
        <v>0</v>
      </c>
      <c r="N3365" s="17">
        <f>K3365*0.08+L3365*0.08</f>
        <v/>
      </c>
      <c r="O3365" s="17">
        <f>-(K3365*0.025+L3365*0.025)</f>
        <v/>
      </c>
      <c r="P3365" s="17">
        <f>32</f>
        <v/>
      </c>
      <c r="Q3365" s="17">
        <f>J3365+L3365+N3365+O3365-P3365-M3365</f>
        <v/>
      </c>
    </row>
    <row r="3366">
      <c r="A3366" s="16" t="inlineStr">
        <is>
          <t>5.29-6.4</t>
        </is>
      </c>
      <c r="B3366" s="16" t="inlineStr">
        <is>
          <t>PO-128-07775290627192198</t>
        </is>
      </c>
      <c r="C3366" s="16" t="inlineStr">
        <is>
          <t>Delivered</t>
        </is>
      </c>
      <c r="D3366" s="16" t="inlineStr">
        <is>
          <t>128-07775301112952198</t>
        </is>
      </c>
      <c r="E3366" s="16" t="inlineStr">
        <is>
          <t>Delivered</t>
        </is>
      </c>
      <c r="F3366" s="16" t="inlineStr">
        <is>
          <t>LV54W25</t>
        </is>
      </c>
      <c r="G3366" s="16" t="inlineStr">
        <is>
          <t>TIANLAI Lámpara Ventilador E27 2 en 1, Silenciosa, LED Alta Luminosidad 180°, Instalación Rápida, Ahorro Energético para Dormitorio y Interiores Pequeños</t>
        </is>
      </c>
      <c r="H3366" s="16" t="inlineStr">
        <is>
          <t>1 Pieza</t>
        </is>
      </c>
      <c r="I3366" s="16" t="n">
        <v>2</v>
      </c>
      <c r="J3366" s="17" t="n">
        <v>156</v>
      </c>
      <c r="K3366" s="17" t="n">
        <v>159.64</v>
      </c>
      <c r="L3366" s="17" t="n">
        <v>25.86</v>
      </c>
      <c r="M3366" s="17" t="n">
        <v>0</v>
      </c>
      <c r="N3366" s="17">
        <f>K3366*0.08+L3366*0.08</f>
        <v/>
      </c>
      <c r="O3366" s="17">
        <f>-(K3366*0.025+L3366*0.025)</f>
        <v/>
      </c>
      <c r="P3366" s="17">
        <f>32</f>
        <v/>
      </c>
      <c r="Q3366" s="17">
        <f>J3366+L3366+N3366+O3366-P3366-M3366</f>
        <v/>
      </c>
    </row>
    <row r="3367">
      <c r="A3367" s="16" t="inlineStr">
        <is>
          <t>5.29-6.4</t>
        </is>
      </c>
      <c r="B3367" s="16" t="inlineStr">
        <is>
          <t>PO-128-08233960860790552</t>
        </is>
      </c>
      <c r="C3367" s="16" t="inlineStr">
        <is>
          <t>Delivered</t>
        </is>
      </c>
      <c r="D3367" s="16" t="inlineStr">
        <is>
          <t>128-08233981832310552</t>
        </is>
      </c>
      <c r="E3367" s="16" t="inlineStr">
        <is>
          <t>Delivered</t>
        </is>
      </c>
      <c r="F3367" s="16" t="inlineStr">
        <is>
          <t>BG-115-B</t>
        </is>
      </c>
      <c r="G3367" s="16" t="inlineStr">
        <is>
          <t>LINK BITS Audífonos Inalámbricos con Luces Multicolor, Recargables y en Adorable Forma de Orejas de Gato - Conecta a Celulares y PCs, Tiene Radio FM, Tarjeta TF y AUX - 7 Horas de Reproducción, Plegables y Perfectos para Trabajo, Juegos y Estudio</t>
        </is>
      </c>
      <c r="H3367" s="16" t="inlineStr">
        <is>
          <t>blanco</t>
        </is>
      </c>
      <c r="I3367" s="16" t="n">
        <v>1</v>
      </c>
      <c r="J3367" s="17" t="n">
        <v>80</v>
      </c>
      <c r="K3367" s="17" t="n">
        <v>65</v>
      </c>
      <c r="L3367" s="17" t="n">
        <v>25.86</v>
      </c>
      <c r="M3367" s="17" t="n">
        <v>0</v>
      </c>
      <c r="N3367" s="17">
        <f>K3367*0.08+L3367*0.08</f>
        <v/>
      </c>
      <c r="O3367" s="17">
        <f>-(K3367*0.025+L3367*0.025)</f>
        <v/>
      </c>
      <c r="P3367" s="17">
        <f>32</f>
        <v/>
      </c>
      <c r="Q3367" s="17">
        <f>J3367+L3367+N3367+O3367-P3367-M3367</f>
        <v/>
      </c>
    </row>
    <row r="3368">
      <c r="A3368" s="16" t="inlineStr">
        <is>
          <t>5.29-6.4</t>
        </is>
      </c>
      <c r="B3368" s="16" t="inlineStr">
        <is>
          <t>PO-128-07601982533753425</t>
        </is>
      </c>
      <c r="C3368" s="16" t="inlineStr">
        <is>
          <t>Delivered</t>
        </is>
      </c>
      <c r="D3368" s="16" t="inlineStr">
        <is>
          <t>128-07601951076473425</t>
        </is>
      </c>
      <c r="E3368" s="16" t="inlineStr">
        <is>
          <t>Delivered</t>
        </is>
      </c>
      <c r="F3368" s="16" t="inlineStr">
        <is>
          <t>KTS-2031</t>
        </is>
      </c>
      <c r="G3368" s="16" t="inlineStr">
        <is>
          <t>Bocina inalámbrica de 3 pulgadas con linterna multifuncional y panel solar integrado.Altavoz Portátil con Linterna LED 4 Modos, Radio FM, Bluetooth, Carga Solar, Ideal para Apagones, Emergencias, Campo y Exteriores</t>
        </is>
      </c>
      <c r="H3368" s="16" t="inlineStr">
        <is>
          <t>NEGRO</t>
        </is>
      </c>
      <c r="I3368" s="16" t="n">
        <v>1</v>
      </c>
      <c r="J3368" s="17" t="n">
        <v>90</v>
      </c>
      <c r="K3368" s="17" t="n">
        <v>99.22</v>
      </c>
      <c r="L3368" s="17" t="n">
        <v>25.86</v>
      </c>
      <c r="M3368" s="17" t="n">
        <v>0</v>
      </c>
      <c r="N3368" s="17">
        <f>K3368*0.08+L3368*0.08</f>
        <v/>
      </c>
      <c r="O3368" s="17">
        <f>-(K3368*0.025+L3368*0.025)</f>
        <v/>
      </c>
      <c r="P3368" s="17">
        <f>32</f>
        <v/>
      </c>
      <c r="Q3368" s="17">
        <f>J3368+L3368+N3368+O3368-P3368-M3368</f>
        <v/>
      </c>
    </row>
    <row r="3369">
      <c r="A3369" s="16" t="inlineStr">
        <is>
          <t>5.29-6.4</t>
        </is>
      </c>
      <c r="B3369" s="16" t="inlineStr">
        <is>
          <t>PO-128-07870901036152780</t>
        </is>
      </c>
      <c r="C3369" s="16" t="inlineStr">
        <is>
          <t>Delivered</t>
        </is>
      </c>
      <c r="D3369" s="16" t="inlineStr">
        <is>
          <t>128-07870890550392780</t>
        </is>
      </c>
      <c r="E3369" s="16" t="inlineStr">
        <is>
          <t>Delivered</t>
        </is>
      </c>
      <c r="F3369" s="16" t="inlineStr">
        <is>
          <t>LV54W25</t>
        </is>
      </c>
      <c r="G3369" s="16" t="inlineStr">
        <is>
          <t>TIANLAI Lámpara Ventilador E27 2 en 1, Silenciosa, LED Alta Luminosidad 180°, Instalación Rápida, Ahorro Energético para Dormitorio y Interiores Pequeños</t>
        </is>
      </c>
      <c r="H3369" s="16" t="inlineStr">
        <is>
          <t>1 Pieza</t>
        </is>
      </c>
      <c r="I3369" s="16" t="n">
        <v>3</v>
      </c>
      <c r="J3369" s="17" t="n">
        <v>234</v>
      </c>
      <c r="K3369" s="17" t="n">
        <v>247.53</v>
      </c>
      <c r="L3369" s="17" t="n">
        <v>0</v>
      </c>
      <c r="M3369" s="17" t="n">
        <v>0</v>
      </c>
      <c r="N3369" s="17">
        <f>K3369*0.08+L3369*0.08</f>
        <v/>
      </c>
      <c r="O3369" s="17">
        <f>-(K3369*0.025+L3369*0.025)</f>
        <v/>
      </c>
      <c r="P3369" s="17">
        <f>32</f>
        <v/>
      </c>
      <c r="Q3369" s="17">
        <f>J3369+L3369+N3369+O3369-P3369-M3369</f>
        <v/>
      </c>
    </row>
    <row r="3370">
      <c r="A3370" s="16" t="inlineStr">
        <is>
          <t>5.29-6.4</t>
        </is>
      </c>
      <c r="B3370" s="16" t="inlineStr">
        <is>
          <t>PO-128-07931454349431333</t>
        </is>
      </c>
      <c r="C3370" s="16" t="inlineStr">
        <is>
          <t>Delivered</t>
        </is>
      </c>
      <c r="D3370" s="16" t="inlineStr">
        <is>
          <t>128-07931446485111333</t>
        </is>
      </c>
      <c r="E3370" s="16" t="inlineStr">
        <is>
          <t>Delivered</t>
        </is>
      </c>
      <c r="F3370" s="16" t="inlineStr">
        <is>
          <t>LV54W25</t>
        </is>
      </c>
      <c r="G3370" s="16" t="inlineStr">
        <is>
          <t>TIANLAI Lámpara Ventilador E27 2 en 1, Silenciosa, LED Alta Luminosidad 180°, Instalación Rápida, Ahorro Energético para Dormitorio y Interiores Pequeños</t>
        </is>
      </c>
      <c r="H3370" s="16" t="inlineStr">
        <is>
          <t>1 Pieza</t>
        </is>
      </c>
      <c r="I3370" s="16" t="n">
        <v>1</v>
      </c>
      <c r="J3370" s="17" t="n">
        <v>78</v>
      </c>
      <c r="K3370" s="17" t="n">
        <v>89.68000000000001</v>
      </c>
      <c r="L3370" s="17" t="n">
        <v>25.86</v>
      </c>
      <c r="M3370" s="17" t="n">
        <v>0</v>
      </c>
      <c r="N3370" s="17">
        <f>K3370*0.08+L3370*0.08</f>
        <v/>
      </c>
      <c r="O3370" s="17">
        <f>-(K3370*0.025+L3370*0.025)</f>
        <v/>
      </c>
      <c r="P3370" s="17">
        <f>32</f>
        <v/>
      </c>
      <c r="Q3370" s="17">
        <f>J3370+L3370+N3370+O3370-P3370-M3370</f>
        <v/>
      </c>
    </row>
    <row r="3371">
      <c r="A3371" s="16" t="inlineStr">
        <is>
          <t>5.29-6.4</t>
        </is>
      </c>
      <c r="B3371" s="16" t="inlineStr">
        <is>
          <t>PO-128-07809826727032120</t>
        </is>
      </c>
      <c r="C3371" s="16" t="inlineStr">
        <is>
          <t>Delivered</t>
        </is>
      </c>
      <c r="D3371" s="16" t="inlineStr">
        <is>
          <t>128-07809847698552120</t>
        </is>
      </c>
      <c r="E3371" s="16" t="inlineStr">
        <is>
          <t>Delivered</t>
        </is>
      </c>
      <c r="F3371" s="16" t="inlineStr">
        <is>
          <t>LV64W25</t>
        </is>
      </c>
      <c r="G33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71" s="16" t="inlineStr">
        <is>
          <t>Blanco</t>
        </is>
      </c>
      <c r="I3371" s="16" t="n">
        <v>2</v>
      </c>
      <c r="J3371" s="17" t="n">
        <v>246</v>
      </c>
      <c r="K3371" s="17" t="n">
        <v>253.88</v>
      </c>
      <c r="L3371" s="17" t="n">
        <v>0</v>
      </c>
      <c r="M3371" s="17" t="n">
        <v>0</v>
      </c>
      <c r="N3371" s="17">
        <f>K3371*0.08+L3371*0.08</f>
        <v/>
      </c>
      <c r="O3371" s="17">
        <f>-(K3371*0.025+L3371*0.025)</f>
        <v/>
      </c>
      <c r="P3371" s="17">
        <f>32</f>
        <v/>
      </c>
      <c r="Q3371" s="17">
        <f>J3371+L3371+N3371+O3371-P3371-M3371</f>
        <v/>
      </c>
    </row>
    <row r="3372">
      <c r="A3372" s="16" t="inlineStr">
        <is>
          <t>5.29-6.4</t>
        </is>
      </c>
      <c r="B3372" s="16" t="inlineStr">
        <is>
          <t>PO-128-07874195546232763</t>
        </is>
      </c>
      <c r="C3372" s="16" t="inlineStr">
        <is>
          <t>Delivered</t>
        </is>
      </c>
      <c r="D3372" s="16" t="inlineStr">
        <is>
          <t>128-07874153603192763</t>
        </is>
      </c>
      <c r="E3372" s="16" t="inlineStr">
        <is>
          <t>Delivered</t>
        </is>
      </c>
      <c r="F3372" s="16" t="inlineStr">
        <is>
          <t>LV54W25</t>
        </is>
      </c>
      <c r="G3372" s="16" t="inlineStr">
        <is>
          <t>TIANLAI Lámpara Ventilador E27 2 en 1, Silenciosa, LED Alta Luminosidad 180°, Instalación Rápida, Ahorro Energético para Dormitorio y Interiores Pequeños</t>
        </is>
      </c>
      <c r="H3372" s="16" t="inlineStr">
        <is>
          <t>1 Pieza</t>
        </is>
      </c>
      <c r="I3372" s="16" t="n">
        <v>4</v>
      </c>
      <c r="J3372" s="17" t="n">
        <v>312</v>
      </c>
      <c r="K3372" s="17" t="n">
        <v>315.6</v>
      </c>
      <c r="L3372" s="17" t="n">
        <v>0</v>
      </c>
      <c r="M3372" s="17" t="n">
        <v>0</v>
      </c>
      <c r="N3372" s="17">
        <f>K3372*0.08+L3372*0.08</f>
        <v/>
      </c>
      <c r="O3372" s="17">
        <f>-(K3372*0.025+L3372*0.025)</f>
        <v/>
      </c>
      <c r="P3372" s="17">
        <f>32</f>
        <v/>
      </c>
      <c r="Q3372" s="17">
        <f>J3372+L3372+N3372+O3372-P3372-M3372</f>
        <v/>
      </c>
    </row>
    <row r="3373">
      <c r="A3373" s="16" t="inlineStr">
        <is>
          <t>5.29-6.4</t>
        </is>
      </c>
      <c r="B3373" s="16" t="inlineStr">
        <is>
          <t>PO-128-07610563955833244</t>
        </is>
      </c>
      <c r="C3373" s="16" t="inlineStr">
        <is>
          <t>Delivered</t>
        </is>
      </c>
      <c r="D3373" s="16" t="inlineStr">
        <is>
          <t>128-07610605898873244</t>
        </is>
      </c>
      <c r="E3373" s="16" t="inlineStr">
        <is>
          <t>Delivered</t>
        </is>
      </c>
      <c r="F3373" s="16" t="inlineStr">
        <is>
          <t>LV54W25</t>
        </is>
      </c>
      <c r="G3373" s="16" t="inlineStr">
        <is>
          <t>TIANLAI Lámpara Ventilador E27 2 en 1, Silenciosa, LED Alta Luminosidad 180°, Instalación Rápida, Ahorro Energético para Dormitorio y Interiores Pequeños</t>
        </is>
      </c>
      <c r="H3373" s="16" t="inlineStr">
        <is>
          <t>1 Pieza</t>
        </is>
      </c>
      <c r="I3373" s="16" t="n">
        <v>4</v>
      </c>
      <c r="J3373" s="17" t="n">
        <v>312</v>
      </c>
      <c r="K3373" s="17" t="n">
        <v>330.04</v>
      </c>
      <c r="L3373" s="17" t="n">
        <v>0</v>
      </c>
      <c r="M3373" s="17" t="n">
        <v>0</v>
      </c>
      <c r="N3373" s="17">
        <f>K3373*0.08+L3373*0.08</f>
        <v/>
      </c>
      <c r="O3373" s="17">
        <f>-(K3373*0.025+L3373*0.025)</f>
        <v/>
      </c>
      <c r="P3373" s="17">
        <f>32</f>
        <v/>
      </c>
      <c r="Q3373" s="17">
        <f>J3373+L3373+N3373+O3373-P3373-M3373</f>
        <v/>
      </c>
    </row>
    <row r="3374">
      <c r="A3374" s="16" t="inlineStr">
        <is>
          <t>5.29-6.4</t>
        </is>
      </c>
      <c r="B3374" s="16" t="inlineStr">
        <is>
          <t>PO-128-07582255547513351</t>
        </is>
      </c>
      <c r="C3374" s="16" t="inlineStr">
        <is>
          <t>Delivered</t>
        </is>
      </c>
      <c r="D3374" s="16" t="inlineStr">
        <is>
          <t>128-07582213604473351</t>
        </is>
      </c>
      <c r="E3374" s="16" t="inlineStr">
        <is>
          <t>Delivered</t>
        </is>
      </c>
      <c r="F3374" s="16" t="inlineStr">
        <is>
          <t>LV64W25</t>
        </is>
      </c>
      <c r="G33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74" s="16" t="inlineStr">
        <is>
          <t>Blanco</t>
        </is>
      </c>
      <c r="I3374" s="16" t="n">
        <v>1</v>
      </c>
      <c r="J3374" s="17" t="n">
        <v>123</v>
      </c>
      <c r="K3374" s="17" t="n">
        <v>126.94</v>
      </c>
      <c r="L3374" s="17" t="n">
        <v>25.86</v>
      </c>
      <c r="M3374" s="17" t="n">
        <v>0</v>
      </c>
      <c r="N3374" s="17">
        <f>K3374*0.08+L3374*0.08</f>
        <v/>
      </c>
      <c r="O3374" s="17">
        <f>-(K3374*0.025+L3374*0.025)</f>
        <v/>
      </c>
      <c r="P3374" s="17">
        <f>32</f>
        <v/>
      </c>
      <c r="Q3374" s="17">
        <f>J3374+L3374+N3374+O3374-P3374-M3374</f>
        <v/>
      </c>
    </row>
    <row r="3375">
      <c r="A3375" s="16" t="inlineStr">
        <is>
          <t>5.29-6.4</t>
        </is>
      </c>
      <c r="B3375" s="16" t="inlineStr">
        <is>
          <t>PO-128-07671823639673841</t>
        </is>
      </c>
      <c r="C3375" s="16" t="inlineStr">
        <is>
          <t>Delivered</t>
        </is>
      </c>
      <c r="D3375" s="16" t="inlineStr">
        <is>
          <t>128-07671844611193841</t>
        </is>
      </c>
      <c r="E3375" s="16" t="inlineStr">
        <is>
          <t>Delivered</t>
        </is>
      </c>
      <c r="F3375" s="16" t="inlineStr">
        <is>
          <t>LV64W25</t>
        </is>
      </c>
      <c r="G33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75" s="16" t="inlineStr">
        <is>
          <t>Blanco</t>
        </is>
      </c>
      <c r="I3375" s="16" t="n">
        <v>2</v>
      </c>
      <c r="J3375" s="17" t="n">
        <v>246</v>
      </c>
      <c r="K3375" s="17" t="n">
        <v>253.88</v>
      </c>
      <c r="L3375" s="17" t="n">
        <v>0</v>
      </c>
      <c r="M3375" s="17" t="n">
        <v>0</v>
      </c>
      <c r="N3375" s="17">
        <f>K3375*0.08+L3375*0.08</f>
        <v/>
      </c>
      <c r="O3375" s="17">
        <f>-(K3375*0.025+L3375*0.025)</f>
        <v/>
      </c>
      <c r="P3375" s="17">
        <f>32</f>
        <v/>
      </c>
      <c r="Q3375" s="17">
        <f>J3375+L3375+N3375+O3375-P3375-M3375</f>
        <v/>
      </c>
    </row>
    <row r="3376">
      <c r="A3376" s="16" t="inlineStr">
        <is>
          <t>5.29-6.4</t>
        </is>
      </c>
      <c r="B3376" s="16" t="inlineStr">
        <is>
          <t>PO-128-07730899520633681</t>
        </is>
      </c>
      <c r="C3376" s="16" t="inlineStr">
        <is>
          <t>Delivered</t>
        </is>
      </c>
      <c r="D3376" s="16" t="inlineStr">
        <is>
          <t>128-07730857577593681</t>
        </is>
      </c>
      <c r="E3376" s="16" t="inlineStr">
        <is>
          <t>Delivered</t>
        </is>
      </c>
      <c r="F3376" s="16" t="inlineStr">
        <is>
          <t>LV54W25</t>
        </is>
      </c>
      <c r="G3376" s="16" t="inlineStr">
        <is>
          <t>TIANLAI Lámpara Ventilador E27 2 en 1, Silenciosa, LED Alta Luminosidad 180°, Instalación Rápida, Ahorro Energético para Dormitorio y Interiores Pequeños</t>
        </is>
      </c>
      <c r="H3376" s="16" t="inlineStr">
        <is>
          <t>1 Pieza</t>
        </is>
      </c>
      <c r="I3376" s="16" t="n">
        <v>1</v>
      </c>
      <c r="J3376" s="17" t="n">
        <v>78</v>
      </c>
      <c r="K3376" s="17" t="n">
        <v>82.51000000000001</v>
      </c>
      <c r="L3376" s="17" t="n">
        <v>25.86</v>
      </c>
      <c r="M3376" s="17" t="n">
        <v>0</v>
      </c>
      <c r="N3376" s="17">
        <f>K3376*0.08+L3376*0.08</f>
        <v/>
      </c>
      <c r="O3376" s="17">
        <f>-(K3376*0.025+L3376*0.025)</f>
        <v/>
      </c>
      <c r="P3376" s="17">
        <f>32</f>
        <v/>
      </c>
      <c r="Q3376" s="17">
        <f>J3376+L3376+N3376+O3376-P3376-M3376</f>
        <v/>
      </c>
    </row>
    <row r="3377">
      <c r="A3377" s="16" t="inlineStr">
        <is>
          <t>5.29-6.4</t>
        </is>
      </c>
      <c r="B3377" s="16" t="inlineStr">
        <is>
          <t>PO-128-08021657388151882</t>
        </is>
      </c>
      <c r="C3377" s="16" t="inlineStr">
        <is>
          <t>Delivered</t>
        </is>
      </c>
      <c r="D3377" s="16" t="inlineStr">
        <is>
          <t>128-08021615445111882</t>
        </is>
      </c>
      <c r="E3377" s="16" t="inlineStr">
        <is>
          <t>Delivered</t>
        </is>
      </c>
      <c r="F3377" s="16" t="inlineStr">
        <is>
          <t>LV54W25</t>
        </is>
      </c>
      <c r="G3377" s="16" t="inlineStr">
        <is>
          <t>TIANLAI Lámpara Ventilador E27 2 en 1, Silenciosa, LED Alta Luminosidad 180°, Instalación Rápida, Ahorro Energético para Dormitorio y Interiores Pequeños</t>
        </is>
      </c>
      <c r="H3377" s="16" t="inlineStr">
        <is>
          <t>1 Pieza</t>
        </is>
      </c>
      <c r="I3377" s="16" t="n">
        <v>2</v>
      </c>
      <c r="J3377" s="17" t="n">
        <v>156</v>
      </c>
      <c r="K3377" s="17" t="n">
        <v>159.64</v>
      </c>
      <c r="L3377" s="17" t="n">
        <v>25.86</v>
      </c>
      <c r="M3377" s="17" t="n">
        <v>0</v>
      </c>
      <c r="N3377" s="17">
        <f>K3377*0.08+L3377*0.08</f>
        <v/>
      </c>
      <c r="O3377" s="17">
        <f>-(K3377*0.025+L3377*0.025)</f>
        <v/>
      </c>
      <c r="P3377" s="17">
        <f>32</f>
        <v/>
      </c>
      <c r="Q3377" s="17">
        <f>J3377+L3377+N3377+O3377-P3377-M3377</f>
        <v/>
      </c>
    </row>
    <row r="3378">
      <c r="A3378" s="16" t="inlineStr">
        <is>
          <t>5.29-6.4</t>
        </is>
      </c>
      <c r="B3378" s="16" t="inlineStr">
        <is>
          <t>PO-128-08173164142710981</t>
        </is>
      </c>
      <c r="C3378" s="16" t="inlineStr">
        <is>
          <t>Delivered</t>
        </is>
      </c>
      <c r="D3378" s="16" t="inlineStr">
        <is>
          <t>128-08173122199670981</t>
        </is>
      </c>
      <c r="E3378" s="16" t="inlineStr">
        <is>
          <t>Delivered</t>
        </is>
      </c>
      <c r="F3378" s="16" t="inlineStr">
        <is>
          <t>LV64W25</t>
        </is>
      </c>
      <c r="G33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78" s="16" t="inlineStr">
        <is>
          <t>Blanco</t>
        </is>
      </c>
      <c r="I3378" s="16" t="n">
        <v>2</v>
      </c>
      <c r="J3378" s="17" t="n">
        <v>246</v>
      </c>
      <c r="K3378" s="17" t="n">
        <v>253.88</v>
      </c>
      <c r="L3378" s="17" t="n">
        <v>0</v>
      </c>
      <c r="M3378" s="17" t="n">
        <v>0</v>
      </c>
      <c r="N3378" s="17">
        <f>K3378*0.08+L3378*0.08</f>
        <v/>
      </c>
      <c r="O3378" s="17">
        <f>-(K3378*0.025+L3378*0.025)</f>
        <v/>
      </c>
      <c r="P3378" s="17">
        <f>32</f>
        <v/>
      </c>
      <c r="Q3378" s="17">
        <f>J3378+L3378+N3378+O3378-P3378-M3378</f>
        <v/>
      </c>
    </row>
    <row r="3379">
      <c r="A3379" s="16" t="inlineStr">
        <is>
          <t>5.29-6.4</t>
        </is>
      </c>
      <c r="B3379" s="16" t="inlineStr">
        <is>
          <t>PO-128-07697354591353753</t>
        </is>
      </c>
      <c r="C3379" s="16" t="inlineStr">
        <is>
          <t>Delivered</t>
        </is>
      </c>
      <c r="D3379" s="16" t="inlineStr">
        <is>
          <t>128-07697312648313753</t>
        </is>
      </c>
      <c r="E3379" s="16" t="inlineStr">
        <is>
          <t>Delivered</t>
        </is>
      </c>
      <c r="F3379" s="16" t="inlineStr">
        <is>
          <t>LV54W25</t>
        </is>
      </c>
      <c r="G3379" s="16" t="inlineStr">
        <is>
          <t>TIANLAI Lámpara Ventilador E27 2 en 1, Silenciosa, LED Alta Luminosidad 180°, Instalación Rápida, Ahorro Energético para Dormitorio y Interiores Pequeños</t>
        </is>
      </c>
      <c r="H3379" s="16" t="inlineStr">
        <is>
          <t>1 Pieza</t>
        </is>
      </c>
      <c r="I3379" s="16" t="n">
        <v>6</v>
      </c>
      <c r="J3379" s="17" t="n">
        <v>468</v>
      </c>
      <c r="K3379" s="17" t="n">
        <v>495.06</v>
      </c>
      <c r="L3379" s="17" t="n">
        <v>0</v>
      </c>
      <c r="M3379" s="17" t="n">
        <v>0</v>
      </c>
      <c r="N3379" s="17">
        <f>K3379*0.08+L3379*0.08</f>
        <v/>
      </c>
      <c r="O3379" s="17">
        <f>-(K3379*0.025+L3379*0.025)</f>
        <v/>
      </c>
      <c r="P3379" s="17">
        <f>32</f>
        <v/>
      </c>
      <c r="Q3379" s="17">
        <f>J3379+L3379+N3379+O3379-P3379-M3379</f>
        <v/>
      </c>
    </row>
    <row r="3380">
      <c r="A3380" s="16" t="inlineStr">
        <is>
          <t>5.29-6.4</t>
        </is>
      </c>
      <c r="B3380" s="16" t="inlineStr">
        <is>
          <t>PO-128-08082779861110431</t>
        </is>
      </c>
      <c r="C3380" s="16" t="inlineStr">
        <is>
          <t>Delivered</t>
        </is>
      </c>
      <c r="D3380" s="16" t="inlineStr">
        <is>
          <t>128-08082811318390431</t>
        </is>
      </c>
      <c r="E3380" s="16" t="inlineStr">
        <is>
          <t>Delivered</t>
        </is>
      </c>
      <c r="F3380" s="16" t="inlineStr">
        <is>
          <t>LV54W25</t>
        </is>
      </c>
      <c r="G3380" s="16" t="inlineStr">
        <is>
          <t>TIANLAI Lámpara Ventilador E27 2 en 1, Silenciosa, LED Alta Luminosidad 180°, Instalación Rápida, Ahorro Energético para Dormitorio y Interiores Pequeños</t>
        </is>
      </c>
      <c r="H3380" s="16" t="inlineStr">
        <is>
          <t>1 Pieza</t>
        </is>
      </c>
      <c r="I3380" s="16" t="n">
        <v>1</v>
      </c>
      <c r="J3380" s="17" t="n">
        <v>78</v>
      </c>
      <c r="K3380" s="17" t="n">
        <v>82.51000000000001</v>
      </c>
      <c r="L3380" s="17" t="n">
        <v>25.86</v>
      </c>
      <c r="M3380" s="17" t="n">
        <v>0</v>
      </c>
      <c r="N3380" s="17">
        <f>K3380*0.08+L3380*0.08</f>
        <v/>
      </c>
      <c r="O3380" s="17">
        <f>-(K3380*0.025+L3380*0.025)</f>
        <v/>
      </c>
      <c r="P3380" s="17">
        <f>32</f>
        <v/>
      </c>
      <c r="Q3380" s="17">
        <f>J3380+L3380+N3380+O3380-P3380-M3380</f>
        <v/>
      </c>
    </row>
    <row r="3381">
      <c r="A3381" s="16" t="inlineStr">
        <is>
          <t>5.29-6.4</t>
        </is>
      </c>
      <c r="B3381" s="16" t="inlineStr">
        <is>
          <t>PO-128-07972716163191087</t>
        </is>
      </c>
      <c r="C3381" s="16" t="inlineStr">
        <is>
          <t>Delivered</t>
        </is>
      </c>
      <c r="D3381" s="16" t="inlineStr">
        <is>
          <t>128-07972852478071087</t>
        </is>
      </c>
      <c r="E3381" s="16" t="inlineStr">
        <is>
          <t>Delivered</t>
        </is>
      </c>
      <c r="F3381" s="16" t="inlineStr">
        <is>
          <t>TL1455N20B</t>
        </is>
      </c>
      <c r="G3381" s="16" t="inlineStr">
        <is>
          <t>LINK BITS Soporte para TV 14 A 55 Pulgadas, Base para TV Pantalla Articulado Inclinable y Giratorio, MAX VESA 400×400 mm, Soporta hasta 18kg, adaptarse a la mayoría de los televisores de 14 Pulgadas/20 Pulgadas/32 Pulgadas/42 Pulgadas/55 pulgadas</t>
        </is>
      </c>
      <c r="H3381" s="16" t="inlineStr">
        <is>
          <t>TL1455N20B</t>
        </is>
      </c>
      <c r="I3381" s="16" t="n">
        <v>1</v>
      </c>
      <c r="J3381" s="17" t="n">
        <v>85</v>
      </c>
      <c r="K3381" s="17" t="n">
        <v>135.34</v>
      </c>
      <c r="L3381" s="17" t="n">
        <v>25.86</v>
      </c>
      <c r="M3381" s="17" t="n">
        <v>0</v>
      </c>
      <c r="N3381" s="17">
        <f>K3381*0.08+L3381*0.08</f>
        <v/>
      </c>
      <c r="O3381" s="17">
        <f>-(K3381*0.025+L3381*0.025)</f>
        <v/>
      </c>
      <c r="P3381" s="17">
        <f>32</f>
        <v/>
      </c>
      <c r="Q3381" s="17">
        <f>J3381+L3381+N3381+O3381-P3381-M3381</f>
        <v/>
      </c>
    </row>
    <row r="3382">
      <c r="A3382" s="16" t="inlineStr">
        <is>
          <t>5.29-6.4</t>
        </is>
      </c>
      <c r="B3382" s="16" t="inlineStr">
        <is>
          <t>PO-128-07997741530231960</t>
        </is>
      </c>
      <c r="C3382" s="16" t="inlineStr">
        <is>
          <t>Delivered</t>
        </is>
      </c>
      <c r="D3382" s="16" t="inlineStr">
        <is>
          <t>128-07997760535671960</t>
        </is>
      </c>
      <c r="E3382" s="16" t="inlineStr">
        <is>
          <t>Delivered</t>
        </is>
      </c>
      <c r="F3382" s="16" t="inlineStr">
        <is>
          <t>LV54W25</t>
        </is>
      </c>
      <c r="G3382" s="16" t="inlineStr">
        <is>
          <t>TIANLAI Lámpara Ventilador E27 2 en 1, Silenciosa, LED Alta Luminosidad 180°, Instalación Rápida, Ahorro Energético para Dormitorio y Interiores Pequeños</t>
        </is>
      </c>
      <c r="H3382" s="16" t="inlineStr">
        <is>
          <t>1 Pieza</t>
        </is>
      </c>
      <c r="I3382" s="16" t="n">
        <v>2</v>
      </c>
      <c r="J3382" s="17" t="n">
        <v>156</v>
      </c>
      <c r="K3382" s="17" t="n">
        <v>179.36</v>
      </c>
      <c r="L3382" s="17" t="n">
        <v>0</v>
      </c>
      <c r="M3382" s="17" t="n">
        <v>179.36</v>
      </c>
      <c r="N3382" s="17">
        <f>K3382*0.08+L3382*0.08</f>
        <v/>
      </c>
      <c r="O3382" s="17">
        <f>-(K3382*0.025+L3382*0.025)</f>
        <v/>
      </c>
      <c r="P3382" s="17">
        <f>32</f>
        <v/>
      </c>
      <c r="Q3382" s="17">
        <f>J3382+L3382+N3382+O3382-P3382-M3382</f>
        <v/>
      </c>
    </row>
    <row r="3383">
      <c r="A3383" s="16" t="inlineStr">
        <is>
          <t>5.29-6.4</t>
        </is>
      </c>
      <c r="B3383" s="16" t="inlineStr">
        <is>
          <t>PO-128-07877178944632809</t>
        </is>
      </c>
      <c r="C3383" s="16" t="inlineStr">
        <is>
          <t>Delivered</t>
        </is>
      </c>
      <c r="D3383" s="16" t="inlineStr">
        <is>
          <t>128-07877199916152809</t>
        </is>
      </c>
      <c r="E3383" s="16" t="inlineStr">
        <is>
          <t>Delivered</t>
        </is>
      </c>
      <c r="F3383" s="16" t="inlineStr">
        <is>
          <t>TLCD02-8P-N</t>
        </is>
      </c>
      <c r="G338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83" s="16" t="inlineStr">
        <is>
          <t>NEGRO/pantalla de 8.5 pulgadas</t>
        </is>
      </c>
      <c r="I3383" s="16" t="n">
        <v>1</v>
      </c>
      <c r="J3383" s="17" t="n">
        <v>25</v>
      </c>
      <c r="K3383" s="17" t="n">
        <v>29.47</v>
      </c>
      <c r="L3383" s="17" t="n">
        <v>25.86</v>
      </c>
      <c r="M3383" s="17" t="n">
        <v>0</v>
      </c>
      <c r="N3383" s="17">
        <f>K3383*0.08+L3383*0.08</f>
        <v/>
      </c>
      <c r="O3383" s="17">
        <f>-(K3383*0.025+L3383*0.025)</f>
        <v/>
      </c>
      <c r="P3383" s="17">
        <f>32</f>
        <v/>
      </c>
      <c r="Q3383" s="17">
        <f>J3383+L3383+N3383+O3383-P3383-M3383</f>
        <v/>
      </c>
    </row>
    <row r="3384">
      <c r="A3384" s="16" t="inlineStr">
        <is>
          <t>5.29-6.4</t>
        </is>
      </c>
      <c r="B3384" s="16" t="inlineStr">
        <is>
          <t>PO-128-07671420767353843</t>
        </is>
      </c>
      <c r="C3384" s="16" t="inlineStr">
        <is>
          <t>Delivered</t>
        </is>
      </c>
      <c r="D3384" s="16" t="inlineStr">
        <is>
          <t>128-07671525624953843</t>
        </is>
      </c>
      <c r="E3384" s="16" t="inlineStr">
        <is>
          <t>Delivered</t>
        </is>
      </c>
      <c r="F3384" s="16" t="inlineStr">
        <is>
          <t>LV54W25</t>
        </is>
      </c>
      <c r="G3384" s="16" t="inlineStr">
        <is>
          <t>TIANLAI Lámpara Ventilador E27 2 en 1, Silenciosa, LED Alta Luminosidad 180°, Instalación Rápida, Ahorro Energético para Dormitorio y Interiores Pequeños</t>
        </is>
      </c>
      <c r="H3384" s="16" t="inlineStr">
        <is>
          <t>1 Pieza</t>
        </is>
      </c>
      <c r="I3384" s="16" t="n">
        <v>1</v>
      </c>
      <c r="J3384" s="17" t="n">
        <v>78</v>
      </c>
      <c r="K3384" s="17" t="n">
        <v>79.81999999999999</v>
      </c>
      <c r="L3384" s="17" t="n">
        <v>25.86</v>
      </c>
      <c r="M3384" s="17" t="n">
        <v>0</v>
      </c>
      <c r="N3384" s="17">
        <f>K3384*0.08+L3384*0.08</f>
        <v/>
      </c>
      <c r="O3384" s="17">
        <f>-(K3384*0.025+L3384*0.025)</f>
        <v/>
      </c>
      <c r="P3384" s="17">
        <f>32</f>
        <v/>
      </c>
      <c r="Q3384" s="17">
        <f>J3384+L3384+N3384+O3384-P3384-M3384</f>
        <v/>
      </c>
    </row>
    <row r="3385">
      <c r="A3385" s="16" t="inlineStr">
        <is>
          <t>5.29-6.4</t>
        </is>
      </c>
      <c r="B3385" s="16" t="inlineStr">
        <is>
          <t>PO-128-08227922563190524</t>
        </is>
      </c>
      <c r="C3385" s="16" t="inlineStr">
        <is>
          <t>Delivered</t>
        </is>
      </c>
      <c r="D3385" s="16" t="inlineStr">
        <is>
          <t>128-08227901591670524</t>
        </is>
      </c>
      <c r="E3385" s="16" t="inlineStr">
        <is>
          <t>Delivered</t>
        </is>
      </c>
      <c r="F3385" s="16" t="inlineStr">
        <is>
          <t>LV54W25</t>
        </is>
      </c>
      <c r="G3385" s="16" t="inlineStr">
        <is>
          <t>TIANLAI Lámpara Ventilador E27 2 en 1, Silenciosa, LED Alta Luminosidad 180°, Instalación Rápida, Ahorro Energético para Dormitorio y Interiores Pequeños</t>
        </is>
      </c>
      <c r="H3385" s="16" t="inlineStr">
        <is>
          <t>1 Pieza</t>
        </is>
      </c>
      <c r="I3385" s="16" t="n">
        <v>1</v>
      </c>
      <c r="J3385" s="17" t="n">
        <v>78</v>
      </c>
      <c r="K3385" s="17" t="n">
        <v>79.81999999999999</v>
      </c>
      <c r="L3385" s="17" t="n">
        <v>25.86</v>
      </c>
      <c r="M3385" s="17" t="n">
        <v>0</v>
      </c>
      <c r="N3385" s="17">
        <f>K3385*0.08+L3385*0.08</f>
        <v/>
      </c>
      <c r="O3385" s="17">
        <f>-(K3385*0.025+L3385*0.025)</f>
        <v/>
      </c>
      <c r="P3385" s="17">
        <f>32</f>
        <v/>
      </c>
      <c r="Q3385" s="17">
        <f>J3385+L3385+N3385+O3385-P3385-M3385</f>
        <v/>
      </c>
    </row>
    <row r="3386">
      <c r="A3386" s="16" t="inlineStr">
        <is>
          <t>5.29-6.4</t>
        </is>
      </c>
      <c r="B3386" s="16" t="inlineStr">
        <is>
          <t>PO-128-08222407893110751</t>
        </is>
      </c>
      <c r="C3386" s="16" t="inlineStr">
        <is>
          <t>Delivered</t>
        </is>
      </c>
      <c r="D3386" s="16" t="inlineStr">
        <is>
          <t>128-08222373814390751</t>
        </is>
      </c>
      <c r="E3386" s="16" t="inlineStr">
        <is>
          <t>Delivered</t>
        </is>
      </c>
      <c r="F3386" s="16" t="inlineStr">
        <is>
          <t>LV54W25</t>
        </is>
      </c>
      <c r="G3386" s="16" t="inlineStr">
        <is>
          <t>TIANLAI Lámpara Ventilador E27 2 en 1, Silenciosa, LED Alta Luminosidad 180°, Instalación Rápida, Ahorro Energético para Dormitorio y Interiores Pequeños</t>
        </is>
      </c>
      <c r="H3386" s="16" t="inlineStr">
        <is>
          <t>1 Pieza</t>
        </is>
      </c>
      <c r="I3386" s="16" t="n">
        <v>1</v>
      </c>
      <c r="J3386" s="17" t="n">
        <v>78</v>
      </c>
      <c r="K3386" s="17" t="n">
        <v>66.93000000000001</v>
      </c>
      <c r="L3386" s="17" t="n">
        <v>25.86</v>
      </c>
      <c r="M3386" s="17" t="n">
        <v>0</v>
      </c>
      <c r="N3386" s="17">
        <f>K3386*0.08+L3386*0.08</f>
        <v/>
      </c>
      <c r="O3386" s="17">
        <f>-(K3386*0.025+L3386*0.025)</f>
        <v/>
      </c>
      <c r="P3386" s="17">
        <f>32</f>
        <v/>
      </c>
      <c r="Q3386" s="17">
        <f>J3386+L3386+N3386+O3386-P3386-M3386</f>
        <v/>
      </c>
    </row>
    <row r="3387">
      <c r="A3387" s="16" t="inlineStr">
        <is>
          <t>5.29-6.4</t>
        </is>
      </c>
      <c r="B3387" s="16" t="inlineStr">
        <is>
          <t>PO-128-08043884618871751</t>
        </is>
      </c>
      <c r="C3387" s="16" t="inlineStr">
        <is>
          <t>Delivered</t>
        </is>
      </c>
      <c r="D3387" s="16" t="inlineStr">
        <is>
          <t>128-08043847918711751</t>
        </is>
      </c>
      <c r="E3387" s="16" t="inlineStr">
        <is>
          <t>Delivered</t>
        </is>
      </c>
      <c r="F3387" s="16" t="inlineStr">
        <is>
          <t>LV54W25</t>
        </is>
      </c>
      <c r="G3387" s="16" t="inlineStr">
        <is>
          <t>TIANLAI Lámpara Ventilador E27 2 en 1, Silenciosa, LED Alta Luminosidad 180°, Instalación Rápida, Ahorro Energético para Dormitorio y Interiores Pequeños</t>
        </is>
      </c>
      <c r="H3387" s="16" t="inlineStr">
        <is>
          <t>1 Pieza</t>
        </is>
      </c>
      <c r="I3387" s="16" t="n">
        <v>1</v>
      </c>
      <c r="J3387" s="17" t="n">
        <v>78</v>
      </c>
      <c r="K3387" s="17" t="n">
        <v>82.51000000000001</v>
      </c>
      <c r="L3387" s="17" t="n">
        <v>25.86</v>
      </c>
      <c r="M3387" s="17" t="n">
        <v>0</v>
      </c>
      <c r="N3387" s="17">
        <f>K3387*0.08+L3387*0.08</f>
        <v/>
      </c>
      <c r="O3387" s="17">
        <f>-(K3387*0.025+L3387*0.025)</f>
        <v/>
      </c>
      <c r="P3387" s="17">
        <f>32</f>
        <v/>
      </c>
      <c r="Q3387" s="17">
        <f>J3387+L3387+N3387+O3387-P3387-M3387</f>
        <v/>
      </c>
    </row>
    <row r="3388">
      <c r="A3388" s="16" t="inlineStr">
        <is>
          <t>5.29-6.4</t>
        </is>
      </c>
      <c r="B3388" s="16" t="inlineStr">
        <is>
          <t>PO-128-08058467843191598</t>
        </is>
      </c>
      <c r="C3388" s="16" t="inlineStr">
        <is>
          <t>Delivered</t>
        </is>
      </c>
      <c r="D3388" s="16" t="inlineStr">
        <is>
          <t>128-08058572700791598</t>
        </is>
      </c>
      <c r="E3388" s="16" t="inlineStr">
        <is>
          <t>Delivered</t>
        </is>
      </c>
      <c r="F3388" s="16" t="inlineStr">
        <is>
          <t>LV64W25</t>
        </is>
      </c>
      <c r="G33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88" s="16" t="inlineStr">
        <is>
          <t>Blanco</t>
        </is>
      </c>
      <c r="I3388" s="16" t="n">
        <v>1</v>
      </c>
      <c r="J3388" s="17" t="n">
        <v>123</v>
      </c>
      <c r="K3388" s="17" t="n">
        <v>126.94</v>
      </c>
      <c r="L3388" s="17" t="n">
        <v>25.86</v>
      </c>
      <c r="M3388" s="17" t="n">
        <v>0</v>
      </c>
      <c r="N3388" s="17">
        <f>K3388*0.08+L3388*0.08</f>
        <v/>
      </c>
      <c r="O3388" s="17">
        <f>-(K3388*0.025+L3388*0.025)</f>
        <v/>
      </c>
      <c r="P3388" s="17">
        <f>32</f>
        <v/>
      </c>
      <c r="Q3388" s="17">
        <f>J3388+L3388+N3388+O3388-P3388-M3388</f>
        <v/>
      </c>
    </row>
    <row r="3389">
      <c r="A3389" s="16" t="inlineStr">
        <is>
          <t>5.29-6.4</t>
        </is>
      </c>
      <c r="B3389" s="16" t="inlineStr">
        <is>
          <t>PO-128-07833425083513068</t>
        </is>
      </c>
      <c r="C3389" s="16" t="inlineStr">
        <is>
          <t>Delivered</t>
        </is>
      </c>
      <c r="D3389" s="16" t="inlineStr">
        <is>
          <t>128-07833383140473068</t>
        </is>
      </c>
      <c r="E3389" s="16" t="inlineStr">
        <is>
          <t>Delivered</t>
        </is>
      </c>
      <c r="F3389" s="16" t="inlineStr">
        <is>
          <t>LV64W25</t>
        </is>
      </c>
      <c r="G33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89" s="16" t="inlineStr">
        <is>
          <t>Blanco</t>
        </is>
      </c>
      <c r="I3389" s="16" t="n">
        <v>4</v>
      </c>
      <c r="J3389" s="17" t="n">
        <v>492</v>
      </c>
      <c r="K3389" s="17" t="n">
        <v>545.96</v>
      </c>
      <c r="L3389" s="17" t="n">
        <v>0</v>
      </c>
      <c r="M3389" s="17" t="n">
        <v>0</v>
      </c>
      <c r="N3389" s="17">
        <f>K3389*0.08+L3389*0.08</f>
        <v/>
      </c>
      <c r="O3389" s="17">
        <f>-(K3389*0.025+L3389*0.025)</f>
        <v/>
      </c>
      <c r="P3389" s="17">
        <f>32</f>
        <v/>
      </c>
      <c r="Q3389" s="17">
        <f>J3389+L3389+N3389+O3389-P3389-M3389</f>
        <v/>
      </c>
    </row>
    <row r="3390">
      <c r="A3390" s="16" t="inlineStr">
        <is>
          <t>5.29-6.4</t>
        </is>
      </c>
      <c r="B3390" s="16" t="inlineStr">
        <is>
          <t>PO-128-08157140713590114</t>
        </is>
      </c>
      <c r="C3390" s="16" t="inlineStr">
        <is>
          <t>Delivered</t>
        </is>
      </c>
      <c r="D3390" s="16" t="inlineStr">
        <is>
          <t>128-08157098770550114</t>
        </is>
      </c>
      <c r="E3390" s="16" t="inlineStr">
        <is>
          <t>Delivered</t>
        </is>
      </c>
      <c r="F3390" s="16" t="inlineStr">
        <is>
          <t>KTS-2031</t>
        </is>
      </c>
      <c r="G3390" s="16" t="inlineStr">
        <is>
          <t>Bocina inalámbrica de 3 pulgadas con linterna multifuncional y panel solar integrado.Altavoz Portátil con Linterna LED 4 Modos, Radio FM, Bluetooth, Carga Solar, Ideal para Apagones, Emergencias, Campo y Exteriores</t>
        </is>
      </c>
      <c r="H3390" s="16" t="inlineStr">
        <is>
          <t>NEGRO</t>
        </is>
      </c>
      <c r="I3390" s="16" t="n">
        <v>1</v>
      </c>
      <c r="J3390" s="17" t="n">
        <v>90</v>
      </c>
      <c r="K3390" s="17" t="n">
        <v>99.22</v>
      </c>
      <c r="L3390" s="17" t="n">
        <v>25.86</v>
      </c>
      <c r="M3390" s="17" t="n">
        <v>0</v>
      </c>
      <c r="N3390" s="17">
        <f>K3390*0.08+L3390*0.08</f>
        <v/>
      </c>
      <c r="O3390" s="17">
        <f>-(K3390*0.025+L3390*0.025)</f>
        <v/>
      </c>
      <c r="P3390" s="17">
        <f>32</f>
        <v/>
      </c>
      <c r="Q3390" s="17">
        <f>J3390+L3390+N3390+O3390-P3390-M3390</f>
        <v/>
      </c>
    </row>
    <row r="3391">
      <c r="A3391" s="16" t="inlineStr">
        <is>
          <t>5.29-6.4</t>
        </is>
      </c>
      <c r="B3391" s="16" t="inlineStr">
        <is>
          <t>PO-128-08193282424950861</t>
        </is>
      </c>
      <c r="C3391" s="16" t="inlineStr">
        <is>
          <t>Delivered</t>
        </is>
      </c>
      <c r="D3391" s="16" t="inlineStr">
        <is>
          <t>128-08193240481910861</t>
        </is>
      </c>
      <c r="E3391" s="16" t="inlineStr">
        <is>
          <t>Delivered</t>
        </is>
      </c>
      <c r="F3391" s="16" t="inlineStr">
        <is>
          <t>LV54W25</t>
        </is>
      </c>
      <c r="G3391" s="16" t="inlineStr">
        <is>
          <t>TIANLAI Lámpara Ventilador E27 2 en 1, Silenciosa, LED Alta Luminosidad 180°, Instalación Rápida, Ahorro Energético para Dormitorio y Interiores Pequeños</t>
        </is>
      </c>
      <c r="H3391" s="16" t="inlineStr">
        <is>
          <t>1 Pieza</t>
        </is>
      </c>
      <c r="I3391" s="16" t="n">
        <v>1</v>
      </c>
      <c r="J3391" s="17" t="n">
        <v>78</v>
      </c>
      <c r="K3391" s="17" t="n">
        <v>79.81999999999999</v>
      </c>
      <c r="L3391" s="17" t="n">
        <v>25.86</v>
      </c>
      <c r="M3391" s="17" t="n">
        <v>0</v>
      </c>
      <c r="N3391" s="17">
        <f>K3391*0.08+L3391*0.08</f>
        <v/>
      </c>
      <c r="O3391" s="17">
        <f>-(K3391*0.025+L3391*0.025)</f>
        <v/>
      </c>
      <c r="P3391" s="17">
        <f>32</f>
        <v/>
      </c>
      <c r="Q3391" s="17">
        <f>J3391+L3391+N3391+O3391-P3391-M3391</f>
        <v/>
      </c>
    </row>
    <row r="3392">
      <c r="A3392" s="16" t="inlineStr">
        <is>
          <t>5.29-6.4</t>
        </is>
      </c>
      <c r="B3392" s="16" t="inlineStr">
        <is>
          <t>PO-128-07810762140792117</t>
        </is>
      </c>
      <c r="C3392" s="16" t="inlineStr">
        <is>
          <t>Delivered</t>
        </is>
      </c>
      <c r="D3392" s="16" t="inlineStr">
        <is>
          <t>128-07810720197752117</t>
        </is>
      </c>
      <c r="E3392" s="16" t="inlineStr">
        <is>
          <t>Delivered</t>
        </is>
      </c>
      <c r="F3392" s="16" t="inlineStr">
        <is>
          <t>TLCD06-12P-R</t>
        </is>
      </c>
      <c r="G339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92" s="16" t="inlineStr">
        <is>
          <t>ROJO/pantalla de 12 pulgadas</t>
        </is>
      </c>
      <c r="I3392" s="16" t="n">
        <v>1</v>
      </c>
      <c r="J3392" s="17" t="n">
        <v>35</v>
      </c>
      <c r="K3392" s="17" t="n">
        <v>21.51</v>
      </c>
      <c r="L3392" s="17" t="n">
        <v>25.86</v>
      </c>
      <c r="M3392" s="17" t="n">
        <v>0</v>
      </c>
      <c r="N3392" s="17">
        <f>K3392*0.08+L3392*0.08</f>
        <v/>
      </c>
      <c r="O3392" s="17">
        <f>-(K3392*0.025+L3392*0.025)</f>
        <v/>
      </c>
      <c r="P3392" s="17">
        <f>32</f>
        <v/>
      </c>
      <c r="Q3392" s="17">
        <f>J3392+L3392+N3392+O3392-P3392-M3392</f>
        <v/>
      </c>
    </row>
    <row r="3393">
      <c r="A3393" s="16" t="inlineStr">
        <is>
          <t>5.29-6.4</t>
        </is>
      </c>
      <c r="B3393" s="16" t="inlineStr">
        <is>
          <t>PO-128-07655132534394002</t>
        </is>
      </c>
      <c r="C3393" s="16" t="inlineStr">
        <is>
          <t>Delivered</t>
        </is>
      </c>
      <c r="D3393" s="16" t="inlineStr">
        <is>
          <t>128-07655153505914002</t>
        </is>
      </c>
      <c r="E3393" s="16" t="inlineStr">
        <is>
          <t>Delivered</t>
        </is>
      </c>
      <c r="F3393" s="16" t="inlineStr">
        <is>
          <t>VB349T</t>
        </is>
      </c>
      <c r="G3393" s="16" t="inlineStr">
        <is>
          <t>LINKBITS Altavoz Portátil de Doble Altavoz - 3 Pulgadas, Sonido HD, Emparejamiento Rápido de Bluetooth, Conectividad TWS, Reproducción Multimodo (Micro SD/USB/Radio FM) - Perfecto para Oficina, Viajes y Espacios Pequeños</t>
        </is>
      </c>
      <c r="H3393" s="16" t="inlineStr">
        <is>
          <t>NEGRO</t>
        </is>
      </c>
      <c r="I3393" s="16" t="n">
        <v>1</v>
      </c>
      <c r="J3393" s="17" t="n">
        <v>81</v>
      </c>
      <c r="K3393" s="17" t="n">
        <v>94.26000000000001</v>
      </c>
      <c r="L3393" s="17" t="n">
        <v>25.86</v>
      </c>
      <c r="M3393" s="17" t="n">
        <v>0</v>
      </c>
      <c r="N3393" s="17">
        <f>K3393*0.08+L3393*0.08</f>
        <v/>
      </c>
      <c r="O3393" s="17">
        <f>-(K3393*0.025+L3393*0.025)</f>
        <v/>
      </c>
      <c r="P3393" s="17">
        <f>32</f>
        <v/>
      </c>
      <c r="Q3393" s="17">
        <f>J3393+L3393+N3393+O3393-P3393-M3393</f>
        <v/>
      </c>
    </row>
    <row r="3394">
      <c r="A3394" s="16" t="inlineStr">
        <is>
          <t>5.29-6.4</t>
        </is>
      </c>
      <c r="B3394" s="16" t="inlineStr">
        <is>
          <t>PO-128-08042562816631759</t>
        </is>
      </c>
      <c r="C3394" s="16" t="inlineStr">
        <is>
          <t>Delivered</t>
        </is>
      </c>
      <c r="D3394" s="16" t="inlineStr">
        <is>
          <t>128-08042541845111759</t>
        </is>
      </c>
      <c r="E3394" s="16" t="inlineStr">
        <is>
          <t>Delivered</t>
        </is>
      </c>
      <c r="F3394" s="16" t="inlineStr">
        <is>
          <t>LV54W25</t>
        </is>
      </c>
      <c r="G3394" s="16" t="inlineStr">
        <is>
          <t>TIANLAI Lámpara Ventilador E27 2 en 1, Silenciosa, LED Alta Luminosidad 180°, Instalación Rápida, Ahorro Energético para Dormitorio y Interiores Pequeños</t>
        </is>
      </c>
      <c r="H3394" s="16" t="inlineStr">
        <is>
          <t>1 Pieza</t>
        </is>
      </c>
      <c r="I3394" s="16" t="n">
        <v>1</v>
      </c>
      <c r="J3394" s="17" t="n">
        <v>78</v>
      </c>
      <c r="K3394" s="17" t="n">
        <v>82.51000000000001</v>
      </c>
      <c r="L3394" s="17" t="n">
        <v>25.86</v>
      </c>
      <c r="M3394" s="17" t="n">
        <v>0</v>
      </c>
      <c r="N3394" s="17">
        <f>K3394*0.08+L3394*0.08</f>
        <v/>
      </c>
      <c r="O3394" s="17">
        <f>-(K3394*0.025+L3394*0.025)</f>
        <v/>
      </c>
      <c r="P3394" s="17">
        <f>32</f>
        <v/>
      </c>
      <c r="Q3394" s="17">
        <f>J3394+L3394+N3394+O3394-P3394-M3394</f>
        <v/>
      </c>
    </row>
    <row r="3395">
      <c r="A3395" s="16" t="inlineStr">
        <is>
          <t>5.29-6.4</t>
        </is>
      </c>
      <c r="B3395" s="16" t="inlineStr">
        <is>
          <t>PO-128-08051888548471766</t>
        </is>
      </c>
      <c r="C3395" s="16" t="inlineStr">
        <is>
          <t>Delivered</t>
        </is>
      </c>
      <c r="D3395" s="16" t="inlineStr">
        <is>
          <t>128-08051846605431766</t>
        </is>
      </c>
      <c r="E3395" s="16" t="inlineStr">
        <is>
          <t>Delivered</t>
        </is>
      </c>
      <c r="F3395" s="16" t="inlineStr">
        <is>
          <t>TLCD06-12P-N</t>
        </is>
      </c>
      <c r="G339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395" s="16" t="inlineStr">
        <is>
          <t>NEGRO/pantalla de 12 pulgadas</t>
        </is>
      </c>
      <c r="I3395" s="16" t="n">
        <v>1</v>
      </c>
      <c r="J3395" s="17" t="n">
        <v>35</v>
      </c>
      <c r="K3395" s="17" t="n">
        <v>64.61</v>
      </c>
      <c r="L3395" s="17" t="n">
        <v>25.86</v>
      </c>
      <c r="M3395" s="17" t="n">
        <v>0</v>
      </c>
      <c r="N3395" s="17">
        <f>K3395*0.08+L3395*0.08</f>
        <v/>
      </c>
      <c r="O3395" s="17">
        <f>-(K3395*0.025+L3395*0.025)</f>
        <v/>
      </c>
      <c r="P3395" s="17">
        <f>32</f>
        <v/>
      </c>
      <c r="Q3395" s="17">
        <f>J3395+L3395+N3395+O3395-P3395-M3395</f>
        <v/>
      </c>
    </row>
    <row r="3396">
      <c r="A3396" s="16" t="inlineStr">
        <is>
          <t>5.29-6.4</t>
        </is>
      </c>
      <c r="B3396" s="16" t="inlineStr">
        <is>
          <t>PO-128-08228137759350525</t>
        </is>
      </c>
      <c r="C3396" s="16" t="inlineStr">
        <is>
          <t>Delivered</t>
        </is>
      </c>
      <c r="D3396" s="16" t="inlineStr">
        <is>
          <t>128-08228087951990525</t>
        </is>
      </c>
      <c r="E3396" s="16" t="inlineStr">
        <is>
          <t>Delivered</t>
        </is>
      </c>
      <c r="F3396" s="16" t="inlineStr">
        <is>
          <t>LV64W25</t>
        </is>
      </c>
      <c r="G33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96" s="16" t="inlineStr">
        <is>
          <t>Blanco</t>
        </is>
      </c>
      <c r="I3396" s="16" t="n">
        <v>4</v>
      </c>
      <c r="J3396" s="17" t="n">
        <v>500</v>
      </c>
      <c r="K3396" s="17" t="n">
        <v>515.2</v>
      </c>
      <c r="L3396" s="17" t="n">
        <v>0</v>
      </c>
      <c r="M3396" s="17" t="n">
        <v>0</v>
      </c>
      <c r="N3396" s="17">
        <f>K3396*0.08+L3396*0.08</f>
        <v/>
      </c>
      <c r="O3396" s="17">
        <f>-(K3396*0.025+L3396*0.025)</f>
        <v/>
      </c>
      <c r="P3396" s="17">
        <f>32</f>
        <v/>
      </c>
      <c r="Q3396" s="17">
        <f>J3396+L3396+N3396+O3396-P3396-M3396</f>
        <v/>
      </c>
    </row>
    <row r="3397">
      <c r="A3397" s="16" t="inlineStr">
        <is>
          <t>5.29-6.4</t>
        </is>
      </c>
      <c r="B3397" s="16" t="inlineStr">
        <is>
          <t>PO-128-08199582413430887</t>
        </is>
      </c>
      <c r="C3397" s="16" t="inlineStr">
        <is>
          <t>Delivered</t>
        </is>
      </c>
      <c r="D3397" s="16" t="inlineStr">
        <is>
          <t>128-08199624356470887</t>
        </is>
      </c>
      <c r="E3397" s="16" t="inlineStr">
        <is>
          <t>Delivered</t>
        </is>
      </c>
      <c r="F3397" s="16" t="inlineStr">
        <is>
          <t>LV64W25</t>
        </is>
      </c>
      <c r="G33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397" s="16" t="inlineStr">
        <is>
          <t>Blanco</t>
        </is>
      </c>
      <c r="I3397" s="16" t="n">
        <v>1</v>
      </c>
      <c r="J3397" s="17" t="n">
        <v>125</v>
      </c>
      <c r="K3397" s="17" t="n">
        <v>128.8</v>
      </c>
      <c r="L3397" s="17" t="n">
        <v>25.86</v>
      </c>
      <c r="M3397" s="17" t="n">
        <v>0</v>
      </c>
      <c r="N3397" s="17">
        <f>K3397*0.08+L3397*0.08</f>
        <v/>
      </c>
      <c r="O3397" s="17">
        <f>-(K3397*0.025+L3397*0.025)</f>
        <v/>
      </c>
      <c r="P3397" s="17">
        <f>32</f>
        <v/>
      </c>
      <c r="Q3397" s="17">
        <f>J3397+L3397+N3397+O3397-P3397-M3397</f>
        <v/>
      </c>
    </row>
    <row r="3398">
      <c r="A3398" s="16" t="inlineStr">
        <is>
          <t>5.29-6.4</t>
        </is>
      </c>
      <c r="B3398" s="16" t="inlineStr">
        <is>
          <t>PO-128-08007686677112031</t>
        </is>
      </c>
      <c r="C3398" s="16" t="inlineStr">
        <is>
          <t>Delivered</t>
        </is>
      </c>
      <c r="D3398" s="16" t="inlineStr">
        <is>
          <t>128-08007754834552031</t>
        </is>
      </c>
      <c r="E3398" s="16" t="inlineStr">
        <is>
          <t>Delivered</t>
        </is>
      </c>
      <c r="F3398" s="16" t="inlineStr">
        <is>
          <t>LMC01N</t>
        </is>
      </c>
      <c r="G3398" s="16" t="inlineStr">
        <is>
          <t>Tira de poder de 16 en 1, montable en pared, con interruptor mecánico - 10 tomas CA EE.UU. espaciosas + 4 USB + 2 Tipo-C - Extensión blanca para oficina, hogar y estudio - Enchufe EE.UU., 125V/15A/1850W con protección contra sobrecarga</t>
        </is>
      </c>
      <c r="H3398" s="16" t="inlineStr">
        <is>
          <t>NEGARO/LMC01</t>
        </is>
      </c>
      <c r="I3398" s="16" t="n">
        <v>1</v>
      </c>
      <c r="J3398" s="17" t="n">
        <v>101</v>
      </c>
      <c r="K3398" s="17" t="n">
        <v>133.53</v>
      </c>
      <c r="L3398" s="17" t="n">
        <v>25.86</v>
      </c>
      <c r="M3398" s="17" t="n">
        <v>0</v>
      </c>
      <c r="N3398" s="17">
        <f>K3398*0.08+L3398*0.08</f>
        <v/>
      </c>
      <c r="O3398" s="17">
        <f>-(K3398*0.025+L3398*0.025)</f>
        <v/>
      </c>
      <c r="P3398" s="17">
        <f>32</f>
        <v/>
      </c>
      <c r="Q3398" s="17">
        <f>J3398+L3398+N3398+O3398-P3398-M3398</f>
        <v/>
      </c>
    </row>
    <row r="3399">
      <c r="A3399" s="16" t="inlineStr">
        <is>
          <t>5.29-6.4</t>
        </is>
      </c>
      <c r="B3399" s="16" t="inlineStr">
        <is>
          <t>PO-128-07835895665273055</t>
        </is>
      </c>
      <c r="C3399" s="16" t="inlineStr">
        <is>
          <t>Delivered</t>
        </is>
      </c>
      <c r="D3399" s="16" t="inlineStr">
        <is>
          <t>128-07835948094073055</t>
        </is>
      </c>
      <c r="E3399" s="16" t="inlineStr">
        <is>
          <t>Delivered</t>
        </is>
      </c>
      <c r="F3399" s="16" t="inlineStr">
        <is>
          <t>LV54W25</t>
        </is>
      </c>
      <c r="G3399" s="16" t="inlineStr">
        <is>
          <t>TIANLAI Lámpara Ventilador E27 2 en 1, Silenciosa, LED Alta Luminosidad 180°, Instalación Rápida, Ahorro Energético para Dormitorio y Interiores Pequeños</t>
        </is>
      </c>
      <c r="H3399" s="16" t="inlineStr">
        <is>
          <t>1 Pieza</t>
        </is>
      </c>
      <c r="I3399" s="16" t="n">
        <v>1</v>
      </c>
      <c r="J3399" s="17" t="n">
        <v>78</v>
      </c>
      <c r="K3399" s="17" t="n">
        <v>70.14</v>
      </c>
      <c r="L3399" s="17" t="n">
        <v>25.86</v>
      </c>
      <c r="M3399" s="17" t="n">
        <v>0</v>
      </c>
      <c r="N3399" s="17">
        <f>K3399*0.08+L3399*0.08</f>
        <v/>
      </c>
      <c r="O3399" s="17">
        <f>-(K3399*0.025+L3399*0.025)</f>
        <v/>
      </c>
      <c r="P3399" s="17">
        <f>32</f>
        <v/>
      </c>
      <c r="Q3399" s="17">
        <f>J3399+L3399+N3399+O3399-P3399-M3399</f>
        <v/>
      </c>
    </row>
    <row r="3400">
      <c r="A3400" s="16" t="inlineStr">
        <is>
          <t>5.29-6.4</t>
        </is>
      </c>
      <c r="B3400" s="16" t="inlineStr">
        <is>
          <t>PO-128-08243895317110623</t>
        </is>
      </c>
      <c r="C3400" s="16" t="inlineStr">
        <is>
          <t>Delivered</t>
        </is>
      </c>
      <c r="D3400" s="16" t="inlineStr">
        <is>
          <t>128-08243916288630623</t>
        </is>
      </c>
      <c r="E3400" s="16" t="inlineStr">
        <is>
          <t>Delivered</t>
        </is>
      </c>
      <c r="F3400" s="16" t="inlineStr">
        <is>
          <t>LV54W25</t>
        </is>
      </c>
      <c r="G3400" s="16" t="inlineStr">
        <is>
          <t>TIANLAI Lámpara Ventilador E27 2 en 1, Silenciosa, LED Alta Luminosidad 180°, Instalación Rápida, Ahorro Energético para Dormitorio y Interiores Pequeños</t>
        </is>
      </c>
      <c r="H3400" s="16" t="inlineStr">
        <is>
          <t>1 Pieza</t>
        </is>
      </c>
      <c r="I3400" s="16" t="n">
        <v>1</v>
      </c>
      <c r="J3400" s="17" t="n">
        <v>78</v>
      </c>
      <c r="K3400" s="17" t="n">
        <v>89.68000000000001</v>
      </c>
      <c r="L3400" s="17" t="n">
        <v>25.86</v>
      </c>
      <c r="M3400" s="17" t="n">
        <v>3.5</v>
      </c>
      <c r="N3400" s="17">
        <f>K3400*0.08+L3400*0.08</f>
        <v/>
      </c>
      <c r="O3400" s="17">
        <f>-(K3400*0.025+L3400*0.025)</f>
        <v/>
      </c>
      <c r="P3400" s="17">
        <f>32</f>
        <v/>
      </c>
      <c r="Q3400" s="17">
        <f>J3400+L3400+N3400+O3400-P3400-M3400</f>
        <v/>
      </c>
    </row>
    <row r="3401">
      <c r="A3401" s="16" t="inlineStr">
        <is>
          <t>5.29-6.4</t>
        </is>
      </c>
      <c r="B3401" s="16" t="inlineStr">
        <is>
          <t>PO-128-07985801441911137</t>
        </is>
      </c>
      <c r="C3401" s="16" t="inlineStr">
        <is>
          <t>Delivered</t>
        </is>
      </c>
      <c r="D3401" s="16" t="inlineStr">
        <is>
          <t>128-07985832899191137</t>
        </is>
      </c>
      <c r="E3401" s="16" t="inlineStr">
        <is>
          <t>Delivered</t>
        </is>
      </c>
      <c r="F3401" s="16" t="inlineStr">
        <is>
          <t>LV54W25</t>
        </is>
      </c>
      <c r="G3401" s="16" t="inlineStr">
        <is>
          <t>TIANLAI Lámpara Ventilador E27 2 en 1, Silenciosa, LED Alta Luminosidad 180°, Instalación Rápida, Ahorro Energético para Dormitorio y Interiores Pequeños</t>
        </is>
      </c>
      <c r="H3401" s="16" t="inlineStr">
        <is>
          <t>1 Pieza</t>
        </is>
      </c>
      <c r="I3401" s="16" t="n">
        <v>1</v>
      </c>
      <c r="J3401" s="17" t="n">
        <v>78</v>
      </c>
      <c r="K3401" s="17" t="n">
        <v>82.51000000000001</v>
      </c>
      <c r="L3401" s="17" t="n">
        <v>25.86</v>
      </c>
      <c r="M3401" s="17" t="n">
        <v>0</v>
      </c>
      <c r="N3401" s="17">
        <f>K3401*0.08+L3401*0.08</f>
        <v/>
      </c>
      <c r="O3401" s="17">
        <f>-(K3401*0.025+L3401*0.025)</f>
        <v/>
      </c>
      <c r="P3401" s="17">
        <f>32</f>
        <v/>
      </c>
      <c r="Q3401" s="17">
        <f>J3401+L3401+N3401+O3401-P3401-M3401</f>
        <v/>
      </c>
    </row>
    <row r="3402">
      <c r="A3402" s="16" t="inlineStr">
        <is>
          <t>5.29-6.4</t>
        </is>
      </c>
      <c r="B3402" s="16" t="inlineStr">
        <is>
          <t>PO-128-08233820805750555</t>
        </is>
      </c>
      <c r="C3402" s="16" t="inlineStr">
        <is>
          <t>Delivered</t>
        </is>
      </c>
      <c r="D3402" s="16" t="inlineStr">
        <is>
          <t>128-08233862748790555</t>
        </is>
      </c>
      <c r="E3402" s="16" t="inlineStr">
        <is>
          <t>Delivered</t>
        </is>
      </c>
      <c r="F3402" s="16" t="inlineStr">
        <is>
          <t>VB349T</t>
        </is>
      </c>
      <c r="G3402" s="16" t="inlineStr">
        <is>
          <t>LINKBITS Altavoz Portátil de Doble Altavoz - 3 Pulgadas, Sonido HD, Emparejamiento Rápido de Bluetooth, Conectividad TWS, Reproducción Multimodo (Micro SD/USB/Radio FM) - Perfecto para Oficina, Viajes y Espacios Pequeños</t>
        </is>
      </c>
      <c r="H3402" s="16" t="inlineStr">
        <is>
          <t>NEGRO</t>
        </is>
      </c>
      <c r="I3402" s="16" t="n">
        <v>1</v>
      </c>
      <c r="J3402" s="17" t="n">
        <v>81</v>
      </c>
      <c r="K3402" s="17" t="n">
        <v>94.26000000000001</v>
      </c>
      <c r="L3402" s="17" t="n">
        <v>25.86</v>
      </c>
      <c r="M3402" s="17" t="n">
        <v>0</v>
      </c>
      <c r="N3402" s="17">
        <f>K3402*0.08+L3402*0.08</f>
        <v/>
      </c>
      <c r="O3402" s="17">
        <f>-(K3402*0.025+L3402*0.025)</f>
        <v/>
      </c>
      <c r="P3402" s="17">
        <f>32</f>
        <v/>
      </c>
      <c r="Q3402" s="17">
        <f>J3402+L3402+N3402+O3402-P3402-M3402</f>
        <v/>
      </c>
    </row>
    <row r="3403">
      <c r="A3403" s="16" t="inlineStr">
        <is>
          <t>5.29-6.4</t>
        </is>
      </c>
      <c r="B3403" s="16" t="inlineStr">
        <is>
          <t>PO-128-07622139239033305</t>
        </is>
      </c>
      <c r="C3403" s="16" t="inlineStr">
        <is>
          <t>Delivered</t>
        </is>
      </c>
      <c r="D3403" s="16" t="inlineStr">
        <is>
          <t>128-07622181182073305</t>
        </is>
      </c>
      <c r="E3403" s="16" t="inlineStr">
        <is>
          <t>Delivered</t>
        </is>
      </c>
      <c r="F3403" s="16" t="inlineStr">
        <is>
          <t>LV54W25</t>
        </is>
      </c>
      <c r="G3403" s="16" t="inlineStr">
        <is>
          <t>TIANLAI Lámpara Ventilador E27 2 en 1, Silenciosa, LED Alta Luminosidad 180°, Instalación Rápida, Ahorro Energético para Dormitorio y Interiores Pequeños</t>
        </is>
      </c>
      <c r="H3403" s="16" t="inlineStr">
        <is>
          <t>1 Pieza</t>
        </is>
      </c>
      <c r="I3403" s="16" t="n">
        <v>1</v>
      </c>
      <c r="J3403" s="17" t="n">
        <v>78</v>
      </c>
      <c r="K3403" s="17" t="n">
        <v>80.70999999999999</v>
      </c>
      <c r="L3403" s="17" t="n">
        <v>25.86</v>
      </c>
      <c r="M3403" s="17" t="n">
        <v>0</v>
      </c>
      <c r="N3403" s="17">
        <f>K3403*0.08+L3403*0.08</f>
        <v/>
      </c>
      <c r="O3403" s="17">
        <f>-(K3403*0.025+L3403*0.025)</f>
        <v/>
      </c>
      <c r="P3403" s="17">
        <f>32</f>
        <v/>
      </c>
      <c r="Q3403" s="17">
        <f>J3403+L3403+N3403+O3403-P3403-M3403</f>
        <v/>
      </c>
    </row>
    <row r="3404">
      <c r="A3404" s="16" t="inlineStr">
        <is>
          <t>5.29-6.4</t>
        </is>
      </c>
      <c r="B3404" s="16" t="inlineStr">
        <is>
          <t>PO-128-08088842383990459</t>
        </is>
      </c>
      <c r="C3404" s="16" t="inlineStr">
        <is>
          <t>Delivered</t>
        </is>
      </c>
      <c r="D3404" s="16" t="inlineStr">
        <is>
          <t>128-08088882360950459</t>
        </is>
      </c>
      <c r="E3404" s="16" t="inlineStr">
        <is>
          <t>Delivered</t>
        </is>
      </c>
      <c r="F3404" s="16" t="inlineStr">
        <is>
          <t>LV64W25</t>
        </is>
      </c>
      <c r="G34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04" s="16" t="inlineStr">
        <is>
          <t>Blanco</t>
        </is>
      </c>
      <c r="I3404" s="16" t="n">
        <v>1</v>
      </c>
      <c r="J3404" s="17" t="n">
        <v>125</v>
      </c>
      <c r="K3404" s="17" t="n">
        <v>138.49</v>
      </c>
      <c r="L3404" s="17" t="n">
        <v>25.86</v>
      </c>
      <c r="M3404" s="17" t="n">
        <v>0</v>
      </c>
      <c r="N3404" s="17">
        <f>K3404*0.08+L3404*0.08</f>
        <v/>
      </c>
      <c r="O3404" s="17">
        <f>-(K3404*0.025+L3404*0.025)</f>
        <v/>
      </c>
      <c r="P3404" s="17">
        <f>32</f>
        <v/>
      </c>
      <c r="Q3404" s="17">
        <f>J3404+L3404+N3404+O3404-P3404-M3404</f>
        <v/>
      </c>
    </row>
    <row r="3405">
      <c r="A3405" s="16" t="inlineStr">
        <is>
          <t>5.29-6.4</t>
        </is>
      </c>
      <c r="B3405" s="16" t="inlineStr">
        <is>
          <t>PO-128-07941436713591400</t>
        </is>
      </c>
      <c r="C3405" s="16" t="inlineStr">
        <is>
          <t>Delivered</t>
        </is>
      </c>
      <c r="D3405" s="16" t="inlineStr">
        <is>
          <t>128-07941397391991400</t>
        </is>
      </c>
      <c r="E3405" s="16" t="inlineStr">
        <is>
          <t>Delivered</t>
        </is>
      </c>
      <c r="F3405" s="16" t="inlineStr">
        <is>
          <t>LV54W25</t>
        </is>
      </c>
      <c r="G3405" s="16" t="inlineStr">
        <is>
          <t>TIANLAI Lámpara Ventilador E27 2 en 1, Silenciosa, LED Alta Luminosidad 180°, Instalación Rápida, Ahorro Energético para Dormitorio y Interiores Pequeños</t>
        </is>
      </c>
      <c r="H3405" s="16" t="inlineStr">
        <is>
          <t>1 Pieza</t>
        </is>
      </c>
      <c r="I3405" s="16" t="n">
        <v>1</v>
      </c>
      <c r="J3405" s="17" t="n">
        <v>78</v>
      </c>
      <c r="K3405" s="17" t="n">
        <v>80.70999999999999</v>
      </c>
      <c r="L3405" s="17" t="n">
        <v>25.86</v>
      </c>
      <c r="M3405" s="17" t="n">
        <v>0</v>
      </c>
      <c r="N3405" s="17">
        <f>K3405*0.08+L3405*0.08</f>
        <v/>
      </c>
      <c r="O3405" s="17">
        <f>-(K3405*0.025+L3405*0.025)</f>
        <v/>
      </c>
      <c r="P3405" s="17">
        <f>32</f>
        <v/>
      </c>
      <c r="Q3405" s="17">
        <f>J3405+L3405+N3405+O3405-P3405-M3405</f>
        <v/>
      </c>
    </row>
    <row r="3406">
      <c r="A3406" s="16" t="inlineStr">
        <is>
          <t>5.29-6.4</t>
        </is>
      </c>
      <c r="B3406" s="16" t="inlineStr">
        <is>
          <t>PO-128-08020524718711824</t>
        </is>
      </c>
      <c r="C3406" s="16" t="inlineStr">
        <is>
          <t>Delivered</t>
        </is>
      </c>
      <c r="D3406" s="16" t="inlineStr">
        <is>
          <t>128-08020592876151824</t>
        </is>
      </c>
      <c r="E3406" s="16" t="inlineStr">
        <is>
          <t>Delivered</t>
        </is>
      </c>
      <c r="F3406" s="16" t="inlineStr">
        <is>
          <t>LV54W25</t>
        </is>
      </c>
      <c r="G3406" s="16" t="inlineStr">
        <is>
          <t>TIANLAI Lámpara Ventilador E27 2 en 1, Silenciosa, LED Alta Luminosidad 180°, Instalación Rápida, Ahorro Energético para Dormitorio y Interiores Pequeños</t>
        </is>
      </c>
      <c r="H3406" s="16" t="inlineStr">
        <is>
          <t>1 Pieza</t>
        </is>
      </c>
      <c r="I3406" s="16" t="n">
        <v>3</v>
      </c>
      <c r="J3406" s="17" t="n">
        <v>234</v>
      </c>
      <c r="K3406" s="17" t="n">
        <v>226.46</v>
      </c>
      <c r="L3406" s="17" t="n">
        <v>0</v>
      </c>
      <c r="M3406" s="17" t="n">
        <v>0</v>
      </c>
      <c r="N3406" s="17">
        <f>K3406*0.08+L3406*0.08</f>
        <v/>
      </c>
      <c r="O3406" s="17">
        <f>-(K3406*0.025+L3406*0.025)</f>
        <v/>
      </c>
      <c r="P3406" s="17">
        <f>32</f>
        <v/>
      </c>
      <c r="Q3406" s="17">
        <f>J3406+L3406+N3406+O3406-P3406-M3406</f>
        <v/>
      </c>
    </row>
    <row r="3407">
      <c r="A3407" s="16" t="inlineStr">
        <is>
          <t>5.29-6.4</t>
        </is>
      </c>
      <c r="B3407" s="16" t="inlineStr">
        <is>
          <t>PO-128-07714518979193584</t>
        </is>
      </c>
      <c r="C3407" s="16" t="inlineStr">
        <is>
          <t>Delivered</t>
        </is>
      </c>
      <c r="D3407" s="16" t="inlineStr">
        <is>
          <t>128-07714529464953584</t>
        </is>
      </c>
      <c r="E3407" s="16" t="inlineStr">
        <is>
          <t>Delivered</t>
        </is>
      </c>
      <c r="F3407" s="16" t="inlineStr">
        <is>
          <t>LV54W25</t>
        </is>
      </c>
      <c r="G3407" s="16" t="inlineStr">
        <is>
          <t>TIANLAI Lámpara Ventilador E27 2 en 1, Silenciosa, LED Alta Luminosidad 180°, Instalación Rápida, Ahorro Energético para Dormitorio y Interiores Pequeños</t>
        </is>
      </c>
      <c r="H3407" s="16" t="inlineStr">
        <is>
          <t>1 Pieza</t>
        </is>
      </c>
      <c r="I3407" s="16" t="n">
        <v>3</v>
      </c>
      <c r="J3407" s="17" t="n">
        <v>234</v>
      </c>
      <c r="K3407" s="17" t="n">
        <v>198.03</v>
      </c>
      <c r="L3407" s="17" t="n">
        <v>0</v>
      </c>
      <c r="M3407" s="17" t="n">
        <v>0</v>
      </c>
      <c r="N3407" s="17">
        <f>K3407*0.08+L3407*0.08</f>
        <v/>
      </c>
      <c r="O3407" s="17">
        <f>-(K3407*0.025+L3407*0.025)</f>
        <v/>
      </c>
      <c r="P3407" s="17">
        <f>32</f>
        <v/>
      </c>
      <c r="Q3407" s="17">
        <f>J3407+L3407+N3407+O3407-P3407-M3407</f>
        <v/>
      </c>
    </row>
    <row r="3408">
      <c r="A3408" s="16" t="inlineStr">
        <is>
          <t>5.29-6.4</t>
        </is>
      </c>
      <c r="B3408" s="16" t="inlineStr">
        <is>
          <t>PO-128-07719936410233616</t>
        </is>
      </c>
      <c r="C3408" s="16" t="inlineStr">
        <is>
          <t>Delivered</t>
        </is>
      </c>
      <c r="D3408" s="16" t="inlineStr">
        <is>
          <t>128-07719978353273616</t>
        </is>
      </c>
      <c r="E3408" s="16" t="inlineStr">
        <is>
          <t>Delivered</t>
        </is>
      </c>
      <c r="F3408" s="16" t="inlineStr">
        <is>
          <t>LV64W25</t>
        </is>
      </c>
      <c r="G34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08" s="16" t="inlineStr">
        <is>
          <t>Blanco</t>
        </is>
      </c>
      <c r="I3408" s="16" t="n">
        <v>1</v>
      </c>
      <c r="J3408" s="17" t="n">
        <v>125</v>
      </c>
      <c r="K3408" s="17" t="n">
        <v>103.04</v>
      </c>
      <c r="L3408" s="17" t="n">
        <v>25.86</v>
      </c>
      <c r="M3408" s="17" t="n">
        <v>0</v>
      </c>
      <c r="N3408" s="17">
        <f>K3408*0.08+L3408*0.08</f>
        <v/>
      </c>
      <c r="O3408" s="17">
        <f>-(K3408*0.025+L3408*0.025)</f>
        <v/>
      </c>
      <c r="P3408" s="17">
        <f>32</f>
        <v/>
      </c>
      <c r="Q3408" s="17">
        <f>J3408+L3408+N3408+O3408-P3408-M3408</f>
        <v/>
      </c>
    </row>
    <row r="3409">
      <c r="A3409" s="16" t="inlineStr">
        <is>
          <t>5.29-6.4</t>
        </is>
      </c>
      <c r="B3409" s="16" t="inlineStr">
        <is>
          <t>PO-128-08032783841911689</t>
        </is>
      </c>
      <c r="C3409" s="16" t="inlineStr">
        <is>
          <t>Delivered</t>
        </is>
      </c>
      <c r="D3409" s="16" t="inlineStr">
        <is>
          <t>128-08032794327671689</t>
        </is>
      </c>
      <c r="E3409" s="16" t="inlineStr">
        <is>
          <t>Delivered</t>
        </is>
      </c>
      <c r="F3409" s="16" t="inlineStr">
        <is>
          <t>LV54W25</t>
        </is>
      </c>
      <c r="G3409" s="16" t="inlineStr">
        <is>
          <t>TIANLAI Lámpara Ventilador E27 2 en 1, Silenciosa, LED Alta Luminosidad 180°, Instalación Rápida, Ahorro Energético para Dormitorio y Interiores Pequeños</t>
        </is>
      </c>
      <c r="H3409" s="16" t="inlineStr">
        <is>
          <t>1 Pieza</t>
        </is>
      </c>
      <c r="I3409" s="16" t="n">
        <v>1</v>
      </c>
      <c r="J3409" s="17" t="n">
        <v>78</v>
      </c>
      <c r="K3409" s="17" t="n">
        <v>80.70999999999999</v>
      </c>
      <c r="L3409" s="17" t="n">
        <v>25.86</v>
      </c>
      <c r="M3409" s="17" t="n">
        <v>3.15</v>
      </c>
      <c r="N3409" s="17">
        <f>K3409*0.08+L3409*0.08</f>
        <v/>
      </c>
      <c r="O3409" s="17">
        <f>-(K3409*0.025+L3409*0.025)</f>
        <v/>
      </c>
      <c r="P3409" s="17">
        <f>32</f>
        <v/>
      </c>
      <c r="Q3409" s="17">
        <f>J3409+L3409+N3409+O3409-P3409-M3409</f>
        <v/>
      </c>
    </row>
    <row r="3410">
      <c r="A3410" s="16" t="inlineStr">
        <is>
          <t>5.29-6.4</t>
        </is>
      </c>
      <c r="B3410" s="16" t="inlineStr">
        <is>
          <t>PO-128-07924667361911308</t>
        </is>
      </c>
      <c r="C3410" s="16" t="inlineStr">
        <is>
          <t>Delivered</t>
        </is>
      </c>
      <c r="D3410" s="16" t="inlineStr">
        <is>
          <t>128-07924677847671308</t>
        </is>
      </c>
      <c r="E3410" s="16" t="inlineStr">
        <is>
          <t>Delivered</t>
        </is>
      </c>
      <c r="F3410" s="16" t="inlineStr">
        <is>
          <t>LV54W25</t>
        </is>
      </c>
      <c r="G3410" s="16" t="inlineStr">
        <is>
          <t>TIANLAI Lámpara Ventilador E27 2 en 1, Silenciosa, LED Alta Luminosidad 180°, Instalación Rápida, Ahorro Energético para Dormitorio y Interiores Pequeños</t>
        </is>
      </c>
      <c r="H3410" s="16" t="inlineStr">
        <is>
          <t>1 Pieza</t>
        </is>
      </c>
      <c r="I3410" s="16" t="n">
        <v>1</v>
      </c>
      <c r="J3410" s="17" t="n">
        <v>78</v>
      </c>
      <c r="K3410" s="17" t="n">
        <v>79.17</v>
      </c>
      <c r="L3410" s="17" t="n">
        <v>25.86</v>
      </c>
      <c r="M3410" s="17" t="n">
        <v>0</v>
      </c>
      <c r="N3410" s="17">
        <f>K3410*0.08+L3410*0.08</f>
        <v/>
      </c>
      <c r="O3410" s="17">
        <f>-(K3410*0.025+L3410*0.025)</f>
        <v/>
      </c>
      <c r="P3410" s="17">
        <f>32</f>
        <v/>
      </c>
      <c r="Q3410" s="17">
        <f>J3410+L3410+N3410+O3410-P3410-M3410</f>
        <v/>
      </c>
    </row>
    <row r="3411">
      <c r="A3411" s="16" t="inlineStr">
        <is>
          <t>5.29-6.4</t>
        </is>
      </c>
      <c r="B3411" s="16" t="inlineStr">
        <is>
          <t>PO-128-07796947891832071</t>
        </is>
      </c>
      <c r="C3411" s="16" t="inlineStr">
        <is>
          <t>Delivered</t>
        </is>
      </c>
      <c r="D3411" s="16" t="inlineStr">
        <is>
          <t>128-07796926920312071</t>
        </is>
      </c>
      <c r="E3411" s="16" t="inlineStr">
        <is>
          <t>Delivered</t>
        </is>
      </c>
      <c r="F3411" s="16" t="inlineStr">
        <is>
          <t>LV64W25</t>
        </is>
      </c>
      <c r="G341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11" s="16" t="inlineStr">
        <is>
          <t>Blanco</t>
        </is>
      </c>
      <c r="I3411" s="16" t="n">
        <v>4</v>
      </c>
      <c r="J3411" s="17" t="n">
        <v>500</v>
      </c>
      <c r="K3411" s="17" t="n">
        <v>515.2</v>
      </c>
      <c r="L3411" s="17" t="n">
        <v>0</v>
      </c>
      <c r="M3411" s="17" t="n">
        <v>0</v>
      </c>
      <c r="N3411" s="17">
        <f>K3411*0.08+L3411*0.08</f>
        <v/>
      </c>
      <c r="O3411" s="17">
        <f>-(K3411*0.025+L3411*0.025)</f>
        <v/>
      </c>
      <c r="P3411" s="17">
        <f>32</f>
        <v/>
      </c>
      <c r="Q3411" s="17">
        <f>J3411+L3411+N3411+O3411-P3411-M3411</f>
        <v/>
      </c>
    </row>
    <row r="3412">
      <c r="A3412" s="16" t="inlineStr">
        <is>
          <t>5.29-6.4</t>
        </is>
      </c>
      <c r="B3412" s="16" t="inlineStr">
        <is>
          <t>PO-128-07564392458873457</t>
        </is>
      </c>
      <c r="C3412" s="16" t="inlineStr">
        <is>
          <t>Delivered</t>
        </is>
      </c>
      <c r="D3412" s="16" t="inlineStr">
        <is>
          <t>128-07564397701753457</t>
        </is>
      </c>
      <c r="E3412" s="16" t="inlineStr">
        <is>
          <t>Delivered</t>
        </is>
      </c>
      <c r="F3412" s="16" t="inlineStr">
        <is>
          <t>LV54W25</t>
        </is>
      </c>
      <c r="G3412" s="16" t="inlineStr">
        <is>
          <t>TIANLAI Lámpara Ventilador E27 2 en 1, Silenciosa, LED Alta Luminosidad 180°, Instalación Rápida, Ahorro Energético para Dormitorio y Interiores Pequeños</t>
        </is>
      </c>
      <c r="H3412" s="16" t="inlineStr">
        <is>
          <t>1 Pieza</t>
        </is>
      </c>
      <c r="I3412" s="16" t="n">
        <v>1</v>
      </c>
      <c r="J3412" s="17" t="n">
        <v>78</v>
      </c>
      <c r="K3412" s="17" t="n">
        <v>82.51000000000001</v>
      </c>
      <c r="L3412" s="17" t="n">
        <v>25.86</v>
      </c>
      <c r="M3412" s="17" t="n">
        <v>3.22</v>
      </c>
      <c r="N3412" s="17">
        <f>K3412*0.08+L3412*0.08</f>
        <v/>
      </c>
      <c r="O3412" s="17">
        <f>-(K3412*0.025+L3412*0.025)</f>
        <v/>
      </c>
      <c r="P3412" s="17">
        <f>32</f>
        <v/>
      </c>
      <c r="Q3412" s="17">
        <f>J3412+L3412+N3412+O3412-P3412-M3412</f>
        <v/>
      </c>
    </row>
    <row r="3413">
      <c r="A3413" s="16" t="inlineStr">
        <is>
          <t>5.29-6.4</t>
        </is>
      </c>
      <c r="B3413" s="16" t="inlineStr">
        <is>
          <t>PO-128-07845259510392871</t>
        </is>
      </c>
      <c r="C3413" s="16" t="inlineStr">
        <is>
          <t>Delivered</t>
        </is>
      </c>
      <c r="D3413" s="16" t="inlineStr">
        <is>
          <t>128-07845301453432871</t>
        </is>
      </c>
      <c r="E3413" s="16" t="inlineStr">
        <is>
          <t>Delivered</t>
        </is>
      </c>
      <c r="F3413" s="16" t="inlineStr">
        <is>
          <t>TLCD08-16P-N</t>
        </is>
      </c>
      <c r="G3413" s="16" t="inlineStr">
        <is>
          <t>Tableta de Escritura LCD de 16 Pulgadas para Niños, Pizarra de Dibujo Colorida para Garabatos, Cuenta con una Función de Bloqueo, Pizarra de Escritura Borrable y Reutilizable, Regalo de Pascua, Adecuada para Edades de 3 a 9 Años, Disponible en Varios Colores.</t>
        </is>
      </c>
      <c r="H3413" s="16" t="inlineStr">
        <is>
          <t>NEGRO</t>
        </is>
      </c>
      <c r="I3413" s="16" t="n">
        <v>1</v>
      </c>
      <c r="J3413" s="17" t="n">
        <v>62</v>
      </c>
      <c r="K3413" s="17" t="n">
        <v>86.03</v>
      </c>
      <c r="L3413" s="17" t="n">
        <v>25.86</v>
      </c>
      <c r="M3413" s="17" t="n">
        <v>0</v>
      </c>
      <c r="N3413" s="17">
        <f>K3413*0.08+L3413*0.08</f>
        <v/>
      </c>
      <c r="O3413" s="17">
        <f>-(K3413*0.025+L3413*0.025)</f>
        <v/>
      </c>
      <c r="P3413" s="17">
        <f>32</f>
        <v/>
      </c>
      <c r="Q3413" s="17">
        <f>J3413+L3413+N3413+O3413-P3413-M3413</f>
        <v/>
      </c>
    </row>
    <row r="3414">
      <c r="A3414" s="16" t="inlineStr">
        <is>
          <t>5.29-6.4</t>
        </is>
      </c>
      <c r="B3414" s="16" t="inlineStr">
        <is>
          <t>PO-128-07937741210231358</t>
        </is>
      </c>
      <c r="C3414" s="16" t="inlineStr">
        <is>
          <t>Delivered</t>
        </is>
      </c>
      <c r="D3414" s="16" t="inlineStr">
        <is>
          <t>128-07937793639031358</t>
        </is>
      </c>
      <c r="E3414" s="16" t="inlineStr">
        <is>
          <t>Delivered</t>
        </is>
      </c>
      <c r="F3414" s="16" t="inlineStr">
        <is>
          <t>LV54W25</t>
        </is>
      </c>
      <c r="G3414" s="16" t="inlineStr">
        <is>
          <t>TIANLAI Lámpara Ventilador E27 2 en 1, Silenciosa, LED Alta Luminosidad 180°, Instalación Rápida, Ahorro Energético para Dormitorio y Interiores Pequeños</t>
        </is>
      </c>
      <c r="H3414" s="16" t="inlineStr">
        <is>
          <t>1 Pieza</t>
        </is>
      </c>
      <c r="I3414" s="16" t="n">
        <v>2</v>
      </c>
      <c r="J3414" s="17" t="n">
        <v>156</v>
      </c>
      <c r="K3414" s="17" t="n">
        <v>161.42</v>
      </c>
      <c r="L3414" s="17" t="n">
        <v>0</v>
      </c>
      <c r="M3414" s="17" t="n">
        <v>7.2</v>
      </c>
      <c r="N3414" s="17">
        <f>K3414*0.08+L3414*0.08</f>
        <v/>
      </c>
      <c r="O3414" s="17">
        <f>-(K3414*0.025+L3414*0.025)</f>
        <v/>
      </c>
      <c r="P3414" s="17">
        <f>32</f>
        <v/>
      </c>
      <c r="Q3414" s="17">
        <f>J3414+L3414+N3414+O3414-P3414-M3414</f>
        <v/>
      </c>
    </row>
    <row r="3415">
      <c r="A3415" s="16" t="inlineStr">
        <is>
          <t>5.29-6.4</t>
        </is>
      </c>
      <c r="B3415" s="16" t="inlineStr">
        <is>
          <t>PO-128-07937741210231358</t>
        </is>
      </c>
      <c r="C3415" s="16" t="inlineStr">
        <is>
          <t>Delivered</t>
        </is>
      </c>
      <c r="D3415" s="16" t="inlineStr">
        <is>
          <t>128-07937709752951358</t>
        </is>
      </c>
      <c r="E3415" s="16" t="inlineStr">
        <is>
          <t>Delivered</t>
        </is>
      </c>
      <c r="F3415" s="16" t="inlineStr">
        <is>
          <t>LV64W25</t>
        </is>
      </c>
      <c r="G341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15" s="16" t="inlineStr">
        <is>
          <t>Blanco</t>
        </is>
      </c>
      <c r="I3415" s="16" t="n">
        <v>1</v>
      </c>
      <c r="J3415" s="17" t="n">
        <v>125</v>
      </c>
      <c r="K3415" s="17" t="n">
        <v>128.8</v>
      </c>
      <c r="L3415" s="17" t="n">
        <v>0</v>
      </c>
      <c r="M3415" s="17" t="n">
        <v>9.01</v>
      </c>
      <c r="N3415" s="17">
        <f>K3415*0.08+L3415*0.08</f>
        <v/>
      </c>
      <c r="O3415" s="17">
        <f>-(K3415*0.025+L3415*0.025)</f>
        <v/>
      </c>
      <c r="P3415" s="17">
        <f>32</f>
        <v/>
      </c>
      <c r="Q3415" s="17">
        <f>J3415+L3415+N3415+O3415-P3415-M3415</f>
        <v/>
      </c>
    </row>
    <row r="3416">
      <c r="A3416" s="16" t="inlineStr">
        <is>
          <t>5.29-6.4</t>
        </is>
      </c>
      <c r="B3416" s="16" t="inlineStr">
        <is>
          <t>PO-128-07610567813753244</t>
        </is>
      </c>
      <c r="C3416" s="16" t="inlineStr">
        <is>
          <t>Delivered</t>
        </is>
      </c>
      <c r="D3416" s="16" t="inlineStr">
        <is>
          <t>128-07610643835513244</t>
        </is>
      </c>
      <c r="E3416" s="16" t="inlineStr">
        <is>
          <t>Delivered</t>
        </is>
      </c>
      <c r="F3416" s="16" t="inlineStr">
        <is>
          <t>LV64W25</t>
        </is>
      </c>
      <c r="G34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16" s="16" t="inlineStr">
        <is>
          <t>Blanco</t>
        </is>
      </c>
      <c r="I3416" s="16" t="n">
        <v>1</v>
      </c>
      <c r="J3416" s="17" t="n">
        <v>125</v>
      </c>
      <c r="K3416" s="17" t="n">
        <v>85.7</v>
      </c>
      <c r="L3416" s="17" t="n">
        <v>25.86</v>
      </c>
      <c r="M3416" s="17" t="n">
        <v>0</v>
      </c>
      <c r="N3416" s="17">
        <f>K3416*0.08+L3416*0.08</f>
        <v/>
      </c>
      <c r="O3416" s="17">
        <f>-(K3416*0.025+L3416*0.025)</f>
        <v/>
      </c>
      <c r="P3416" s="17">
        <f>32</f>
        <v/>
      </c>
      <c r="Q3416" s="17">
        <f>J3416+L3416+N3416+O3416-P3416-M3416</f>
        <v/>
      </c>
    </row>
    <row r="3417">
      <c r="A3417" s="16" t="inlineStr">
        <is>
          <t>5.29-6.4</t>
        </is>
      </c>
      <c r="B3417" s="16" t="inlineStr">
        <is>
          <t>PO-128-07959577969271228</t>
        </is>
      </c>
      <c r="C3417" s="16" t="inlineStr">
        <is>
          <t>Delivered</t>
        </is>
      </c>
      <c r="D3417" s="16" t="inlineStr">
        <is>
          <t>128-07959536026231228</t>
        </is>
      </c>
      <c r="E3417" s="16" t="inlineStr">
        <is>
          <t>Delivered</t>
        </is>
      </c>
      <c r="F3417" s="16" t="inlineStr">
        <is>
          <t>LV54W25</t>
        </is>
      </c>
      <c r="G3417" s="16" t="inlineStr">
        <is>
          <t>TIANLAI Lámpara Ventilador E27 2 en 1, Silenciosa, LED Alta Luminosidad 180°, Instalación Rápida, Ahorro Energético para Dormitorio y Interiores Pequeños</t>
        </is>
      </c>
      <c r="H3417" s="16" t="inlineStr">
        <is>
          <t>1 Pieza</t>
        </is>
      </c>
      <c r="I3417" s="16" t="n">
        <v>5</v>
      </c>
      <c r="J3417" s="17" t="n">
        <v>390</v>
      </c>
      <c r="K3417" s="17" t="n">
        <v>412.55</v>
      </c>
      <c r="L3417" s="17" t="n">
        <v>0</v>
      </c>
      <c r="M3417" s="17" t="n">
        <v>0</v>
      </c>
      <c r="N3417" s="17">
        <f>K3417*0.08+L3417*0.08</f>
        <v/>
      </c>
      <c r="O3417" s="17">
        <f>-(K3417*0.025+L3417*0.025)</f>
        <v/>
      </c>
      <c r="P3417" s="17">
        <f>32</f>
        <v/>
      </c>
      <c r="Q3417" s="17">
        <f>J3417+L3417+N3417+O3417-P3417-M3417</f>
        <v/>
      </c>
    </row>
    <row r="3418">
      <c r="A3418" s="16" t="inlineStr">
        <is>
          <t>5.29-6.4</t>
        </is>
      </c>
      <c r="B3418" s="16" t="inlineStr">
        <is>
          <t>PO-128-07784832236152271</t>
        </is>
      </c>
      <c r="C3418" s="16" t="inlineStr">
        <is>
          <t>Delivered</t>
        </is>
      </c>
      <c r="D3418" s="16" t="inlineStr">
        <is>
          <t>128-07784937093752271</t>
        </is>
      </c>
      <c r="E3418" s="16" t="inlineStr">
        <is>
          <t>Delivered</t>
        </is>
      </c>
      <c r="F3418" s="16" t="inlineStr">
        <is>
          <t>LV64W25</t>
        </is>
      </c>
      <c r="G34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18" s="16" t="inlineStr">
        <is>
          <t>Blanco</t>
        </is>
      </c>
      <c r="I3418" s="16" t="n">
        <v>1</v>
      </c>
      <c r="J3418" s="17" t="n">
        <v>125</v>
      </c>
      <c r="K3418" s="17" t="n">
        <v>128.8</v>
      </c>
      <c r="L3418" s="17" t="n">
        <v>15.77</v>
      </c>
      <c r="M3418" s="17" t="n">
        <v>0</v>
      </c>
      <c r="N3418" s="17">
        <f>K3418*0.08+L3418*0.08</f>
        <v/>
      </c>
      <c r="O3418" s="17">
        <f>-(K3418*0.025+L3418*0.025)</f>
        <v/>
      </c>
      <c r="P3418" s="17">
        <f>32</f>
        <v/>
      </c>
      <c r="Q3418" s="17">
        <f>J3418+L3418+N3418+O3418-P3418-M3418</f>
        <v/>
      </c>
    </row>
    <row r="3419">
      <c r="A3419" s="16" t="inlineStr">
        <is>
          <t>5.29-6.4</t>
        </is>
      </c>
      <c r="B3419" s="16" t="inlineStr">
        <is>
          <t>PO-128-07784832236152271</t>
        </is>
      </c>
      <c r="C3419" s="16" t="inlineStr">
        <is>
          <t>Delivered</t>
        </is>
      </c>
      <c r="D3419" s="16" t="inlineStr">
        <is>
          <t>128-07784895150712271</t>
        </is>
      </c>
      <c r="E3419" s="16" t="inlineStr">
        <is>
          <t>Delivered</t>
        </is>
      </c>
      <c r="F3419" s="16" t="inlineStr">
        <is>
          <t>LV54W25</t>
        </is>
      </c>
      <c r="G3419" s="16" t="inlineStr">
        <is>
          <t>TIANLAI Lámpara Ventilador E27 2 en 1, Silenciosa, LED Alta Luminosidad 180°, Instalación Rápida, Ahorro Energético para Dormitorio y Interiores Pequeños</t>
        </is>
      </c>
      <c r="H3419" s="16" t="inlineStr">
        <is>
          <t>1 Pieza</t>
        </is>
      </c>
      <c r="I3419" s="16" t="n">
        <v>1</v>
      </c>
      <c r="J3419" s="17" t="n">
        <v>78</v>
      </c>
      <c r="K3419" s="17" t="n">
        <v>82.51000000000001</v>
      </c>
      <c r="L3419" s="17" t="n">
        <v>10.09</v>
      </c>
      <c r="M3419" s="17" t="n">
        <v>0</v>
      </c>
      <c r="N3419" s="17">
        <f>K3419*0.08+L3419*0.08</f>
        <v/>
      </c>
      <c r="O3419" s="17">
        <f>-(K3419*0.025+L3419*0.025)</f>
        <v/>
      </c>
      <c r="P3419" s="17">
        <f>32</f>
        <v/>
      </c>
      <c r="Q3419" s="17">
        <f>J3419+L3419+N3419+O3419-P3419-M3419</f>
        <v/>
      </c>
    </row>
    <row r="3420">
      <c r="A3420" s="16" t="inlineStr">
        <is>
          <t>5.29-6.4</t>
        </is>
      </c>
      <c r="B3420" s="16" t="inlineStr">
        <is>
          <t>PO-128-08201850563190872</t>
        </is>
      </c>
      <c r="C3420" s="16" t="inlineStr">
        <is>
          <t>Delivered</t>
        </is>
      </c>
      <c r="D3420" s="16" t="inlineStr">
        <is>
          <t>128-08201808620150872</t>
        </is>
      </c>
      <c r="E3420" s="16" t="inlineStr">
        <is>
          <t>Delivered</t>
        </is>
      </c>
      <c r="F3420" s="16" t="inlineStr">
        <is>
          <t>B03W10-10PZS</t>
        </is>
      </c>
      <c r="G342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420" s="16" t="inlineStr">
        <is>
          <t>B03W10</t>
        </is>
      </c>
      <c r="I3420" s="16" t="n">
        <v>1</v>
      </c>
      <c r="J3420" s="17" t="n">
        <v>77</v>
      </c>
      <c r="K3420" s="17" t="n">
        <v>80.95</v>
      </c>
      <c r="L3420" s="17" t="n">
        <v>25.86</v>
      </c>
      <c r="M3420" s="17" t="n">
        <v>0</v>
      </c>
      <c r="N3420" s="17">
        <f>K3420*0.08+L3420*0.08</f>
        <v/>
      </c>
      <c r="O3420" s="17">
        <f>-(K3420*0.025+L3420*0.025)</f>
        <v/>
      </c>
      <c r="P3420" s="17">
        <f>32</f>
        <v/>
      </c>
      <c r="Q3420" s="17">
        <f>J3420+L3420+N3420+O3420-P3420-M3420</f>
        <v/>
      </c>
    </row>
    <row r="3421">
      <c r="A3421" s="16" t="inlineStr">
        <is>
          <t>5.29-6.4</t>
        </is>
      </c>
      <c r="B3421" s="16" t="inlineStr">
        <is>
          <t>PO-128-08075107912310413</t>
        </is>
      </c>
      <c r="C3421" s="16" t="inlineStr">
        <is>
          <t>Delivered</t>
        </is>
      </c>
      <c r="D3421" s="16" t="inlineStr">
        <is>
          <t>128-08075149855350413</t>
        </is>
      </c>
      <c r="E3421" s="16" t="inlineStr">
        <is>
          <t>Delivered</t>
        </is>
      </c>
      <c r="F3421" s="16" t="inlineStr">
        <is>
          <t>LV54W25</t>
        </is>
      </c>
      <c r="G3421" s="16" t="inlineStr">
        <is>
          <t>TIANLAI Lámpara Ventilador E27 2 en 1, Silenciosa, LED Alta Luminosidad 180°, Instalación Rápida, Ahorro Energético para Dormitorio y Interiores Pequeños</t>
        </is>
      </c>
      <c r="H3421" s="16" t="inlineStr">
        <is>
          <t>1 Pieza</t>
        </is>
      </c>
      <c r="I3421" s="16" t="n">
        <v>1</v>
      </c>
      <c r="J3421" s="17" t="n">
        <v>78</v>
      </c>
      <c r="K3421" s="17" t="n">
        <v>80.70999999999999</v>
      </c>
      <c r="L3421" s="17" t="n">
        <v>25.86</v>
      </c>
      <c r="M3421" s="17" t="n">
        <v>0</v>
      </c>
      <c r="N3421" s="17">
        <f>K3421*0.08+L3421*0.08</f>
        <v/>
      </c>
      <c r="O3421" s="17">
        <f>-(K3421*0.025+L3421*0.025)</f>
        <v/>
      </c>
      <c r="P3421" s="17">
        <f>32</f>
        <v/>
      </c>
      <c r="Q3421" s="17">
        <f>J3421+L3421+N3421+O3421-P3421-M3421</f>
        <v/>
      </c>
    </row>
    <row r="3422">
      <c r="A3422" s="16" t="inlineStr">
        <is>
          <t>5.29-6.4</t>
        </is>
      </c>
      <c r="B3422" s="16" t="inlineStr">
        <is>
          <t>PO-128-07745601434232505</t>
        </is>
      </c>
      <c r="C3422" s="16" t="inlineStr">
        <is>
          <t>Delivered</t>
        </is>
      </c>
      <c r="D3422" s="16" t="inlineStr">
        <is>
          <t>128-07745580462712505</t>
        </is>
      </c>
      <c r="E3422" s="16" t="inlineStr">
        <is>
          <t>Delivered</t>
        </is>
      </c>
      <c r="F3422" s="16" t="inlineStr">
        <is>
          <t>LV54W25</t>
        </is>
      </c>
      <c r="G3422" s="16" t="inlineStr">
        <is>
          <t>TIANLAI Lámpara Ventilador E27 2 en 1, Silenciosa, LED Alta Luminosidad 180°, Instalación Rápida, Ahorro Energético para Dormitorio y Interiores Pequeños</t>
        </is>
      </c>
      <c r="H3422" s="16" t="inlineStr">
        <is>
          <t>1 Pieza</t>
        </is>
      </c>
      <c r="I3422" s="16" t="n">
        <v>1</v>
      </c>
      <c r="J3422" s="17" t="n">
        <v>78</v>
      </c>
      <c r="K3422" s="17" t="n">
        <v>67.27</v>
      </c>
      <c r="L3422" s="17" t="n">
        <v>25.86</v>
      </c>
      <c r="M3422" s="17" t="n">
        <v>0</v>
      </c>
      <c r="N3422" s="17">
        <f>K3422*0.08+L3422*0.08</f>
        <v/>
      </c>
      <c r="O3422" s="17">
        <f>-(K3422*0.025+L3422*0.025)</f>
        <v/>
      </c>
      <c r="P3422" s="17">
        <f>32</f>
        <v/>
      </c>
      <c r="Q3422" s="17">
        <f>J3422+L3422+N3422+O3422-P3422-M3422</f>
        <v/>
      </c>
    </row>
    <row r="3423">
      <c r="A3423" s="16" t="inlineStr">
        <is>
          <t>5.29-6.4</t>
        </is>
      </c>
      <c r="B3423" s="16" t="inlineStr">
        <is>
          <t>PO-128-07814140938872161</t>
        </is>
      </c>
      <c r="C3423" s="16" t="inlineStr">
        <is>
          <t>Delivered</t>
        </is>
      </c>
      <c r="D3423" s="16" t="inlineStr">
        <is>
          <t>128-07814098995832161</t>
        </is>
      </c>
      <c r="E3423" s="16" t="inlineStr">
        <is>
          <t>Delivered</t>
        </is>
      </c>
      <c r="F3423" s="16" t="inlineStr">
        <is>
          <t>LV54W25</t>
        </is>
      </c>
      <c r="G3423" s="16" t="inlineStr">
        <is>
          <t>TIANLAI Lámpara Ventilador E27 2 en 1, Silenciosa, LED Alta Luminosidad 180°, Instalación Rápida, Ahorro Energético para Dormitorio y Interiores Pequeños</t>
        </is>
      </c>
      <c r="H3423" s="16" t="inlineStr">
        <is>
          <t>1 Pieza</t>
        </is>
      </c>
      <c r="I3423" s="16" t="n">
        <v>1</v>
      </c>
      <c r="J3423" s="17" t="n">
        <v>78</v>
      </c>
      <c r="K3423" s="17" t="n">
        <v>89.68000000000001</v>
      </c>
      <c r="L3423" s="17" t="n">
        <v>25.86</v>
      </c>
      <c r="M3423" s="17" t="n">
        <v>0</v>
      </c>
      <c r="N3423" s="17">
        <f>K3423*0.08+L3423*0.08</f>
        <v/>
      </c>
      <c r="O3423" s="17">
        <f>-(K3423*0.025+L3423*0.025)</f>
        <v/>
      </c>
      <c r="P3423" s="17">
        <f>32</f>
        <v/>
      </c>
      <c r="Q3423" s="17">
        <f>J3423+L3423+N3423+O3423-P3423-M3423</f>
        <v/>
      </c>
    </row>
    <row r="3424">
      <c r="A3424" s="16" t="inlineStr">
        <is>
          <t>5.29-6.4</t>
        </is>
      </c>
      <c r="B3424" s="16" t="inlineStr">
        <is>
          <t>PO-128-07937087877751362</t>
        </is>
      </c>
      <c r="C3424" s="16" t="inlineStr">
        <is>
          <t>Delivered</t>
        </is>
      </c>
      <c r="D3424" s="16" t="inlineStr">
        <is>
          <t>128-07937108849271362</t>
        </is>
      </c>
      <c r="E3424" s="16" t="inlineStr">
        <is>
          <t>Delivered</t>
        </is>
      </c>
      <c r="F3424" s="16" t="inlineStr">
        <is>
          <t>LV64W25</t>
        </is>
      </c>
      <c r="G34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24" s="16" t="inlineStr">
        <is>
          <t>Blanco</t>
        </is>
      </c>
      <c r="I3424" s="16" t="n">
        <v>1</v>
      </c>
      <c r="J3424" s="17" t="n">
        <v>125</v>
      </c>
      <c r="K3424" s="17" t="n">
        <v>128.8</v>
      </c>
      <c r="L3424" s="17" t="n">
        <v>25.86</v>
      </c>
      <c r="M3424" s="17" t="n">
        <v>0</v>
      </c>
      <c r="N3424" s="17">
        <f>K3424*0.08+L3424*0.08</f>
        <v/>
      </c>
      <c r="O3424" s="17">
        <f>-(K3424*0.025+L3424*0.025)</f>
        <v/>
      </c>
      <c r="P3424" s="17">
        <f>32</f>
        <v/>
      </c>
      <c r="Q3424" s="17">
        <f>J3424+L3424+N3424+O3424-P3424-M3424</f>
        <v/>
      </c>
    </row>
    <row r="3425">
      <c r="A3425" s="16" t="inlineStr">
        <is>
          <t>5.29-6.4</t>
        </is>
      </c>
      <c r="B3425" s="16" t="inlineStr">
        <is>
          <t>PO-128-08142380242550010</t>
        </is>
      </c>
      <c r="C3425" s="16" t="inlineStr">
        <is>
          <t>Delivered</t>
        </is>
      </c>
      <c r="D3425" s="16" t="inlineStr">
        <is>
          <t>128-08142390728310010</t>
        </is>
      </c>
      <c r="E3425" s="16" t="inlineStr">
        <is>
          <t>Delivered</t>
        </is>
      </c>
      <c r="F3425" s="16" t="inlineStr">
        <is>
          <t>LV64W25</t>
        </is>
      </c>
      <c r="G34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25" s="16" t="inlineStr">
        <is>
          <t>Blanco</t>
        </is>
      </c>
      <c r="I3425" s="16" t="n">
        <v>1</v>
      </c>
      <c r="J3425" s="17" t="n">
        <v>125</v>
      </c>
      <c r="K3425" s="17" t="n">
        <v>128.8</v>
      </c>
      <c r="L3425" s="17" t="n">
        <v>25.86</v>
      </c>
      <c r="M3425" s="17" t="n">
        <v>0</v>
      </c>
      <c r="N3425" s="17">
        <f>K3425*0.08+L3425*0.08</f>
        <v/>
      </c>
      <c r="O3425" s="17">
        <f>-(K3425*0.025+L3425*0.025)</f>
        <v/>
      </c>
      <c r="P3425" s="17">
        <f>32</f>
        <v/>
      </c>
      <c r="Q3425" s="17">
        <f>J3425+L3425+N3425+O3425-P3425-M3425</f>
        <v/>
      </c>
    </row>
    <row r="3426">
      <c r="A3426" s="16" t="inlineStr">
        <is>
          <t>5.29-6.4</t>
        </is>
      </c>
      <c r="B3426" s="16" t="inlineStr">
        <is>
          <t>PO-128-07993679391351920</t>
        </is>
      </c>
      <c r="C3426" s="16" t="inlineStr">
        <is>
          <t>Delivered</t>
        </is>
      </c>
      <c r="D3426" s="16" t="inlineStr">
        <is>
          <t>128-07993684634231920</t>
        </is>
      </c>
      <c r="E3426" s="16" t="inlineStr">
        <is>
          <t>Delivered</t>
        </is>
      </c>
      <c r="F3426" s="16" t="inlineStr">
        <is>
          <t>LV54W25</t>
        </is>
      </c>
      <c r="G3426" s="16" t="inlineStr">
        <is>
          <t>TIANLAI Lámpara Ventilador E27 2 en 1, Silenciosa, LED Alta Luminosidad 180°, Instalación Rápida, Ahorro Energético para Dormitorio y Interiores Pequeños</t>
        </is>
      </c>
      <c r="H3426" s="16" t="inlineStr">
        <is>
          <t>1 Pieza</t>
        </is>
      </c>
      <c r="I3426" s="16" t="n">
        <v>1</v>
      </c>
      <c r="J3426" s="17" t="n">
        <v>78</v>
      </c>
      <c r="K3426" s="17" t="n">
        <v>89.68000000000001</v>
      </c>
      <c r="L3426" s="17" t="n">
        <v>25.86</v>
      </c>
      <c r="M3426" s="17" t="n">
        <v>89.68000000000001</v>
      </c>
      <c r="N3426" s="17">
        <f>K3426*0.08+L3426*0.08</f>
        <v/>
      </c>
      <c r="O3426" s="17">
        <f>-(K3426*0.025+L3426*0.025)</f>
        <v/>
      </c>
      <c r="P3426" s="17">
        <f>32</f>
        <v/>
      </c>
      <c r="Q3426" s="17">
        <f>J3426+L3426+N3426+O3426-P3426-M3426</f>
        <v/>
      </c>
    </row>
    <row r="3427">
      <c r="A3427" s="16" t="inlineStr">
        <is>
          <t>5.29-6.4</t>
        </is>
      </c>
      <c r="B3427" s="16" t="inlineStr">
        <is>
          <t>PO-128-08057975450231539</t>
        </is>
      </c>
      <c r="C3427" s="16" t="inlineStr">
        <is>
          <t>Delivered</t>
        </is>
      </c>
      <c r="D3427" s="16" t="inlineStr">
        <is>
          <t>128-08058009528951539</t>
        </is>
      </c>
      <c r="E3427" s="16" t="inlineStr">
        <is>
          <t>Delivered</t>
        </is>
      </c>
      <c r="F3427" s="16" t="inlineStr">
        <is>
          <t>LV54W25</t>
        </is>
      </c>
      <c r="G3427" s="16" t="inlineStr">
        <is>
          <t>TIANLAI Lámpara Ventilador E27 2 en 1, Silenciosa, LED Alta Luminosidad 180°, Instalación Rápida, Ahorro Energético para Dormitorio y Interiores Pequeños</t>
        </is>
      </c>
      <c r="H3427" s="16" t="inlineStr">
        <is>
          <t>1 Pieza</t>
        </is>
      </c>
      <c r="I3427" s="16" t="n">
        <v>1</v>
      </c>
      <c r="J3427" s="17" t="n">
        <v>78</v>
      </c>
      <c r="K3427" s="17" t="n">
        <v>82.51000000000001</v>
      </c>
      <c r="L3427" s="17" t="n">
        <v>25.86</v>
      </c>
      <c r="M3427" s="17" t="n">
        <v>0</v>
      </c>
      <c r="N3427" s="17">
        <f>K3427*0.08+L3427*0.08</f>
        <v/>
      </c>
      <c r="O3427" s="17">
        <f>-(K3427*0.025+L3427*0.025)</f>
        <v/>
      </c>
      <c r="P3427" s="17">
        <f>32</f>
        <v/>
      </c>
      <c r="Q3427" s="17">
        <f>J3427+L3427+N3427+O3427-P3427-M3427</f>
        <v/>
      </c>
    </row>
    <row r="3428">
      <c r="A3428" s="16" t="inlineStr">
        <is>
          <t>5.29-6.4</t>
        </is>
      </c>
      <c r="B3428" s="16" t="inlineStr">
        <is>
          <t>PO-128-08204281406070667</t>
        </is>
      </c>
      <c r="C3428" s="16" t="inlineStr">
        <is>
          <t>Delivered</t>
        </is>
      </c>
      <c r="D3428" s="16" t="inlineStr">
        <is>
          <t>128-08204323349110667</t>
        </is>
      </c>
      <c r="E3428" s="16" t="inlineStr">
        <is>
          <t>Delivered</t>
        </is>
      </c>
      <c r="F3428" s="16" t="inlineStr">
        <is>
          <t>VB349T</t>
        </is>
      </c>
      <c r="G3428" s="16" t="inlineStr">
        <is>
          <t>LINKBITS Altavoz Portátil de Doble Altavoz - 3 Pulgadas, Sonido HD, Emparejamiento Rápido de Bluetooth, Conectividad TWS, Reproducción Multimodo (Micro SD/USB/Radio FM) - Perfecto para Oficina, Viajes y Espacios Pequeños</t>
        </is>
      </c>
      <c r="H3428" s="16" t="inlineStr">
        <is>
          <t>NEGRO</t>
        </is>
      </c>
      <c r="I3428" s="16" t="n">
        <v>1</v>
      </c>
      <c r="J3428" s="17" t="n">
        <v>81</v>
      </c>
      <c r="K3428" s="17" t="n">
        <v>94.26000000000001</v>
      </c>
      <c r="L3428" s="17" t="n">
        <v>25.86</v>
      </c>
      <c r="M3428" s="17" t="n">
        <v>0</v>
      </c>
      <c r="N3428" s="17">
        <f>K3428*0.08+L3428*0.08</f>
        <v/>
      </c>
      <c r="O3428" s="17">
        <f>-(K3428*0.025+L3428*0.025)</f>
        <v/>
      </c>
      <c r="P3428" s="17">
        <f>32</f>
        <v/>
      </c>
      <c r="Q3428" s="17">
        <f>J3428+L3428+N3428+O3428-P3428-M3428</f>
        <v/>
      </c>
    </row>
    <row r="3429">
      <c r="A3429" s="16" t="inlineStr">
        <is>
          <t>5.29-6.4</t>
        </is>
      </c>
      <c r="B3429" s="16" t="inlineStr">
        <is>
          <t>PO-128-08061279355511582</t>
        </is>
      </c>
      <c r="C3429" s="16" t="inlineStr">
        <is>
          <t>Delivered</t>
        </is>
      </c>
      <c r="D3429" s="16" t="inlineStr">
        <is>
          <t>128-08061274112631582</t>
        </is>
      </c>
      <c r="E3429" s="16" t="inlineStr">
        <is>
          <t>Delivered</t>
        </is>
      </c>
      <c r="F3429" s="16" t="inlineStr">
        <is>
          <t>VB349T</t>
        </is>
      </c>
      <c r="G3429" s="16" t="inlineStr">
        <is>
          <t>LINKBITS Altavoz Portátil de Doble Altavoz - 3 Pulgadas, Sonido HD, Emparejamiento Rápido de Bluetooth, Conectividad TWS, Reproducción Multimodo (Micro SD/USB/Radio FM) - Perfecto para Oficina, Viajes y Espacios Pequeños</t>
        </is>
      </c>
      <c r="H3429" s="16" t="inlineStr">
        <is>
          <t>NEGRO</t>
        </is>
      </c>
      <c r="I3429" s="16" t="n">
        <v>1</v>
      </c>
      <c r="J3429" s="17" t="n">
        <v>81</v>
      </c>
      <c r="K3429" s="17" t="n">
        <v>94.26000000000001</v>
      </c>
      <c r="L3429" s="17" t="n">
        <v>25.86</v>
      </c>
      <c r="M3429" s="17" t="n">
        <v>0</v>
      </c>
      <c r="N3429" s="17">
        <f>K3429*0.08+L3429*0.08</f>
        <v/>
      </c>
      <c r="O3429" s="17">
        <f>-(K3429*0.025+L3429*0.025)</f>
        <v/>
      </c>
      <c r="P3429" s="17">
        <f>32</f>
        <v/>
      </c>
      <c r="Q3429" s="17">
        <f>J3429+L3429+N3429+O3429-P3429-M3429</f>
        <v/>
      </c>
    </row>
    <row r="3430">
      <c r="A3430" s="16" t="inlineStr">
        <is>
          <t>5.29-6.4</t>
        </is>
      </c>
      <c r="B3430" s="16" t="inlineStr">
        <is>
          <t>PO-128-07640118262393196</t>
        </is>
      </c>
      <c r="C3430" s="16" t="inlineStr">
        <is>
          <t>Delivered</t>
        </is>
      </c>
      <c r="D3430" s="16" t="inlineStr">
        <is>
          <t>128-07640139233913196</t>
        </is>
      </c>
      <c r="E3430" s="16" t="inlineStr">
        <is>
          <t>Delivered</t>
        </is>
      </c>
      <c r="F3430" s="16" t="inlineStr">
        <is>
          <t>KTS-2031</t>
        </is>
      </c>
      <c r="G3430" s="16" t="inlineStr">
        <is>
          <t>Bocina inalámbrica de 3 pulgadas con linterna multifuncional y panel solar integrado.Altavoz Portátil con Linterna LED 4 Modos, Radio FM, Bluetooth, Carga Solar, Ideal para Apagones, Emergencias, Campo y Exteriores</t>
        </is>
      </c>
      <c r="H3430" s="16" t="inlineStr">
        <is>
          <t>NEGRO</t>
        </is>
      </c>
      <c r="I3430" s="16" t="n">
        <v>1</v>
      </c>
      <c r="J3430" s="17" t="n">
        <v>90</v>
      </c>
      <c r="K3430" s="17" t="n">
        <v>99.22</v>
      </c>
      <c r="L3430" s="17" t="n">
        <v>25.86</v>
      </c>
      <c r="M3430" s="17" t="n">
        <v>0</v>
      </c>
      <c r="N3430" s="17">
        <f>K3430*0.08+L3430*0.08</f>
        <v/>
      </c>
      <c r="O3430" s="17">
        <f>-(K3430*0.025+L3430*0.025)</f>
        <v/>
      </c>
      <c r="P3430" s="17">
        <f>32</f>
        <v/>
      </c>
      <c r="Q3430" s="17">
        <f>J3430+L3430+N3430+O3430-P3430-M3430</f>
        <v/>
      </c>
    </row>
    <row r="3431">
      <c r="A3431" s="16" t="inlineStr">
        <is>
          <t>5.29-6.4</t>
        </is>
      </c>
      <c r="B3431" s="16" t="inlineStr">
        <is>
          <t>PO-128-07675439841913883</t>
        </is>
      </c>
      <c r="C3431" s="16" t="inlineStr">
        <is>
          <t>Delivered</t>
        </is>
      </c>
      <c r="D3431" s="16" t="inlineStr">
        <is>
          <t>128-07675544699513883</t>
        </is>
      </c>
      <c r="E3431" s="16" t="inlineStr">
        <is>
          <t>Delivered</t>
        </is>
      </c>
      <c r="F3431" s="16" t="inlineStr">
        <is>
          <t>LV54W25</t>
        </is>
      </c>
      <c r="G3431" s="16" t="inlineStr">
        <is>
          <t>TIANLAI Lámpara Ventilador E27 2 en 1, Silenciosa, LED Alta Luminosidad 180°, Instalación Rápida, Ahorro Energético para Dormitorio y Interiores Pequeños</t>
        </is>
      </c>
      <c r="H3431" s="16" t="inlineStr">
        <is>
          <t>1 Pieza</t>
        </is>
      </c>
      <c r="I3431" s="16" t="n">
        <v>1</v>
      </c>
      <c r="J3431" s="17" t="n">
        <v>78</v>
      </c>
      <c r="K3431" s="17" t="n">
        <v>80.70999999999999</v>
      </c>
      <c r="L3431" s="17" t="n">
        <v>25.86</v>
      </c>
      <c r="M3431" s="17" t="n">
        <v>0</v>
      </c>
      <c r="N3431" s="17">
        <f>K3431*0.08+L3431*0.08</f>
        <v/>
      </c>
      <c r="O3431" s="17">
        <f>-(K3431*0.025+L3431*0.025)</f>
        <v/>
      </c>
      <c r="P3431" s="17">
        <f>32</f>
        <v/>
      </c>
      <c r="Q3431" s="17">
        <f>J3431+L3431+N3431+O3431-P3431-M3431</f>
        <v/>
      </c>
    </row>
    <row r="3432">
      <c r="A3432" s="16" t="inlineStr">
        <is>
          <t>5.29-6.4</t>
        </is>
      </c>
      <c r="B3432" s="16" t="inlineStr">
        <is>
          <t>PO-128-07671543404153843</t>
        </is>
      </c>
      <c r="C3432" s="16" t="inlineStr">
        <is>
          <t>Delivered</t>
        </is>
      </c>
      <c r="D3432" s="16" t="inlineStr">
        <is>
          <t>128-07671501461113843</t>
        </is>
      </c>
      <c r="E3432" s="16" t="inlineStr">
        <is>
          <t>Delivered</t>
        </is>
      </c>
      <c r="F3432" s="16" t="inlineStr">
        <is>
          <t>LV54W25</t>
        </is>
      </c>
      <c r="G3432" s="16" t="inlineStr">
        <is>
          <t>TIANLAI Lámpara Ventilador E27 2 en 1, Silenciosa, LED Alta Luminosidad 180°, Instalación Rápida, Ahorro Energético para Dormitorio y Interiores Pequeños</t>
        </is>
      </c>
      <c r="H3432" s="16" t="inlineStr">
        <is>
          <t>1 Pieza</t>
        </is>
      </c>
      <c r="I3432" s="16" t="n">
        <v>1</v>
      </c>
      <c r="J3432" s="17" t="n">
        <v>78</v>
      </c>
      <c r="K3432" s="17" t="n">
        <v>80.70999999999999</v>
      </c>
      <c r="L3432" s="17" t="n">
        <v>25.86</v>
      </c>
      <c r="M3432" s="17" t="n">
        <v>0</v>
      </c>
      <c r="N3432" s="17">
        <f>K3432*0.08+L3432*0.08</f>
        <v/>
      </c>
      <c r="O3432" s="17">
        <f>-(K3432*0.025+L3432*0.025)</f>
        <v/>
      </c>
      <c r="P3432" s="17">
        <f>32</f>
        <v/>
      </c>
      <c r="Q3432" s="17">
        <f>J3432+L3432+N3432+O3432-P3432-M3432</f>
        <v/>
      </c>
    </row>
    <row r="3433">
      <c r="A3433" s="16" t="inlineStr">
        <is>
          <t>5.29-6.4</t>
        </is>
      </c>
      <c r="B3433" s="16" t="inlineStr">
        <is>
          <t>PO-128-08178406380151013</t>
        </is>
      </c>
      <c r="C3433" s="16" t="inlineStr">
        <is>
          <t>Delivered</t>
        </is>
      </c>
      <c r="D3433" s="16" t="inlineStr">
        <is>
          <t>128-08178437837431013</t>
        </is>
      </c>
      <c r="E3433" s="16" t="inlineStr">
        <is>
          <t>Delivered</t>
        </is>
      </c>
      <c r="F3433" s="16" t="inlineStr">
        <is>
          <t>LV64W25</t>
        </is>
      </c>
      <c r="G34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33" s="16" t="inlineStr">
        <is>
          <t>Blanco</t>
        </is>
      </c>
      <c r="I3433" s="16" t="n">
        <v>1</v>
      </c>
      <c r="J3433" s="17" t="n">
        <v>125</v>
      </c>
      <c r="K3433" s="17" t="n">
        <v>128.8</v>
      </c>
      <c r="L3433" s="17" t="n">
        <v>25.86</v>
      </c>
      <c r="M3433" s="17" t="n">
        <v>0</v>
      </c>
      <c r="N3433" s="17">
        <f>K3433*0.08+L3433*0.08</f>
        <v/>
      </c>
      <c r="O3433" s="17">
        <f>-(K3433*0.025+L3433*0.025)</f>
        <v/>
      </c>
      <c r="P3433" s="17">
        <f>32</f>
        <v/>
      </c>
      <c r="Q3433" s="17">
        <f>J3433+L3433+N3433+O3433-P3433-M3433</f>
        <v/>
      </c>
    </row>
    <row r="3434">
      <c r="A3434" s="16" t="inlineStr">
        <is>
          <t>5.29-6.4</t>
        </is>
      </c>
      <c r="B3434" s="16" t="inlineStr">
        <is>
          <t>PO-128-07848156078712852</t>
        </is>
      </c>
      <c r="C3434" s="16" t="inlineStr">
        <is>
          <t>Delivered</t>
        </is>
      </c>
      <c r="D3434" s="16" t="inlineStr">
        <is>
          <t>128-07848137728632852</t>
        </is>
      </c>
      <c r="E3434" s="16" t="inlineStr">
        <is>
          <t>Delivered</t>
        </is>
      </c>
      <c r="F3434" s="16" t="inlineStr">
        <is>
          <t>LV54W25</t>
        </is>
      </c>
      <c r="G3434" s="16" t="inlineStr">
        <is>
          <t>TIANLAI Lámpara Ventilador E27 2 en 1, Silenciosa, LED Alta Luminosidad 180°, Instalación Rápida, Ahorro Energético para Dormitorio y Interiores Pequeños</t>
        </is>
      </c>
      <c r="H3434" s="16" t="inlineStr">
        <is>
          <t>1 Pieza</t>
        </is>
      </c>
      <c r="I3434" s="16" t="n">
        <v>1</v>
      </c>
      <c r="J3434" s="17" t="n">
        <v>78</v>
      </c>
      <c r="K3434" s="17" t="n">
        <v>78.56</v>
      </c>
      <c r="L3434" s="17" t="n">
        <v>25.86</v>
      </c>
      <c r="M3434" s="17" t="n">
        <v>0</v>
      </c>
      <c r="N3434" s="17">
        <f>K3434*0.08+L3434*0.08</f>
        <v/>
      </c>
      <c r="O3434" s="17">
        <f>-(K3434*0.025+L3434*0.025)</f>
        <v/>
      </c>
      <c r="P3434" s="17">
        <f>32</f>
        <v/>
      </c>
      <c r="Q3434" s="17">
        <f>J3434+L3434+N3434+O3434-P3434-M3434</f>
        <v/>
      </c>
    </row>
    <row r="3435">
      <c r="A3435" s="16" t="inlineStr">
        <is>
          <t>5.29-6.4</t>
        </is>
      </c>
      <c r="B3435" s="16" t="inlineStr">
        <is>
          <t>PO-128-07982276127351092</t>
        </is>
      </c>
      <c r="C3435" s="16" t="inlineStr">
        <is>
          <t>Delivered</t>
        </is>
      </c>
      <c r="D3435" s="16" t="inlineStr">
        <is>
          <t>128-07982286613111092</t>
        </is>
      </c>
      <c r="E3435" s="16" t="inlineStr">
        <is>
          <t>Delivered</t>
        </is>
      </c>
      <c r="F3435" s="16" t="inlineStr">
        <is>
          <t>LV54W25</t>
        </is>
      </c>
      <c r="G3435" s="16" t="inlineStr">
        <is>
          <t>TIANLAI Lámpara Ventilador E27 2 en 1, Silenciosa, LED Alta Luminosidad 180°, Instalación Rápida, Ahorro Energético para Dormitorio y Interiores Pequeños</t>
        </is>
      </c>
      <c r="H3435" s="16" t="inlineStr">
        <is>
          <t>1 Pieza</t>
        </is>
      </c>
      <c r="I3435" s="16" t="n">
        <v>1</v>
      </c>
      <c r="J3435" s="17" t="n">
        <v>78</v>
      </c>
      <c r="K3435" s="17" t="n">
        <v>80.70999999999999</v>
      </c>
      <c r="L3435" s="17" t="n">
        <v>25.86</v>
      </c>
      <c r="M3435" s="17" t="n">
        <v>0</v>
      </c>
      <c r="N3435" s="17">
        <f>K3435*0.08+L3435*0.08</f>
        <v/>
      </c>
      <c r="O3435" s="17">
        <f>-(K3435*0.025+L3435*0.025)</f>
        <v/>
      </c>
      <c r="P3435" s="17">
        <f>32</f>
        <v/>
      </c>
      <c r="Q3435" s="17">
        <f>J3435+L3435+N3435+O3435-P3435-M3435</f>
        <v/>
      </c>
    </row>
    <row r="3436">
      <c r="A3436" s="16" t="inlineStr">
        <is>
          <t>5.29-6.4</t>
        </is>
      </c>
      <c r="B3436" s="16" t="inlineStr">
        <is>
          <t>PO-128-07956038584951187</t>
        </is>
      </c>
      <c r="C3436" s="16" t="inlineStr">
        <is>
          <t>Delivered</t>
        </is>
      </c>
      <c r="D3436" s="16" t="inlineStr">
        <is>
          <t>128-07956059556471187</t>
        </is>
      </c>
      <c r="E3436" s="16" t="inlineStr">
        <is>
          <t>Delivered</t>
        </is>
      </c>
      <c r="F3436" s="16" t="inlineStr">
        <is>
          <t>LV54W25</t>
        </is>
      </c>
      <c r="G3436" s="16" t="inlineStr">
        <is>
          <t>TIANLAI Lámpara Ventilador E27 2 en 1, Silenciosa, LED Alta Luminosidad 180°, Instalación Rápida, Ahorro Energético para Dormitorio y Interiores Pequeños</t>
        </is>
      </c>
      <c r="H3436" s="16" t="inlineStr">
        <is>
          <t>1 Pieza</t>
        </is>
      </c>
      <c r="I3436" s="16" t="n">
        <v>3</v>
      </c>
      <c r="J3436" s="17" t="n">
        <v>234</v>
      </c>
      <c r="K3436" s="17" t="n">
        <v>247.53</v>
      </c>
      <c r="L3436" s="17" t="n">
        <v>0</v>
      </c>
      <c r="M3436" s="17" t="n">
        <v>0</v>
      </c>
      <c r="N3436" s="17">
        <f>K3436*0.08+L3436*0.08</f>
        <v/>
      </c>
      <c r="O3436" s="17">
        <f>-(K3436*0.025+L3436*0.025)</f>
        <v/>
      </c>
      <c r="P3436" s="17">
        <f>32</f>
        <v/>
      </c>
      <c r="Q3436" s="17">
        <f>J3436+L3436+N3436+O3436-P3436-M3436</f>
        <v/>
      </c>
    </row>
    <row r="3437">
      <c r="A3437" s="16" t="inlineStr">
        <is>
          <t>5.29-6.4</t>
        </is>
      </c>
      <c r="B3437" s="16" t="inlineStr">
        <is>
          <t>PO-128-07767073065592377</t>
        </is>
      </c>
      <c r="C3437" s="16" t="inlineStr">
        <is>
          <t>Delivered</t>
        </is>
      </c>
      <c r="D3437" s="16" t="inlineStr">
        <is>
          <t>128-07767044229752377</t>
        </is>
      </c>
      <c r="E3437" s="16" t="inlineStr">
        <is>
          <t>Delivered</t>
        </is>
      </c>
      <c r="F3437" s="16" t="inlineStr">
        <is>
          <t>LV64W25</t>
        </is>
      </c>
      <c r="G343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37" s="16" t="inlineStr">
        <is>
          <t>Blanco</t>
        </is>
      </c>
      <c r="I3437" s="16" t="n">
        <v>3</v>
      </c>
      <c r="J3437" s="17" t="n">
        <v>375</v>
      </c>
      <c r="K3437" s="17" t="n">
        <v>386.4</v>
      </c>
      <c r="L3437" s="17" t="n">
        <v>0</v>
      </c>
      <c r="M3437" s="17" t="n">
        <v>0</v>
      </c>
      <c r="N3437" s="17">
        <f>K3437*0.08+L3437*0.08</f>
        <v/>
      </c>
      <c r="O3437" s="17">
        <f>-(K3437*0.025+L3437*0.025)</f>
        <v/>
      </c>
      <c r="P3437" s="17">
        <f>32</f>
        <v/>
      </c>
      <c r="Q3437" s="17">
        <f>J3437+L3437+N3437+O3437-P3437-M3437</f>
        <v/>
      </c>
    </row>
    <row r="3438">
      <c r="A3438" s="16" t="inlineStr">
        <is>
          <t>5.29-6.4</t>
        </is>
      </c>
      <c r="B3438" s="16" t="inlineStr">
        <is>
          <t>PO-128-07843835008632878</t>
        </is>
      </c>
      <c r="C3438" s="16" t="inlineStr">
        <is>
          <t>Delivered</t>
        </is>
      </c>
      <c r="D3438" s="16" t="inlineStr">
        <is>
          <t>128-07843793065592878</t>
        </is>
      </c>
      <c r="E3438" s="16" t="inlineStr">
        <is>
          <t>Delivered</t>
        </is>
      </c>
      <c r="F3438" s="16" t="inlineStr">
        <is>
          <t>KTS-1936</t>
        </is>
      </c>
      <c r="G3438" s="16" t="inlineStr">
        <is>
          <t>Espejo con Luz para Makeup，Espejo con Luz LED y Bocina Bluetooth，Espejo para Maquillaje con Aumentos y Luces LED de Intensidad Ajustable，Lente de Aumento 10X+Reproductor TF+ TWS，espejo de portátil y para estudiantes, oficina, dormitorio, mejor regalo</t>
        </is>
      </c>
      <c r="H3438" s="16" t="inlineStr">
        <is>
          <t>BLANCO</t>
        </is>
      </c>
      <c r="I3438" s="16" t="n">
        <v>1</v>
      </c>
      <c r="J3438" s="17" t="n">
        <v>220</v>
      </c>
      <c r="K3438" s="17" t="n">
        <v>238.53</v>
      </c>
      <c r="L3438" s="17" t="n">
        <v>25.86</v>
      </c>
      <c r="M3438" s="17" t="n">
        <v>0</v>
      </c>
      <c r="N3438" s="17">
        <f>K3438*0.08+L3438*0.08</f>
        <v/>
      </c>
      <c r="O3438" s="17">
        <f>-(K3438*0.025+L3438*0.025)</f>
        <v/>
      </c>
      <c r="P3438" s="17">
        <f>32</f>
        <v/>
      </c>
      <c r="Q3438" s="17">
        <f>J3438+L3438+N3438+O3438-P3438-M3438</f>
        <v/>
      </c>
    </row>
    <row r="3439">
      <c r="A3439" s="16" t="inlineStr">
        <is>
          <t>5.29-6.4</t>
        </is>
      </c>
      <c r="B3439" s="16" t="inlineStr">
        <is>
          <t>PO-128-07856144896632932</t>
        </is>
      </c>
      <c r="C3439" s="16" t="inlineStr">
        <is>
          <t>Delivered</t>
        </is>
      </c>
      <c r="D3439" s="16" t="inlineStr">
        <is>
          <t>128-07856220918392932</t>
        </is>
      </c>
      <c r="E3439" s="16" t="inlineStr">
        <is>
          <t>Delivered</t>
        </is>
      </c>
      <c r="F3439" s="16" t="inlineStr">
        <is>
          <t>LV64W25</t>
        </is>
      </c>
      <c r="G343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39" s="16" t="inlineStr">
        <is>
          <t>Blanco</t>
        </is>
      </c>
      <c r="I3439" s="16" t="n">
        <v>2</v>
      </c>
      <c r="J3439" s="17" t="n">
        <v>250</v>
      </c>
      <c r="K3439" s="17" t="n">
        <v>257.6</v>
      </c>
      <c r="L3439" s="17" t="n">
        <v>0</v>
      </c>
      <c r="M3439" s="17" t="n">
        <v>0</v>
      </c>
      <c r="N3439" s="17">
        <f>K3439*0.08+L3439*0.08</f>
        <v/>
      </c>
      <c r="O3439" s="17">
        <f>-(K3439*0.025+L3439*0.025)</f>
        <v/>
      </c>
      <c r="P3439" s="17">
        <f>32</f>
        <v/>
      </c>
      <c r="Q3439" s="17">
        <f>J3439+L3439+N3439+O3439-P3439-M3439</f>
        <v/>
      </c>
    </row>
    <row r="3440">
      <c r="A3440" s="16" t="inlineStr">
        <is>
          <t>5.29-6.4</t>
        </is>
      </c>
      <c r="B3440" s="16" t="inlineStr">
        <is>
          <t>PO-128-07926906204791294</t>
        </is>
      </c>
      <c r="C3440" s="16" t="inlineStr">
        <is>
          <t>Delivered</t>
        </is>
      </c>
      <c r="D3440" s="16" t="inlineStr">
        <is>
          <t>128-07927058248311294</t>
        </is>
      </c>
      <c r="E3440" s="16" t="inlineStr">
        <is>
          <t>Delivered</t>
        </is>
      </c>
      <c r="F3440" s="16" t="inlineStr">
        <is>
          <t>LV64W25</t>
        </is>
      </c>
      <c r="G34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40" s="16" t="inlineStr">
        <is>
          <t>Blanco</t>
        </is>
      </c>
      <c r="I3440" s="16" t="n">
        <v>2</v>
      </c>
      <c r="J3440" s="17" t="n">
        <v>250</v>
      </c>
      <c r="K3440" s="17" t="n">
        <v>257.6</v>
      </c>
      <c r="L3440" s="17" t="n">
        <v>0</v>
      </c>
      <c r="M3440" s="17" t="n">
        <v>0</v>
      </c>
      <c r="N3440" s="17">
        <f>K3440*0.08+L3440*0.08</f>
        <v/>
      </c>
      <c r="O3440" s="17">
        <f>-(K3440*0.025+L3440*0.025)</f>
        <v/>
      </c>
      <c r="P3440" s="17">
        <f>32</f>
        <v/>
      </c>
      <c r="Q3440" s="17">
        <f>J3440+L3440+N3440+O3440-P3440-M3440</f>
        <v/>
      </c>
    </row>
    <row r="3441">
      <c r="A3441" s="16" t="inlineStr">
        <is>
          <t>5.29-6.4</t>
        </is>
      </c>
      <c r="B3441" s="16" t="inlineStr">
        <is>
          <t>PO-128-07999999350392013</t>
        </is>
      </c>
      <c r="C3441" s="16" t="inlineStr">
        <is>
          <t>Delivered</t>
        </is>
      </c>
      <c r="D3441" s="16" t="inlineStr">
        <is>
          <t>128-08000020321912013</t>
        </is>
      </c>
      <c r="E3441" s="16" t="inlineStr">
        <is>
          <t>Delivered</t>
        </is>
      </c>
      <c r="F3441" s="16" t="inlineStr">
        <is>
          <t>SB428T</t>
        </is>
      </c>
      <c r="G3441" s="16" t="inlineStr">
        <is>
          <t>LINK BITS Bocina Portátil con 2 Altavoces de 4" (5W×2), Sonido Potente, Luces LED, Bluetooth, USB/TF/FM - Ideal para Reuniones, Fiestas y Picnics en México</t>
        </is>
      </c>
      <c r="H3441" s="16" t="inlineStr">
        <is>
          <t>SB428T</t>
        </is>
      </c>
      <c r="I3441" s="16" t="n">
        <v>1</v>
      </c>
      <c r="J3441" s="17" t="n">
        <v>97</v>
      </c>
      <c r="K3441" s="17" t="n">
        <v>115.49</v>
      </c>
      <c r="L3441" s="17" t="n">
        <v>25.86</v>
      </c>
      <c r="M3441" s="17" t="n">
        <v>0</v>
      </c>
      <c r="N3441" s="17">
        <f>K3441*0.08+L3441*0.08</f>
        <v/>
      </c>
      <c r="O3441" s="17">
        <f>-(K3441*0.025+L3441*0.025)</f>
        <v/>
      </c>
      <c r="P3441" s="17">
        <f>32</f>
        <v/>
      </c>
      <c r="Q3441" s="17">
        <f>J3441+L3441+N3441+O3441-P3441-M3441</f>
        <v/>
      </c>
    </row>
    <row r="3442">
      <c r="A3442" s="16" t="inlineStr">
        <is>
          <t>5.29-6.4</t>
        </is>
      </c>
      <c r="B3442" s="16" t="inlineStr">
        <is>
          <t>PO-128-07732254014072457</t>
        </is>
      </c>
      <c r="C3442" s="16" t="inlineStr">
        <is>
          <t>Delivered</t>
        </is>
      </c>
      <c r="D3442" s="16" t="inlineStr">
        <is>
          <t>128-07732212071032457</t>
        </is>
      </c>
      <c r="E3442" s="16" t="inlineStr">
        <is>
          <t>Delivered</t>
        </is>
      </c>
      <c r="F3442" s="16" t="inlineStr">
        <is>
          <t>LV64W25</t>
        </is>
      </c>
      <c r="G34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42" s="16" t="inlineStr">
        <is>
          <t>Blanco</t>
        </is>
      </c>
      <c r="I3442" s="16" t="n">
        <v>2</v>
      </c>
      <c r="J3442" s="17" t="n">
        <v>250</v>
      </c>
      <c r="K3442" s="17" t="n">
        <v>257.6</v>
      </c>
      <c r="L3442" s="17" t="n">
        <v>0</v>
      </c>
      <c r="M3442" s="17" t="n">
        <v>0</v>
      </c>
      <c r="N3442" s="17">
        <f>K3442*0.08+L3442*0.08</f>
        <v/>
      </c>
      <c r="O3442" s="17">
        <f>-(K3442*0.025+L3442*0.025)</f>
        <v/>
      </c>
      <c r="P3442" s="17">
        <f>32</f>
        <v/>
      </c>
      <c r="Q3442" s="17">
        <f>J3442+L3442+N3442+O3442-P3442-M3442</f>
        <v/>
      </c>
    </row>
    <row r="3443">
      <c r="A3443" s="16" t="inlineStr">
        <is>
          <t>5.29-6.4</t>
        </is>
      </c>
      <c r="B3443" s="16" t="inlineStr">
        <is>
          <t>PO-128-07846955418232861</t>
        </is>
      </c>
      <c r="C3443" s="16" t="inlineStr">
        <is>
          <t>Delivered</t>
        </is>
      </c>
      <c r="D3443" s="16" t="inlineStr">
        <is>
          <t>128-07846934446712861</t>
        </is>
      </c>
      <c r="E3443" s="16" t="inlineStr">
        <is>
          <t>Delivered</t>
        </is>
      </c>
      <c r="F3443" s="16" t="inlineStr">
        <is>
          <t>SB428T</t>
        </is>
      </c>
      <c r="G3443" s="16" t="inlineStr">
        <is>
          <t>LINK BITS Bocina Portátil con 2 Altavoces de 4" (5W×2), Sonido Potente, Luces LED, Bluetooth, USB/TF/FM - Ideal para Reuniones, Fiestas y Picnics en México</t>
        </is>
      </c>
      <c r="H3443" s="16" t="inlineStr">
        <is>
          <t>SB428T</t>
        </is>
      </c>
      <c r="I3443" s="16" t="n">
        <v>1</v>
      </c>
      <c r="J3443" s="17" t="n">
        <v>97</v>
      </c>
      <c r="K3443" s="17" t="n">
        <v>115.49</v>
      </c>
      <c r="L3443" s="17" t="n">
        <v>25.86</v>
      </c>
      <c r="M3443" s="17" t="n">
        <v>0</v>
      </c>
      <c r="N3443" s="17">
        <f>K3443*0.08+L3443*0.08</f>
        <v/>
      </c>
      <c r="O3443" s="17">
        <f>-(K3443*0.025+L3443*0.025)</f>
        <v/>
      </c>
      <c r="P3443" s="17">
        <f>32</f>
        <v/>
      </c>
      <c r="Q3443" s="17">
        <f>J3443+L3443+N3443+O3443-P3443-M3443</f>
        <v/>
      </c>
    </row>
    <row r="3444">
      <c r="A3444" s="16" t="inlineStr">
        <is>
          <t>5.29-6.4</t>
        </is>
      </c>
      <c r="B3444" s="16" t="inlineStr">
        <is>
          <t>PO-128-07889225493112609</t>
        </is>
      </c>
      <c r="C3444" s="16" t="inlineStr">
        <is>
          <t>Delivered</t>
        </is>
      </c>
      <c r="D3444" s="16" t="inlineStr">
        <is>
          <t>128-07889204521592609</t>
        </is>
      </c>
      <c r="E3444" s="16" t="inlineStr">
        <is>
          <t>Delivered</t>
        </is>
      </c>
      <c r="F3444" s="16" t="inlineStr">
        <is>
          <t>LV64W25</t>
        </is>
      </c>
      <c r="G344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44" s="16" t="inlineStr">
        <is>
          <t>Blanco</t>
        </is>
      </c>
      <c r="I3444" s="16" t="n">
        <v>2</v>
      </c>
      <c r="J3444" s="17" t="n">
        <v>250</v>
      </c>
      <c r="K3444" s="17" t="n">
        <v>257.6</v>
      </c>
      <c r="L3444" s="17" t="n">
        <v>0</v>
      </c>
      <c r="M3444" s="17" t="n">
        <v>0</v>
      </c>
      <c r="N3444" s="17">
        <f>K3444*0.08+L3444*0.08</f>
        <v/>
      </c>
      <c r="O3444" s="17">
        <f>-(K3444*0.025+L3444*0.025)</f>
        <v/>
      </c>
      <c r="P3444" s="17">
        <f>32</f>
        <v/>
      </c>
      <c r="Q3444" s="17">
        <f>J3444+L3444+N3444+O3444-P3444-M3444</f>
        <v/>
      </c>
    </row>
    <row r="3445">
      <c r="A3445" s="16" t="inlineStr">
        <is>
          <t>5.29-6.4</t>
        </is>
      </c>
      <c r="B3445" s="16" t="inlineStr">
        <is>
          <t>PO-128-07981615524471096</t>
        </is>
      </c>
      <c r="C3445" s="16" t="inlineStr">
        <is>
          <t>Delivered</t>
        </is>
      </c>
      <c r="D3445" s="16" t="inlineStr">
        <is>
          <t>128-07981632563831096</t>
        </is>
      </c>
      <c r="E3445" s="16" t="inlineStr">
        <is>
          <t>Delivered</t>
        </is>
      </c>
      <c r="F3445" s="16" t="inlineStr">
        <is>
          <t>LV64W25</t>
        </is>
      </c>
      <c r="G34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45" s="16" t="inlineStr">
        <is>
          <t>Blanco</t>
        </is>
      </c>
      <c r="I3445" s="16" t="n">
        <v>2</v>
      </c>
      <c r="J3445" s="17" t="n">
        <v>250</v>
      </c>
      <c r="K3445" s="17" t="n">
        <v>257.6</v>
      </c>
      <c r="L3445" s="17" t="n">
        <v>0</v>
      </c>
      <c r="M3445" s="17" t="n">
        <v>0</v>
      </c>
      <c r="N3445" s="17">
        <f>K3445*0.08+L3445*0.08</f>
        <v/>
      </c>
      <c r="O3445" s="17">
        <f>-(K3445*0.025+L3445*0.025)</f>
        <v/>
      </c>
      <c r="P3445" s="17">
        <f>32</f>
        <v/>
      </c>
      <c r="Q3445" s="17">
        <f>J3445+L3445+N3445+O3445-P3445-M3445</f>
        <v/>
      </c>
    </row>
    <row r="3446">
      <c r="A3446" s="16" t="inlineStr">
        <is>
          <t>5.29-6.4</t>
        </is>
      </c>
      <c r="B3446" s="16" t="inlineStr">
        <is>
          <t>PO-128-07754039573112327</t>
        </is>
      </c>
      <c r="C3446" s="16" t="inlineStr">
        <is>
          <t>Delivered</t>
        </is>
      </c>
      <c r="D3446" s="16" t="inlineStr">
        <is>
          <t>128-07754060544632327</t>
        </is>
      </c>
      <c r="E3446" s="16" t="inlineStr">
        <is>
          <t>Delivered</t>
        </is>
      </c>
      <c r="F3446" s="16" t="inlineStr">
        <is>
          <t>LV54W25</t>
        </is>
      </c>
      <c r="G3446" s="16" t="inlineStr">
        <is>
          <t>TIANLAI Lámpara Ventilador E27 2 en 1, Silenciosa, LED Alta Luminosidad 180°, Instalación Rápida, Ahorro Energético para Dormitorio y Interiores Pequeños</t>
        </is>
      </c>
      <c r="H3446" s="16" t="inlineStr">
        <is>
          <t>1 Pieza</t>
        </is>
      </c>
      <c r="I3446" s="16" t="n">
        <v>1</v>
      </c>
      <c r="J3446" s="17" t="n">
        <v>78</v>
      </c>
      <c r="K3446" s="17" t="n">
        <v>70.14</v>
      </c>
      <c r="L3446" s="17" t="n">
        <v>25.86</v>
      </c>
      <c r="M3446" s="17" t="n">
        <v>0</v>
      </c>
      <c r="N3446" s="17">
        <f>K3446*0.08+L3446*0.08</f>
        <v/>
      </c>
      <c r="O3446" s="17">
        <f>-(K3446*0.025+L3446*0.025)</f>
        <v/>
      </c>
      <c r="P3446" s="17">
        <f>32</f>
        <v/>
      </c>
      <c r="Q3446" s="17">
        <f>J3446+L3446+N3446+O3446-P3446-M3446</f>
        <v/>
      </c>
    </row>
    <row r="3447">
      <c r="A3447" s="16" t="inlineStr">
        <is>
          <t>5.29-6.4</t>
        </is>
      </c>
      <c r="B3447" s="16" t="inlineStr">
        <is>
          <t>PO-128-08181057751670996</t>
        </is>
      </c>
      <c r="C3447" s="16" t="inlineStr">
        <is>
          <t>Delivered</t>
        </is>
      </c>
      <c r="D3447" s="16" t="inlineStr">
        <is>
          <t>128-08181036780150996</t>
        </is>
      </c>
      <c r="E3447" s="16" t="inlineStr">
        <is>
          <t>Delivered</t>
        </is>
      </c>
      <c r="F3447" s="16" t="inlineStr">
        <is>
          <t>BSC07</t>
        </is>
      </c>
      <c r="G3447" s="16" t="inlineStr">
        <is>
          <t>TIANLAI Báscula Digital BSC04/BSC07, Alta Precisión, Fácil Operación, Ligera y Portátil, Función Tara, Unidad Dual oz/g, Ideal para Cocina, Control de Porciones, Sellos y Objetos Pequeños, Uso en Hogar y Viaje</t>
        </is>
      </c>
      <c r="H3447" s="16" t="inlineStr">
        <is>
          <t>1g/White</t>
        </is>
      </c>
      <c r="I3447" s="16" t="n">
        <v>1</v>
      </c>
      <c r="J3447" s="17" t="n">
        <v>38</v>
      </c>
      <c r="K3447" s="17" t="n">
        <v>50.22</v>
      </c>
      <c r="L3447" s="17" t="n">
        <v>25.86</v>
      </c>
      <c r="M3447" s="17" t="n">
        <v>0</v>
      </c>
      <c r="N3447" s="17">
        <f>K3447*0.08+L3447*0.08</f>
        <v/>
      </c>
      <c r="O3447" s="17">
        <f>-(K3447*0.025+L3447*0.025)</f>
        <v/>
      </c>
      <c r="P3447" s="17">
        <f>32</f>
        <v/>
      </c>
      <c r="Q3447" s="17">
        <f>J3447+L3447+N3447+O3447-P3447-M3447</f>
        <v/>
      </c>
    </row>
    <row r="3448">
      <c r="A3448" s="16" t="inlineStr">
        <is>
          <t>5.29-6.4</t>
        </is>
      </c>
      <c r="B3448" s="16" t="inlineStr">
        <is>
          <t>PO-128-07648158679673980</t>
        </is>
      </c>
      <c r="C3448" s="16" t="inlineStr">
        <is>
          <t>Delivered</t>
        </is>
      </c>
      <c r="D3448" s="16" t="inlineStr">
        <is>
          <t>128-07648129843833980</t>
        </is>
      </c>
      <c r="E3448" s="16" t="inlineStr">
        <is>
          <t>Delivered</t>
        </is>
      </c>
      <c r="F3448" s="16" t="inlineStr">
        <is>
          <t>LV54W25</t>
        </is>
      </c>
      <c r="G3448" s="16" t="inlineStr">
        <is>
          <t>TIANLAI Lámpara Ventilador E27 2 en 1, Silenciosa, LED Alta Luminosidad 180°, Instalación Rápida, Ahorro Energético para Dormitorio y Interiores Pequeños</t>
        </is>
      </c>
      <c r="H3448" s="16" t="inlineStr">
        <is>
          <t>1 Pieza</t>
        </is>
      </c>
      <c r="I3448" s="16" t="n">
        <v>1</v>
      </c>
      <c r="J3448" s="17" t="n">
        <v>78</v>
      </c>
      <c r="K3448" s="17" t="n">
        <v>82.51000000000001</v>
      </c>
      <c r="L3448" s="17" t="n">
        <v>25.86</v>
      </c>
      <c r="M3448" s="17" t="n">
        <v>0</v>
      </c>
      <c r="N3448" s="17">
        <f>K3448*0.08+L3448*0.08</f>
        <v/>
      </c>
      <c r="O3448" s="17">
        <f>-(K3448*0.025+L3448*0.025)</f>
        <v/>
      </c>
      <c r="P3448" s="17">
        <f>32</f>
        <v/>
      </c>
      <c r="Q3448" s="17">
        <f>J3448+L3448+N3448+O3448-P3448-M3448</f>
        <v/>
      </c>
    </row>
    <row r="3449">
      <c r="A3449" s="16" t="inlineStr">
        <is>
          <t>5.29-6.4</t>
        </is>
      </c>
      <c r="B3449" s="16" t="inlineStr">
        <is>
          <t>PO-128-08045899576951739</t>
        </is>
      </c>
      <c r="C3449" s="16" t="inlineStr">
        <is>
          <t>Delivered</t>
        </is>
      </c>
      <c r="D3449" s="16" t="inlineStr">
        <is>
          <t>128-08045883848311739</t>
        </is>
      </c>
      <c r="E3449" s="16" t="inlineStr">
        <is>
          <t>Delivered</t>
        </is>
      </c>
      <c r="F3449" s="16" t="inlineStr">
        <is>
          <t>LV54W25</t>
        </is>
      </c>
      <c r="G3449" s="16" t="inlineStr">
        <is>
          <t>TIANLAI Lámpara Ventilador E27 2 en 1, Silenciosa, LED Alta Luminosidad 180°, Instalación Rápida, Ahorro Energético para Dormitorio y Interiores Pequeños</t>
        </is>
      </c>
      <c r="H3449" s="16" t="inlineStr">
        <is>
          <t>1 Pieza</t>
        </is>
      </c>
      <c r="I3449" s="16" t="n">
        <v>2</v>
      </c>
      <c r="J3449" s="17" t="n">
        <v>156</v>
      </c>
      <c r="K3449" s="17" t="n">
        <v>104.07</v>
      </c>
      <c r="L3449" s="17" t="n">
        <v>25.86</v>
      </c>
      <c r="M3449" s="17" t="n">
        <v>0</v>
      </c>
      <c r="N3449" s="17">
        <f>K3449*0.08+L3449*0.08</f>
        <v/>
      </c>
      <c r="O3449" s="17">
        <f>-(K3449*0.025+L3449*0.025)</f>
        <v/>
      </c>
      <c r="P3449" s="17">
        <f>32</f>
        <v/>
      </c>
      <c r="Q3449" s="17">
        <f>J3449+L3449+N3449+O3449-P3449-M3449</f>
        <v/>
      </c>
    </row>
    <row r="3450">
      <c r="A3450" s="16" t="inlineStr">
        <is>
          <t>5.29-6.4</t>
        </is>
      </c>
      <c r="B3450" s="16" t="inlineStr">
        <is>
          <t>PO-128-07648909973113977</t>
        </is>
      </c>
      <c r="C3450" s="16" t="inlineStr">
        <is>
          <t>Delivered</t>
        </is>
      </c>
      <c r="D3450" s="16" t="inlineStr">
        <is>
          <t>128-07648915215993977</t>
        </is>
      </c>
      <c r="E3450" s="16" t="inlineStr">
        <is>
          <t>Delivered</t>
        </is>
      </c>
      <c r="F3450" s="16" t="inlineStr">
        <is>
          <t>LV54W25</t>
        </is>
      </c>
      <c r="G3450" s="16" t="inlineStr">
        <is>
          <t>TIANLAI Lámpara Ventilador E27 2 en 1, Silenciosa, LED Alta Luminosidad 180°, Instalación Rápida, Ahorro Energético para Dormitorio y Interiores Pequeños</t>
        </is>
      </c>
      <c r="H3450" s="16" t="inlineStr">
        <is>
          <t>1 Pieza</t>
        </is>
      </c>
      <c r="I3450" s="16" t="n">
        <v>3</v>
      </c>
      <c r="J3450" s="17" t="n">
        <v>234</v>
      </c>
      <c r="K3450" s="17" t="n">
        <v>237.14</v>
      </c>
      <c r="L3450" s="17" t="n">
        <v>0</v>
      </c>
      <c r="M3450" s="17" t="n">
        <v>0</v>
      </c>
      <c r="N3450" s="17">
        <f>K3450*0.08+L3450*0.08</f>
        <v/>
      </c>
      <c r="O3450" s="17">
        <f>-(K3450*0.025+L3450*0.025)</f>
        <v/>
      </c>
      <c r="P3450" s="17">
        <f>32</f>
        <v/>
      </c>
      <c r="Q3450" s="17">
        <f>J3450+L3450+N3450+O3450-P3450-M3450</f>
        <v/>
      </c>
    </row>
    <row r="3451">
      <c r="A3451" s="16" t="inlineStr">
        <is>
          <t>5.29-6.4</t>
        </is>
      </c>
      <c r="B3451" s="16" t="inlineStr">
        <is>
          <t>PO-128-07577565921913571</t>
        </is>
      </c>
      <c r="C3451" s="16" t="inlineStr">
        <is>
          <t>Delivered</t>
        </is>
      </c>
      <c r="D3451" s="16" t="inlineStr">
        <is>
          <t>128-07577576407673571</t>
        </is>
      </c>
      <c r="E3451" s="16" t="inlineStr">
        <is>
          <t>Delivered</t>
        </is>
      </c>
      <c r="F3451" s="16" t="inlineStr">
        <is>
          <t>i12-B</t>
        </is>
      </c>
      <c r="G3451" s="16" t="inlineStr">
        <is>
          <t>Auriculares Inalámbricos TWS - Ideales para Usuarios Android e iPhone, Entusiastas del Deporte &amp; Música, Controles Táctiles, Audífonos Para Correr y Jugar</t>
        </is>
      </c>
      <c r="H3451" s="16" t="inlineStr">
        <is>
          <t>Blanco</t>
        </is>
      </c>
      <c r="I3451" s="16" t="n">
        <v>1</v>
      </c>
      <c r="J3451" s="17" t="n">
        <v>44.8</v>
      </c>
      <c r="K3451" s="17" t="n">
        <v>75.81999999999999</v>
      </c>
      <c r="L3451" s="17" t="n">
        <v>25.86</v>
      </c>
      <c r="M3451" s="17" t="n">
        <v>0</v>
      </c>
      <c r="N3451" s="17">
        <f>K3451*0.08+L3451*0.08</f>
        <v/>
      </c>
      <c r="O3451" s="17">
        <f>-(K3451*0.025+L3451*0.025)</f>
        <v/>
      </c>
      <c r="P3451" s="17">
        <f>32</f>
        <v/>
      </c>
      <c r="Q3451" s="17">
        <f>J3451+L3451+N3451+O3451-P3451-M3451</f>
        <v/>
      </c>
    </row>
    <row r="3452">
      <c r="A3452" s="16" t="inlineStr">
        <is>
          <t>5.29-6.4</t>
        </is>
      </c>
      <c r="B3452" s="16" t="inlineStr">
        <is>
          <t>PO-128-07767542846072372</t>
        </is>
      </c>
      <c r="C3452" s="16" t="inlineStr">
        <is>
          <t>Delivered</t>
        </is>
      </c>
      <c r="D3452" s="16" t="inlineStr">
        <is>
          <t>128-07767548088952372</t>
        </is>
      </c>
      <c r="E3452" s="16" t="inlineStr">
        <is>
          <t>Delivered</t>
        </is>
      </c>
      <c r="F3452" s="16" t="inlineStr">
        <is>
          <t>LV64W25</t>
        </is>
      </c>
      <c r="G345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52" s="16" t="inlineStr">
        <is>
          <t>Blanco</t>
        </is>
      </c>
      <c r="I3452" s="16" t="n">
        <v>1</v>
      </c>
      <c r="J3452" s="17" t="n">
        <v>125</v>
      </c>
      <c r="K3452" s="17" t="n">
        <v>133.23</v>
      </c>
      <c r="L3452" s="17" t="n">
        <v>25.86</v>
      </c>
      <c r="M3452" s="17" t="n">
        <v>0</v>
      </c>
      <c r="N3452" s="17">
        <f>K3452*0.08+L3452*0.08</f>
        <v/>
      </c>
      <c r="O3452" s="17">
        <f>-(K3452*0.025+L3452*0.025)</f>
        <v/>
      </c>
      <c r="P3452" s="17">
        <f>32</f>
        <v/>
      </c>
      <c r="Q3452" s="17">
        <f>J3452+L3452+N3452+O3452-P3452-M3452</f>
        <v/>
      </c>
    </row>
    <row r="3453">
      <c r="A3453" s="16" t="inlineStr">
        <is>
          <t>5.29-6.4</t>
        </is>
      </c>
      <c r="B3453" s="16" t="inlineStr">
        <is>
          <t>PO-128-07681437860473910</t>
        </is>
      </c>
      <c r="C3453" s="16" t="inlineStr">
        <is>
          <t>Delivered</t>
        </is>
      </c>
      <c r="D3453" s="16" t="inlineStr">
        <is>
          <t>128-07681427374713910</t>
        </is>
      </c>
      <c r="E3453" s="16" t="inlineStr">
        <is>
          <t>Delivered</t>
        </is>
      </c>
      <c r="F3453" s="16" t="inlineStr">
        <is>
          <t>KTS-2031</t>
        </is>
      </c>
      <c r="G3453" s="16" t="inlineStr">
        <is>
          <t>Bocina inalámbrica de 3 pulgadas con linterna multifuncional y panel solar integrado.Altavoz Portátil con Linterna LED 4 Modos, Radio FM, Bluetooth, Carga Solar, Ideal para Apagones, Emergencias, Campo y Exteriores</t>
        </is>
      </c>
      <c r="H3453" s="16" t="inlineStr">
        <is>
          <t>NEGRO</t>
        </is>
      </c>
      <c r="I3453" s="16" t="n">
        <v>2</v>
      </c>
      <c r="J3453" s="17" t="n">
        <v>180</v>
      </c>
      <c r="K3453" s="17" t="n">
        <v>158.76</v>
      </c>
      <c r="L3453" s="17" t="n">
        <v>25.86</v>
      </c>
      <c r="M3453" s="17" t="n">
        <v>0</v>
      </c>
      <c r="N3453" s="17">
        <f>K3453*0.08+L3453*0.08</f>
        <v/>
      </c>
      <c r="O3453" s="17">
        <f>-(K3453*0.025+L3453*0.025)</f>
        <v/>
      </c>
      <c r="P3453" s="17">
        <f>32</f>
        <v/>
      </c>
      <c r="Q3453" s="17">
        <f>J3453+L3453+N3453+O3453-P3453-M3453</f>
        <v/>
      </c>
    </row>
    <row r="3454">
      <c r="A3454" s="16" t="inlineStr">
        <is>
          <t>5.29-6.4</t>
        </is>
      </c>
      <c r="B3454" s="16" t="inlineStr">
        <is>
          <t>PO-128-07918029312631477</t>
        </is>
      </c>
      <c r="C3454" s="16" t="inlineStr">
        <is>
          <t>Delivered</t>
        </is>
      </c>
      <c r="D3454" s="16" t="inlineStr">
        <is>
          <t>128-07918048318071477</t>
        </is>
      </c>
      <c r="E3454" s="16" t="inlineStr">
        <is>
          <t>Delivered</t>
        </is>
      </c>
      <c r="F3454" s="16" t="inlineStr">
        <is>
          <t>LV64W25</t>
        </is>
      </c>
      <c r="G34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54" s="16" t="inlineStr">
        <is>
          <t>Blanco</t>
        </is>
      </c>
      <c r="I3454" s="16" t="n">
        <v>2</v>
      </c>
      <c r="J3454" s="17" t="n">
        <v>250</v>
      </c>
      <c r="K3454" s="17" t="n">
        <v>257.88</v>
      </c>
      <c r="L3454" s="17" t="n">
        <v>0</v>
      </c>
      <c r="M3454" s="17" t="n">
        <v>0</v>
      </c>
      <c r="N3454" s="17">
        <f>K3454*0.08+L3454*0.08</f>
        <v/>
      </c>
      <c r="O3454" s="17">
        <f>-(K3454*0.025+L3454*0.025)</f>
        <v/>
      </c>
      <c r="P3454" s="17">
        <f>32</f>
        <v/>
      </c>
      <c r="Q3454" s="17">
        <f>J3454+L3454+N3454+O3454-P3454-M3454</f>
        <v/>
      </c>
    </row>
    <row r="3455">
      <c r="A3455" s="16" t="inlineStr">
        <is>
          <t>5.29-6.4</t>
        </is>
      </c>
      <c r="B3455" s="16" t="inlineStr">
        <is>
          <t>PO-128-07694760018553766</t>
        </is>
      </c>
      <c r="C3455" s="16" t="inlineStr">
        <is>
          <t>Delivered</t>
        </is>
      </c>
      <c r="D3455" s="16" t="inlineStr">
        <is>
          <t>128-07694712832633766</t>
        </is>
      </c>
      <c r="E3455" s="16" t="inlineStr">
        <is>
          <t>Delivered</t>
        </is>
      </c>
      <c r="F3455" s="16" t="inlineStr">
        <is>
          <t>BSC07</t>
        </is>
      </c>
      <c r="G3455" s="16" t="inlineStr">
        <is>
          <t>TIANLAI Báscula Digital BSC04/BSC07, Alta Precisión, Fácil Operación, Ligera y Portátil, Función Tara, Unidad Dual oz/g, Ideal para Cocina, Control de Porciones, Sellos y Objetos Pequeños, Uso en Hogar y Viaje</t>
        </is>
      </c>
      <c r="H3455" s="16" t="inlineStr">
        <is>
          <t>1g/White</t>
        </is>
      </c>
      <c r="I3455" s="16" t="n">
        <v>1</v>
      </c>
      <c r="J3455" s="17" t="n">
        <v>38</v>
      </c>
      <c r="K3455" s="17" t="n">
        <v>50.22</v>
      </c>
      <c r="L3455" s="17" t="n">
        <v>25.86</v>
      </c>
      <c r="M3455" s="17" t="n">
        <v>0</v>
      </c>
      <c r="N3455" s="17">
        <f>K3455*0.08+L3455*0.08</f>
        <v/>
      </c>
      <c r="O3455" s="17">
        <f>-(K3455*0.025+L3455*0.025)</f>
        <v/>
      </c>
      <c r="P3455" s="17">
        <f>32</f>
        <v/>
      </c>
      <c r="Q3455" s="17">
        <f>J3455+L3455+N3455+O3455-P3455-M3455</f>
        <v/>
      </c>
    </row>
    <row r="3456">
      <c r="A3456" s="16" t="inlineStr">
        <is>
          <t>5.29-6.4</t>
        </is>
      </c>
      <c r="B3456" s="16" t="inlineStr">
        <is>
          <t>PO-128-07939432622711348</t>
        </is>
      </c>
      <c r="C3456" s="16" t="inlineStr">
        <is>
          <t>Delivered</t>
        </is>
      </c>
      <c r="D3456" s="16" t="inlineStr">
        <is>
          <t>128-07939453594231348</t>
        </is>
      </c>
      <c r="E3456" s="16" t="inlineStr">
        <is>
          <t>Delivered</t>
        </is>
      </c>
      <c r="F3456" s="16" t="inlineStr">
        <is>
          <t>LV54W25</t>
        </is>
      </c>
      <c r="G3456" s="16" t="inlineStr">
        <is>
          <t>TIANLAI Lámpara Ventilador E27 2 en 1, Silenciosa, LED Alta Luminosidad 180°, Instalación Rápida, Ahorro Energético para Dormitorio y Interiores Pequeños</t>
        </is>
      </c>
      <c r="H3456" s="16" t="inlineStr">
        <is>
          <t>1 Pieza</t>
        </is>
      </c>
      <c r="I3456" s="16" t="n">
        <v>1</v>
      </c>
      <c r="J3456" s="17" t="n">
        <v>78</v>
      </c>
      <c r="K3456" s="17" t="n">
        <v>89.68000000000001</v>
      </c>
      <c r="L3456" s="17" t="n">
        <v>25.86</v>
      </c>
      <c r="M3456" s="17" t="n">
        <v>3.5</v>
      </c>
      <c r="N3456" s="17">
        <f>K3456*0.08+L3456*0.08</f>
        <v/>
      </c>
      <c r="O3456" s="17">
        <f>-(K3456*0.025+L3456*0.025)</f>
        <v/>
      </c>
      <c r="P3456" s="17">
        <f>32</f>
        <v/>
      </c>
      <c r="Q3456" s="17">
        <f>J3456+L3456+N3456+O3456-P3456-M3456</f>
        <v/>
      </c>
    </row>
    <row r="3457">
      <c r="A3457" s="16" t="inlineStr">
        <is>
          <t>5.29-6.4</t>
        </is>
      </c>
      <c r="B3457" s="16" t="inlineStr">
        <is>
          <t>PO-128-13559950776951577</t>
        </is>
      </c>
      <c r="C3457" s="16" t="inlineStr">
        <is>
          <t>Delivered</t>
        </is>
      </c>
      <c r="D3457" s="16" t="inlineStr">
        <is>
          <t>128-13560003205751577</t>
        </is>
      </c>
      <c r="E3457" s="16" t="inlineStr">
        <is>
          <t>Delivered</t>
        </is>
      </c>
      <c r="F3457" s="16" t="inlineStr">
        <is>
          <t>KTS-2031</t>
        </is>
      </c>
      <c r="G3457" s="16" t="inlineStr">
        <is>
          <t>Bocina inalámbrica de 3 pulgadas con linterna multifuncional y panel solar integrado.Altavoz Portátil con Linterna LED 4 Modos, Radio FM, Bluetooth, Carga Solar, Ideal para Apagones, Emergencias, Campo y Exteriores</t>
        </is>
      </c>
      <c r="H3457" s="16" t="inlineStr">
        <is>
          <t>NEGRO</t>
        </is>
      </c>
      <c r="I3457" s="16" t="n">
        <v>1</v>
      </c>
      <c r="J3457" s="17" t="n">
        <v>90</v>
      </c>
      <c r="K3457" s="17" t="n">
        <v>99.22</v>
      </c>
      <c r="L3457" s="17" t="n">
        <v>25.86</v>
      </c>
      <c r="M3457" s="17" t="n">
        <v>0</v>
      </c>
      <c r="N3457" s="17">
        <f>K3457*0.08+L3457*0.08</f>
        <v/>
      </c>
      <c r="O3457" s="17">
        <f>-(K3457*0.025+L3457*0.025)</f>
        <v/>
      </c>
      <c r="P3457" s="17">
        <f>32</f>
        <v/>
      </c>
      <c r="Q3457" s="17">
        <f>J3457+L3457+N3457+O3457-P3457-M3457</f>
        <v/>
      </c>
    </row>
    <row r="3458">
      <c r="A3458" s="16" t="inlineStr">
        <is>
          <t>5.29-6.4</t>
        </is>
      </c>
      <c r="B3458" s="16" t="inlineStr">
        <is>
          <t>PO-128-13742926705270612</t>
        </is>
      </c>
      <c r="C3458" s="16" t="inlineStr">
        <is>
          <t>Delivered</t>
        </is>
      </c>
      <c r="D3458" s="16" t="inlineStr">
        <is>
          <t>128-13743031562870612</t>
        </is>
      </c>
      <c r="E3458" s="16" t="inlineStr">
        <is>
          <t>Delivered</t>
        </is>
      </c>
      <c r="F3458" s="16" t="inlineStr">
        <is>
          <t>KTS-1936</t>
        </is>
      </c>
      <c r="G3458" s="16" t="inlineStr">
        <is>
          <t>Espejo con Luz para Makeup，Espejo con Luz LED y Bocina Bluetooth，Espejo para Maquillaje con Aumentos y Luces LED de Intensidad Ajustable，Lente de Aumento 10X+Reproductor TF+ TWS，espejo de portátil y para estudiantes, oficina, dormitorio, mejor regalo</t>
        </is>
      </c>
      <c r="H3458" s="16" t="inlineStr">
        <is>
          <t>BLANCO</t>
        </is>
      </c>
      <c r="I3458" s="16" t="n">
        <v>1</v>
      </c>
      <c r="J3458" s="17" t="n">
        <v>220</v>
      </c>
      <c r="K3458" s="17" t="n">
        <v>238.53</v>
      </c>
      <c r="L3458" s="17" t="n">
        <v>25.86</v>
      </c>
      <c r="M3458" s="17" t="n">
        <v>0</v>
      </c>
      <c r="N3458" s="17">
        <f>K3458*0.08+L3458*0.08</f>
        <v/>
      </c>
      <c r="O3458" s="17">
        <f>-(K3458*0.025+L3458*0.025)</f>
        <v/>
      </c>
      <c r="P3458" s="17">
        <f>32</f>
        <v/>
      </c>
      <c r="Q3458" s="17">
        <f>J3458+L3458+N3458+O3458-P3458-M3458</f>
        <v/>
      </c>
    </row>
    <row r="3459">
      <c r="A3459" s="16" t="inlineStr">
        <is>
          <t>5.29-6.4</t>
        </is>
      </c>
      <c r="B3459" s="16" t="inlineStr">
        <is>
          <t>PO-128-13547394038391778</t>
        </is>
      </c>
      <c r="C3459" s="16" t="inlineStr">
        <is>
          <t>Delivered</t>
        </is>
      </c>
      <c r="D3459" s="16" t="inlineStr">
        <is>
          <t>128-13547400591991778</t>
        </is>
      </c>
      <c r="E3459" s="16" t="inlineStr">
        <is>
          <t>Delivered</t>
        </is>
      </c>
      <c r="F3459" s="16" t="inlineStr">
        <is>
          <t>LV54W25</t>
        </is>
      </c>
      <c r="G3459" s="16" t="inlineStr">
        <is>
          <t>TIANLAI Lámpara Ventilador E27 2 en 1, Silenciosa, LED Alta Luminosidad 180°, Instalación Rápida, Ahorro Energético para Dormitorio y Interiores Pequeños</t>
        </is>
      </c>
      <c r="H3459" s="16" t="inlineStr">
        <is>
          <t>1 Pieza</t>
        </is>
      </c>
      <c r="I3459" s="16" t="n">
        <v>1</v>
      </c>
      <c r="J3459" s="17" t="n">
        <v>78</v>
      </c>
      <c r="K3459" s="17" t="n">
        <v>72.08</v>
      </c>
      <c r="L3459" s="17" t="n">
        <v>25.86</v>
      </c>
      <c r="M3459" s="17" t="n">
        <v>0</v>
      </c>
      <c r="N3459" s="17">
        <f>K3459*0.08+L3459*0.08</f>
        <v/>
      </c>
      <c r="O3459" s="17">
        <f>-(K3459*0.025+L3459*0.025)</f>
        <v/>
      </c>
      <c r="P3459" s="17">
        <f>32</f>
        <v/>
      </c>
      <c r="Q3459" s="17">
        <f>J3459+L3459+N3459+O3459-P3459-M3459</f>
        <v/>
      </c>
    </row>
    <row r="3460">
      <c r="A3460" s="16" t="inlineStr">
        <is>
          <t>5.29-6.4</t>
        </is>
      </c>
      <c r="B3460" s="16" t="inlineStr">
        <is>
          <t>PO-128-13151704924794008</t>
        </is>
      </c>
      <c r="C3460" s="16" t="inlineStr">
        <is>
          <t>Delivered</t>
        </is>
      </c>
      <c r="D3460" s="16" t="inlineStr">
        <is>
          <t>128-13151697060474008</t>
        </is>
      </c>
      <c r="E3460" s="16" t="inlineStr">
        <is>
          <t>Delivered</t>
        </is>
      </c>
      <c r="F3460" s="16" t="inlineStr">
        <is>
          <t>KTS-1369</t>
        </is>
      </c>
      <c r="G3460" s="16" t="inlineStr">
        <is>
          <t>Bocina 3 Pulgadas Portátil Bluetooth con Luces LED, Sonido Claro y Batería Larga Duración, TWS TF USB FM, Ideal para Hogar Oficina y Exterior</t>
        </is>
      </c>
      <c r="H3460" s="16" t="inlineStr">
        <is>
          <t>NEGRO</t>
        </is>
      </c>
      <c r="I3460" s="16" t="n">
        <v>2</v>
      </c>
      <c r="J3460" s="17" t="n">
        <v>110</v>
      </c>
      <c r="K3460" s="17" t="n">
        <v>147.48</v>
      </c>
      <c r="L3460" s="17" t="n">
        <v>25.86</v>
      </c>
      <c r="M3460" s="17" t="n">
        <v>6</v>
      </c>
      <c r="N3460" s="17">
        <f>K3460*0.08+L3460*0.08</f>
        <v/>
      </c>
      <c r="O3460" s="17">
        <f>-(K3460*0.025+L3460*0.025)</f>
        <v/>
      </c>
      <c r="P3460" s="17">
        <f>32</f>
        <v/>
      </c>
      <c r="Q3460" s="17">
        <f>J3460+L3460+N3460+O3460-P3460-M3460</f>
        <v/>
      </c>
    </row>
    <row r="3461">
      <c r="A3461" s="16" t="inlineStr">
        <is>
          <t>5.29-6.4</t>
        </is>
      </c>
      <c r="B3461" s="16" t="inlineStr">
        <is>
          <t>PO-128-13354372270712928</t>
        </is>
      </c>
      <c r="C3461" s="16" t="inlineStr">
        <is>
          <t>Delivered</t>
        </is>
      </c>
      <c r="D3461" s="16" t="inlineStr">
        <is>
          <t>128-13354347367032928</t>
        </is>
      </c>
      <c r="E3461" s="16" t="inlineStr">
        <is>
          <t>Delivered</t>
        </is>
      </c>
      <c r="F3461" s="16" t="inlineStr">
        <is>
          <t>LV54W25</t>
        </is>
      </c>
      <c r="G3461" s="16" t="inlineStr">
        <is>
          <t>TIANLAI Lámpara Ventilador E27 2 en 1, Silenciosa, LED Alta Luminosidad 180°, Instalación Rápida, Ahorro Energético para Dormitorio y Interiores Pequeños</t>
        </is>
      </c>
      <c r="H3461" s="16" t="inlineStr">
        <is>
          <t>1 Pieza</t>
        </is>
      </c>
      <c r="I3461" s="16" t="n">
        <v>3</v>
      </c>
      <c r="J3461" s="17" t="n">
        <v>234</v>
      </c>
      <c r="K3461" s="17" t="n">
        <v>247.53</v>
      </c>
      <c r="L3461" s="17" t="n">
        <v>0</v>
      </c>
      <c r="M3461" s="17" t="n">
        <v>0</v>
      </c>
      <c r="N3461" s="17">
        <f>K3461*0.08+L3461*0.08</f>
        <v/>
      </c>
      <c r="O3461" s="17">
        <f>-(K3461*0.025+L3461*0.025)</f>
        <v/>
      </c>
      <c r="P3461" s="17">
        <f>32</f>
        <v/>
      </c>
      <c r="Q3461" s="17">
        <f>J3461+L3461+N3461+O3461-P3461-M3461</f>
        <v/>
      </c>
    </row>
    <row r="3462">
      <c r="A3462" s="16" t="inlineStr">
        <is>
          <t>5.29-6.4</t>
        </is>
      </c>
      <c r="B3462" s="16" t="inlineStr">
        <is>
          <t>PO-128-13308624323192115</t>
        </is>
      </c>
      <c r="C3462" s="16" t="inlineStr">
        <is>
          <t>Delivered</t>
        </is>
      </c>
      <c r="D3462" s="16" t="inlineStr">
        <is>
          <t>128-13308676751992115</t>
        </is>
      </c>
      <c r="E3462" s="16" t="inlineStr">
        <is>
          <t>Delivered</t>
        </is>
      </c>
      <c r="F3462" s="16" t="inlineStr">
        <is>
          <t>LV54W25</t>
        </is>
      </c>
      <c r="G3462" s="16" t="inlineStr">
        <is>
          <t>TIANLAI Lámpara Ventilador E27 2 en 1, Silenciosa, LED Alta Luminosidad 180°, Instalación Rápida, Ahorro Energético para Dormitorio y Interiores Pequeños</t>
        </is>
      </c>
      <c r="H3462" s="16" t="inlineStr">
        <is>
          <t>1 Pieza</t>
        </is>
      </c>
      <c r="I3462" s="16" t="n">
        <v>3</v>
      </c>
      <c r="J3462" s="17" t="n">
        <v>234</v>
      </c>
      <c r="K3462" s="17" t="n">
        <v>227.77</v>
      </c>
      <c r="L3462" s="17" t="n">
        <v>0</v>
      </c>
      <c r="M3462" s="17" t="n">
        <v>0</v>
      </c>
      <c r="N3462" s="17">
        <f>K3462*0.08+L3462*0.08</f>
        <v/>
      </c>
      <c r="O3462" s="17">
        <f>-(K3462*0.025+L3462*0.025)</f>
        <v/>
      </c>
      <c r="P3462" s="17">
        <f>32</f>
        <v/>
      </c>
      <c r="Q3462" s="17">
        <f>J3462+L3462+N3462+O3462-P3462-M3462</f>
        <v/>
      </c>
    </row>
    <row r="3463">
      <c r="A3463" s="16" t="inlineStr">
        <is>
          <t>5.29-6.4</t>
        </is>
      </c>
      <c r="B3463" s="16" t="inlineStr">
        <is>
          <t>PO-128-13070531794553532</t>
        </is>
      </c>
      <c r="C3463" s="16" t="inlineStr">
        <is>
          <t>Delivered</t>
        </is>
      </c>
      <c r="D3463" s="16" t="inlineStr">
        <is>
          <t>128-13070510823033532</t>
        </is>
      </c>
      <c r="E3463" s="16" t="inlineStr">
        <is>
          <t>Delivered</t>
        </is>
      </c>
      <c r="F3463" s="16" t="inlineStr">
        <is>
          <t>LV54W25</t>
        </is>
      </c>
      <c r="G3463" s="16" t="inlineStr">
        <is>
          <t>TIANLAI Lámpara Ventilador E27 2 en 1, Silenciosa, LED Alta Luminosidad 180°, Instalación Rápida, Ahorro Energético para Dormitorio y Interiores Pequeños</t>
        </is>
      </c>
      <c r="H3463" s="16" t="inlineStr">
        <is>
          <t>1 Pieza</t>
        </is>
      </c>
      <c r="I3463" s="16" t="n">
        <v>1</v>
      </c>
      <c r="J3463" s="17" t="n">
        <v>78</v>
      </c>
      <c r="K3463" s="17" t="n">
        <v>80.70999999999999</v>
      </c>
      <c r="L3463" s="17" t="n">
        <v>25.86</v>
      </c>
      <c r="M3463" s="17" t="n">
        <v>0</v>
      </c>
      <c r="N3463" s="17">
        <f>K3463*0.08+L3463*0.08</f>
        <v/>
      </c>
      <c r="O3463" s="17">
        <f>-(K3463*0.025+L3463*0.025)</f>
        <v/>
      </c>
      <c r="P3463" s="17">
        <f>32</f>
        <v/>
      </c>
      <c r="Q3463" s="17">
        <f>J3463+L3463+N3463+O3463-P3463-M3463</f>
        <v/>
      </c>
    </row>
    <row r="3464">
      <c r="A3464" s="16" t="inlineStr">
        <is>
          <t>5.29-6.4</t>
        </is>
      </c>
      <c r="B3464" s="16" t="inlineStr">
        <is>
          <t>PO-128-13058612900473477</t>
        </is>
      </c>
      <c r="C3464" s="16" t="inlineStr">
        <is>
          <t>Delivered</t>
        </is>
      </c>
      <c r="D3464" s="16" t="inlineStr">
        <is>
          <t>128-13058570957433477</t>
        </is>
      </c>
      <c r="E3464" s="16" t="inlineStr">
        <is>
          <t>Delivered</t>
        </is>
      </c>
      <c r="F3464" s="16" t="inlineStr">
        <is>
          <t>LV54W25</t>
        </is>
      </c>
      <c r="G3464" s="16" t="inlineStr">
        <is>
          <t>TIANLAI Lámpara Ventilador E27 2 en 1, Silenciosa, LED Alta Luminosidad 180°, Instalación Rápida, Ahorro Energético para Dormitorio y Interiores Pequeños</t>
        </is>
      </c>
      <c r="H3464" s="16" t="inlineStr">
        <is>
          <t>1 Pieza</t>
        </is>
      </c>
      <c r="I3464" s="16" t="n">
        <v>2</v>
      </c>
      <c r="J3464" s="17" t="n">
        <v>156</v>
      </c>
      <c r="K3464" s="17" t="n">
        <v>165.02</v>
      </c>
      <c r="L3464" s="17" t="n">
        <v>25.86</v>
      </c>
      <c r="M3464" s="17" t="n">
        <v>0</v>
      </c>
      <c r="N3464" s="17">
        <f>K3464*0.08+L3464*0.08</f>
        <v/>
      </c>
      <c r="O3464" s="17">
        <f>-(K3464*0.025+L3464*0.025)</f>
        <v/>
      </c>
      <c r="P3464" s="17">
        <f>32</f>
        <v/>
      </c>
      <c r="Q3464" s="17">
        <f>J3464+L3464+N3464+O3464-P3464-M3464</f>
        <v/>
      </c>
    </row>
    <row r="3465">
      <c r="A3465" s="16" t="inlineStr">
        <is>
          <t>5.29-6.4</t>
        </is>
      </c>
      <c r="B3465" s="16" t="inlineStr">
        <is>
          <t>PO-128-13253386435192314</t>
        </is>
      </c>
      <c r="C3465" s="16" t="inlineStr">
        <is>
          <t>Delivered</t>
        </is>
      </c>
      <c r="D3465" s="16" t="inlineStr">
        <is>
          <t>128-13253396920952314</t>
        </is>
      </c>
      <c r="E3465" s="16" t="inlineStr">
        <is>
          <t>Delivered</t>
        </is>
      </c>
      <c r="F3465" s="16" t="inlineStr">
        <is>
          <t>LV54W25</t>
        </is>
      </c>
      <c r="G3465" s="16" t="inlineStr">
        <is>
          <t>TIANLAI Lámpara Ventilador E27 2 en 1, Silenciosa, LED Alta Luminosidad 180°, Instalación Rápida, Ahorro Energético para Dormitorio y Interiores Pequeños</t>
        </is>
      </c>
      <c r="H3465" s="16" t="inlineStr">
        <is>
          <t>1 Pieza</t>
        </is>
      </c>
      <c r="I3465" s="16" t="n">
        <v>1</v>
      </c>
      <c r="J3465" s="17" t="n">
        <v>78</v>
      </c>
      <c r="K3465" s="17" t="n">
        <v>82.51000000000001</v>
      </c>
      <c r="L3465" s="17" t="n">
        <v>25.86</v>
      </c>
      <c r="M3465" s="17" t="n">
        <v>0</v>
      </c>
      <c r="N3465" s="17">
        <f>K3465*0.08+L3465*0.08</f>
        <v/>
      </c>
      <c r="O3465" s="17">
        <f>-(K3465*0.025+L3465*0.025)</f>
        <v/>
      </c>
      <c r="P3465" s="17">
        <f>32</f>
        <v/>
      </c>
      <c r="Q3465" s="17">
        <f>J3465+L3465+N3465+O3465-P3465-M3465</f>
        <v/>
      </c>
    </row>
    <row r="3466">
      <c r="A3466" s="16" t="inlineStr">
        <is>
          <t>5.29-6.4</t>
        </is>
      </c>
      <c r="B3466" s="16" t="inlineStr">
        <is>
          <t>PO-128-13081579285113338</t>
        </is>
      </c>
      <c r="C3466" s="16" t="inlineStr">
        <is>
          <t>Delivered</t>
        </is>
      </c>
      <c r="D3466" s="16" t="inlineStr">
        <is>
          <t>128-13081542584953338</t>
        </is>
      </c>
      <c r="E3466" s="16" t="inlineStr">
        <is>
          <t>Delivered</t>
        </is>
      </c>
      <c r="F3466" s="16" t="inlineStr">
        <is>
          <t>LV54W25</t>
        </is>
      </c>
      <c r="G3466" s="16" t="inlineStr">
        <is>
          <t>TIANLAI Lámpara Ventilador E27 2 en 1, Silenciosa, LED Alta Luminosidad 180°, Instalación Rápida, Ahorro Energético para Dormitorio y Interiores Pequeños</t>
        </is>
      </c>
      <c r="H3466" s="16" t="inlineStr">
        <is>
          <t>1 Pieza</t>
        </is>
      </c>
      <c r="I3466" s="16" t="n">
        <v>1</v>
      </c>
      <c r="J3466" s="17" t="n">
        <v>78</v>
      </c>
      <c r="K3466" s="17" t="n">
        <v>82.51000000000001</v>
      </c>
      <c r="L3466" s="17" t="n">
        <v>25.86</v>
      </c>
      <c r="M3466" s="17" t="n">
        <v>0</v>
      </c>
      <c r="N3466" s="17">
        <f>K3466*0.08+L3466*0.08</f>
        <v/>
      </c>
      <c r="O3466" s="17">
        <f>-(K3466*0.025+L3466*0.025)</f>
        <v/>
      </c>
      <c r="P3466" s="17">
        <f>32</f>
        <v/>
      </c>
      <c r="Q3466" s="17">
        <f>J3466+L3466+N3466+O3466-P3466-M3466</f>
        <v/>
      </c>
    </row>
    <row r="3467">
      <c r="A3467" s="16" t="inlineStr">
        <is>
          <t>5.29-6.4</t>
        </is>
      </c>
      <c r="B3467" s="16" t="inlineStr">
        <is>
          <t>PO-128-13685786450550827</t>
        </is>
      </c>
      <c r="C3467" s="16" t="inlineStr">
        <is>
          <t>Delivered</t>
        </is>
      </c>
      <c r="D3467" s="16" t="inlineStr">
        <is>
          <t>128-13685807422070827</t>
        </is>
      </c>
      <c r="E3467" s="16" t="inlineStr">
        <is>
          <t>Delivered</t>
        </is>
      </c>
      <c r="F3467" s="16" t="inlineStr">
        <is>
          <t>LV64W25</t>
        </is>
      </c>
      <c r="G34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67" s="16" t="inlineStr">
        <is>
          <t>Blanco</t>
        </is>
      </c>
      <c r="I3467" s="16" t="n">
        <v>5</v>
      </c>
      <c r="J3467" s="17" t="n">
        <v>625</v>
      </c>
      <c r="K3467" s="17" t="n">
        <v>605.8</v>
      </c>
      <c r="L3467" s="17" t="n">
        <v>0</v>
      </c>
      <c r="M3467" s="17" t="n">
        <v>61.15</v>
      </c>
      <c r="N3467" s="17">
        <f>K3467*0.08+L3467*0.08</f>
        <v/>
      </c>
      <c r="O3467" s="17">
        <f>-(K3467*0.025+L3467*0.025)</f>
        <v/>
      </c>
      <c r="P3467" s="17">
        <f>32</f>
        <v/>
      </c>
      <c r="Q3467" s="17">
        <f>J3467+L3467+N3467+O3467-P3467-M3467</f>
        <v/>
      </c>
    </row>
    <row r="3468">
      <c r="A3468" s="16" t="inlineStr">
        <is>
          <t>5.29-6.4</t>
        </is>
      </c>
      <c r="B3468" s="16" t="inlineStr">
        <is>
          <t>PO-128-13647501609590095</t>
        </is>
      </c>
      <c r="C3468" s="16" t="inlineStr">
        <is>
          <t>Delivered</t>
        </is>
      </c>
      <c r="D3468" s="16" t="inlineStr">
        <is>
          <t>128-13647543552630095</t>
        </is>
      </c>
      <c r="E3468" s="16" t="inlineStr">
        <is>
          <t>Delivered</t>
        </is>
      </c>
      <c r="F3468" s="16" t="inlineStr">
        <is>
          <t>LV54W25</t>
        </is>
      </c>
      <c r="G3468" s="16" t="inlineStr">
        <is>
          <t>TIANLAI Lámpara Ventilador E27 2 en 1, Silenciosa, LED Alta Luminosidad 180°, Instalación Rápida, Ahorro Energético para Dormitorio y Interiores Pequeños</t>
        </is>
      </c>
      <c r="H3468" s="16" t="inlineStr">
        <is>
          <t>1 Pieza</t>
        </is>
      </c>
      <c r="I3468" s="16" t="n">
        <v>2</v>
      </c>
      <c r="J3468" s="17" t="n">
        <v>156</v>
      </c>
      <c r="K3468" s="17" t="n">
        <v>165.02</v>
      </c>
      <c r="L3468" s="17" t="n">
        <v>25.86</v>
      </c>
      <c r="M3468" s="17" t="n">
        <v>0</v>
      </c>
      <c r="N3468" s="17">
        <f>K3468*0.08+L3468*0.08</f>
        <v/>
      </c>
      <c r="O3468" s="17">
        <f>-(K3468*0.025+L3468*0.025)</f>
        <v/>
      </c>
      <c r="P3468" s="17">
        <f>32</f>
        <v/>
      </c>
      <c r="Q3468" s="17">
        <f>J3468+L3468+N3468+O3468-P3468-M3468</f>
        <v/>
      </c>
    </row>
    <row r="3469">
      <c r="A3469" s="16" t="inlineStr">
        <is>
          <t>5.29-6.4</t>
        </is>
      </c>
      <c r="B3469" s="16" t="inlineStr">
        <is>
          <t>PO-128-13166379018873859</t>
        </is>
      </c>
      <c r="C3469" s="16" t="inlineStr">
        <is>
          <t>Delivered</t>
        </is>
      </c>
      <c r="D3469" s="16" t="inlineStr">
        <is>
          <t>128-13166358047353859</t>
        </is>
      </c>
      <c r="E3469" s="16" t="inlineStr">
        <is>
          <t>Delivered</t>
        </is>
      </c>
      <c r="F3469" s="16" t="inlineStr">
        <is>
          <t>LV64W25</t>
        </is>
      </c>
      <c r="G34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69" s="16" t="inlineStr">
        <is>
          <t>Blanco</t>
        </is>
      </c>
      <c r="I3469" s="16" t="n">
        <v>2</v>
      </c>
      <c r="J3469" s="17" t="n">
        <v>250</v>
      </c>
      <c r="K3469" s="17" t="n">
        <v>257.88</v>
      </c>
      <c r="L3469" s="17" t="n">
        <v>0</v>
      </c>
      <c r="M3469" s="17" t="n">
        <v>0</v>
      </c>
      <c r="N3469" s="17">
        <f>K3469*0.08+L3469*0.08</f>
        <v/>
      </c>
      <c r="O3469" s="17">
        <f>-(K3469*0.025+L3469*0.025)</f>
        <v/>
      </c>
      <c r="P3469" s="17">
        <f>32</f>
        <v/>
      </c>
      <c r="Q3469" s="17">
        <f>J3469+L3469+N3469+O3469-P3469-M3469</f>
        <v/>
      </c>
    </row>
    <row r="3470">
      <c r="A3470" s="16" t="inlineStr">
        <is>
          <t>5.29-6.4</t>
        </is>
      </c>
      <c r="B3470" s="16" t="inlineStr">
        <is>
          <t>PO-128-13081519043193341</t>
        </is>
      </c>
      <c r="C3470" s="16" t="inlineStr">
        <is>
          <t>Delivered</t>
        </is>
      </c>
      <c r="D3470" s="16" t="inlineStr">
        <is>
          <t>128-13081477100153341</t>
        </is>
      </c>
      <c r="E3470" s="16" t="inlineStr">
        <is>
          <t>Delivered</t>
        </is>
      </c>
      <c r="F3470" s="16" t="inlineStr">
        <is>
          <t>LV54W25</t>
        </is>
      </c>
      <c r="G3470" s="16" t="inlineStr">
        <is>
          <t>TIANLAI Lámpara Ventilador E27 2 en 1, Silenciosa, LED Alta Luminosidad 180°, Instalación Rápida, Ahorro Energético para Dormitorio y Interiores Pequeños</t>
        </is>
      </c>
      <c r="H3470" s="16" t="inlineStr">
        <is>
          <t>1 Pieza</t>
        </is>
      </c>
      <c r="I3470" s="16" t="n">
        <v>1</v>
      </c>
      <c r="J3470" s="17" t="n">
        <v>78</v>
      </c>
      <c r="K3470" s="17" t="n">
        <v>80.70999999999999</v>
      </c>
      <c r="L3470" s="17" t="n">
        <v>25.86</v>
      </c>
      <c r="M3470" s="17" t="n">
        <v>0</v>
      </c>
      <c r="N3470" s="17">
        <f>K3470*0.08+L3470*0.08</f>
        <v/>
      </c>
      <c r="O3470" s="17">
        <f>-(K3470*0.025+L3470*0.025)</f>
        <v/>
      </c>
      <c r="P3470" s="17">
        <f>32</f>
        <v/>
      </c>
      <c r="Q3470" s="17">
        <f>J3470+L3470+N3470+O3470-P3470-M3470</f>
        <v/>
      </c>
    </row>
    <row r="3471">
      <c r="A3471" s="16" t="inlineStr">
        <is>
          <t>5.29-6.4</t>
        </is>
      </c>
      <c r="B3471" s="16" t="inlineStr">
        <is>
          <t>PO-128-13420587141751510</t>
        </is>
      </c>
      <c r="C3471" s="16" t="inlineStr">
        <is>
          <t>Delivered</t>
        </is>
      </c>
      <c r="D3471" s="16" t="inlineStr">
        <is>
          <t>128-13420545198711510</t>
        </is>
      </c>
      <c r="E3471" s="16" t="inlineStr">
        <is>
          <t>Delivered</t>
        </is>
      </c>
      <c r="F3471" s="16" t="inlineStr">
        <is>
          <t>LV64W25</t>
        </is>
      </c>
      <c r="G34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1" s="16" t="inlineStr">
        <is>
          <t>Blanco</t>
        </is>
      </c>
      <c r="I3471" s="16" t="n">
        <v>2</v>
      </c>
      <c r="J3471" s="17" t="n">
        <v>250</v>
      </c>
      <c r="K3471" s="17" t="n">
        <v>266.46</v>
      </c>
      <c r="L3471" s="17" t="n">
        <v>0</v>
      </c>
      <c r="M3471" s="17" t="n">
        <v>26.88</v>
      </c>
      <c r="N3471" s="17">
        <f>K3471*0.08+L3471*0.08</f>
        <v/>
      </c>
      <c r="O3471" s="17">
        <f>-(K3471*0.025+L3471*0.025)</f>
        <v/>
      </c>
      <c r="P3471" s="17">
        <f>32</f>
        <v/>
      </c>
      <c r="Q3471" s="17">
        <f>J3471+L3471+N3471+O3471-P3471-M3471</f>
        <v/>
      </c>
    </row>
    <row r="3472">
      <c r="A3472" s="16" t="inlineStr">
        <is>
          <t>5.29-6.4</t>
        </is>
      </c>
      <c r="B3472" s="16" t="inlineStr">
        <is>
          <t>PO-128-13116208702073324</t>
        </is>
      </c>
      <c r="C3472" s="16" t="inlineStr">
        <is>
          <t>Delivered</t>
        </is>
      </c>
      <c r="D3472" s="16" t="inlineStr">
        <is>
          <t>128-13116187730553324</t>
        </is>
      </c>
      <c r="E3472" s="16" t="inlineStr">
        <is>
          <t>Delivered</t>
        </is>
      </c>
      <c r="F3472" s="16" t="inlineStr">
        <is>
          <t>LV64W25</t>
        </is>
      </c>
      <c r="G34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2" s="16" t="inlineStr">
        <is>
          <t>Blanco</t>
        </is>
      </c>
      <c r="I3472" s="16" t="n">
        <v>2</v>
      </c>
      <c r="J3472" s="17" t="n">
        <v>250</v>
      </c>
      <c r="K3472" s="17" t="n">
        <v>286.52</v>
      </c>
      <c r="L3472" s="17" t="n">
        <v>0</v>
      </c>
      <c r="M3472" s="17" t="n">
        <v>0</v>
      </c>
      <c r="N3472" s="17">
        <f>K3472*0.08+L3472*0.08</f>
        <v/>
      </c>
      <c r="O3472" s="17">
        <f>-(K3472*0.025+L3472*0.025)</f>
        <v/>
      </c>
      <c r="P3472" s="17">
        <f>32</f>
        <v/>
      </c>
      <c r="Q3472" s="17">
        <f>J3472+L3472+N3472+O3472-P3472-M3472</f>
        <v/>
      </c>
    </row>
    <row r="3473">
      <c r="A3473" s="16" t="inlineStr">
        <is>
          <t>5.29-6.4</t>
        </is>
      </c>
      <c r="B3473" s="16" t="inlineStr">
        <is>
          <t>PO-128-13345841449592853</t>
        </is>
      </c>
      <c r="C3473" s="16" t="inlineStr">
        <is>
          <t>Delivered</t>
        </is>
      </c>
      <c r="D3473" s="16" t="inlineStr">
        <is>
          <t>128-13345883392632853</t>
        </is>
      </c>
      <c r="E3473" s="16" t="inlineStr">
        <is>
          <t>Delivered</t>
        </is>
      </c>
      <c r="F3473" s="16" t="inlineStr">
        <is>
          <t>LV64W25</t>
        </is>
      </c>
      <c r="G34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3" s="16" t="inlineStr">
        <is>
          <t>Blanco</t>
        </is>
      </c>
      <c r="I3473" s="16" t="n">
        <v>1</v>
      </c>
      <c r="J3473" s="17" t="n">
        <v>125</v>
      </c>
      <c r="K3473" s="17" t="n">
        <v>133.23</v>
      </c>
      <c r="L3473" s="17" t="n">
        <v>25.86</v>
      </c>
      <c r="M3473" s="17" t="n">
        <v>0</v>
      </c>
      <c r="N3473" s="17">
        <f>K3473*0.08+L3473*0.08</f>
        <v/>
      </c>
      <c r="O3473" s="17">
        <f>-(K3473*0.025+L3473*0.025)</f>
        <v/>
      </c>
      <c r="P3473" s="17">
        <f>32</f>
        <v/>
      </c>
      <c r="Q3473" s="17">
        <f>J3473+L3473+N3473+O3473-P3473-M3473</f>
        <v/>
      </c>
    </row>
    <row r="3474">
      <c r="A3474" s="16" t="inlineStr">
        <is>
          <t>5.29-6.4</t>
        </is>
      </c>
      <c r="B3474" s="16" t="inlineStr">
        <is>
          <t>PO-128-13646325248630036</t>
        </is>
      </c>
      <c r="C3474" s="16" t="inlineStr">
        <is>
          <t>Delivered</t>
        </is>
      </c>
      <c r="D3474" s="16" t="inlineStr">
        <is>
          <t>128-13646346220150036</t>
        </is>
      </c>
      <c r="E3474" s="16" t="inlineStr">
        <is>
          <t>Delivered</t>
        </is>
      </c>
      <c r="F3474" s="16" t="inlineStr">
        <is>
          <t>LV54W25</t>
        </is>
      </c>
      <c r="G3474" s="16" t="inlineStr">
        <is>
          <t>TIANLAI Lámpara Ventilador E27 2 en 1, Silenciosa, LED Alta Luminosidad 180°, Instalación Rápida, Ahorro Energético para Dormitorio y Interiores Pequeños</t>
        </is>
      </c>
      <c r="H3474" s="16" t="inlineStr">
        <is>
          <t>1 Pieza</t>
        </is>
      </c>
      <c r="I3474" s="16" t="n">
        <v>1</v>
      </c>
      <c r="J3474" s="17" t="n">
        <v>78</v>
      </c>
      <c r="K3474" s="17" t="n">
        <v>89.68000000000001</v>
      </c>
      <c r="L3474" s="17" t="n">
        <v>25.86</v>
      </c>
      <c r="M3474" s="17" t="n">
        <v>0</v>
      </c>
      <c r="N3474" s="17">
        <f>K3474*0.08+L3474*0.08</f>
        <v/>
      </c>
      <c r="O3474" s="17">
        <f>-(K3474*0.025+L3474*0.025)</f>
        <v/>
      </c>
      <c r="P3474" s="17">
        <f>32</f>
        <v/>
      </c>
      <c r="Q3474" s="17">
        <f>J3474+L3474+N3474+O3474-P3474-M3474</f>
        <v/>
      </c>
    </row>
    <row r="3475">
      <c r="A3475" s="16" t="inlineStr">
        <is>
          <t>5.29-6.4</t>
        </is>
      </c>
      <c r="B3475" s="16" t="inlineStr">
        <is>
          <t>PO-128-13578225521270442</t>
        </is>
      </c>
      <c r="C3475" s="16" t="inlineStr">
        <is>
          <t>Delivered</t>
        </is>
      </c>
      <c r="D3475" s="16" t="inlineStr">
        <is>
          <t>128-13578301543030442</t>
        </is>
      </c>
      <c r="E3475" s="16" t="inlineStr">
        <is>
          <t>Delivered</t>
        </is>
      </c>
      <c r="F3475" s="16" t="inlineStr">
        <is>
          <t>LV64W25</t>
        </is>
      </c>
      <c r="G34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5" s="16" t="inlineStr">
        <is>
          <t>Blanco</t>
        </is>
      </c>
      <c r="I3475" s="16" t="n">
        <v>2</v>
      </c>
      <c r="J3475" s="17" t="n">
        <v>250</v>
      </c>
      <c r="K3475" s="17" t="n">
        <v>266.46</v>
      </c>
      <c r="L3475" s="17" t="n">
        <v>0</v>
      </c>
      <c r="M3475" s="17" t="n">
        <v>0</v>
      </c>
      <c r="N3475" s="17">
        <f>K3475*0.08+L3475*0.08</f>
        <v/>
      </c>
      <c r="O3475" s="17">
        <f>-(K3475*0.025+L3475*0.025)</f>
        <v/>
      </c>
      <c r="P3475" s="17">
        <f>32</f>
        <v/>
      </c>
      <c r="Q3475" s="17">
        <f>J3475+L3475+N3475+O3475-P3475-M3475</f>
        <v/>
      </c>
    </row>
    <row r="3476">
      <c r="A3476" s="16" t="inlineStr">
        <is>
          <t>5.29-6.4</t>
        </is>
      </c>
      <c r="B3476" s="16" t="inlineStr">
        <is>
          <t>PO-128-13080330261113346</t>
        </is>
      </c>
      <c r="C3476" s="16" t="inlineStr">
        <is>
          <t>Delivered</t>
        </is>
      </c>
      <c r="D3476" s="16" t="inlineStr">
        <is>
          <t>128-13080288318073346</t>
        </is>
      </c>
      <c r="E3476" s="16" t="inlineStr">
        <is>
          <t>Delivered</t>
        </is>
      </c>
      <c r="F3476" s="16" t="inlineStr">
        <is>
          <t>LV64W25</t>
        </is>
      </c>
      <c r="G34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6" s="16" t="inlineStr">
        <is>
          <t>Blanco</t>
        </is>
      </c>
      <c r="I3476" s="16" t="n">
        <v>10</v>
      </c>
      <c r="J3476" s="17" t="n">
        <v>1250</v>
      </c>
      <c r="K3476" s="17" t="n">
        <v>1289.4</v>
      </c>
      <c r="L3476" s="17" t="n">
        <v>0</v>
      </c>
      <c r="M3476" s="17" t="n">
        <v>0</v>
      </c>
      <c r="N3476" s="17">
        <f>K3476*0.08+L3476*0.08</f>
        <v/>
      </c>
      <c r="O3476" s="17">
        <f>-(K3476*0.025+L3476*0.025)</f>
        <v/>
      </c>
      <c r="P3476" s="17">
        <f>32</f>
        <v/>
      </c>
      <c r="Q3476" s="17">
        <f>J3476+L3476+N3476+O3476-P3476-M3476</f>
        <v/>
      </c>
    </row>
    <row r="3477">
      <c r="A3477" s="16" t="inlineStr">
        <is>
          <t>5.29-6.4</t>
        </is>
      </c>
      <c r="B3477" s="16" t="inlineStr">
        <is>
          <t>PO-128-13400481060471439</t>
        </is>
      </c>
      <c r="C3477" s="16" t="inlineStr">
        <is>
          <t>Delivered</t>
        </is>
      </c>
      <c r="D3477" s="16" t="inlineStr">
        <is>
          <t>128-13400512517751439</t>
        </is>
      </c>
      <c r="E3477" s="16" t="inlineStr">
        <is>
          <t>Delivered</t>
        </is>
      </c>
      <c r="F3477" s="16" t="inlineStr">
        <is>
          <t>LV64W25</t>
        </is>
      </c>
      <c r="G347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7" s="16" t="inlineStr">
        <is>
          <t>Blanco</t>
        </is>
      </c>
      <c r="I3477" s="16" t="n">
        <v>1</v>
      </c>
      <c r="J3477" s="17" t="n">
        <v>125</v>
      </c>
      <c r="K3477" s="17" t="n">
        <v>133.23</v>
      </c>
      <c r="L3477" s="17" t="n">
        <v>25.86</v>
      </c>
      <c r="M3477" s="17" t="n">
        <v>0</v>
      </c>
      <c r="N3477" s="17">
        <f>K3477*0.08+L3477*0.08</f>
        <v/>
      </c>
      <c r="O3477" s="17">
        <f>-(K3477*0.025+L3477*0.025)</f>
        <v/>
      </c>
      <c r="P3477" s="17">
        <f>32</f>
        <v/>
      </c>
      <c r="Q3477" s="17">
        <f>J3477+L3477+N3477+O3477-P3477-M3477</f>
        <v/>
      </c>
    </row>
    <row r="3478">
      <c r="A3478" s="16" t="inlineStr">
        <is>
          <t>5.29-6.4</t>
        </is>
      </c>
      <c r="B3478" s="16" t="inlineStr">
        <is>
          <t>PO-128-13416234947191472</t>
        </is>
      </c>
      <c r="C3478" s="16" t="inlineStr">
        <is>
          <t>Delivered</t>
        </is>
      </c>
      <c r="D3478" s="16" t="inlineStr">
        <is>
          <t>128-13416193004151472</t>
        </is>
      </c>
      <c r="E3478" s="16" t="inlineStr">
        <is>
          <t>Delivered</t>
        </is>
      </c>
      <c r="F3478" s="16" t="inlineStr">
        <is>
          <t>LV64W25</t>
        </is>
      </c>
      <c r="G34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78" s="16" t="inlineStr">
        <is>
          <t>Blanco</t>
        </is>
      </c>
      <c r="I3478" s="16" t="n">
        <v>1</v>
      </c>
      <c r="J3478" s="17" t="n">
        <v>125</v>
      </c>
      <c r="K3478" s="17" t="n">
        <v>128.94</v>
      </c>
      <c r="L3478" s="17" t="n">
        <v>25.86</v>
      </c>
      <c r="M3478" s="17" t="n">
        <v>0</v>
      </c>
      <c r="N3478" s="17">
        <f>K3478*0.08+L3478*0.08</f>
        <v/>
      </c>
      <c r="O3478" s="17">
        <f>-(K3478*0.025+L3478*0.025)</f>
        <v/>
      </c>
      <c r="P3478" s="17">
        <f>32</f>
        <v/>
      </c>
      <c r="Q3478" s="17">
        <f>J3478+L3478+N3478+O3478-P3478-M3478</f>
        <v/>
      </c>
    </row>
    <row r="3479">
      <c r="A3479" s="16" t="inlineStr">
        <is>
          <t>5.29-6.4</t>
        </is>
      </c>
      <c r="B3479" s="16" t="inlineStr">
        <is>
          <t>PO-128-13421393900151507</t>
        </is>
      </c>
      <c r="C3479" s="16" t="inlineStr">
        <is>
          <t>Delivered</t>
        </is>
      </c>
      <c r="D3479" s="16" t="inlineStr">
        <is>
          <t>128-13421330985591507</t>
        </is>
      </c>
      <c r="E3479" s="16" t="inlineStr">
        <is>
          <t>Delivered</t>
        </is>
      </c>
      <c r="F3479" s="16" t="inlineStr">
        <is>
          <t>LV54W25</t>
        </is>
      </c>
      <c r="G3479" s="16" t="inlineStr">
        <is>
          <t>TIANLAI Lámpara Ventilador E27 2 en 1, Silenciosa, LED Alta Luminosidad 180°, Instalación Rápida, Ahorro Energético para Dormitorio y Interiores Pequeños</t>
        </is>
      </c>
      <c r="H3479" s="16" t="inlineStr">
        <is>
          <t>1 Pieza</t>
        </is>
      </c>
      <c r="I3479" s="16" t="n">
        <v>1</v>
      </c>
      <c r="J3479" s="17" t="n">
        <v>78</v>
      </c>
      <c r="K3479" s="17" t="n">
        <v>80.70999999999999</v>
      </c>
      <c r="L3479" s="17" t="n">
        <v>25.86</v>
      </c>
      <c r="M3479" s="17" t="n">
        <v>0</v>
      </c>
      <c r="N3479" s="17">
        <f>K3479*0.08+L3479*0.08</f>
        <v/>
      </c>
      <c r="O3479" s="17">
        <f>-(K3479*0.025+L3479*0.025)</f>
        <v/>
      </c>
      <c r="P3479" s="17">
        <f>32</f>
        <v/>
      </c>
      <c r="Q3479" s="17">
        <f>J3479+L3479+N3479+O3479-P3479-M3479</f>
        <v/>
      </c>
    </row>
    <row r="3480">
      <c r="A3480" s="16" t="inlineStr">
        <is>
          <t>5.29-6.4</t>
        </is>
      </c>
      <c r="B3480" s="16" t="inlineStr">
        <is>
          <t>PO-128-13715438116470712</t>
        </is>
      </c>
      <c r="C3480" s="16" t="inlineStr">
        <is>
          <t>Delivered</t>
        </is>
      </c>
      <c r="D3480" s="16" t="inlineStr">
        <is>
          <t>128-13715396173430712</t>
        </is>
      </c>
      <c r="E3480" s="16" t="inlineStr">
        <is>
          <t>Delivered</t>
        </is>
      </c>
      <c r="F3480" s="16" t="inlineStr">
        <is>
          <t>LV54W25</t>
        </is>
      </c>
      <c r="G3480" s="16" t="inlineStr">
        <is>
          <t>TIANLAI Lámpara Ventilador E27 2 en 1, Silenciosa, LED Alta Luminosidad 180°, Instalación Rápida, Ahorro Energético para Dormitorio y Interiores Pequeños</t>
        </is>
      </c>
      <c r="H3480" s="16" t="inlineStr">
        <is>
          <t>1 Pieza</t>
        </is>
      </c>
      <c r="I3480" s="16" t="n">
        <v>1</v>
      </c>
      <c r="J3480" s="17" t="n">
        <v>78</v>
      </c>
      <c r="K3480" s="17" t="n">
        <v>80.70999999999999</v>
      </c>
      <c r="L3480" s="17" t="n">
        <v>25.86</v>
      </c>
      <c r="M3480" s="17" t="n">
        <v>0</v>
      </c>
      <c r="N3480" s="17">
        <f>K3480*0.08+L3480*0.08</f>
        <v/>
      </c>
      <c r="O3480" s="17">
        <f>-(K3480*0.025+L3480*0.025)</f>
        <v/>
      </c>
      <c r="P3480" s="17">
        <f>32</f>
        <v/>
      </c>
      <c r="Q3480" s="17">
        <f>J3480+L3480+N3480+O3480-P3480-M3480</f>
        <v/>
      </c>
    </row>
    <row r="3481">
      <c r="A3481" s="16" t="inlineStr">
        <is>
          <t>5.29-6.4</t>
        </is>
      </c>
      <c r="B3481" s="16" t="inlineStr">
        <is>
          <t>PO-128-13279290839672224</t>
        </is>
      </c>
      <c r="C3481" s="16" t="inlineStr">
        <is>
          <t>Delivered</t>
        </is>
      </c>
      <c r="D3481" s="16" t="inlineStr">
        <is>
          <t>128-13279217439352224</t>
        </is>
      </c>
      <c r="E3481" s="16" t="inlineStr">
        <is>
          <t>Delivered</t>
        </is>
      </c>
      <c r="F3481" s="16" t="inlineStr">
        <is>
          <t>TLCD01-4P-nN</t>
        </is>
      </c>
      <c r="G348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481" s="16" t="inlineStr">
        <is>
          <t>NEGRO/pantalla de 4.5 pulgadas</t>
        </is>
      </c>
      <c r="I3481" s="16" t="n">
        <v>1</v>
      </c>
      <c r="J3481" s="17" t="n">
        <v>20</v>
      </c>
      <c r="K3481" s="17" t="n">
        <v>23.63</v>
      </c>
      <c r="L3481" s="17" t="n">
        <v>25.86</v>
      </c>
      <c r="M3481" s="17" t="n">
        <v>0</v>
      </c>
      <c r="N3481" s="17">
        <f>K3481*0.08+L3481*0.08</f>
        <v/>
      </c>
      <c r="O3481" s="17">
        <f>-(K3481*0.025+L3481*0.025)</f>
        <v/>
      </c>
      <c r="P3481" s="17">
        <f>32</f>
        <v/>
      </c>
      <c r="Q3481" s="17">
        <f>J3481+L3481+N3481+O3481-P3481-M3481</f>
        <v/>
      </c>
    </row>
    <row r="3482">
      <c r="A3482" s="16" t="inlineStr">
        <is>
          <t>5.29-6.4</t>
        </is>
      </c>
      <c r="B3482" s="16" t="inlineStr">
        <is>
          <t>PO-128-13647811605110093</t>
        </is>
      </c>
      <c r="C3482" s="16" t="inlineStr">
        <is>
          <t>Delivered</t>
        </is>
      </c>
      <c r="D3482" s="16" t="inlineStr">
        <is>
          <t>128-13647853548150093</t>
        </is>
      </c>
      <c r="E3482" s="16" t="inlineStr">
        <is>
          <t>Delivered</t>
        </is>
      </c>
      <c r="F3482" s="16" t="inlineStr">
        <is>
          <t>LV54W25</t>
        </is>
      </c>
      <c r="G3482" s="16" t="inlineStr">
        <is>
          <t>TIANLAI Lámpara Ventilador E27 2 en 1, Silenciosa, LED Alta Luminosidad 180°, Instalación Rápida, Ahorro Energético para Dormitorio y Interiores Pequeños</t>
        </is>
      </c>
      <c r="H3482" s="16" t="inlineStr">
        <is>
          <t>1 Pieza</t>
        </is>
      </c>
      <c r="I3482" s="16" t="n">
        <v>1</v>
      </c>
      <c r="J3482" s="17" t="n">
        <v>78</v>
      </c>
      <c r="K3482" s="17" t="n">
        <v>67.83</v>
      </c>
      <c r="L3482" s="17" t="n">
        <v>25.86</v>
      </c>
      <c r="M3482" s="17" t="n">
        <v>0</v>
      </c>
      <c r="N3482" s="17">
        <f>K3482*0.08+L3482*0.08</f>
        <v/>
      </c>
      <c r="O3482" s="17">
        <f>-(K3482*0.025+L3482*0.025)</f>
        <v/>
      </c>
      <c r="P3482" s="17">
        <f>32</f>
        <v/>
      </c>
      <c r="Q3482" s="17">
        <f>J3482+L3482+N3482+O3482-P3482-M3482</f>
        <v/>
      </c>
    </row>
    <row r="3483">
      <c r="A3483" s="16" t="inlineStr">
        <is>
          <t>5.29-6.4</t>
        </is>
      </c>
      <c r="B3483" s="16" t="inlineStr">
        <is>
          <t>PO-128-13492088965751981</t>
        </is>
      </c>
      <c r="C3483" s="16" t="inlineStr">
        <is>
          <t>Delivered</t>
        </is>
      </c>
      <c r="D3483" s="16" t="inlineStr">
        <is>
          <t>128-13492083722871981</t>
        </is>
      </c>
      <c r="E3483" s="16" t="inlineStr">
        <is>
          <t>Delivered</t>
        </is>
      </c>
      <c r="F3483" s="16" t="inlineStr">
        <is>
          <t>TLCD01-4P-nN</t>
        </is>
      </c>
      <c r="G348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483" s="16" t="inlineStr">
        <is>
          <t>NEGRO/pantalla de 4.5 pulgadas</t>
        </is>
      </c>
      <c r="I3483" s="16" t="n">
        <v>2</v>
      </c>
      <c r="J3483" s="17" t="n">
        <v>40</v>
      </c>
      <c r="K3483" s="17" t="n">
        <v>47.26</v>
      </c>
      <c r="L3483" s="17" t="n">
        <v>25.86</v>
      </c>
      <c r="M3483" s="17" t="n">
        <v>0</v>
      </c>
      <c r="N3483" s="17">
        <f>K3483*0.08+L3483*0.08</f>
        <v/>
      </c>
      <c r="O3483" s="17">
        <f>-(K3483*0.025+L3483*0.025)</f>
        <v/>
      </c>
      <c r="P3483" s="17">
        <f>32</f>
        <v/>
      </c>
      <c r="Q3483" s="17">
        <f>J3483+L3483+N3483+O3483-P3483-M3483</f>
        <v/>
      </c>
    </row>
    <row r="3484">
      <c r="A3484" s="16" t="inlineStr">
        <is>
          <t>5.29-6.4</t>
        </is>
      </c>
      <c r="B3484" s="16" t="inlineStr">
        <is>
          <t>PO-128-13239308124792526</t>
        </is>
      </c>
      <c r="C3484" s="16" t="inlineStr">
        <is>
          <t>Delivered</t>
        </is>
      </c>
      <c r="D3484" s="16" t="inlineStr">
        <is>
          <t>128-13239266181752526</t>
        </is>
      </c>
      <c r="E3484" s="16" t="inlineStr">
        <is>
          <t>Delivered</t>
        </is>
      </c>
      <c r="F3484" s="16" t="inlineStr">
        <is>
          <t>TLCD06-12P-V</t>
        </is>
      </c>
      <c r="G348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484" s="16" t="inlineStr">
        <is>
          <t>VERDE/pantalla de 12 pulgadas</t>
        </is>
      </c>
      <c r="I3484" s="16" t="n">
        <v>1</v>
      </c>
      <c r="J3484" s="17" t="n">
        <v>35</v>
      </c>
      <c r="K3484" s="17" t="n">
        <v>47.02</v>
      </c>
      <c r="L3484" s="17" t="n">
        <v>25.86</v>
      </c>
      <c r="M3484" s="17" t="n">
        <v>0</v>
      </c>
      <c r="N3484" s="17">
        <f>K3484*0.08+L3484*0.08</f>
        <v/>
      </c>
      <c r="O3484" s="17">
        <f>-(K3484*0.025+L3484*0.025)</f>
        <v/>
      </c>
      <c r="P3484" s="17">
        <f>32</f>
        <v/>
      </c>
      <c r="Q3484" s="17">
        <f>J3484+L3484+N3484+O3484-P3484-M3484</f>
        <v/>
      </c>
    </row>
    <row r="3485">
      <c r="A3485" s="16" t="inlineStr">
        <is>
          <t>5.29-6.4</t>
        </is>
      </c>
      <c r="B3485" s="16" t="inlineStr">
        <is>
          <t>PO-128-13106296883833257</t>
        </is>
      </c>
      <c r="C3485" s="16" t="inlineStr">
        <is>
          <t>Delivered</t>
        </is>
      </c>
      <c r="D3485" s="16" t="inlineStr">
        <is>
          <t>128-13106349312633257</t>
        </is>
      </c>
      <c r="E3485" s="16" t="inlineStr">
        <is>
          <t>Delivered</t>
        </is>
      </c>
      <c r="F3485" s="16" t="inlineStr">
        <is>
          <t>KTS-2031</t>
        </is>
      </c>
      <c r="G3485" s="16" t="inlineStr">
        <is>
          <t>Bocina inalámbrica de 3 pulgadas con linterna multifuncional y panel solar integrado.Altavoz Portátil con Linterna LED 4 Modos, Radio FM, Bluetooth, Carga Solar, Ideal para Apagones, Emergencias, Campo y Exteriores</t>
        </is>
      </c>
      <c r="H3485" s="16" t="inlineStr">
        <is>
          <t>NEGRO</t>
        </is>
      </c>
      <c r="I3485" s="16" t="n">
        <v>1</v>
      </c>
      <c r="J3485" s="17" t="n">
        <v>90</v>
      </c>
      <c r="K3485" s="17" t="n">
        <v>56.12</v>
      </c>
      <c r="L3485" s="17" t="n">
        <v>25.86</v>
      </c>
      <c r="M3485" s="17" t="n">
        <v>0</v>
      </c>
      <c r="N3485" s="17">
        <f>K3485*0.08+L3485*0.08</f>
        <v/>
      </c>
      <c r="O3485" s="17">
        <f>-(K3485*0.025+L3485*0.025)</f>
        <v/>
      </c>
      <c r="P3485" s="17">
        <f>32</f>
        <v/>
      </c>
      <c r="Q3485" s="17">
        <f>J3485+L3485+N3485+O3485-P3485-M3485</f>
        <v/>
      </c>
    </row>
    <row r="3486">
      <c r="A3486" s="16" t="inlineStr">
        <is>
          <t>5.29-6.4</t>
        </is>
      </c>
      <c r="B3486" s="16" t="inlineStr">
        <is>
          <t>PO-128-13158812785274094</t>
        </is>
      </c>
      <c r="C3486" s="16" t="inlineStr">
        <is>
          <t>Delivered</t>
        </is>
      </c>
      <c r="D3486" s="16" t="inlineStr">
        <is>
          <t>128-13158871767674094</t>
        </is>
      </c>
      <c r="E3486" s="16" t="inlineStr">
        <is>
          <t>Delivered</t>
        </is>
      </c>
      <c r="F3486" s="16" t="inlineStr">
        <is>
          <t>LV54W25</t>
        </is>
      </c>
      <c r="G3486" s="16" t="inlineStr">
        <is>
          <t>TIANLAI Lámpara Ventilador E27 2 en 1, Silenciosa, LED Alta Luminosidad 180°, Instalación Rápida, Ahorro Energético para Dormitorio y Interiores Pequeños</t>
        </is>
      </c>
      <c r="H3486" s="16" t="inlineStr">
        <is>
          <t>1 Pieza</t>
        </is>
      </c>
      <c r="I3486" s="16" t="n">
        <v>1</v>
      </c>
      <c r="J3486" s="17" t="n">
        <v>78</v>
      </c>
      <c r="K3486" s="17" t="n">
        <v>80.70999999999999</v>
      </c>
      <c r="L3486" s="17" t="n">
        <v>25.86</v>
      </c>
      <c r="M3486" s="17" t="n">
        <v>0</v>
      </c>
      <c r="N3486" s="17">
        <f>K3486*0.08+L3486*0.08</f>
        <v/>
      </c>
      <c r="O3486" s="17">
        <f>-(K3486*0.025+L3486*0.025)</f>
        <v/>
      </c>
      <c r="P3486" s="17">
        <f>32</f>
        <v/>
      </c>
      <c r="Q3486" s="17">
        <f>J3486+L3486+N3486+O3486-P3486-M3486</f>
        <v/>
      </c>
    </row>
    <row r="3487">
      <c r="A3487" s="16" t="inlineStr">
        <is>
          <t>5.29-6.4</t>
        </is>
      </c>
      <c r="B3487" s="16" t="inlineStr">
        <is>
          <t>PO-128-13157762458234036</t>
        </is>
      </c>
      <c r="C3487" s="16" t="inlineStr">
        <is>
          <t>Delivered</t>
        </is>
      </c>
      <c r="D3487" s="16" t="inlineStr">
        <is>
          <t>128-13157720515194036</t>
        </is>
      </c>
      <c r="E3487" s="16" t="inlineStr">
        <is>
          <t>Delivered</t>
        </is>
      </c>
      <c r="F3487" s="16" t="inlineStr">
        <is>
          <t>KTS-2031</t>
        </is>
      </c>
      <c r="G3487" s="16" t="inlineStr">
        <is>
          <t>Bocina inalámbrica de 3 pulgadas con linterna multifuncional y panel solar integrado.Altavoz Portátil con Linterna LED 4 Modos, Radio FM, Bluetooth, Carga Solar, Ideal para Apagones, Emergencias, Campo y Exteriores</t>
        </is>
      </c>
      <c r="H3487" s="16" t="inlineStr">
        <is>
          <t>NEGRO</t>
        </is>
      </c>
      <c r="I3487" s="16" t="n">
        <v>2</v>
      </c>
      <c r="J3487" s="17" t="n">
        <v>180</v>
      </c>
      <c r="K3487" s="17" t="n">
        <v>198.44</v>
      </c>
      <c r="L3487" s="17" t="n">
        <v>25.86</v>
      </c>
      <c r="M3487" s="17" t="n">
        <v>0</v>
      </c>
      <c r="N3487" s="17">
        <f>K3487*0.08+L3487*0.08</f>
        <v/>
      </c>
      <c r="O3487" s="17">
        <f>-(K3487*0.025+L3487*0.025)</f>
        <v/>
      </c>
      <c r="P3487" s="17">
        <f>32</f>
        <v/>
      </c>
      <c r="Q3487" s="17">
        <f>J3487+L3487+N3487+O3487-P3487-M3487</f>
        <v/>
      </c>
    </row>
    <row r="3488">
      <c r="A3488" s="16" t="inlineStr">
        <is>
          <t>5.29-6.4</t>
        </is>
      </c>
      <c r="B3488" s="16" t="inlineStr">
        <is>
          <t>PO-128-13161134858874080</t>
        </is>
      </c>
      <c r="C3488" s="16" t="inlineStr">
        <is>
          <t>Delivered</t>
        </is>
      </c>
      <c r="D3488" s="16" t="inlineStr">
        <is>
          <t>128-13161176801914080</t>
        </is>
      </c>
      <c r="E3488" s="16" t="inlineStr">
        <is>
          <t>Delivered</t>
        </is>
      </c>
      <c r="F3488" s="16" t="inlineStr">
        <is>
          <t>LV54W25</t>
        </is>
      </c>
      <c r="G3488" s="16" t="inlineStr">
        <is>
          <t>TIANLAI Lámpara Ventilador E27 2 en 1, Silenciosa, LED Alta Luminosidad 180°, Instalación Rápida, Ahorro Energético para Dormitorio y Interiores Pequeños</t>
        </is>
      </c>
      <c r="H3488" s="16" t="inlineStr">
        <is>
          <t>1 Pieza</t>
        </is>
      </c>
      <c r="I3488" s="16" t="n">
        <v>1</v>
      </c>
      <c r="J3488" s="17" t="n">
        <v>78</v>
      </c>
      <c r="K3488" s="17" t="n">
        <v>82.51000000000001</v>
      </c>
      <c r="L3488" s="17" t="n">
        <v>25.86</v>
      </c>
      <c r="M3488" s="17" t="n">
        <v>0</v>
      </c>
      <c r="N3488" s="17">
        <f>K3488*0.08+L3488*0.08</f>
        <v/>
      </c>
      <c r="O3488" s="17">
        <f>-(K3488*0.025+L3488*0.025)</f>
        <v/>
      </c>
      <c r="P3488" s="17">
        <f>32</f>
        <v/>
      </c>
      <c r="Q3488" s="17">
        <f>J3488+L3488+N3488+O3488-P3488-M3488</f>
        <v/>
      </c>
    </row>
    <row r="3489">
      <c r="A3489" s="16" t="inlineStr">
        <is>
          <t>5.29-6.4</t>
        </is>
      </c>
      <c r="B3489" s="16" t="inlineStr">
        <is>
          <t>PO-128-13585054362230467</t>
        </is>
      </c>
      <c r="C3489" s="16" t="inlineStr">
        <is>
          <t>Delivered</t>
        </is>
      </c>
      <c r="D3489" s="16" t="inlineStr">
        <is>
          <t>128-13585075333750467</t>
        </is>
      </c>
      <c r="E3489" s="16" t="inlineStr">
        <is>
          <t>Delivered</t>
        </is>
      </c>
      <c r="F3489" s="16" t="inlineStr">
        <is>
          <t>LV54W25</t>
        </is>
      </c>
      <c r="G3489" s="16" t="inlineStr">
        <is>
          <t>TIANLAI Lámpara Ventilador E27 2 en 1, Silenciosa, LED Alta Luminosidad 180°, Instalación Rápida, Ahorro Energético para Dormitorio y Interiores Pequeños</t>
        </is>
      </c>
      <c r="H3489" s="16" t="inlineStr">
        <is>
          <t>1 Pieza</t>
        </is>
      </c>
      <c r="I3489" s="16" t="n">
        <v>1</v>
      </c>
      <c r="J3489" s="17" t="n">
        <v>78</v>
      </c>
      <c r="K3489" s="17" t="n">
        <v>89.68000000000001</v>
      </c>
      <c r="L3489" s="17" t="n">
        <v>25.86</v>
      </c>
      <c r="M3489" s="17" t="n">
        <v>0</v>
      </c>
      <c r="N3489" s="17">
        <f>K3489*0.08+L3489*0.08</f>
        <v/>
      </c>
      <c r="O3489" s="17">
        <f>-(K3489*0.025+L3489*0.025)</f>
        <v/>
      </c>
      <c r="P3489" s="17">
        <f>32</f>
        <v/>
      </c>
      <c r="Q3489" s="17">
        <f>J3489+L3489+N3489+O3489-P3489-M3489</f>
        <v/>
      </c>
    </row>
    <row r="3490">
      <c r="A3490" s="16" t="inlineStr">
        <is>
          <t>5.29-6.4</t>
        </is>
      </c>
      <c r="B3490" s="16" t="inlineStr">
        <is>
          <t>PO-128-13555423852151538</t>
        </is>
      </c>
      <c r="C3490" s="16" t="inlineStr">
        <is>
          <t>Delivered</t>
        </is>
      </c>
      <c r="D3490" s="16" t="inlineStr">
        <is>
          <t>128-13555476280951538</t>
        </is>
      </c>
      <c r="E3490" s="16" t="inlineStr">
        <is>
          <t>Delivered</t>
        </is>
      </c>
      <c r="F3490" s="16" t="inlineStr">
        <is>
          <t>LV54W25</t>
        </is>
      </c>
      <c r="G3490" s="16" t="inlineStr">
        <is>
          <t>TIANLAI Lámpara Ventilador E27 2 en 1, Silenciosa, LED Alta Luminosidad 180°, Instalación Rápida, Ahorro Energético para Dormitorio y Interiores Pequeños</t>
        </is>
      </c>
      <c r="H3490" s="16" t="inlineStr">
        <is>
          <t>1 Pieza</t>
        </is>
      </c>
      <c r="I3490" s="16" t="n">
        <v>2</v>
      </c>
      <c r="J3490" s="17" t="n">
        <v>156</v>
      </c>
      <c r="K3490" s="17" t="n">
        <v>165.02</v>
      </c>
      <c r="L3490" s="17" t="n">
        <v>25.86</v>
      </c>
      <c r="M3490" s="17" t="n">
        <v>0</v>
      </c>
      <c r="N3490" s="17">
        <f>K3490*0.08+L3490*0.08</f>
        <v/>
      </c>
      <c r="O3490" s="17">
        <f>-(K3490*0.025+L3490*0.025)</f>
        <v/>
      </c>
      <c r="P3490" s="17">
        <f>32</f>
        <v/>
      </c>
      <c r="Q3490" s="17">
        <f>J3490+L3490+N3490+O3490-P3490-M3490</f>
        <v/>
      </c>
    </row>
    <row r="3491">
      <c r="A3491" s="16" t="inlineStr">
        <is>
          <t>5.29-6.4</t>
        </is>
      </c>
      <c r="B3491" s="16" t="inlineStr">
        <is>
          <t>PO-128-13321427303032999</t>
        </is>
      </c>
      <c r="C3491" s="16" t="inlineStr">
        <is>
          <t>Delivered</t>
        </is>
      </c>
      <c r="D3491" s="16" t="inlineStr">
        <is>
          <t>128-13321385359992999</t>
        </is>
      </c>
      <c r="E3491" s="16" t="inlineStr">
        <is>
          <t>Delivered</t>
        </is>
      </c>
      <c r="F3491" s="16" t="inlineStr">
        <is>
          <t>LV54W25</t>
        </is>
      </c>
      <c r="G3491" s="16" t="inlineStr">
        <is>
          <t>TIANLAI Lámpara Ventilador E27 2 en 1, Silenciosa, LED Alta Luminosidad 180°, Instalación Rápida, Ahorro Energético para Dormitorio y Interiores Pequeños</t>
        </is>
      </c>
      <c r="H3491" s="16" t="inlineStr">
        <is>
          <t>1 Pieza</t>
        </is>
      </c>
      <c r="I3491" s="16" t="n">
        <v>1</v>
      </c>
      <c r="J3491" s="17" t="n">
        <v>78</v>
      </c>
      <c r="K3491" s="17" t="n">
        <v>82.51000000000001</v>
      </c>
      <c r="L3491" s="17" t="n">
        <v>25.86</v>
      </c>
      <c r="M3491" s="17" t="n">
        <v>0</v>
      </c>
      <c r="N3491" s="17">
        <f>K3491*0.08+L3491*0.08</f>
        <v/>
      </c>
      <c r="O3491" s="17">
        <f>-(K3491*0.025+L3491*0.025)</f>
        <v/>
      </c>
      <c r="P3491" s="17">
        <f>32</f>
        <v/>
      </c>
      <c r="Q3491" s="17">
        <f>J3491+L3491+N3491+O3491-P3491-M3491</f>
        <v/>
      </c>
    </row>
    <row r="3492">
      <c r="A3492" s="16" t="inlineStr">
        <is>
          <t>5.29-6.4</t>
        </is>
      </c>
      <c r="B3492" s="16" t="inlineStr">
        <is>
          <t>PO-128-13291996990072276</t>
        </is>
      </c>
      <c r="C3492" s="16" t="inlineStr">
        <is>
          <t>Delivered</t>
        </is>
      </c>
      <c r="D3492" s="16" t="inlineStr">
        <is>
          <t>128-13292049418872276</t>
        </is>
      </c>
      <c r="E3492" s="16" t="inlineStr">
        <is>
          <t>Delivered</t>
        </is>
      </c>
      <c r="F3492" s="16" t="inlineStr">
        <is>
          <t>LV54W25</t>
        </is>
      </c>
      <c r="G3492" s="16" t="inlineStr">
        <is>
          <t>TIANLAI Lámpara Ventilador E27 2 en 1, Silenciosa, LED Alta Luminosidad 180°, Instalación Rápida, Ahorro Energético para Dormitorio y Interiores Pequeños</t>
        </is>
      </c>
      <c r="H3492" s="16" t="inlineStr">
        <is>
          <t>1 Pieza</t>
        </is>
      </c>
      <c r="I3492" s="16" t="n">
        <v>1</v>
      </c>
      <c r="J3492" s="17" t="n">
        <v>78</v>
      </c>
      <c r="K3492" s="17" t="n">
        <v>80.70999999999999</v>
      </c>
      <c r="L3492" s="17" t="n">
        <v>25.86</v>
      </c>
      <c r="M3492" s="17" t="n">
        <v>0</v>
      </c>
      <c r="N3492" s="17">
        <f>K3492*0.08+L3492*0.08</f>
        <v/>
      </c>
      <c r="O3492" s="17">
        <f>-(K3492*0.025+L3492*0.025)</f>
        <v/>
      </c>
      <c r="P3492" s="17">
        <f>32</f>
        <v/>
      </c>
      <c r="Q3492" s="17">
        <f>J3492+L3492+N3492+O3492-P3492-M3492</f>
        <v/>
      </c>
    </row>
    <row r="3493">
      <c r="A3493" s="16" t="inlineStr">
        <is>
          <t>5.29-6.4</t>
        </is>
      </c>
      <c r="B3493" s="16" t="inlineStr">
        <is>
          <t>PO-128-13738524058230577</t>
        </is>
      </c>
      <c r="C3493" s="16" t="inlineStr">
        <is>
          <t>Delivered</t>
        </is>
      </c>
      <c r="D3493" s="16" t="inlineStr">
        <is>
          <t>128-13738503086710577</t>
        </is>
      </c>
      <c r="E3493" s="16" t="inlineStr">
        <is>
          <t>Delivered</t>
        </is>
      </c>
      <c r="F3493" s="16" t="inlineStr">
        <is>
          <t>LV64W25</t>
        </is>
      </c>
      <c r="G349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493" s="16" t="inlineStr">
        <is>
          <t>Blanco</t>
        </is>
      </c>
      <c r="I3493" s="16" t="n">
        <v>1</v>
      </c>
      <c r="J3493" s="17" t="n">
        <v>125</v>
      </c>
      <c r="K3493" s="17" t="n">
        <v>103.15</v>
      </c>
      <c r="L3493" s="17" t="n">
        <v>25.86</v>
      </c>
      <c r="M3493" s="17" t="n">
        <v>0</v>
      </c>
      <c r="N3493" s="17">
        <f>K3493*0.08+L3493*0.08</f>
        <v/>
      </c>
      <c r="O3493" s="17">
        <f>-(K3493*0.025+L3493*0.025)</f>
        <v/>
      </c>
      <c r="P3493" s="17">
        <f>32</f>
        <v/>
      </c>
      <c r="Q3493" s="17">
        <f>J3493+L3493+N3493+O3493-P3493-M3493</f>
        <v/>
      </c>
    </row>
    <row r="3494">
      <c r="A3494" s="16" t="inlineStr">
        <is>
          <t>5.29-6.4</t>
        </is>
      </c>
      <c r="B3494" s="16" t="inlineStr">
        <is>
          <t>PO-128-13363284511352749</t>
        </is>
      </c>
      <c r="C3494" s="16" t="inlineStr">
        <is>
          <t>Delivered</t>
        </is>
      </c>
      <c r="D3494" s="16" t="inlineStr">
        <is>
          <t>128-13363326454392749</t>
        </is>
      </c>
      <c r="E3494" s="16" t="inlineStr">
        <is>
          <t>Delivered</t>
        </is>
      </c>
      <c r="F3494" s="16" t="inlineStr">
        <is>
          <t>LV54W25</t>
        </is>
      </c>
      <c r="G3494" s="16" t="inlineStr">
        <is>
          <t>TIANLAI Lámpara Ventilador E27 2 en 1, Silenciosa, LED Alta Luminosidad 180°, Instalación Rápida, Ahorro Energético para Dormitorio y Interiores Pequeños</t>
        </is>
      </c>
      <c r="H3494" s="16" t="inlineStr">
        <is>
          <t>1 Pieza</t>
        </is>
      </c>
      <c r="I3494" s="16" t="n">
        <v>1</v>
      </c>
      <c r="J3494" s="17" t="n">
        <v>78</v>
      </c>
      <c r="K3494" s="17" t="n">
        <v>82.51000000000001</v>
      </c>
      <c r="L3494" s="17" t="n">
        <v>25.86</v>
      </c>
      <c r="M3494" s="17" t="n">
        <v>0</v>
      </c>
      <c r="N3494" s="17">
        <f>K3494*0.08+L3494*0.08</f>
        <v/>
      </c>
      <c r="O3494" s="17">
        <f>-(K3494*0.025+L3494*0.025)</f>
        <v/>
      </c>
      <c r="P3494" s="17">
        <f>32</f>
        <v/>
      </c>
      <c r="Q3494" s="17">
        <f>J3494+L3494+N3494+O3494-P3494-M3494</f>
        <v/>
      </c>
    </row>
    <row r="3495">
      <c r="A3495" s="16" t="inlineStr">
        <is>
          <t>5.29-6.4</t>
        </is>
      </c>
      <c r="B3495" s="16" t="inlineStr">
        <is>
          <t>PO-128-13518722340471887</t>
        </is>
      </c>
      <c r="C3495" s="16" t="inlineStr">
        <is>
          <t>Delivered</t>
        </is>
      </c>
      <c r="D3495" s="16" t="inlineStr">
        <is>
          <t>128-13518680397431887</t>
        </is>
      </c>
      <c r="E3495" s="16" t="inlineStr">
        <is>
          <t>Delivered</t>
        </is>
      </c>
      <c r="F3495" s="16" t="inlineStr">
        <is>
          <t>LV54W25</t>
        </is>
      </c>
      <c r="G3495" s="16" t="inlineStr">
        <is>
          <t>TIANLAI Lámpara Ventilador E27 2 en 1, Silenciosa, LED Alta Luminosidad 180°, Instalación Rápida, Ahorro Energético para Dormitorio y Interiores Pequeños</t>
        </is>
      </c>
      <c r="H3495" s="16" t="inlineStr">
        <is>
          <t>1 Pieza</t>
        </is>
      </c>
      <c r="I3495" s="16" t="n">
        <v>3</v>
      </c>
      <c r="J3495" s="17" t="n">
        <v>234</v>
      </c>
      <c r="K3495" s="17" t="n">
        <v>247.53</v>
      </c>
      <c r="L3495" s="17" t="n">
        <v>0</v>
      </c>
      <c r="M3495" s="17" t="n">
        <v>0</v>
      </c>
      <c r="N3495" s="17">
        <f>K3495*0.08+L3495*0.08</f>
        <v/>
      </c>
      <c r="O3495" s="17">
        <f>-(K3495*0.025+L3495*0.025)</f>
        <v/>
      </c>
      <c r="P3495" s="17">
        <f>32</f>
        <v/>
      </c>
      <c r="Q3495" s="17">
        <f>J3495+L3495+N3495+O3495-P3495-M3495</f>
        <v/>
      </c>
    </row>
    <row r="3496">
      <c r="A3496" s="16" t="inlineStr">
        <is>
          <t>5.29-6.4</t>
        </is>
      </c>
      <c r="B3496" s="16" t="inlineStr">
        <is>
          <t>PO-128-13224220355193704</t>
        </is>
      </c>
      <c r="C3496" s="16" t="inlineStr">
        <is>
          <t>Delivered</t>
        </is>
      </c>
      <c r="D3496" s="16" t="inlineStr">
        <is>
          <t>128-13224262298233704</t>
        </is>
      </c>
      <c r="E3496" s="16" t="inlineStr">
        <is>
          <t>Delivered</t>
        </is>
      </c>
      <c r="F3496" s="16" t="inlineStr">
        <is>
          <t>LV54W25</t>
        </is>
      </c>
      <c r="G3496" s="16" t="inlineStr">
        <is>
          <t>TIANLAI Lámpara Ventilador E27 2 en 1, Silenciosa, LED Alta Luminosidad 180°, Instalación Rápida, Ahorro Energético para Dormitorio y Interiores Pequeños</t>
        </is>
      </c>
      <c r="H3496" s="16" t="inlineStr">
        <is>
          <t>1 Pieza</t>
        </is>
      </c>
      <c r="I3496" s="16" t="n">
        <v>6</v>
      </c>
      <c r="J3496" s="17" t="n">
        <v>468</v>
      </c>
      <c r="K3496" s="17" t="n">
        <v>420.81</v>
      </c>
      <c r="L3496" s="17" t="n">
        <v>0</v>
      </c>
      <c r="M3496" s="17" t="n">
        <v>0</v>
      </c>
      <c r="N3496" s="17">
        <f>K3496*0.08+L3496*0.08</f>
        <v/>
      </c>
      <c r="O3496" s="17">
        <f>-(K3496*0.025+L3496*0.025)</f>
        <v/>
      </c>
      <c r="P3496" s="17">
        <f>32</f>
        <v/>
      </c>
      <c r="Q3496" s="17">
        <f>J3496+L3496+N3496+O3496-P3496-M3496</f>
        <v/>
      </c>
    </row>
    <row r="3497">
      <c r="A3497" s="16" t="inlineStr">
        <is>
          <t>5.29-6.4</t>
        </is>
      </c>
      <c r="B3497" s="16" t="inlineStr">
        <is>
          <t>PO-128-13331426806393067</t>
        </is>
      </c>
      <c r="C3497" s="16" t="inlineStr">
        <is>
          <t>Delivered</t>
        </is>
      </c>
      <c r="D3497" s="16" t="inlineStr">
        <is>
          <t>128-13331468749433067</t>
        </is>
      </c>
      <c r="E3497" s="16" t="inlineStr">
        <is>
          <t>Delivered</t>
        </is>
      </c>
      <c r="F3497" s="16" t="inlineStr">
        <is>
          <t>LV54W25</t>
        </is>
      </c>
      <c r="G3497" s="16" t="inlineStr">
        <is>
          <t>TIANLAI Lámpara Ventilador E27 2 en 1, Silenciosa, LED Alta Luminosidad 180°, Instalación Rápida, Ahorro Energético para Dormitorio y Interiores Pequeños</t>
        </is>
      </c>
      <c r="H3497" s="16" t="inlineStr">
        <is>
          <t>1 Pieza</t>
        </is>
      </c>
      <c r="I3497" s="16" t="n">
        <v>3</v>
      </c>
      <c r="J3497" s="17" t="n">
        <v>234</v>
      </c>
      <c r="K3497" s="17" t="n">
        <v>242.13</v>
      </c>
      <c r="L3497" s="17" t="n">
        <v>0</v>
      </c>
      <c r="M3497" s="17" t="n">
        <v>0</v>
      </c>
      <c r="N3497" s="17">
        <f>K3497*0.08+L3497*0.08</f>
        <v/>
      </c>
      <c r="O3497" s="17">
        <f>-(K3497*0.025+L3497*0.025)</f>
        <v/>
      </c>
      <c r="P3497" s="17">
        <f>32</f>
        <v/>
      </c>
      <c r="Q3497" s="17">
        <f>J3497+L3497+N3497+O3497-P3497-M3497</f>
        <v/>
      </c>
    </row>
    <row r="3498">
      <c r="A3498" s="16" t="inlineStr">
        <is>
          <t>5.29-6.4</t>
        </is>
      </c>
      <c r="B3498" s="16" t="inlineStr">
        <is>
          <t>PO-128-13669930650230985</t>
        </is>
      </c>
      <c r="C3498" s="16" t="inlineStr">
        <is>
          <t>Delivered</t>
        </is>
      </c>
      <c r="D3498" s="16" t="inlineStr">
        <is>
          <t>128-13670035507830985</t>
        </is>
      </c>
      <c r="E3498" s="16" t="inlineStr">
        <is>
          <t>Delivered</t>
        </is>
      </c>
      <c r="F3498" s="16" t="inlineStr">
        <is>
          <t>LV54W25</t>
        </is>
      </c>
      <c r="G3498" s="16" t="inlineStr">
        <is>
          <t>TIANLAI Lámpara Ventilador E27 2 en 1, Silenciosa, LED Alta Luminosidad 180°, Instalación Rápida, Ahorro Energético para Dormitorio y Interiores Pequeños</t>
        </is>
      </c>
      <c r="H3498" s="16" t="inlineStr">
        <is>
          <t>1 Pieza</t>
        </is>
      </c>
      <c r="I3498" s="16" t="n">
        <v>1</v>
      </c>
      <c r="J3498" s="17" t="n">
        <v>78</v>
      </c>
      <c r="K3498" s="17" t="n">
        <v>82.51000000000001</v>
      </c>
      <c r="L3498" s="17" t="n">
        <v>25.86</v>
      </c>
      <c r="M3498" s="17" t="n">
        <v>0</v>
      </c>
      <c r="N3498" s="17">
        <f>K3498*0.08+L3498*0.08</f>
        <v/>
      </c>
      <c r="O3498" s="17">
        <f>-(K3498*0.025+L3498*0.025)</f>
        <v/>
      </c>
      <c r="P3498" s="17">
        <f>32</f>
        <v/>
      </c>
      <c r="Q3498" s="17">
        <f>J3498+L3498+N3498+O3498-P3498-M3498</f>
        <v/>
      </c>
    </row>
    <row r="3499">
      <c r="A3499" s="16" t="inlineStr">
        <is>
          <t>5.29-6.4</t>
        </is>
      </c>
      <c r="B3499" s="16" t="inlineStr">
        <is>
          <t>PO-128-13614552074870355</t>
        </is>
      </c>
      <c r="C3499" s="16" t="inlineStr">
        <is>
          <t>Delivered</t>
        </is>
      </c>
      <c r="D3499" s="16" t="inlineStr">
        <is>
          <t>128-13614620232310355</t>
        </is>
      </c>
      <c r="E3499" s="16" t="inlineStr">
        <is>
          <t>Delivered</t>
        </is>
      </c>
      <c r="F3499" s="16" t="inlineStr">
        <is>
          <t>LV54W25</t>
        </is>
      </c>
      <c r="G3499" s="16" t="inlineStr">
        <is>
          <t>TIANLAI Lámpara Ventilador E27 2 en 1, Silenciosa, LED Alta Luminosidad 180°, Instalación Rápida, Ahorro Energético para Dormitorio y Interiores Pequeños</t>
        </is>
      </c>
      <c r="H3499" s="16" t="inlineStr">
        <is>
          <t>1 Pieza</t>
        </is>
      </c>
      <c r="I3499" s="16" t="n">
        <v>1</v>
      </c>
      <c r="J3499" s="17" t="n">
        <v>78</v>
      </c>
      <c r="K3499" s="17" t="n">
        <v>80.70999999999999</v>
      </c>
      <c r="L3499" s="17" t="n">
        <v>25.86</v>
      </c>
      <c r="M3499" s="17" t="n">
        <v>0</v>
      </c>
      <c r="N3499" s="17">
        <f>K3499*0.08+L3499*0.08</f>
        <v/>
      </c>
      <c r="O3499" s="17">
        <f>-(K3499*0.025+L3499*0.025)</f>
        <v/>
      </c>
      <c r="P3499" s="17">
        <f>32</f>
        <v/>
      </c>
      <c r="Q3499" s="17">
        <f>J3499+L3499+N3499+O3499-P3499-M3499</f>
        <v/>
      </c>
    </row>
    <row r="3500">
      <c r="A3500" s="16" t="inlineStr">
        <is>
          <t>5.29-6.4</t>
        </is>
      </c>
      <c r="B3500" s="16" t="inlineStr">
        <is>
          <t>PO-128-13516411300471834</t>
        </is>
      </c>
      <c r="C3500" s="16" t="inlineStr">
        <is>
          <t>Delivered</t>
        </is>
      </c>
      <c r="D3500" s="16" t="inlineStr">
        <is>
          <t>128-13516547615351834</t>
        </is>
      </c>
      <c r="E3500" s="16" t="inlineStr">
        <is>
          <t>Delivered</t>
        </is>
      </c>
      <c r="F3500" s="16" t="inlineStr">
        <is>
          <t>LV54W25</t>
        </is>
      </c>
      <c r="G3500" s="16" t="inlineStr">
        <is>
          <t>TIANLAI Lámpara Ventilador E27 2 en 1, Silenciosa, LED Alta Luminosidad 180°, Instalación Rápida, Ahorro Energético para Dormitorio y Interiores Pequeños</t>
        </is>
      </c>
      <c r="H3500" s="16" t="inlineStr">
        <is>
          <t>1 Pieza</t>
        </is>
      </c>
      <c r="I3500" s="16" t="n">
        <v>1</v>
      </c>
      <c r="J3500" s="17" t="n">
        <v>78</v>
      </c>
      <c r="K3500" s="17" t="n">
        <v>82.51000000000001</v>
      </c>
      <c r="L3500" s="17" t="n">
        <v>25.86</v>
      </c>
      <c r="M3500" s="17" t="n">
        <v>0</v>
      </c>
      <c r="N3500" s="17">
        <f>K3500*0.08+L3500*0.08</f>
        <v/>
      </c>
      <c r="O3500" s="17">
        <f>-(K3500*0.025+L3500*0.025)</f>
        <v/>
      </c>
      <c r="P3500" s="17">
        <f>32</f>
        <v/>
      </c>
      <c r="Q3500" s="17">
        <f>J3500+L3500+N3500+O3500-P3500-M3500</f>
        <v/>
      </c>
    </row>
    <row r="3501">
      <c r="A3501" s="16" t="inlineStr">
        <is>
          <t>5.29-6.4</t>
        </is>
      </c>
      <c r="B3501" s="16" t="inlineStr">
        <is>
          <t>PO-128-13204919501433821</t>
        </is>
      </c>
      <c r="C3501" s="16" t="inlineStr">
        <is>
          <t>Delivered</t>
        </is>
      </c>
      <c r="D3501" s="16" t="inlineStr">
        <is>
          <t>128-13204898529913821</t>
        </is>
      </c>
      <c r="E3501" s="16" t="inlineStr">
        <is>
          <t>Delivered</t>
        </is>
      </c>
      <c r="F3501" s="16" t="inlineStr">
        <is>
          <t>B03W10-10PZS</t>
        </is>
      </c>
      <c r="G350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501" s="16" t="inlineStr">
        <is>
          <t>B03W10</t>
        </is>
      </c>
      <c r="I3501" s="16" t="n">
        <v>3</v>
      </c>
      <c r="J3501" s="17" t="n">
        <v>231</v>
      </c>
      <c r="K3501" s="17" t="n">
        <v>250.95</v>
      </c>
      <c r="L3501" s="17" t="n">
        <v>0</v>
      </c>
      <c r="M3501" s="17" t="n">
        <v>0</v>
      </c>
      <c r="N3501" s="17">
        <f>K3501*0.08+L3501*0.08</f>
        <v/>
      </c>
      <c r="O3501" s="17">
        <f>-(K3501*0.025+L3501*0.025)</f>
        <v/>
      </c>
      <c r="P3501" s="17">
        <f>32</f>
        <v/>
      </c>
      <c r="Q3501" s="17">
        <f>J3501+L3501+N3501+O3501-P3501-M3501</f>
        <v/>
      </c>
    </row>
    <row r="3502">
      <c r="A3502" s="16" t="inlineStr">
        <is>
          <t>5.29-6.4</t>
        </is>
      </c>
      <c r="B3502" s="16" t="inlineStr">
        <is>
          <t>PO-128-13525741711991909</t>
        </is>
      </c>
      <c r="C3502" s="16" t="inlineStr">
        <is>
          <t>Delivered</t>
        </is>
      </c>
      <c r="D3502" s="16" t="inlineStr">
        <is>
          <t>128-13525762683511909</t>
        </is>
      </c>
      <c r="E3502" s="16" t="inlineStr">
        <is>
          <t>Delivered</t>
        </is>
      </c>
      <c r="F3502" s="16" t="inlineStr">
        <is>
          <t>LV54W25</t>
        </is>
      </c>
      <c r="G3502" s="16" t="inlineStr">
        <is>
          <t>TIANLAI Lámpara Ventilador E27 2 en 1, Silenciosa, LED Alta Luminosidad 180°, Instalación Rápida, Ahorro Energético para Dormitorio y Interiores Pequeños</t>
        </is>
      </c>
      <c r="H3502" s="16" t="inlineStr">
        <is>
          <t>1 Pieza</t>
        </is>
      </c>
      <c r="I3502" s="16" t="n">
        <v>3</v>
      </c>
      <c r="J3502" s="17" t="n">
        <v>234</v>
      </c>
      <c r="K3502" s="17" t="n">
        <v>242.13</v>
      </c>
      <c r="L3502" s="17" t="n">
        <v>0</v>
      </c>
      <c r="M3502" s="17" t="n">
        <v>0</v>
      </c>
      <c r="N3502" s="17">
        <f>K3502*0.08+L3502*0.08</f>
        <v/>
      </c>
      <c r="O3502" s="17">
        <f>-(K3502*0.025+L3502*0.025)</f>
        <v/>
      </c>
      <c r="P3502" s="17">
        <f>32</f>
        <v/>
      </c>
      <c r="Q3502" s="17">
        <f>J3502+L3502+N3502+O3502-P3502-M3502</f>
        <v/>
      </c>
    </row>
    <row r="3503">
      <c r="A3503" s="16" t="inlineStr">
        <is>
          <t>5.29-6.4</t>
        </is>
      </c>
      <c r="B3503" s="16" t="inlineStr">
        <is>
          <t>PO-128-13631623470710252</t>
        </is>
      </c>
      <c r="C3503" s="16" t="inlineStr">
        <is>
          <t>Delivered</t>
        </is>
      </c>
      <c r="D3503" s="16" t="inlineStr">
        <is>
          <t>128-13631581527670252</t>
        </is>
      </c>
      <c r="E3503" s="16" t="inlineStr">
        <is>
          <t>Delivered</t>
        </is>
      </c>
      <c r="F3503" s="16" t="inlineStr">
        <is>
          <t>TLCD06-12P-R</t>
        </is>
      </c>
      <c r="G350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03" s="16" t="inlineStr">
        <is>
          <t>ROJO/pantalla de 12 pulgadas</t>
        </is>
      </c>
      <c r="I3503" s="16" t="n">
        <v>1</v>
      </c>
      <c r="J3503" s="17" t="n">
        <v>35</v>
      </c>
      <c r="K3503" s="17" t="n">
        <v>47.02</v>
      </c>
      <c r="L3503" s="17" t="n">
        <v>12.93</v>
      </c>
      <c r="M3503" s="17" t="n">
        <v>0</v>
      </c>
      <c r="N3503" s="17">
        <f>K3503*0.08+L3503*0.08</f>
        <v/>
      </c>
      <c r="O3503" s="17">
        <f>-(K3503*0.025+L3503*0.025)</f>
        <v/>
      </c>
      <c r="P3503" s="17">
        <f>32</f>
        <v/>
      </c>
      <c r="Q3503" s="17">
        <f>J3503+L3503+N3503+O3503-P3503-M3503</f>
        <v/>
      </c>
    </row>
    <row r="3504">
      <c r="A3504" s="16" t="inlineStr">
        <is>
          <t>5.29-6.4</t>
        </is>
      </c>
      <c r="B3504" s="16" t="inlineStr">
        <is>
          <t>PO-128-13631623470710252</t>
        </is>
      </c>
      <c r="C3504" s="16" t="inlineStr">
        <is>
          <t>Delivered</t>
        </is>
      </c>
      <c r="D3504" s="16" t="inlineStr">
        <is>
          <t>128-13631539584630252</t>
        </is>
      </c>
      <c r="E3504" s="16" t="inlineStr">
        <is>
          <t>Delivered</t>
        </is>
      </c>
      <c r="F3504" s="16" t="inlineStr">
        <is>
          <t>TLCD06-12P-A</t>
        </is>
      </c>
      <c r="G350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04" s="16" t="inlineStr">
        <is>
          <t>AZUL/pantalla de 12 pulgadas</t>
        </is>
      </c>
      <c r="I3504" s="16" t="n">
        <v>1</v>
      </c>
      <c r="J3504" s="17" t="n">
        <v>35</v>
      </c>
      <c r="K3504" s="17" t="n">
        <v>47.02</v>
      </c>
      <c r="L3504" s="17" t="n">
        <v>12.93</v>
      </c>
      <c r="M3504" s="17" t="n">
        <v>0</v>
      </c>
      <c r="N3504" s="17">
        <f>K3504*0.08+L3504*0.08</f>
        <v/>
      </c>
      <c r="O3504" s="17">
        <f>-(K3504*0.025+L3504*0.025)</f>
        <v/>
      </c>
      <c r="P3504" s="17">
        <f>32</f>
        <v/>
      </c>
      <c r="Q3504" s="17">
        <f>J3504+L3504+N3504+O3504-P3504-M3504</f>
        <v/>
      </c>
    </row>
    <row r="3505">
      <c r="A3505" s="16" t="inlineStr">
        <is>
          <t>5.29-6.4</t>
        </is>
      </c>
      <c r="B3505" s="16" t="inlineStr">
        <is>
          <t>PO-128-13113482906233276</t>
        </is>
      </c>
      <c r="C3505" s="16" t="inlineStr">
        <is>
          <t>Delivered</t>
        </is>
      </c>
      <c r="D3505" s="16" t="inlineStr">
        <is>
          <t>128-13113451448953276</t>
        </is>
      </c>
      <c r="E3505" s="16" t="inlineStr">
        <is>
          <t>Delivered</t>
        </is>
      </c>
      <c r="F3505" s="16" t="inlineStr">
        <is>
          <t>i12-B</t>
        </is>
      </c>
      <c r="G3505" s="16" t="inlineStr">
        <is>
          <t>Auriculares Inalámbricos TWS - Ideales para Usuarios Android e iPhone, Entusiastas del Deporte &amp; Música, Controles Táctiles, Audífonos Para Correr y Jugar</t>
        </is>
      </c>
      <c r="H3505" s="16" t="inlineStr">
        <is>
          <t>Blanco</t>
        </is>
      </c>
      <c r="I3505" s="16" t="n">
        <v>1</v>
      </c>
      <c r="J3505" s="17" t="n">
        <v>44.8</v>
      </c>
      <c r="K3505" s="17" t="n">
        <v>53.31</v>
      </c>
      <c r="L3505" s="17" t="n">
        <v>25.86</v>
      </c>
      <c r="M3505" s="17" t="n">
        <v>0</v>
      </c>
      <c r="N3505" s="17">
        <f>K3505*0.08+L3505*0.08</f>
        <v/>
      </c>
      <c r="O3505" s="17">
        <f>-(K3505*0.025+L3505*0.025)</f>
        <v/>
      </c>
      <c r="P3505" s="17">
        <f>32</f>
        <v/>
      </c>
      <c r="Q3505" s="17">
        <f>J3505+L3505+N3505+O3505-P3505-M3505</f>
        <v/>
      </c>
    </row>
    <row r="3506">
      <c r="A3506" s="16" t="inlineStr">
        <is>
          <t>5.29-6.4</t>
        </is>
      </c>
      <c r="B3506" s="16" t="inlineStr">
        <is>
          <t>PO-128-13115536282233264</t>
        </is>
      </c>
      <c r="C3506" s="16" t="inlineStr">
        <is>
          <t>Delivered</t>
        </is>
      </c>
      <c r="D3506" s="16" t="inlineStr">
        <is>
          <t>128-13115557253753264</t>
        </is>
      </c>
      <c r="E3506" s="16" t="inlineStr">
        <is>
          <t>Delivered</t>
        </is>
      </c>
      <c r="F3506" s="16" t="inlineStr">
        <is>
          <t>KTS-1936</t>
        </is>
      </c>
      <c r="G3506" s="16" t="inlineStr">
        <is>
          <t>Espejo con Luz para Makeup，Espejo con Luz LED y Bocina Bluetooth，Espejo para Maquillaje con Aumentos y Luces LED de Intensidad Ajustable，Lente de Aumento 10X+Reproductor TF+ TWS，espejo de portátil y para estudiantes, oficina, dormitorio, mejor regalo</t>
        </is>
      </c>
      <c r="H3506" s="16" t="inlineStr">
        <is>
          <t>BLANCO</t>
        </is>
      </c>
      <c r="I3506" s="16" t="n">
        <v>1</v>
      </c>
      <c r="J3506" s="17" t="n">
        <v>220</v>
      </c>
      <c r="K3506" s="17" t="n">
        <v>238.53</v>
      </c>
      <c r="L3506" s="17" t="n">
        <v>25.86</v>
      </c>
      <c r="M3506" s="17" t="n">
        <v>0</v>
      </c>
      <c r="N3506" s="17">
        <f>K3506*0.08+L3506*0.08</f>
        <v/>
      </c>
      <c r="O3506" s="17">
        <f>-(K3506*0.025+L3506*0.025)</f>
        <v/>
      </c>
      <c r="P3506" s="17">
        <f>32</f>
        <v/>
      </c>
      <c r="Q3506" s="17">
        <f>J3506+L3506+N3506+O3506-P3506-M3506</f>
        <v/>
      </c>
    </row>
    <row r="3507">
      <c r="A3507" s="16" t="inlineStr">
        <is>
          <t>5.29-6.4</t>
        </is>
      </c>
      <c r="B3507" s="16" t="inlineStr">
        <is>
          <t>PO-128-13097739807353434</t>
        </is>
      </c>
      <c r="C3507" s="16" t="inlineStr">
        <is>
          <t>Delivered</t>
        </is>
      </c>
      <c r="D3507" s="16" t="inlineStr">
        <is>
          <t>128-13097792236153434</t>
        </is>
      </c>
      <c r="E3507" s="16" t="inlineStr">
        <is>
          <t>Delivered</t>
        </is>
      </c>
      <c r="F3507" s="16" t="inlineStr">
        <is>
          <t>TLCD06-12P-N</t>
        </is>
      </c>
      <c r="G350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07" s="16" t="inlineStr">
        <is>
          <t>NEGRO/pantalla de 12 pulgadas</t>
        </is>
      </c>
      <c r="I3507" s="16" t="n">
        <v>1</v>
      </c>
      <c r="J3507" s="17" t="n">
        <v>35</v>
      </c>
      <c r="K3507" s="17" t="n">
        <v>47.01</v>
      </c>
      <c r="L3507" s="17" t="n">
        <v>25.86</v>
      </c>
      <c r="M3507" s="17" t="n">
        <v>0</v>
      </c>
      <c r="N3507" s="17">
        <f>K3507*0.08+L3507*0.08</f>
        <v/>
      </c>
      <c r="O3507" s="17">
        <f>-(K3507*0.025+L3507*0.025)</f>
        <v/>
      </c>
      <c r="P3507" s="17">
        <f>32</f>
        <v/>
      </c>
      <c r="Q3507" s="17">
        <f>J3507+L3507+N3507+O3507-P3507-M3507</f>
        <v/>
      </c>
    </row>
    <row r="3508">
      <c r="A3508" s="16" t="inlineStr">
        <is>
          <t>5.29-6.4</t>
        </is>
      </c>
      <c r="B3508" s="16" t="inlineStr">
        <is>
          <t>PO-128-13427870167671338</t>
        </is>
      </c>
      <c r="C3508" s="16" t="inlineStr">
        <is>
          <t>Delivered</t>
        </is>
      </c>
      <c r="D3508" s="16" t="inlineStr">
        <is>
          <t>128-13427912110711338</t>
        </is>
      </c>
      <c r="E3508" s="16" t="inlineStr">
        <is>
          <t>Delivered</t>
        </is>
      </c>
      <c r="F3508" s="16" t="inlineStr">
        <is>
          <t>LV64W25</t>
        </is>
      </c>
      <c r="G35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08" s="16" t="inlineStr">
        <is>
          <t>Blanco</t>
        </is>
      </c>
      <c r="I3508" s="16" t="n">
        <v>2</v>
      </c>
      <c r="J3508" s="17" t="n">
        <v>250</v>
      </c>
      <c r="K3508" s="17" t="n">
        <v>257.88</v>
      </c>
      <c r="L3508" s="17" t="n">
        <v>0</v>
      </c>
      <c r="M3508" s="17" t="n">
        <v>0</v>
      </c>
      <c r="N3508" s="17">
        <f>K3508*0.08+L3508*0.08</f>
        <v/>
      </c>
      <c r="O3508" s="17">
        <f>-(K3508*0.025+L3508*0.025)</f>
        <v/>
      </c>
      <c r="P3508" s="17">
        <f>32</f>
        <v/>
      </c>
      <c r="Q3508" s="17">
        <f>J3508+L3508+N3508+O3508-P3508-M3508</f>
        <v/>
      </c>
    </row>
    <row r="3509">
      <c r="A3509" s="16" t="inlineStr">
        <is>
          <t>5.29-6.4</t>
        </is>
      </c>
      <c r="B3509" s="16" t="inlineStr">
        <is>
          <t>PO-128-13358301727352715</t>
        </is>
      </c>
      <c r="C3509" s="16" t="inlineStr">
        <is>
          <t>Delivered</t>
        </is>
      </c>
      <c r="D3509" s="16" t="inlineStr">
        <is>
          <t>128-13358322698872715</t>
        </is>
      </c>
      <c r="E3509" s="16" t="inlineStr">
        <is>
          <t>Delivered</t>
        </is>
      </c>
      <c r="F3509" s="16" t="inlineStr">
        <is>
          <t>LV54W25</t>
        </is>
      </c>
      <c r="G3509" s="16" t="inlineStr">
        <is>
          <t>TIANLAI Lámpara Ventilador E27 2 en 1, Silenciosa, LED Alta Luminosidad 180°, Instalación Rápida, Ahorro Energético para Dormitorio y Interiores Pequeños</t>
        </is>
      </c>
      <c r="H3509" s="16" t="inlineStr">
        <is>
          <t>1 Pieza</t>
        </is>
      </c>
      <c r="I3509" s="16" t="n">
        <v>1</v>
      </c>
      <c r="J3509" s="17" t="n">
        <v>78</v>
      </c>
      <c r="K3509" s="17" t="n">
        <v>68.59999999999999</v>
      </c>
      <c r="L3509" s="17" t="n">
        <v>25.86</v>
      </c>
      <c r="M3509" s="17" t="n">
        <v>0</v>
      </c>
      <c r="N3509" s="17">
        <f>K3509*0.08+L3509*0.08</f>
        <v/>
      </c>
      <c r="O3509" s="17">
        <f>-(K3509*0.025+L3509*0.025)</f>
        <v/>
      </c>
      <c r="P3509" s="17">
        <f>32</f>
        <v/>
      </c>
      <c r="Q3509" s="17">
        <f>J3509+L3509+N3509+O3509-P3509-M3509</f>
        <v/>
      </c>
    </row>
    <row r="3510">
      <c r="A3510" s="16" t="inlineStr">
        <is>
          <t>5.29-6.4</t>
        </is>
      </c>
      <c r="B3510" s="16" t="inlineStr">
        <is>
          <t>PO-128-13136406200953141</t>
        </is>
      </c>
      <c r="C3510" s="16" t="inlineStr">
        <is>
          <t>Delivered</t>
        </is>
      </c>
      <c r="D3510" s="16" t="inlineStr">
        <is>
          <t>128-13136416686713141</t>
        </is>
      </c>
      <c r="E3510" s="16" t="inlineStr">
        <is>
          <t>Delivered</t>
        </is>
      </c>
      <c r="F3510" s="16" t="inlineStr">
        <is>
          <t>LV54W25</t>
        </is>
      </c>
      <c r="G3510" s="16" t="inlineStr">
        <is>
          <t>TIANLAI Lámpara Ventilador E27 2 en 1, Silenciosa, LED Alta Luminosidad 180°, Instalación Rápida, Ahorro Energético para Dormitorio y Interiores Pequeños</t>
        </is>
      </c>
      <c r="H3510" s="16" t="inlineStr">
        <is>
          <t>1 Pieza</t>
        </is>
      </c>
      <c r="I3510" s="16" t="n">
        <v>1</v>
      </c>
      <c r="J3510" s="17" t="n">
        <v>78</v>
      </c>
      <c r="K3510" s="17" t="n">
        <v>66.01000000000001</v>
      </c>
      <c r="L3510" s="17" t="n">
        <v>25.86</v>
      </c>
      <c r="M3510" s="17" t="n">
        <v>0</v>
      </c>
      <c r="N3510" s="17">
        <f>K3510*0.08+L3510*0.08</f>
        <v/>
      </c>
      <c r="O3510" s="17">
        <f>-(K3510*0.025+L3510*0.025)</f>
        <v/>
      </c>
      <c r="P3510" s="17">
        <f>32</f>
        <v/>
      </c>
      <c r="Q3510" s="17">
        <f>J3510+L3510+N3510+O3510-P3510-M3510</f>
        <v/>
      </c>
    </row>
    <row r="3511">
      <c r="A3511" s="16" t="inlineStr">
        <is>
          <t>5.29-6.4</t>
        </is>
      </c>
      <c r="B3511" s="16" t="inlineStr">
        <is>
          <t>PO-128-13189649572473718</t>
        </is>
      </c>
      <c r="C3511" s="16" t="inlineStr">
        <is>
          <t>Delivered</t>
        </is>
      </c>
      <c r="D3511" s="16" t="inlineStr">
        <is>
          <t>128-13189628600953718</t>
        </is>
      </c>
      <c r="E3511" s="16" t="inlineStr">
        <is>
          <t>Delivered</t>
        </is>
      </c>
      <c r="F3511" s="16" t="inlineStr">
        <is>
          <t>LV54W25</t>
        </is>
      </c>
      <c r="G3511" s="16" t="inlineStr">
        <is>
          <t>TIANLAI Lámpara Ventilador E27 2 en 1, Silenciosa, LED Alta Luminosidad 180°, Instalación Rápida, Ahorro Energético para Dormitorio y Interiores Pequeños</t>
        </is>
      </c>
      <c r="H3511" s="16" t="inlineStr">
        <is>
          <t>1 Pieza</t>
        </is>
      </c>
      <c r="I3511" s="16" t="n">
        <v>1</v>
      </c>
      <c r="J3511" s="17" t="n">
        <v>78</v>
      </c>
      <c r="K3511" s="17" t="n">
        <v>82.51000000000001</v>
      </c>
      <c r="L3511" s="17" t="n">
        <v>25.86</v>
      </c>
      <c r="M3511" s="17" t="n">
        <v>0</v>
      </c>
      <c r="N3511" s="17">
        <f>K3511*0.08+L3511*0.08</f>
        <v/>
      </c>
      <c r="O3511" s="17">
        <f>-(K3511*0.025+L3511*0.025)</f>
        <v/>
      </c>
      <c r="P3511" s="17">
        <f>32</f>
        <v/>
      </c>
      <c r="Q3511" s="17">
        <f>J3511+L3511+N3511+O3511-P3511-M3511</f>
        <v/>
      </c>
    </row>
    <row r="3512">
      <c r="A3512" s="16" t="inlineStr">
        <is>
          <t>5.29-6.4</t>
        </is>
      </c>
      <c r="B3512" s="16" t="inlineStr">
        <is>
          <t>PO-128-13360022897272705</t>
        </is>
      </c>
      <c r="C3512" s="16" t="inlineStr">
        <is>
          <t>Delivered</t>
        </is>
      </c>
      <c r="D3512" s="16" t="inlineStr">
        <is>
          <t>128-13359980954232705</t>
        </is>
      </c>
      <c r="E3512" s="16" t="inlineStr">
        <is>
          <t>Delivered</t>
        </is>
      </c>
      <c r="F3512" s="16" t="inlineStr">
        <is>
          <t>LV54W25</t>
        </is>
      </c>
      <c r="G3512" s="16" t="inlineStr">
        <is>
          <t>TIANLAI Lámpara Ventilador E27 2 en 1, Silenciosa, LED Alta Luminosidad 180°, Instalación Rápida, Ahorro Energético para Dormitorio y Interiores Pequeños</t>
        </is>
      </c>
      <c r="H3512" s="16" t="inlineStr">
        <is>
          <t>1 Pieza</t>
        </is>
      </c>
      <c r="I3512" s="16" t="n">
        <v>2</v>
      </c>
      <c r="J3512" s="17" t="n">
        <v>156</v>
      </c>
      <c r="K3512" s="17" t="n">
        <v>165.02</v>
      </c>
      <c r="L3512" s="17" t="n">
        <v>25.86</v>
      </c>
      <c r="M3512" s="17" t="n">
        <v>0</v>
      </c>
      <c r="N3512" s="17">
        <f>K3512*0.08+L3512*0.08</f>
        <v/>
      </c>
      <c r="O3512" s="17">
        <f>-(K3512*0.025+L3512*0.025)</f>
        <v/>
      </c>
      <c r="P3512" s="17">
        <f>32</f>
        <v/>
      </c>
      <c r="Q3512" s="17">
        <f>J3512+L3512+N3512+O3512-P3512-M3512</f>
        <v/>
      </c>
    </row>
    <row r="3513">
      <c r="A3513" s="16" t="inlineStr">
        <is>
          <t>5.29-6.4</t>
        </is>
      </c>
      <c r="B3513" s="16" t="inlineStr">
        <is>
          <t>PO-128-13674706099831021</t>
        </is>
      </c>
      <c r="C3513" s="16" t="inlineStr">
        <is>
          <t>Delivered</t>
        </is>
      </c>
      <c r="D3513" s="16" t="inlineStr">
        <is>
          <t>128-13674716585591021</t>
        </is>
      </c>
      <c r="E3513" s="16" t="inlineStr">
        <is>
          <t>Delivered</t>
        </is>
      </c>
      <c r="F3513" s="16" t="inlineStr">
        <is>
          <t>LV54W25</t>
        </is>
      </c>
      <c r="G3513" s="16" t="inlineStr">
        <is>
          <t>TIANLAI Lámpara Ventilador E27 2 en 1, Silenciosa, LED Alta Luminosidad 180°, Instalación Rápida, Ahorro Energético para Dormitorio y Interiores Pequeños</t>
        </is>
      </c>
      <c r="H3513" s="16" t="inlineStr">
        <is>
          <t>1 Pieza</t>
        </is>
      </c>
      <c r="I3513" s="16" t="n">
        <v>1</v>
      </c>
      <c r="J3513" s="17" t="n">
        <v>78</v>
      </c>
      <c r="K3513" s="17" t="n">
        <v>82.51000000000001</v>
      </c>
      <c r="L3513" s="17" t="n">
        <v>25.86</v>
      </c>
      <c r="M3513" s="17" t="n">
        <v>0</v>
      </c>
      <c r="N3513" s="17">
        <f>K3513*0.08+L3513*0.08</f>
        <v/>
      </c>
      <c r="O3513" s="17">
        <f>-(K3513*0.025+L3513*0.025)</f>
        <v/>
      </c>
      <c r="P3513" s="17">
        <f>32</f>
        <v/>
      </c>
      <c r="Q3513" s="17">
        <f>J3513+L3513+N3513+O3513-P3513-M3513</f>
        <v/>
      </c>
    </row>
    <row r="3514">
      <c r="A3514" s="16" t="inlineStr">
        <is>
          <t>5.29-6.4</t>
        </is>
      </c>
      <c r="B3514" s="16" t="inlineStr">
        <is>
          <t>PO-128-13660214564470915</t>
        </is>
      </c>
      <c r="C3514" s="16" t="inlineStr">
        <is>
          <t>Delivered</t>
        </is>
      </c>
      <c r="D3514" s="16" t="inlineStr">
        <is>
          <t>128-13660204078710915</t>
        </is>
      </c>
      <c r="E3514" s="16" t="inlineStr">
        <is>
          <t>Delivered</t>
        </is>
      </c>
      <c r="F3514" s="16" t="inlineStr">
        <is>
          <t>KTS-2031</t>
        </is>
      </c>
      <c r="G3514" s="16" t="inlineStr">
        <is>
          <t>Bocina inalámbrica de 3 pulgadas con linterna multifuncional y panel solar integrado.Altavoz Portátil con Linterna LED 4 Modos, Radio FM, Bluetooth, Carga Solar, Ideal para Apagones, Emergencias, Campo y Exteriores</t>
        </is>
      </c>
      <c r="H3514" s="16" t="inlineStr">
        <is>
          <t>NEGRO</t>
        </is>
      </c>
      <c r="I3514" s="16" t="n">
        <v>2</v>
      </c>
      <c r="J3514" s="17" t="n">
        <v>180</v>
      </c>
      <c r="K3514" s="17" t="n">
        <v>198.44</v>
      </c>
      <c r="L3514" s="17" t="n">
        <v>25.86</v>
      </c>
      <c r="M3514" s="17" t="n">
        <v>0</v>
      </c>
      <c r="N3514" s="17">
        <f>K3514*0.08+L3514*0.08</f>
        <v/>
      </c>
      <c r="O3514" s="17">
        <f>-(K3514*0.025+L3514*0.025)</f>
        <v/>
      </c>
      <c r="P3514" s="17">
        <f>32</f>
        <v/>
      </c>
      <c r="Q3514" s="17">
        <f>J3514+L3514+N3514+O3514-P3514-M3514</f>
        <v/>
      </c>
    </row>
    <row r="3515">
      <c r="A3515" s="16" t="inlineStr">
        <is>
          <t>5.29-6.4</t>
        </is>
      </c>
      <c r="B3515" s="16" t="inlineStr">
        <is>
          <t>PO-128-13676707943031009</t>
        </is>
      </c>
      <c r="C3515" s="16" t="inlineStr">
        <is>
          <t>Delivered</t>
        </is>
      </c>
      <c r="D3515" s="16" t="inlineStr">
        <is>
          <t>128-13676671242871009</t>
        </is>
      </c>
      <c r="E3515" s="16" t="inlineStr">
        <is>
          <t>Delivered</t>
        </is>
      </c>
      <c r="F3515" s="16" t="inlineStr">
        <is>
          <t>LV54W25</t>
        </is>
      </c>
      <c r="G3515" s="16" t="inlineStr">
        <is>
          <t>TIANLAI Lámpara Ventilador E27 2 en 1, Silenciosa, LED Alta Luminosidad 180°, Instalación Rápida, Ahorro Energético para Dormitorio y Interiores Pequeños</t>
        </is>
      </c>
      <c r="H3515" s="16" t="inlineStr">
        <is>
          <t>1 Pieza</t>
        </is>
      </c>
      <c r="I3515" s="16" t="n">
        <v>1</v>
      </c>
      <c r="J3515" s="17" t="n">
        <v>78</v>
      </c>
      <c r="K3515" s="17" t="n">
        <v>82.51000000000001</v>
      </c>
      <c r="L3515" s="17" t="n">
        <v>25.86</v>
      </c>
      <c r="M3515" s="17" t="n">
        <v>0</v>
      </c>
      <c r="N3515" s="17">
        <f>K3515*0.08+L3515*0.08</f>
        <v/>
      </c>
      <c r="O3515" s="17">
        <f>-(K3515*0.025+L3515*0.025)</f>
        <v/>
      </c>
      <c r="P3515" s="17">
        <f>32</f>
        <v/>
      </c>
      <c r="Q3515" s="17">
        <f>J3515+L3515+N3515+O3515-P3515-M3515</f>
        <v/>
      </c>
    </row>
    <row r="3516">
      <c r="A3516" s="16" t="inlineStr">
        <is>
          <t>5.29-6.4</t>
        </is>
      </c>
      <c r="B3516" s="16" t="inlineStr">
        <is>
          <t>PO-128-13157212913274041</t>
        </is>
      </c>
      <c r="C3516" s="16" t="inlineStr">
        <is>
          <t>Delivered</t>
        </is>
      </c>
      <c r="D3516" s="16" t="inlineStr">
        <is>
          <t>128-13157349228154041</t>
        </is>
      </c>
      <c r="E3516" s="16" t="inlineStr">
        <is>
          <t>Delivered</t>
        </is>
      </c>
      <c r="F3516" s="16" t="inlineStr">
        <is>
          <t>BG-115-B</t>
        </is>
      </c>
      <c r="G3516" s="16" t="inlineStr">
        <is>
          <t>LINK BITS Audífonos Inalámbricos con Luces Multicolor, Recargables y en Adorable Forma de Orejas de Gato - Conecta a Celulares y PCs, Tiene Radio FM, Tarjeta TF y AUX - 7 Horas de Reproducción, Plegables y Perfectos para Trabajo, Juegos y Estudio</t>
        </is>
      </c>
      <c r="H3516" s="16" t="inlineStr">
        <is>
          <t>blanco</t>
        </is>
      </c>
      <c r="I3516" s="16" t="n">
        <v>1</v>
      </c>
      <c r="J3516" s="17" t="n">
        <v>80</v>
      </c>
      <c r="K3516" s="17" t="n">
        <v>77.12</v>
      </c>
      <c r="L3516" s="17" t="n">
        <v>25.86</v>
      </c>
      <c r="M3516" s="17" t="n">
        <v>0</v>
      </c>
      <c r="N3516" s="17">
        <f>K3516*0.08+L3516*0.08</f>
        <v/>
      </c>
      <c r="O3516" s="17">
        <f>-(K3516*0.025+L3516*0.025)</f>
        <v/>
      </c>
      <c r="P3516" s="17">
        <f>32</f>
        <v/>
      </c>
      <c r="Q3516" s="17">
        <f>J3516+L3516+N3516+O3516-P3516-M3516</f>
        <v/>
      </c>
    </row>
    <row r="3517">
      <c r="A3517" s="16" t="inlineStr">
        <is>
          <t>5.29-6.4</t>
        </is>
      </c>
      <c r="B3517" s="16" t="inlineStr">
        <is>
          <t>PO-128-13542611646071742</t>
        </is>
      </c>
      <c r="C3517" s="16" t="inlineStr">
        <is>
          <t>Delivered</t>
        </is>
      </c>
      <c r="D3517" s="16" t="inlineStr">
        <is>
          <t>128-13542609679991742</t>
        </is>
      </c>
      <c r="E3517" s="16" t="inlineStr">
        <is>
          <t>Delivered</t>
        </is>
      </c>
      <c r="F3517" s="16" t="inlineStr">
        <is>
          <t>LV54W25</t>
        </is>
      </c>
      <c r="G3517" s="16" t="inlineStr">
        <is>
          <t>TIANLAI Lámpara Ventilador E27 2 en 1, Silenciosa, LED Alta Luminosidad 180°, Instalación Rápida, Ahorro Energético para Dormitorio y Interiores Pequeños</t>
        </is>
      </c>
      <c r="H3517" s="16" t="inlineStr">
        <is>
          <t>1 Pieza</t>
        </is>
      </c>
      <c r="I3517" s="16" t="n">
        <v>1</v>
      </c>
      <c r="J3517" s="17" t="n">
        <v>78</v>
      </c>
      <c r="K3517" s="17" t="n">
        <v>89.68000000000001</v>
      </c>
      <c r="L3517" s="17" t="n">
        <v>25.86</v>
      </c>
      <c r="M3517" s="17" t="n">
        <v>0</v>
      </c>
      <c r="N3517" s="17">
        <f>K3517*0.08+L3517*0.08</f>
        <v/>
      </c>
      <c r="O3517" s="17">
        <f>-(K3517*0.025+L3517*0.025)</f>
        <v/>
      </c>
      <c r="P3517" s="17">
        <f>32</f>
        <v/>
      </c>
      <c r="Q3517" s="17">
        <f>J3517+L3517+N3517+O3517-P3517-M3517</f>
        <v/>
      </c>
    </row>
    <row r="3518">
      <c r="A3518" s="16" t="inlineStr">
        <is>
          <t>5.29-6.4</t>
        </is>
      </c>
      <c r="B3518" s="16" t="inlineStr">
        <is>
          <t>PO-128-13735089910390597</t>
        </is>
      </c>
      <c r="C3518" s="16" t="inlineStr">
        <is>
          <t>Delivered</t>
        </is>
      </c>
      <c r="D3518" s="16" t="inlineStr">
        <is>
          <t>128-13735127921270597</t>
        </is>
      </c>
      <c r="E3518" s="16" t="inlineStr">
        <is>
          <t>Delivered</t>
        </is>
      </c>
      <c r="F3518" s="16" t="inlineStr">
        <is>
          <t>LV54W25</t>
        </is>
      </c>
      <c r="G3518" s="16" t="inlineStr">
        <is>
          <t>TIANLAI Lámpara Ventilador E27 2 en 1, Silenciosa, LED Alta Luminosidad 180°, Instalación Rápida, Ahorro Energético para Dormitorio y Interiores Pequeños</t>
        </is>
      </c>
      <c r="H3518" s="16" t="inlineStr">
        <is>
          <t>1 Pieza</t>
        </is>
      </c>
      <c r="I3518" s="16" t="n">
        <v>1</v>
      </c>
      <c r="J3518" s="17" t="n">
        <v>78</v>
      </c>
      <c r="K3518" s="17" t="n">
        <v>71.75</v>
      </c>
      <c r="L3518" s="17" t="n">
        <v>25.86</v>
      </c>
      <c r="M3518" s="17" t="n">
        <v>0</v>
      </c>
      <c r="N3518" s="17">
        <f>K3518*0.08+L3518*0.08</f>
        <v/>
      </c>
      <c r="O3518" s="17">
        <f>-(K3518*0.025+L3518*0.025)</f>
        <v/>
      </c>
      <c r="P3518" s="17">
        <f>32</f>
        <v/>
      </c>
      <c r="Q3518" s="17">
        <f>J3518+L3518+N3518+O3518-P3518-M3518</f>
        <v/>
      </c>
    </row>
    <row r="3519">
      <c r="A3519" s="16" t="inlineStr">
        <is>
          <t>5.29-6.4</t>
        </is>
      </c>
      <c r="B3519" s="16" t="inlineStr">
        <is>
          <t>PO-128-13446607836791162</t>
        </is>
      </c>
      <c r="C3519" s="16" t="inlineStr">
        <is>
          <t>Delivered</t>
        </is>
      </c>
      <c r="D3519" s="16" t="inlineStr">
        <is>
          <t>128-13446610458231162</t>
        </is>
      </c>
      <c r="E3519" s="16" t="inlineStr">
        <is>
          <t>Delivered</t>
        </is>
      </c>
      <c r="F3519" s="16" t="inlineStr">
        <is>
          <t>LV54W25</t>
        </is>
      </c>
      <c r="G3519" s="16" t="inlineStr">
        <is>
          <t>TIANLAI Lámpara Ventilador E27 2 en 1, Silenciosa, LED Alta Luminosidad 180°, Instalación Rápida, Ahorro Energético para Dormitorio y Interiores Pequeños</t>
        </is>
      </c>
      <c r="H3519" s="16" t="inlineStr">
        <is>
          <t>1 Pieza</t>
        </is>
      </c>
      <c r="I3519" s="16" t="n">
        <v>1</v>
      </c>
      <c r="J3519" s="17" t="n">
        <v>78</v>
      </c>
      <c r="K3519" s="17" t="n">
        <v>80.70999999999999</v>
      </c>
      <c r="L3519" s="17" t="n">
        <v>25.86</v>
      </c>
      <c r="M3519" s="17" t="n">
        <v>0</v>
      </c>
      <c r="N3519" s="17">
        <f>K3519*0.08+L3519*0.08</f>
        <v/>
      </c>
      <c r="O3519" s="17">
        <f>-(K3519*0.025+L3519*0.025)</f>
        <v/>
      </c>
      <c r="P3519" s="17">
        <f>32</f>
        <v/>
      </c>
      <c r="Q3519" s="17">
        <f>J3519+L3519+N3519+O3519-P3519-M3519</f>
        <v/>
      </c>
    </row>
    <row r="3520">
      <c r="A3520" s="16" t="inlineStr">
        <is>
          <t>5.29-6.4</t>
        </is>
      </c>
      <c r="B3520" s="16" t="inlineStr">
        <is>
          <t>PO-128-13190547185273715</t>
        </is>
      </c>
      <c r="C3520" s="16" t="inlineStr">
        <is>
          <t>Delivered</t>
        </is>
      </c>
      <c r="D3520" s="16" t="inlineStr">
        <is>
          <t>128-13190505242233715</t>
        </is>
      </c>
      <c r="E3520" s="16" t="inlineStr">
        <is>
          <t>Delivered</t>
        </is>
      </c>
      <c r="F3520" s="16" t="inlineStr">
        <is>
          <t>LV64W25</t>
        </is>
      </c>
      <c r="G35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20" s="16" t="inlineStr">
        <is>
          <t>Blanco</t>
        </is>
      </c>
      <c r="I3520" s="16" t="n">
        <v>2</v>
      </c>
      <c r="J3520" s="17" t="n">
        <v>250</v>
      </c>
      <c r="K3520" s="17" t="n">
        <v>266.46</v>
      </c>
      <c r="L3520" s="17" t="n">
        <v>0</v>
      </c>
      <c r="M3520" s="17" t="n">
        <v>0</v>
      </c>
      <c r="N3520" s="17">
        <f>K3520*0.08+L3520*0.08</f>
        <v/>
      </c>
      <c r="O3520" s="17">
        <f>-(K3520*0.025+L3520*0.025)</f>
        <v/>
      </c>
      <c r="P3520" s="17">
        <f>32</f>
        <v/>
      </c>
      <c r="Q3520" s="17">
        <f>J3520+L3520+N3520+O3520-P3520-M3520</f>
        <v/>
      </c>
    </row>
    <row r="3521">
      <c r="A3521" s="16" t="inlineStr">
        <is>
          <t>5.29-6.4</t>
        </is>
      </c>
      <c r="B3521" s="16" t="inlineStr">
        <is>
          <t>PO-128-13167957740153849</t>
        </is>
      </c>
      <c r="C3521" s="16" t="inlineStr">
        <is>
          <t>Delivered</t>
        </is>
      </c>
      <c r="D3521" s="16" t="inlineStr">
        <is>
          <t>128-13167978711673849</t>
        </is>
      </c>
      <c r="E3521" s="16" t="inlineStr">
        <is>
          <t>Delivered</t>
        </is>
      </c>
      <c r="F3521" s="16" t="inlineStr">
        <is>
          <t>TLCD01-4P-nN</t>
        </is>
      </c>
      <c r="G352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21" s="16" t="inlineStr">
        <is>
          <t>NEGRO/pantalla de 4.5 pulgadas</t>
        </is>
      </c>
      <c r="I3521" s="16" t="n">
        <v>1</v>
      </c>
      <c r="J3521" s="17" t="n">
        <v>20</v>
      </c>
      <c r="K3521" s="17" t="n">
        <v>20.09</v>
      </c>
      <c r="L3521" s="17" t="n">
        <v>25.86</v>
      </c>
      <c r="M3521" s="17" t="n">
        <v>0</v>
      </c>
      <c r="N3521" s="17">
        <f>K3521*0.08+L3521*0.08</f>
        <v/>
      </c>
      <c r="O3521" s="17">
        <f>-(K3521*0.025+L3521*0.025)</f>
        <v/>
      </c>
      <c r="P3521" s="17">
        <f>32</f>
        <v/>
      </c>
      <c r="Q3521" s="17">
        <f>J3521+L3521+N3521+O3521-P3521-M3521</f>
        <v/>
      </c>
    </row>
    <row r="3522">
      <c r="A3522" s="16" t="inlineStr">
        <is>
          <t>5.29-6.4</t>
        </is>
      </c>
      <c r="B3522" s="16" t="inlineStr">
        <is>
          <t>PO-128-13206242401913813</t>
        </is>
      </c>
      <c r="C3522" s="16" t="inlineStr">
        <is>
          <t>Delivered</t>
        </is>
      </c>
      <c r="D3522" s="16" t="inlineStr">
        <is>
          <t>128-13206273859193813</t>
        </is>
      </c>
      <c r="E3522" s="16" t="inlineStr">
        <is>
          <t>Delivered</t>
        </is>
      </c>
      <c r="F3522" s="16" t="inlineStr">
        <is>
          <t>KTS-2031</t>
        </is>
      </c>
      <c r="G3522" s="16" t="inlineStr">
        <is>
          <t>Bocina inalámbrica de 3 pulgadas con linterna multifuncional y panel solar integrado.Altavoz Portátil con Linterna LED 4 Modos, Radio FM, Bluetooth, Carga Solar, Ideal para Apagones, Emergencias, Campo y Exteriores</t>
        </is>
      </c>
      <c r="H3522" s="16" t="inlineStr">
        <is>
          <t>NEGRO</t>
        </is>
      </c>
      <c r="I3522" s="16" t="n">
        <v>1</v>
      </c>
      <c r="J3522" s="17" t="n">
        <v>90</v>
      </c>
      <c r="K3522" s="17" t="n">
        <v>85.77</v>
      </c>
      <c r="L3522" s="17" t="n">
        <v>25.86</v>
      </c>
      <c r="M3522" s="17" t="n">
        <v>0</v>
      </c>
      <c r="N3522" s="17">
        <f>K3522*0.08+L3522*0.08</f>
        <v/>
      </c>
      <c r="O3522" s="17">
        <f>-(K3522*0.025+L3522*0.025)</f>
        <v/>
      </c>
      <c r="P3522" s="17">
        <f>32</f>
        <v/>
      </c>
      <c r="Q3522" s="17">
        <f>J3522+L3522+N3522+O3522-P3522-M3522</f>
        <v/>
      </c>
    </row>
    <row r="3523">
      <c r="A3523" s="16" t="inlineStr">
        <is>
          <t>5.29-6.4</t>
        </is>
      </c>
      <c r="B3523" s="16" t="inlineStr">
        <is>
          <t>PO-128-13162056335994077</t>
        </is>
      </c>
      <c r="C3523" s="16" t="inlineStr">
        <is>
          <t>Delivered</t>
        </is>
      </c>
      <c r="D3523" s="16" t="inlineStr">
        <is>
          <t>128-13162035364474077</t>
        </is>
      </c>
      <c r="E3523" s="16" t="inlineStr">
        <is>
          <t>Delivered</t>
        </is>
      </c>
      <c r="F3523" s="16" t="inlineStr">
        <is>
          <t>BG-115-B</t>
        </is>
      </c>
      <c r="G3523" s="16" t="inlineStr">
        <is>
          <t>LINK BITS Audífonos Inalámbricos con Luces Multicolor, Recargables y en Adorable Forma de Orejas de Gato - Conecta a Celulares y PCs, Tiene Radio FM, Tarjeta TF y AUX - 7 Horas de Reproducción, Plegables y Perfectos para Trabajo, Juegos y Estudio</t>
        </is>
      </c>
      <c r="H3523" s="16" t="inlineStr">
        <is>
          <t>blanco</t>
        </is>
      </c>
      <c r="I3523" s="16" t="n">
        <v>1</v>
      </c>
      <c r="J3523" s="17" t="n">
        <v>80</v>
      </c>
      <c r="K3523" s="17" t="n">
        <v>90.72</v>
      </c>
      <c r="L3523" s="17" t="n">
        <v>25.86</v>
      </c>
      <c r="M3523" s="17" t="n">
        <v>0</v>
      </c>
      <c r="N3523" s="17">
        <f>K3523*0.08+L3523*0.08</f>
        <v/>
      </c>
      <c r="O3523" s="17">
        <f>-(K3523*0.025+L3523*0.025)</f>
        <v/>
      </c>
      <c r="P3523" s="17">
        <f>32</f>
        <v/>
      </c>
      <c r="Q3523" s="17">
        <f>J3523+L3523+N3523+O3523-P3523-M3523</f>
        <v/>
      </c>
    </row>
    <row r="3524">
      <c r="A3524" s="16" t="inlineStr">
        <is>
          <t>5.29-6.4</t>
        </is>
      </c>
      <c r="B3524" s="16" t="inlineStr">
        <is>
          <t>PO-128-13509230439031815</t>
        </is>
      </c>
      <c r="C3524" s="16" t="inlineStr">
        <is>
          <t>Delivered</t>
        </is>
      </c>
      <c r="D3524" s="16" t="inlineStr">
        <is>
          <t>128-13509225196151815</t>
        </is>
      </c>
      <c r="E3524" s="16" t="inlineStr">
        <is>
          <t>Delivered</t>
        </is>
      </c>
      <c r="F3524" s="16" t="inlineStr">
        <is>
          <t>LV64W25</t>
        </is>
      </c>
      <c r="G352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24" s="16" t="inlineStr">
        <is>
          <t>Blanco</t>
        </is>
      </c>
      <c r="I3524" s="16" t="n">
        <v>1</v>
      </c>
      <c r="J3524" s="17" t="n">
        <v>125</v>
      </c>
      <c r="K3524" s="17" t="n">
        <v>133.23</v>
      </c>
      <c r="L3524" s="17" t="n">
        <v>25.86</v>
      </c>
      <c r="M3524" s="17" t="n">
        <v>0</v>
      </c>
      <c r="N3524" s="17">
        <f>K3524*0.08+L3524*0.08</f>
        <v/>
      </c>
      <c r="O3524" s="17">
        <f>-(K3524*0.025+L3524*0.025)</f>
        <v/>
      </c>
      <c r="P3524" s="17">
        <f>32</f>
        <v/>
      </c>
      <c r="Q3524" s="17">
        <f>J3524+L3524+N3524+O3524-P3524-M3524</f>
        <v/>
      </c>
    </row>
    <row r="3525">
      <c r="A3525" s="16" t="inlineStr">
        <is>
          <t>5.29-6.4</t>
        </is>
      </c>
      <c r="B3525" s="16" t="inlineStr">
        <is>
          <t>PO-128-13342405064312872</t>
        </is>
      </c>
      <c r="C3525" s="16" t="inlineStr">
        <is>
          <t>Delivered</t>
        </is>
      </c>
      <c r="D3525" s="16" t="inlineStr">
        <is>
          <t>128-13342363121272872</t>
        </is>
      </c>
      <c r="E3525" s="16" t="inlineStr">
        <is>
          <t>Delivered</t>
        </is>
      </c>
      <c r="F3525" s="16" t="inlineStr">
        <is>
          <t>LV64W25</t>
        </is>
      </c>
      <c r="G35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25" s="16" t="inlineStr">
        <is>
          <t>Blanco</t>
        </is>
      </c>
      <c r="I3525" s="16" t="n">
        <v>6</v>
      </c>
      <c r="J3525" s="17" t="n">
        <v>750</v>
      </c>
      <c r="K3525" s="17" t="n">
        <v>799.38</v>
      </c>
      <c r="L3525" s="17" t="n">
        <v>0</v>
      </c>
      <c r="M3525" s="17" t="n">
        <v>0</v>
      </c>
      <c r="N3525" s="17">
        <f>K3525*0.08+L3525*0.08</f>
        <v/>
      </c>
      <c r="O3525" s="17">
        <f>-(K3525*0.025+L3525*0.025)</f>
        <v/>
      </c>
      <c r="P3525" s="17">
        <f>32</f>
        <v/>
      </c>
      <c r="Q3525" s="17">
        <f>J3525+L3525+N3525+O3525-P3525-M3525</f>
        <v/>
      </c>
    </row>
    <row r="3526">
      <c r="A3526" s="16" t="inlineStr">
        <is>
          <t>5.29-6.4</t>
        </is>
      </c>
      <c r="B3526" s="16" t="inlineStr">
        <is>
          <t>PO-128-13722516695670542</t>
        </is>
      </c>
      <c r="C3526" s="16" t="inlineStr">
        <is>
          <t>Delivered</t>
        </is>
      </c>
      <c r="D3526" s="16" t="inlineStr">
        <is>
          <t>128-13722569124470542</t>
        </is>
      </c>
      <c r="E3526" s="16" t="inlineStr">
        <is>
          <t>Delivered</t>
        </is>
      </c>
      <c r="F3526" s="16" t="inlineStr">
        <is>
          <t>LV64W25</t>
        </is>
      </c>
      <c r="G352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26" s="16" t="inlineStr">
        <is>
          <t>Blanco</t>
        </is>
      </c>
      <c r="I3526" s="16" t="n">
        <v>1</v>
      </c>
      <c r="J3526" s="17" t="n">
        <v>125</v>
      </c>
      <c r="K3526" s="17" t="n">
        <v>90.13</v>
      </c>
      <c r="L3526" s="17" t="n">
        <v>25.86</v>
      </c>
      <c r="M3526" s="17" t="n">
        <v>0</v>
      </c>
      <c r="N3526" s="17">
        <f>K3526*0.08+L3526*0.08</f>
        <v/>
      </c>
      <c r="O3526" s="17">
        <f>-(K3526*0.025+L3526*0.025)</f>
        <v/>
      </c>
      <c r="P3526" s="17">
        <f>32</f>
        <v/>
      </c>
      <c r="Q3526" s="17">
        <f>J3526+L3526+N3526+O3526-P3526-M3526</f>
        <v/>
      </c>
    </row>
    <row r="3527">
      <c r="A3527" s="16" t="inlineStr">
        <is>
          <t>5.29-6.4</t>
        </is>
      </c>
      <c r="B3527" s="16" t="inlineStr">
        <is>
          <t>PO-128-13187266263673732</t>
        </is>
      </c>
      <c r="C3527" s="16" t="inlineStr">
        <is>
          <t>Delivered</t>
        </is>
      </c>
      <c r="D3527" s="16" t="inlineStr">
        <is>
          <t>128-13187371121273732</t>
        </is>
      </c>
      <c r="E3527" s="16" t="inlineStr">
        <is>
          <t>Delivered</t>
        </is>
      </c>
      <c r="F3527" s="16" t="inlineStr">
        <is>
          <t>LV64W25</t>
        </is>
      </c>
      <c r="G35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27" s="16" t="inlineStr">
        <is>
          <t>Blanco</t>
        </is>
      </c>
      <c r="I3527" s="16" t="n">
        <v>1</v>
      </c>
      <c r="J3527" s="17" t="n">
        <v>125</v>
      </c>
      <c r="K3527" s="17" t="n">
        <v>103.16</v>
      </c>
      <c r="L3527" s="17" t="n">
        <v>25.86</v>
      </c>
      <c r="M3527" s="17" t="n">
        <v>0</v>
      </c>
      <c r="N3527" s="17">
        <f>K3527*0.08+L3527*0.08</f>
        <v/>
      </c>
      <c r="O3527" s="17">
        <f>-(K3527*0.025+L3527*0.025)</f>
        <v/>
      </c>
      <c r="P3527" s="17">
        <f>32</f>
        <v/>
      </c>
      <c r="Q3527" s="17">
        <f>J3527+L3527+N3527+O3527-P3527-M3527</f>
        <v/>
      </c>
    </row>
    <row r="3528">
      <c r="A3528" s="16" t="inlineStr">
        <is>
          <t>5.29-6.4</t>
        </is>
      </c>
      <c r="B3528" s="16" t="inlineStr">
        <is>
          <t>PO-128-13495939103351956</t>
        </is>
      </c>
      <c r="C3528" s="16" t="inlineStr">
        <is>
          <t>Delivered</t>
        </is>
      </c>
      <c r="D3528" s="16" t="inlineStr">
        <is>
          <t>128-13495948606071956</t>
        </is>
      </c>
      <c r="E3528" s="16" t="inlineStr">
        <is>
          <t>Delivered</t>
        </is>
      </c>
      <c r="F3528" s="16" t="inlineStr">
        <is>
          <t>LV54W25</t>
        </is>
      </c>
      <c r="G3528" s="16" t="inlineStr">
        <is>
          <t>TIANLAI Lámpara Ventilador E27 2 en 1, Silenciosa, LED Alta Luminosidad 180°, Instalación Rápida, Ahorro Energético para Dormitorio y Interiores Pequeños</t>
        </is>
      </c>
      <c r="H3528" s="16" t="inlineStr">
        <is>
          <t>1 Pieza</t>
        </is>
      </c>
      <c r="I3528" s="16" t="n">
        <v>1</v>
      </c>
      <c r="J3528" s="17" t="n">
        <v>78</v>
      </c>
      <c r="K3528" s="17" t="n">
        <v>72.34999999999999</v>
      </c>
      <c r="L3528" s="17" t="n">
        <v>25.86</v>
      </c>
      <c r="M3528" s="17" t="n">
        <v>0</v>
      </c>
      <c r="N3528" s="17">
        <f>K3528*0.08+L3528*0.08</f>
        <v/>
      </c>
      <c r="O3528" s="17">
        <f>-(K3528*0.025+L3528*0.025)</f>
        <v/>
      </c>
      <c r="P3528" s="17">
        <f>32</f>
        <v/>
      </c>
      <c r="Q3528" s="17">
        <f>J3528+L3528+N3528+O3528-P3528-M3528</f>
        <v/>
      </c>
    </row>
    <row r="3529">
      <c r="A3529" s="16" t="inlineStr">
        <is>
          <t>5.29-6.4</t>
        </is>
      </c>
      <c r="B3529" s="16" t="inlineStr">
        <is>
          <t>PO-128-13230072013432455</t>
        </is>
      </c>
      <c r="C3529" s="16" t="inlineStr">
        <is>
          <t>Delivered</t>
        </is>
      </c>
      <c r="D3529" s="16" t="inlineStr">
        <is>
          <t>128-13230113956472455</t>
        </is>
      </c>
      <c r="E3529" s="16" t="inlineStr">
        <is>
          <t>Delivered</t>
        </is>
      </c>
      <c r="F3529" s="16" t="inlineStr">
        <is>
          <t>KTS-2031</t>
        </is>
      </c>
      <c r="G3529" s="16" t="inlineStr">
        <is>
          <t>Bocina inalámbrica de 3 pulgadas con linterna multifuncional y panel solar integrado.Altavoz Portátil con Linterna LED 4 Modos, Radio FM, Bluetooth, Carga Solar, Ideal para Apagones, Emergencias, Campo y Exteriores</t>
        </is>
      </c>
      <c r="H3529" s="16" t="inlineStr">
        <is>
          <t>NEGRO</t>
        </is>
      </c>
      <c r="I3529" s="16" t="n">
        <v>1</v>
      </c>
      <c r="J3529" s="17" t="n">
        <v>90</v>
      </c>
      <c r="K3529" s="17" t="n">
        <v>99.22</v>
      </c>
      <c r="L3529" s="17" t="n">
        <v>25.86</v>
      </c>
      <c r="M3529" s="17" t="n">
        <v>0</v>
      </c>
      <c r="N3529" s="17">
        <f>K3529*0.08+L3529*0.08</f>
        <v/>
      </c>
      <c r="O3529" s="17">
        <f>-(K3529*0.025+L3529*0.025)</f>
        <v/>
      </c>
      <c r="P3529" s="17">
        <f>32</f>
        <v/>
      </c>
      <c r="Q3529" s="17">
        <f>J3529+L3529+N3529+O3529-P3529-M3529</f>
        <v/>
      </c>
    </row>
    <row r="3530">
      <c r="A3530" s="16" t="inlineStr">
        <is>
          <t>5.29-6.4</t>
        </is>
      </c>
      <c r="B3530" s="16" t="inlineStr">
        <is>
          <t>PO-128-13440299059831392</t>
        </is>
      </c>
      <c r="C3530" s="16" t="inlineStr">
        <is>
          <t>Delivered</t>
        </is>
      </c>
      <c r="D3530" s="16" t="inlineStr">
        <is>
          <t>128-13440304302711392</t>
        </is>
      </c>
      <c r="E3530" s="16" t="inlineStr">
        <is>
          <t>Delivered</t>
        </is>
      </c>
      <c r="F3530" s="16" t="inlineStr">
        <is>
          <t>KTS-2031</t>
        </is>
      </c>
      <c r="G3530" s="16" t="inlineStr">
        <is>
          <t>Bocina inalámbrica de 3 pulgadas con linterna multifuncional y panel solar integrado.Altavoz Portátil con Linterna LED 4 Modos, Radio FM, Bluetooth, Carga Solar, Ideal para Apagones, Emergencias, Campo y Exteriores</t>
        </is>
      </c>
      <c r="H3530" s="16" t="inlineStr">
        <is>
          <t>NEGRO</t>
        </is>
      </c>
      <c r="I3530" s="16" t="n">
        <v>1</v>
      </c>
      <c r="J3530" s="17" t="n">
        <v>90</v>
      </c>
      <c r="K3530" s="17" t="n">
        <v>74.79000000000001</v>
      </c>
      <c r="L3530" s="17" t="n">
        <v>25.86</v>
      </c>
      <c r="M3530" s="17" t="n">
        <v>0</v>
      </c>
      <c r="N3530" s="17">
        <f>K3530*0.08+L3530*0.08</f>
        <v/>
      </c>
      <c r="O3530" s="17">
        <f>-(K3530*0.025+L3530*0.025)</f>
        <v/>
      </c>
      <c r="P3530" s="17">
        <f>32</f>
        <v/>
      </c>
      <c r="Q3530" s="17">
        <f>J3530+L3530+N3530+O3530-P3530-M3530</f>
        <v/>
      </c>
    </row>
    <row r="3531">
      <c r="A3531" s="16" t="inlineStr">
        <is>
          <t>5.29-6.4</t>
        </is>
      </c>
      <c r="B3531" s="16" t="inlineStr">
        <is>
          <t>PO-128-13084971228793382</t>
        </is>
      </c>
      <c r="C3531" s="16" t="inlineStr">
        <is>
          <t>Delivered</t>
        </is>
      </c>
      <c r="D3531" s="16" t="inlineStr">
        <is>
          <t>128-13084990234233382</t>
        </is>
      </c>
      <c r="E3531" s="16" t="inlineStr">
        <is>
          <t>Delivered</t>
        </is>
      </c>
      <c r="F3531" s="16" t="inlineStr">
        <is>
          <t>KTS-2031</t>
        </is>
      </c>
      <c r="G3531" s="16" t="inlineStr">
        <is>
          <t>Bocina inalámbrica de 3 pulgadas con linterna multifuncional y panel solar integrado.Altavoz Portátil con Linterna LED 4 Modos, Radio FM, Bluetooth, Carga Solar, Ideal para Apagones, Emergencias, Campo y Exteriores</t>
        </is>
      </c>
      <c r="H3531" s="16" t="inlineStr">
        <is>
          <t>NEGRO</t>
        </is>
      </c>
      <c r="I3531" s="16" t="n">
        <v>1</v>
      </c>
      <c r="J3531" s="17" t="n">
        <v>90</v>
      </c>
      <c r="K3531" s="17" t="n">
        <v>99.22</v>
      </c>
      <c r="L3531" s="17" t="n">
        <v>25.86</v>
      </c>
      <c r="M3531" s="17" t="n">
        <v>0</v>
      </c>
      <c r="N3531" s="17">
        <f>K3531*0.08+L3531*0.08</f>
        <v/>
      </c>
      <c r="O3531" s="17">
        <f>-(K3531*0.025+L3531*0.025)</f>
        <v/>
      </c>
      <c r="P3531" s="17">
        <f>32</f>
        <v/>
      </c>
      <c r="Q3531" s="17">
        <f>J3531+L3531+N3531+O3531-P3531-M3531</f>
        <v/>
      </c>
    </row>
    <row r="3532">
      <c r="A3532" s="16" t="inlineStr">
        <is>
          <t>5.29-6.4</t>
        </is>
      </c>
      <c r="B3532" s="16" t="inlineStr">
        <is>
          <t>PO-128-13472886543991070</t>
        </is>
      </c>
      <c r="C3532" s="16" t="inlineStr">
        <is>
          <t>Delivered</t>
        </is>
      </c>
      <c r="D3532" s="16" t="inlineStr">
        <is>
          <t>128-13472828872311070</t>
        </is>
      </c>
      <c r="E3532" s="16" t="inlineStr">
        <is>
          <t>Delivered</t>
        </is>
      </c>
      <c r="F3532" s="16" t="inlineStr">
        <is>
          <t>LV54W25</t>
        </is>
      </c>
      <c r="G3532" s="16" t="inlineStr">
        <is>
          <t>TIANLAI Lámpara Ventilador E27 2 en 1, Silenciosa, LED Alta Luminosidad 180°, Instalación Rápida, Ahorro Energético para Dormitorio y Interiores Pequeños</t>
        </is>
      </c>
      <c r="H3532" s="16" t="inlineStr">
        <is>
          <t>1 Pieza</t>
        </is>
      </c>
      <c r="I3532" s="16" t="n">
        <v>1</v>
      </c>
      <c r="J3532" s="17" t="n">
        <v>78</v>
      </c>
      <c r="K3532" s="17" t="n">
        <v>80.70999999999999</v>
      </c>
      <c r="L3532" s="17" t="n">
        <v>25.86</v>
      </c>
      <c r="M3532" s="17" t="n">
        <v>0</v>
      </c>
      <c r="N3532" s="17">
        <f>K3532*0.08+L3532*0.08</f>
        <v/>
      </c>
      <c r="O3532" s="17">
        <f>-(K3532*0.025+L3532*0.025)</f>
        <v/>
      </c>
      <c r="P3532" s="17">
        <f>32</f>
        <v/>
      </c>
      <c r="Q3532" s="17">
        <f>J3532+L3532+N3532+O3532-P3532-M3532</f>
        <v/>
      </c>
    </row>
    <row r="3533">
      <c r="A3533" s="16" t="inlineStr">
        <is>
          <t>5.29-6.4</t>
        </is>
      </c>
      <c r="B3533" s="16" t="inlineStr">
        <is>
          <t>PO-128-13422180373111308</t>
        </is>
      </c>
      <c r="C3533" s="16" t="inlineStr">
        <is>
          <t>Delivered</t>
        </is>
      </c>
      <c r="D3533" s="16" t="inlineStr">
        <is>
          <t>128-13422159401591308</t>
        </is>
      </c>
      <c r="E3533" s="16" t="inlineStr">
        <is>
          <t>Delivered</t>
        </is>
      </c>
      <c r="F3533" s="16" t="inlineStr">
        <is>
          <t>LV54W25</t>
        </is>
      </c>
      <c r="G3533" s="16" t="inlineStr">
        <is>
          <t>TIANLAI Lámpara Ventilador E27 2 en 1, Silenciosa, LED Alta Luminosidad 180°, Instalación Rápida, Ahorro Energético para Dormitorio y Interiores Pequeños</t>
        </is>
      </c>
      <c r="H3533" s="16" t="inlineStr">
        <is>
          <t>1 Pieza</t>
        </is>
      </c>
      <c r="I3533" s="16" t="n">
        <v>6</v>
      </c>
      <c r="J3533" s="17" t="n">
        <v>468</v>
      </c>
      <c r="K3533" s="17" t="n">
        <v>455.46</v>
      </c>
      <c r="L3533" s="17" t="n">
        <v>0</v>
      </c>
      <c r="M3533" s="17" t="n">
        <v>0</v>
      </c>
      <c r="N3533" s="17">
        <f>K3533*0.08+L3533*0.08</f>
        <v/>
      </c>
      <c r="O3533" s="17">
        <f>-(K3533*0.025+L3533*0.025)</f>
        <v/>
      </c>
      <c r="P3533" s="17">
        <f>32</f>
        <v/>
      </c>
      <c r="Q3533" s="17">
        <f>J3533+L3533+N3533+O3533-P3533-M3533</f>
        <v/>
      </c>
    </row>
    <row r="3534">
      <c r="A3534" s="16" t="inlineStr">
        <is>
          <t>5.29-6.4</t>
        </is>
      </c>
      <c r="B3534" s="16" t="inlineStr">
        <is>
          <t>PO-128-13443817779831181</t>
        </is>
      </c>
      <c r="C3534" s="16" t="inlineStr">
        <is>
          <t>Delivered</t>
        </is>
      </c>
      <c r="D3534" s="16" t="inlineStr">
        <is>
          <t>128-13443859722871181</t>
        </is>
      </c>
      <c r="E3534" s="16" t="inlineStr">
        <is>
          <t>Delivered</t>
        </is>
      </c>
      <c r="F3534" s="16" t="inlineStr">
        <is>
          <t>LV54W25</t>
        </is>
      </c>
      <c r="G3534" s="16" t="inlineStr">
        <is>
          <t>TIANLAI Lámpara Ventilador E27 2 en 1, Silenciosa, LED Alta Luminosidad 180°, Instalación Rápida, Ahorro Energético para Dormitorio y Interiores Pequeños</t>
        </is>
      </c>
      <c r="H3534" s="16" t="inlineStr">
        <is>
          <t>1 Pieza</t>
        </is>
      </c>
      <c r="I3534" s="16" t="n">
        <v>1</v>
      </c>
      <c r="J3534" s="17" t="n">
        <v>78</v>
      </c>
      <c r="K3534" s="17" t="n">
        <v>82.51000000000001</v>
      </c>
      <c r="L3534" s="17" t="n">
        <v>12.93</v>
      </c>
      <c r="M3534" s="17" t="n">
        <v>0</v>
      </c>
      <c r="N3534" s="17">
        <f>K3534*0.08+L3534*0.08</f>
        <v/>
      </c>
      <c r="O3534" s="17">
        <f>-(K3534*0.025+L3534*0.025)</f>
        <v/>
      </c>
      <c r="P3534" s="17">
        <f>32</f>
        <v/>
      </c>
      <c r="Q3534" s="17">
        <f>J3534+L3534+N3534+O3534-P3534-M3534</f>
        <v/>
      </c>
    </row>
    <row r="3535">
      <c r="A3535" s="16" t="inlineStr">
        <is>
          <t>5.29-6.4</t>
        </is>
      </c>
      <c r="B3535" s="16" t="inlineStr">
        <is>
          <t>PO-128-13443817779831181</t>
        </is>
      </c>
      <c r="C3535" s="16" t="inlineStr">
        <is>
          <t>Delivered</t>
        </is>
      </c>
      <c r="D3535" s="16" t="inlineStr">
        <is>
          <t>128-13443849237111181</t>
        </is>
      </c>
      <c r="E3535" s="16" t="inlineStr">
        <is>
          <t>Delivered</t>
        </is>
      </c>
      <c r="F3535" s="16" t="inlineStr">
        <is>
          <t>LV54W25</t>
        </is>
      </c>
      <c r="G3535" s="16" t="inlineStr">
        <is>
          <t>TIANLAI Lámpara Ventilador E27 2 en 1, Silenciosa, LED Alta Luminosidad 180°, Instalación Rápida, Ahorro Energético para Dormitorio y Interiores Pequeños</t>
        </is>
      </c>
      <c r="H3535" s="16" t="inlineStr">
        <is>
          <t>1 Pieza</t>
        </is>
      </c>
      <c r="I3535" s="16" t="n">
        <v>1</v>
      </c>
      <c r="J3535" s="17" t="n">
        <v>78</v>
      </c>
      <c r="K3535" s="17" t="n">
        <v>82.51000000000001</v>
      </c>
      <c r="L3535" s="17" t="n">
        <v>12.93</v>
      </c>
      <c r="M3535" s="17" t="n">
        <v>0</v>
      </c>
      <c r="N3535" s="17">
        <f>K3535*0.08+L3535*0.08</f>
        <v/>
      </c>
      <c r="O3535" s="17">
        <f>-(K3535*0.025+L3535*0.025)</f>
        <v/>
      </c>
      <c r="P3535" s="17">
        <f>32</f>
        <v/>
      </c>
      <c r="Q3535" s="17">
        <f>J3535+L3535+N3535+O3535-P3535-M3535</f>
        <v/>
      </c>
    </row>
    <row r="3536">
      <c r="A3536" s="16" t="inlineStr">
        <is>
          <t>5.29-6.4</t>
        </is>
      </c>
      <c r="B3536" s="16" t="inlineStr">
        <is>
          <t>PO-128-13387965399672600</t>
        </is>
      </c>
      <c r="C3536" s="16" t="inlineStr">
        <is>
          <t>Delivered</t>
        </is>
      </c>
      <c r="D3536" s="16" t="inlineStr">
        <is>
          <t>128-13388007342712600</t>
        </is>
      </c>
      <c r="E3536" s="16" t="inlineStr">
        <is>
          <t>Delivered</t>
        </is>
      </c>
      <c r="F3536" s="16" t="inlineStr">
        <is>
          <t>LV54W25</t>
        </is>
      </c>
      <c r="G3536" s="16" t="inlineStr">
        <is>
          <t>TIANLAI Lámpara Ventilador E27 2 en 1, Silenciosa, LED Alta Luminosidad 180°, Instalación Rápida, Ahorro Energético para Dormitorio y Interiores Pequeños</t>
        </is>
      </c>
      <c r="H3536" s="16" t="inlineStr">
        <is>
          <t>1 Pieza</t>
        </is>
      </c>
      <c r="I3536" s="16" t="n">
        <v>5</v>
      </c>
      <c r="J3536" s="17" t="n">
        <v>390</v>
      </c>
      <c r="K3536" s="17" t="n">
        <v>412.55</v>
      </c>
      <c r="L3536" s="17" t="n">
        <v>0</v>
      </c>
      <c r="M3536" s="17" t="n">
        <v>0</v>
      </c>
      <c r="N3536" s="17">
        <f>K3536*0.08+L3536*0.08</f>
        <v/>
      </c>
      <c r="O3536" s="17">
        <f>-(K3536*0.025+L3536*0.025)</f>
        <v/>
      </c>
      <c r="P3536" s="17">
        <f>32</f>
        <v/>
      </c>
      <c r="Q3536" s="17">
        <f>J3536+L3536+N3536+O3536-P3536-M3536</f>
        <v/>
      </c>
    </row>
    <row r="3537">
      <c r="A3537" s="16" t="inlineStr">
        <is>
          <t>5.29-6.4</t>
        </is>
      </c>
      <c r="B3537" s="16" t="inlineStr">
        <is>
          <t>PO-128-13637445412470027</t>
        </is>
      </c>
      <c r="C3537" s="16" t="inlineStr">
        <is>
          <t>Delivered</t>
        </is>
      </c>
      <c r="D3537" s="16" t="inlineStr">
        <is>
          <t>128-13637525366390027</t>
        </is>
      </c>
      <c r="E3537" s="16" t="inlineStr">
        <is>
          <t>Delivered</t>
        </is>
      </c>
      <c r="F3537" s="16" t="inlineStr">
        <is>
          <t>VB349T</t>
        </is>
      </c>
      <c r="G3537" s="16" t="inlineStr">
        <is>
          <t>LINKBITS Altavoz Portátil de Doble Altavoz - 3 Pulgadas, Sonido HD, Emparejamiento Rápido de Bluetooth, Conectividad TWS, Reproducción Multimodo (Micro SD/USB/Radio FM) - Perfecto para Oficina, Viajes y Espacios Pequeños</t>
        </is>
      </c>
      <c r="H3537" s="16" t="inlineStr">
        <is>
          <t>NEGRO</t>
        </is>
      </c>
      <c r="I3537" s="16" t="n">
        <v>1</v>
      </c>
      <c r="J3537" s="17" t="n">
        <v>81</v>
      </c>
      <c r="K3537" s="17" t="n">
        <v>94.26000000000001</v>
      </c>
      <c r="L3537" s="17" t="n">
        <v>25.86</v>
      </c>
      <c r="M3537" s="17" t="n">
        <v>0</v>
      </c>
      <c r="N3537" s="17">
        <f>K3537*0.08+L3537*0.08</f>
        <v/>
      </c>
      <c r="O3537" s="17">
        <f>-(K3537*0.025+L3537*0.025)</f>
        <v/>
      </c>
      <c r="P3537" s="17">
        <f>32</f>
        <v/>
      </c>
      <c r="Q3537" s="17">
        <f>J3537+L3537+N3537+O3537-P3537-M3537</f>
        <v/>
      </c>
    </row>
    <row r="3538">
      <c r="A3538" s="16" t="inlineStr">
        <is>
          <t>5.29-6.4</t>
        </is>
      </c>
      <c r="B3538" s="16" t="inlineStr">
        <is>
          <t>PO-128-13156626463354045</t>
        </is>
      </c>
      <c r="C3538" s="16" t="inlineStr">
        <is>
          <t>Delivered</t>
        </is>
      </c>
      <c r="D3538" s="16" t="inlineStr">
        <is>
          <t>128-13156549130874045</t>
        </is>
      </c>
      <c r="E3538" s="16" t="inlineStr">
        <is>
          <t>Delivered</t>
        </is>
      </c>
      <c r="F3538" s="16" t="inlineStr">
        <is>
          <t>LV54W25</t>
        </is>
      </c>
      <c r="G3538" s="16" t="inlineStr">
        <is>
          <t>TIANLAI Lámpara Ventilador E27 2 en 1, Silenciosa, LED Alta Luminosidad 180°, Instalación Rápida, Ahorro Energético para Dormitorio y Interiores Pequeños</t>
        </is>
      </c>
      <c r="H3538" s="16" t="inlineStr">
        <is>
          <t>1 Pieza</t>
        </is>
      </c>
      <c r="I3538" s="16" t="n">
        <v>1</v>
      </c>
      <c r="J3538" s="17" t="n">
        <v>78</v>
      </c>
      <c r="K3538" s="17" t="n">
        <v>80.70999999999999</v>
      </c>
      <c r="L3538" s="17" t="n">
        <v>25.86</v>
      </c>
      <c r="M3538" s="17" t="n">
        <v>0</v>
      </c>
      <c r="N3538" s="17">
        <f>K3538*0.08+L3538*0.08</f>
        <v/>
      </c>
      <c r="O3538" s="17">
        <f>-(K3538*0.025+L3538*0.025)</f>
        <v/>
      </c>
      <c r="P3538" s="17">
        <f>32</f>
        <v/>
      </c>
      <c r="Q3538" s="17">
        <f>J3538+L3538+N3538+O3538-P3538-M3538</f>
        <v/>
      </c>
    </row>
    <row r="3539">
      <c r="A3539" s="16" t="inlineStr">
        <is>
          <t>5.29-6.4</t>
        </is>
      </c>
      <c r="B3539" s="16" t="inlineStr">
        <is>
          <t>PO-128-13099651543673230</t>
        </is>
      </c>
      <c r="C3539" s="16" t="inlineStr">
        <is>
          <t>Delivered</t>
        </is>
      </c>
      <c r="D3539" s="16" t="inlineStr">
        <is>
          <t>128-13099691520633230</t>
        </is>
      </c>
      <c r="E3539" s="16" t="inlineStr">
        <is>
          <t>Delivered</t>
        </is>
      </c>
      <c r="F3539" s="16" t="inlineStr">
        <is>
          <t>LV54W25</t>
        </is>
      </c>
      <c r="G3539" s="16" t="inlineStr">
        <is>
          <t>TIANLAI Lámpara Ventilador E27 2 en 1, Silenciosa, LED Alta Luminosidad 180°, Instalación Rápida, Ahorro Energético para Dormitorio y Interiores Pequeños</t>
        </is>
      </c>
      <c r="H3539" s="16" t="inlineStr">
        <is>
          <t>1 Pieza</t>
        </is>
      </c>
      <c r="I3539" s="16" t="n">
        <v>1</v>
      </c>
      <c r="J3539" s="17" t="n">
        <v>78</v>
      </c>
      <c r="K3539" s="17" t="n">
        <v>82.51000000000001</v>
      </c>
      <c r="L3539" s="17" t="n">
        <v>25.86</v>
      </c>
      <c r="M3539" s="17" t="n">
        <v>0</v>
      </c>
      <c r="N3539" s="17">
        <f>K3539*0.08+L3539*0.08</f>
        <v/>
      </c>
      <c r="O3539" s="17">
        <f>-(K3539*0.025+L3539*0.025)</f>
        <v/>
      </c>
      <c r="P3539" s="17">
        <f>32</f>
        <v/>
      </c>
      <c r="Q3539" s="17">
        <f>J3539+L3539+N3539+O3539-P3539-M3539</f>
        <v/>
      </c>
    </row>
    <row r="3540">
      <c r="A3540" s="16" t="inlineStr">
        <is>
          <t>5.29-6.4</t>
        </is>
      </c>
      <c r="B3540" s="16" t="inlineStr">
        <is>
          <t>PO-128-13629567652470200</t>
        </is>
      </c>
      <c r="C3540" s="16" t="inlineStr">
        <is>
          <t>Delivered</t>
        </is>
      </c>
      <c r="D3540" s="16" t="inlineStr">
        <is>
          <t>128-13629635809910200</t>
        </is>
      </c>
      <c r="E3540" s="16" t="inlineStr">
        <is>
          <t>Delivered</t>
        </is>
      </c>
      <c r="F3540" s="16" t="inlineStr">
        <is>
          <t>LV54W25</t>
        </is>
      </c>
      <c r="G3540" s="16" t="inlineStr">
        <is>
          <t>TIANLAI Lámpara Ventilador E27 2 en 1, Silenciosa, LED Alta Luminosidad 180°, Instalación Rápida, Ahorro Energético para Dormitorio y Interiores Pequeños</t>
        </is>
      </c>
      <c r="H3540" s="16" t="inlineStr">
        <is>
          <t>1 Pieza</t>
        </is>
      </c>
      <c r="I3540" s="16" t="n">
        <v>1</v>
      </c>
      <c r="J3540" s="17" t="n">
        <v>78</v>
      </c>
      <c r="K3540" s="17" t="n">
        <v>22.17</v>
      </c>
      <c r="L3540" s="17" t="n">
        <v>25.86</v>
      </c>
      <c r="M3540" s="17" t="n">
        <v>0</v>
      </c>
      <c r="N3540" s="17">
        <f>K3540*0.08+L3540*0.08</f>
        <v/>
      </c>
      <c r="O3540" s="17">
        <f>-(K3540*0.025+L3540*0.025)</f>
        <v/>
      </c>
      <c r="P3540" s="17">
        <f>32</f>
        <v/>
      </c>
      <c r="Q3540" s="17">
        <f>J3540+L3540+N3540+O3540-P3540-M3540</f>
        <v/>
      </c>
    </row>
    <row r="3541">
      <c r="A3541" s="16" t="inlineStr">
        <is>
          <t>5.29-6.4</t>
        </is>
      </c>
      <c r="B3541" s="16" t="inlineStr">
        <is>
          <t>PO-128-13628543744630206</t>
        </is>
      </c>
      <c r="C3541" s="16" t="inlineStr">
        <is>
          <t>Delivered</t>
        </is>
      </c>
      <c r="D3541" s="16" t="inlineStr">
        <is>
          <t>128-13628501801590206</t>
        </is>
      </c>
      <c r="E3541" s="16" t="inlineStr">
        <is>
          <t>Delivered</t>
        </is>
      </c>
      <c r="F3541" s="16" t="inlineStr">
        <is>
          <t>B03W10-10PZS</t>
        </is>
      </c>
      <c r="G354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541" s="16" t="inlineStr">
        <is>
          <t>B03W10</t>
        </is>
      </c>
      <c r="I3541" s="16" t="n">
        <v>4</v>
      </c>
      <c r="J3541" s="17" t="n">
        <v>308</v>
      </c>
      <c r="K3541" s="17" t="n">
        <v>323.8</v>
      </c>
      <c r="L3541" s="17" t="n">
        <v>0</v>
      </c>
      <c r="M3541" s="17" t="n">
        <v>0</v>
      </c>
      <c r="N3541" s="17">
        <f>K3541*0.08+L3541*0.08</f>
        <v/>
      </c>
      <c r="O3541" s="17">
        <f>-(K3541*0.025+L3541*0.025)</f>
        <v/>
      </c>
      <c r="P3541" s="17">
        <f>32</f>
        <v/>
      </c>
      <c r="Q3541" s="17">
        <f>J3541+L3541+N3541+O3541-P3541-M3541</f>
        <v/>
      </c>
    </row>
    <row r="3542">
      <c r="A3542" s="16" t="inlineStr">
        <is>
          <t>5.29-6.4</t>
        </is>
      </c>
      <c r="B3542" s="16" t="inlineStr">
        <is>
          <t>PO-128-13559222037111581</t>
        </is>
      </c>
      <c r="C3542" s="16" t="inlineStr">
        <is>
          <t>Delivered</t>
        </is>
      </c>
      <c r="D3542" s="16" t="inlineStr">
        <is>
          <t>128-13559281019511581</t>
        </is>
      </c>
      <c r="E3542" s="16" t="inlineStr">
        <is>
          <t>Delivered</t>
        </is>
      </c>
      <c r="F3542" s="16" t="inlineStr">
        <is>
          <t>LV64W25</t>
        </is>
      </c>
      <c r="G35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42" s="16" t="inlineStr">
        <is>
          <t>Blanco</t>
        </is>
      </c>
      <c r="I3542" s="16" t="n">
        <v>1</v>
      </c>
      <c r="J3542" s="17" t="n">
        <v>125</v>
      </c>
      <c r="K3542" s="17" t="n">
        <v>133.23</v>
      </c>
      <c r="L3542" s="17" t="n">
        <v>25.86</v>
      </c>
      <c r="M3542" s="17" t="n">
        <v>0</v>
      </c>
      <c r="N3542" s="17">
        <f>K3542*0.08+L3542*0.08</f>
        <v/>
      </c>
      <c r="O3542" s="17">
        <f>-(K3542*0.025+L3542*0.025)</f>
        <v/>
      </c>
      <c r="P3542" s="17">
        <f>32</f>
        <v/>
      </c>
      <c r="Q3542" s="17">
        <f>J3542+L3542+N3542+O3542-P3542-M3542</f>
        <v/>
      </c>
    </row>
    <row r="3543">
      <c r="A3543" s="16" t="inlineStr">
        <is>
          <t>5.29-6.4</t>
        </is>
      </c>
      <c r="B3543" s="16" t="inlineStr">
        <is>
          <t>PO-128-13695453696630833</t>
        </is>
      </c>
      <c r="C3543" s="16" t="inlineStr">
        <is>
          <t>Delivered</t>
        </is>
      </c>
      <c r="D3543" s="16" t="inlineStr">
        <is>
          <t>128-13695428792950833</t>
        </is>
      </c>
      <c r="E3543" s="16" t="inlineStr">
        <is>
          <t>Delivered</t>
        </is>
      </c>
      <c r="F3543" s="16" t="inlineStr">
        <is>
          <t>LV64W25</t>
        </is>
      </c>
      <c r="G35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43" s="16" t="inlineStr">
        <is>
          <t>Blanco</t>
        </is>
      </c>
      <c r="I3543" s="16" t="n">
        <v>3</v>
      </c>
      <c r="J3543" s="17" t="n">
        <v>375</v>
      </c>
      <c r="K3543" s="17" t="n">
        <v>386.82</v>
      </c>
      <c r="L3543" s="17" t="n">
        <v>0</v>
      </c>
      <c r="M3543" s="17" t="n">
        <v>0</v>
      </c>
      <c r="N3543" s="17">
        <f>K3543*0.08+L3543*0.08</f>
        <v/>
      </c>
      <c r="O3543" s="17">
        <f>-(K3543*0.025+L3543*0.025)</f>
        <v/>
      </c>
      <c r="P3543" s="17">
        <f>32</f>
        <v/>
      </c>
      <c r="Q3543" s="17">
        <f>J3543+L3543+N3543+O3543-P3543-M3543</f>
        <v/>
      </c>
    </row>
    <row r="3544">
      <c r="A3544" s="16" t="inlineStr">
        <is>
          <t>5.29-6.4</t>
        </is>
      </c>
      <c r="B3544" s="16" t="inlineStr">
        <is>
          <t>PO-128-13591465667190493</t>
        </is>
      </c>
      <c r="C3544" s="16" t="inlineStr">
        <is>
          <t>Delivered</t>
        </is>
      </c>
      <c r="D3544" s="16" t="inlineStr">
        <is>
          <t>128-13591455181430493</t>
        </is>
      </c>
      <c r="E3544" s="16" t="inlineStr">
        <is>
          <t>Delivered</t>
        </is>
      </c>
      <c r="F3544" s="16" t="inlineStr">
        <is>
          <t>LV54W25</t>
        </is>
      </c>
      <c r="G3544" s="16" t="inlineStr">
        <is>
          <t>TIANLAI Lámpara Ventilador E27 2 en 1, Silenciosa, LED Alta Luminosidad 180°, Instalación Rápida, Ahorro Energético para Dormitorio y Interiores Pequeños</t>
        </is>
      </c>
      <c r="H3544" s="16" t="inlineStr">
        <is>
          <t>1 Pieza</t>
        </is>
      </c>
      <c r="I3544" s="16" t="n">
        <v>1</v>
      </c>
      <c r="J3544" s="17" t="n">
        <v>78</v>
      </c>
      <c r="K3544" s="17" t="n">
        <v>76.23</v>
      </c>
      <c r="L3544" s="17" t="n">
        <v>25.86</v>
      </c>
      <c r="M3544" s="17" t="n">
        <v>0</v>
      </c>
      <c r="N3544" s="17">
        <f>K3544*0.08+L3544*0.08</f>
        <v/>
      </c>
      <c r="O3544" s="17">
        <f>-(K3544*0.025+L3544*0.025)</f>
        <v/>
      </c>
      <c r="P3544" s="17">
        <f>32</f>
        <v/>
      </c>
      <c r="Q3544" s="17">
        <f>J3544+L3544+N3544+O3544-P3544-M3544</f>
        <v/>
      </c>
    </row>
    <row r="3545">
      <c r="A3545" s="16" t="inlineStr">
        <is>
          <t>5.29-6.4</t>
        </is>
      </c>
      <c r="B3545" s="16" t="inlineStr">
        <is>
          <t>PO-128-13401704950391430</t>
        </is>
      </c>
      <c r="C3545" s="16" t="inlineStr">
        <is>
          <t>Delivered</t>
        </is>
      </c>
      <c r="D3545" s="16" t="inlineStr">
        <is>
          <t>128-13401663007351430</t>
        </is>
      </c>
      <c r="E3545" s="16" t="inlineStr">
        <is>
          <t>Delivered</t>
        </is>
      </c>
      <c r="F3545" s="16" t="inlineStr">
        <is>
          <t>LV64W25</t>
        </is>
      </c>
      <c r="G35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45" s="16" t="inlineStr">
        <is>
          <t>Blanco</t>
        </is>
      </c>
      <c r="I3545" s="16" t="n">
        <v>1</v>
      </c>
      <c r="J3545" s="17" t="n">
        <v>119</v>
      </c>
      <c r="K3545" s="17" t="n">
        <v>127.66</v>
      </c>
      <c r="L3545" s="17" t="n">
        <v>25.86</v>
      </c>
      <c r="M3545" s="17" t="n">
        <v>0</v>
      </c>
      <c r="N3545" s="17">
        <f>K3545*0.08+L3545*0.08</f>
        <v/>
      </c>
      <c r="O3545" s="17">
        <f>-(K3545*0.025+L3545*0.025)</f>
        <v/>
      </c>
      <c r="P3545" s="17">
        <f>32</f>
        <v/>
      </c>
      <c r="Q3545" s="17">
        <f>J3545+L3545+N3545+O3545-P3545-M3545</f>
        <v/>
      </c>
    </row>
    <row r="3546">
      <c r="A3546" s="16" t="inlineStr">
        <is>
          <t>5.29-6.4</t>
        </is>
      </c>
      <c r="B3546" s="16" t="inlineStr">
        <is>
          <t>PO-128-13743830395510609</t>
        </is>
      </c>
      <c r="C3546" s="16" t="inlineStr">
        <is>
          <t>Delivered</t>
        </is>
      </c>
      <c r="D3546" s="16" t="inlineStr">
        <is>
          <t>128-13743882824310609</t>
        </is>
      </c>
      <c r="E3546" s="16" t="inlineStr">
        <is>
          <t>Delivered</t>
        </is>
      </c>
      <c r="F3546" s="16" t="inlineStr">
        <is>
          <t>LV54W25</t>
        </is>
      </c>
      <c r="G3546" s="16" t="inlineStr">
        <is>
          <t>TIANLAI Lámpara Ventilador E27 2 en 1, Silenciosa, LED Alta Luminosidad 180°, Instalación Rápida, Ahorro Energético para Dormitorio y Interiores Pequeños</t>
        </is>
      </c>
      <c r="H3546" s="16" t="inlineStr">
        <is>
          <t>1 Pieza</t>
        </is>
      </c>
      <c r="I3546" s="16" t="n">
        <v>1</v>
      </c>
      <c r="J3546" s="17" t="n">
        <v>74</v>
      </c>
      <c r="K3546" s="17" t="n">
        <v>2.92</v>
      </c>
      <c r="L3546" s="17" t="n">
        <v>25.86</v>
      </c>
      <c r="M3546" s="17" t="n">
        <v>0</v>
      </c>
      <c r="N3546" s="17">
        <f>K3546*0.08+L3546*0.08</f>
        <v/>
      </c>
      <c r="O3546" s="17">
        <f>-(K3546*0.025+L3546*0.025)</f>
        <v/>
      </c>
      <c r="P3546" s="17">
        <f>32</f>
        <v/>
      </c>
      <c r="Q3546" s="17">
        <f>J3546+L3546+N3546+O3546-P3546-M3546</f>
        <v/>
      </c>
    </row>
    <row r="3547">
      <c r="A3547" s="16" t="inlineStr">
        <is>
          <t>5.29-6.4</t>
        </is>
      </c>
      <c r="B3547" s="16" t="inlineStr">
        <is>
          <t>PO-128-13151099177594012</t>
        </is>
      </c>
      <c r="C3547" s="16" t="inlineStr">
        <is>
          <t>Delivered</t>
        </is>
      </c>
      <c r="D3547" s="16" t="inlineStr">
        <is>
          <t>128-13151015291514012</t>
        </is>
      </c>
      <c r="E3547" s="16" t="inlineStr">
        <is>
          <t>Delivered</t>
        </is>
      </c>
      <c r="F3547" s="16" t="inlineStr">
        <is>
          <t>TLCD06-12P-A</t>
        </is>
      </c>
      <c r="G354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47" s="16" t="inlineStr">
        <is>
          <t>AZUL/pantalla de 12 pulgadas</t>
        </is>
      </c>
      <c r="I3547" s="16" t="n">
        <v>1</v>
      </c>
      <c r="J3547" s="17" t="n">
        <v>32</v>
      </c>
      <c r="K3547" s="17" t="n">
        <v>44.02</v>
      </c>
      <c r="L3547" s="17" t="n">
        <v>0</v>
      </c>
      <c r="M3547" s="17" t="n">
        <v>0</v>
      </c>
      <c r="N3547" s="17">
        <f>K3547*0.08+L3547*0.08</f>
        <v/>
      </c>
      <c r="O3547" s="17">
        <f>-(K3547*0.025+L3547*0.025)</f>
        <v/>
      </c>
      <c r="P3547" s="17">
        <f>32</f>
        <v/>
      </c>
      <c r="Q3547" s="17">
        <f>J3547+L3547+N3547+O3547-P3547-M3547</f>
        <v/>
      </c>
    </row>
    <row r="3548">
      <c r="A3548" s="16" t="inlineStr">
        <is>
          <t>5.29-6.4</t>
        </is>
      </c>
      <c r="B3548" s="16" t="inlineStr">
        <is>
          <t>PO-128-13151099177594012</t>
        </is>
      </c>
      <c r="C3548" s="16" t="inlineStr">
        <is>
          <t>Delivered</t>
        </is>
      </c>
      <c r="D3548" s="16" t="inlineStr">
        <is>
          <t>128-13151036263034012</t>
        </is>
      </c>
      <c r="E3548" s="16" t="inlineStr">
        <is>
          <t>Delivered</t>
        </is>
      </c>
      <c r="F3548" s="16" t="inlineStr">
        <is>
          <t>TLCD02-8P-A</t>
        </is>
      </c>
      <c r="G354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48" s="16" t="inlineStr">
        <is>
          <t>AZUL/pantalla de 8.5 pulgadas</t>
        </is>
      </c>
      <c r="I3548" s="16" t="n">
        <v>1</v>
      </c>
      <c r="J3548" s="17" t="n">
        <v>24</v>
      </c>
      <c r="K3548" s="17" t="n">
        <v>32.98</v>
      </c>
      <c r="L3548" s="17" t="n">
        <v>0</v>
      </c>
      <c r="M3548" s="17" t="n">
        <v>3.51</v>
      </c>
      <c r="N3548" s="17">
        <f>K3548*0.08+L3548*0.08</f>
        <v/>
      </c>
      <c r="O3548" s="17">
        <f>-(K3548*0.025+L3548*0.025)</f>
        <v/>
      </c>
      <c r="P3548" s="17">
        <f>32</f>
        <v/>
      </c>
      <c r="Q3548" s="17">
        <f>J3548+L3548+N3548+O3548-P3548-M3548</f>
        <v/>
      </c>
    </row>
    <row r="3549">
      <c r="A3549" s="16" t="inlineStr">
        <is>
          <t>5.29-6.4</t>
        </is>
      </c>
      <c r="B3549" s="16" t="inlineStr">
        <is>
          <t>PO-128-13151099177594012</t>
        </is>
      </c>
      <c r="C3549" s="16" t="inlineStr">
        <is>
          <t>Delivered</t>
        </is>
      </c>
      <c r="D3549" s="16" t="inlineStr">
        <is>
          <t>128-13151120149114012</t>
        </is>
      </c>
      <c r="E3549" s="16" t="inlineStr">
        <is>
          <t>Delivered</t>
        </is>
      </c>
      <c r="F3549" s="16" t="inlineStr">
        <is>
          <t>VA371T</t>
        </is>
      </c>
      <c r="G3549" s="16" t="inlineStr">
        <is>
          <t>Linkbits Bocina Bluetooth Portátil 3" de Alta Gama，Hi-Res Audio y Graves Potentes，Luces LED + Soporte USB/TF/FM/TWS，Ideal para Hogar y Aire Libre</t>
        </is>
      </c>
      <c r="H3549" s="16" t="inlineStr">
        <is>
          <t>VA371T</t>
        </is>
      </c>
      <c r="I3549" s="16" t="n">
        <v>1</v>
      </c>
      <c r="J3549" s="17" t="n">
        <v>41.32</v>
      </c>
      <c r="K3549" s="17" t="n">
        <v>49.7</v>
      </c>
      <c r="L3549" s="17" t="n">
        <v>0</v>
      </c>
      <c r="M3549" s="17" t="n">
        <v>0</v>
      </c>
      <c r="N3549" s="17">
        <f>K3549*0.08+L3549*0.08</f>
        <v/>
      </c>
      <c r="O3549" s="17">
        <f>-(K3549*0.025+L3549*0.025)</f>
        <v/>
      </c>
      <c r="P3549" s="17">
        <f>32</f>
        <v/>
      </c>
      <c r="Q3549" s="17">
        <f>J3549+L3549+N3549+O3549-P3549-M3549</f>
        <v/>
      </c>
    </row>
    <row r="3550">
      <c r="A3550" s="16" t="inlineStr">
        <is>
          <t>5.29-6.4</t>
        </is>
      </c>
      <c r="B3550" s="16" t="inlineStr">
        <is>
          <t>PO-128-13151099177594012</t>
        </is>
      </c>
      <c r="C3550" s="16" t="inlineStr">
        <is>
          <t>Delivered</t>
        </is>
      </c>
      <c r="D3550" s="16" t="inlineStr">
        <is>
          <t>128-13151078206074012</t>
        </is>
      </c>
      <c r="E3550" s="16" t="inlineStr">
        <is>
          <t>Delivered</t>
        </is>
      </c>
      <c r="F3550" s="16" t="inlineStr">
        <is>
          <t>KTS-1369</t>
        </is>
      </c>
      <c r="G3550" s="16" t="inlineStr">
        <is>
          <t>Bocina 3 Pulgadas Portátil Bluetooth con Luces LED, Sonido Claro y Batería Larga Duración, TWS TF USB FM, Ideal para Hogar Oficina y Exterior</t>
        </is>
      </c>
      <c r="H3550" s="16" t="inlineStr">
        <is>
          <t>NEGRO</t>
        </is>
      </c>
      <c r="I3550" s="16" t="n">
        <v>2</v>
      </c>
      <c r="J3550" s="17" t="n">
        <v>100</v>
      </c>
      <c r="K3550" s="17" t="n">
        <v>137.48</v>
      </c>
      <c r="L3550" s="17" t="n">
        <v>0</v>
      </c>
      <c r="M3550" s="17" t="n">
        <v>0</v>
      </c>
      <c r="N3550" s="17">
        <f>K3550*0.08+L3550*0.08</f>
        <v/>
      </c>
      <c r="O3550" s="17">
        <f>-(K3550*0.025+L3550*0.025)</f>
        <v/>
      </c>
      <c r="P3550" s="17">
        <f>32</f>
        <v/>
      </c>
      <c r="Q3550" s="17">
        <f>J3550+L3550+N3550+O3550-P3550-M3550</f>
        <v/>
      </c>
    </row>
    <row r="3551">
      <c r="A3551" s="16" t="inlineStr">
        <is>
          <t>5.29-6.4</t>
        </is>
      </c>
      <c r="B3551" s="16" t="inlineStr">
        <is>
          <t>PO-128-13191276135033772</t>
        </is>
      </c>
      <c r="C3551" s="16" t="inlineStr">
        <is>
          <t>Delivered</t>
        </is>
      </c>
      <c r="D3551" s="16" t="inlineStr">
        <is>
          <t>128-13191272202873772</t>
        </is>
      </c>
      <c r="E3551" s="16" t="inlineStr">
        <is>
          <t>Delivered</t>
        </is>
      </c>
      <c r="F3551" s="16" t="inlineStr">
        <is>
          <t>TLCD02-8P-A</t>
        </is>
      </c>
      <c r="G355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51" s="16" t="inlineStr">
        <is>
          <t>AZUL/pantalla de 8.5 pulgadas</t>
        </is>
      </c>
      <c r="I3551" s="16" t="n">
        <v>1</v>
      </c>
      <c r="J3551" s="17" t="n">
        <v>24</v>
      </c>
      <c r="K3551" s="17" t="n">
        <v>32.98</v>
      </c>
      <c r="L3551" s="17" t="n">
        <v>12.93</v>
      </c>
      <c r="M3551" s="17" t="n">
        <v>0</v>
      </c>
      <c r="N3551" s="17">
        <f>K3551*0.08+L3551*0.08</f>
        <v/>
      </c>
      <c r="O3551" s="17">
        <f>-(K3551*0.025+L3551*0.025)</f>
        <v/>
      </c>
      <c r="P3551" s="17">
        <f>32</f>
        <v/>
      </c>
      <c r="Q3551" s="17">
        <f>J3551+L3551+N3551+O3551-P3551-M3551</f>
        <v/>
      </c>
    </row>
    <row r="3552">
      <c r="A3552" s="16" t="inlineStr">
        <is>
          <t>5.29-6.4</t>
        </is>
      </c>
      <c r="B3552" s="16" t="inlineStr">
        <is>
          <t>PO-128-13191276135033772</t>
        </is>
      </c>
      <c r="C3552" s="16" t="inlineStr">
        <is>
          <t>Delivered</t>
        </is>
      </c>
      <c r="D3552" s="16" t="inlineStr">
        <is>
          <t>128-13191293174393772</t>
        </is>
      </c>
      <c r="E3552" s="16" t="inlineStr">
        <is>
          <t>Delivered</t>
        </is>
      </c>
      <c r="F3552" s="16" t="inlineStr">
        <is>
          <t>TLCD02-8P-R</t>
        </is>
      </c>
      <c r="G355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52" s="16" t="inlineStr">
        <is>
          <t>ROJO/pantalla de 8.5 pulgadas</t>
        </is>
      </c>
      <c r="I3552" s="16" t="n">
        <v>1</v>
      </c>
      <c r="J3552" s="17" t="n">
        <v>24</v>
      </c>
      <c r="K3552" s="17" t="n">
        <v>32.98</v>
      </c>
      <c r="L3552" s="17" t="n">
        <v>12.93</v>
      </c>
      <c r="M3552" s="17" t="n">
        <v>0</v>
      </c>
      <c r="N3552" s="17">
        <f>K3552*0.08+L3552*0.08</f>
        <v/>
      </c>
      <c r="O3552" s="17">
        <f>-(K3552*0.025+L3552*0.025)</f>
        <v/>
      </c>
      <c r="P3552" s="17">
        <f>32</f>
        <v/>
      </c>
      <c r="Q3552" s="17">
        <f>J3552+L3552+N3552+O3552-P3552-M3552</f>
        <v/>
      </c>
    </row>
    <row r="3553">
      <c r="A3553" s="16" t="inlineStr">
        <is>
          <t>5.29-6.4</t>
        </is>
      </c>
      <c r="B3553" s="16" t="inlineStr">
        <is>
          <t>PO-128-13155780567674048</t>
        </is>
      </c>
      <c r="C3553" s="16" t="inlineStr">
        <is>
          <t>Delivered</t>
        </is>
      </c>
      <c r="D3553" s="16" t="inlineStr">
        <is>
          <t>128-13155832996474048</t>
        </is>
      </c>
      <c r="E3553" s="16" t="inlineStr">
        <is>
          <t>Delivered</t>
        </is>
      </c>
      <c r="F3553" s="16" t="inlineStr">
        <is>
          <t>KTS-2031</t>
        </is>
      </c>
      <c r="G3553" s="16" t="inlineStr">
        <is>
          <t>Bocina inalámbrica de 3 pulgadas con linterna multifuncional y panel solar integrado.Altavoz Portátil con Linterna LED 4 Modos, Radio FM, Bluetooth, Carga Solar, Ideal para Apagones, Emergencias, Campo y Exteriores</t>
        </is>
      </c>
      <c r="H3553" s="16" t="inlineStr">
        <is>
          <t>NEGRO</t>
        </is>
      </c>
      <c r="I3553" s="16" t="n">
        <v>1</v>
      </c>
      <c r="J3553" s="17" t="n">
        <v>88</v>
      </c>
      <c r="K3553" s="17" t="n">
        <v>14.46</v>
      </c>
      <c r="L3553" s="17" t="n">
        <v>25.86</v>
      </c>
      <c r="M3553" s="17" t="n">
        <v>0</v>
      </c>
      <c r="N3553" s="17">
        <f>K3553*0.08+L3553*0.08</f>
        <v/>
      </c>
      <c r="O3553" s="17">
        <f>-(K3553*0.025+L3553*0.025)</f>
        <v/>
      </c>
      <c r="P3553" s="17">
        <f>32</f>
        <v/>
      </c>
      <c r="Q3553" s="17">
        <f>J3553+L3553+N3553+O3553-P3553-M3553</f>
        <v/>
      </c>
    </row>
    <row r="3554">
      <c r="A3554" s="16" t="inlineStr">
        <is>
          <t>5.29-6.4</t>
        </is>
      </c>
      <c r="B3554" s="16" t="inlineStr">
        <is>
          <t>PO-128-13327674901113025</t>
        </is>
      </c>
      <c r="C3554" s="16" t="inlineStr">
        <is>
          <t>Delivered</t>
        </is>
      </c>
      <c r="D3554" s="16" t="inlineStr">
        <is>
          <t>128-13327670968953025</t>
        </is>
      </c>
      <c r="E3554" s="16" t="inlineStr">
        <is>
          <t>Delivered</t>
        </is>
      </c>
      <c r="F3554" s="16" t="inlineStr">
        <is>
          <t>B03W10-10PZS</t>
        </is>
      </c>
      <c r="G355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554" s="16" t="inlineStr">
        <is>
          <t>B03W10</t>
        </is>
      </c>
      <c r="I3554" s="16" t="n">
        <v>1</v>
      </c>
      <c r="J3554" s="17" t="n">
        <v>66</v>
      </c>
      <c r="K3554" s="17" t="n">
        <v>71.05</v>
      </c>
      <c r="L3554" s="17" t="n">
        <v>25.86</v>
      </c>
      <c r="M3554" s="17" t="n">
        <v>0</v>
      </c>
      <c r="N3554" s="17">
        <f>K3554*0.08+L3554*0.08</f>
        <v/>
      </c>
      <c r="O3554" s="17">
        <f>-(K3554*0.025+L3554*0.025)</f>
        <v/>
      </c>
      <c r="P3554" s="17">
        <f>32</f>
        <v/>
      </c>
      <c r="Q3554" s="17">
        <f>J3554+L3554+N3554+O3554-P3554-M3554</f>
        <v/>
      </c>
    </row>
    <row r="3555">
      <c r="A3555" s="16" t="inlineStr">
        <is>
          <t>5.29-6.4</t>
        </is>
      </c>
      <c r="B3555" s="16" t="inlineStr">
        <is>
          <t>PO-128-13478526300791100</t>
        </is>
      </c>
      <c r="C3555" s="16" t="inlineStr">
        <is>
          <t>Delivered</t>
        </is>
      </c>
      <c r="D3555" s="16" t="inlineStr">
        <is>
          <t>128-13478486979191100</t>
        </is>
      </c>
      <c r="E3555" s="16" t="inlineStr">
        <is>
          <t>Delivered</t>
        </is>
      </c>
      <c r="F3555" s="16" t="inlineStr">
        <is>
          <t>LV54W25</t>
        </is>
      </c>
      <c r="G3555" s="16" t="inlineStr">
        <is>
          <t>TIANLAI Lámpara Ventilador E27 2 en 1, Silenciosa, LED Alta Luminosidad 180°, Instalación Rápida, Ahorro Energético para Dormitorio y Interiores Pequeños</t>
        </is>
      </c>
      <c r="H3555" s="16" t="inlineStr">
        <is>
          <t>1 Pieza</t>
        </is>
      </c>
      <c r="I3555" s="16" t="n">
        <v>1</v>
      </c>
      <c r="J3555" s="17" t="n">
        <v>74</v>
      </c>
      <c r="K3555" s="17" t="n">
        <v>77.12</v>
      </c>
      <c r="L3555" s="17" t="n">
        <v>25.86</v>
      </c>
      <c r="M3555" s="17" t="n">
        <v>0</v>
      </c>
      <c r="N3555" s="17">
        <f>K3555*0.08+L3555*0.08</f>
        <v/>
      </c>
      <c r="O3555" s="17">
        <f>-(K3555*0.025+L3555*0.025)</f>
        <v/>
      </c>
      <c r="P3555" s="17">
        <f>32</f>
        <v/>
      </c>
      <c r="Q3555" s="17">
        <f>J3555+L3555+N3555+O3555-P3555-M3555</f>
        <v/>
      </c>
    </row>
    <row r="3556">
      <c r="A3556" s="16" t="inlineStr">
        <is>
          <t>5.29-6.4</t>
        </is>
      </c>
      <c r="B3556" s="16" t="inlineStr">
        <is>
          <t>PO-128-13522505503351862</t>
        </is>
      </c>
      <c r="C3556" s="16" t="inlineStr">
        <is>
          <t>Delivered</t>
        </is>
      </c>
      <c r="D3556" s="16" t="inlineStr">
        <is>
          <t>128-13522484531831862</t>
        </is>
      </c>
      <c r="E3556" s="16" t="inlineStr">
        <is>
          <t>Delivered</t>
        </is>
      </c>
      <c r="F3556" s="16" t="inlineStr">
        <is>
          <t>LV54W25</t>
        </is>
      </c>
      <c r="G3556" s="16" t="inlineStr">
        <is>
          <t>TIANLAI Lámpara Ventilador E27 2 en 1, Silenciosa, LED Alta Luminosidad 180°, Instalación Rápida, Ahorro Energético para Dormitorio y Interiores Pequeños</t>
        </is>
      </c>
      <c r="H3556" s="16" t="inlineStr">
        <is>
          <t>1 Pieza</t>
        </is>
      </c>
      <c r="I3556" s="16" t="n">
        <v>1</v>
      </c>
      <c r="J3556" s="17" t="n">
        <v>74</v>
      </c>
      <c r="K3556" s="17" t="n">
        <v>77.12</v>
      </c>
      <c r="L3556" s="17" t="n">
        <v>25.86</v>
      </c>
      <c r="M3556" s="17" t="n">
        <v>0</v>
      </c>
      <c r="N3556" s="17">
        <f>K3556*0.08+L3556*0.08</f>
        <v/>
      </c>
      <c r="O3556" s="17">
        <f>-(K3556*0.025+L3556*0.025)</f>
        <v/>
      </c>
      <c r="P3556" s="17">
        <f>32</f>
        <v/>
      </c>
      <c r="Q3556" s="17">
        <f>J3556+L3556+N3556+O3556-P3556-M3556</f>
        <v/>
      </c>
    </row>
    <row r="3557">
      <c r="A3557" s="16" t="inlineStr">
        <is>
          <t>5.29-6.4</t>
        </is>
      </c>
      <c r="B3557" s="16" t="inlineStr">
        <is>
          <t>PO-128-13392441549432639</t>
        </is>
      </c>
      <c r="C3557" s="16" t="inlineStr">
        <is>
          <t>Delivered</t>
        </is>
      </c>
      <c r="D3557" s="16" t="inlineStr">
        <is>
          <t>128-13392546407032639</t>
        </is>
      </c>
      <c r="E3557" s="16" t="inlineStr">
        <is>
          <t>Delivered</t>
        </is>
      </c>
      <c r="F3557" s="16" t="inlineStr">
        <is>
          <t>VA371T</t>
        </is>
      </c>
      <c r="G3557" s="16" t="inlineStr">
        <is>
          <t>Linkbits Bocina Bluetooth Portátil 3" de Alta Gama，Hi-Res Audio y Graves Potentes，Luces LED + Soporte USB/TF/FM/TWS，Ideal para Hogar y Aire Libre</t>
        </is>
      </c>
      <c r="H3557" s="16" t="inlineStr">
        <is>
          <t>VA371T</t>
        </is>
      </c>
      <c r="I3557" s="16" t="n">
        <v>1</v>
      </c>
      <c r="J3557" s="17" t="n">
        <v>41.32</v>
      </c>
      <c r="K3557" s="17" t="n">
        <v>49.7</v>
      </c>
      <c r="L3557" s="17" t="n">
        <v>25.86</v>
      </c>
      <c r="M3557" s="17" t="n">
        <v>0</v>
      </c>
      <c r="N3557" s="17">
        <f>K3557*0.08+L3557*0.08</f>
        <v/>
      </c>
      <c r="O3557" s="17">
        <f>-(K3557*0.025+L3557*0.025)</f>
        <v/>
      </c>
      <c r="P3557" s="17">
        <f>32</f>
        <v/>
      </c>
      <c r="Q3557" s="17">
        <f>J3557+L3557+N3557+O3557-P3557-M3557</f>
        <v/>
      </c>
    </row>
    <row r="3558">
      <c r="A3558" s="16" t="inlineStr">
        <is>
          <t>5.29-6.4</t>
        </is>
      </c>
      <c r="B3558" s="16" t="inlineStr">
        <is>
          <t>PO-128-13206627789433811</t>
        </is>
      </c>
      <c r="C3558" s="16" t="inlineStr">
        <is>
          <t>Delivered</t>
        </is>
      </c>
      <c r="D3558" s="16" t="inlineStr">
        <is>
          <t>128-13206648760953811</t>
        </is>
      </c>
      <c r="E3558" s="16" t="inlineStr">
        <is>
          <t>Delivered</t>
        </is>
      </c>
      <c r="F3558" s="16" t="inlineStr">
        <is>
          <t>LV64W25</t>
        </is>
      </c>
      <c r="G35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58" s="16" t="inlineStr">
        <is>
          <t>Blanco</t>
        </is>
      </c>
      <c r="I3558" s="16" t="n">
        <v>2</v>
      </c>
      <c r="J3558" s="17" t="n">
        <v>238</v>
      </c>
      <c r="K3558" s="17" t="n">
        <v>247.08</v>
      </c>
      <c r="L3558" s="17" t="n">
        <v>0</v>
      </c>
      <c r="M3558" s="17" t="n">
        <v>0</v>
      </c>
      <c r="N3558" s="17">
        <f>K3558*0.08+L3558*0.08</f>
        <v/>
      </c>
      <c r="O3558" s="17">
        <f>-(K3558*0.025+L3558*0.025)</f>
        <v/>
      </c>
      <c r="P3558" s="17">
        <f>32</f>
        <v/>
      </c>
      <c r="Q3558" s="17">
        <f>J3558+L3558+N3558+O3558-P3558-M3558</f>
        <v/>
      </c>
    </row>
    <row r="3559">
      <c r="A3559" s="16" t="inlineStr">
        <is>
          <t>5.29-6.4</t>
        </is>
      </c>
      <c r="B3559" s="16" t="inlineStr">
        <is>
          <t>PO-128-13457539308151227</t>
        </is>
      </c>
      <c r="C3559" s="16" t="inlineStr">
        <is>
          <t>Delivered</t>
        </is>
      </c>
      <c r="D3559" s="16" t="inlineStr">
        <is>
          <t>128-13457523579511227</t>
        </is>
      </c>
      <c r="E3559" s="16" t="inlineStr">
        <is>
          <t>Delivered</t>
        </is>
      </c>
      <c r="F3559" s="16" t="inlineStr">
        <is>
          <t>LV54W25</t>
        </is>
      </c>
      <c r="G3559" s="16" t="inlineStr">
        <is>
          <t>TIANLAI Lámpara Ventilador E27 2 en 1, Silenciosa, LED Alta Luminosidad 180°, Instalación Rápida, Ahorro Energético para Dormitorio y Interiores Pequeños</t>
        </is>
      </c>
      <c r="H3559" s="16" t="inlineStr">
        <is>
          <t>1 Pieza</t>
        </is>
      </c>
      <c r="I3559" s="16" t="n">
        <v>2</v>
      </c>
      <c r="J3559" s="17" t="n">
        <v>148</v>
      </c>
      <c r="K3559" s="17" t="n">
        <v>154.24</v>
      </c>
      <c r="L3559" s="17" t="n">
        <v>25.86</v>
      </c>
      <c r="M3559" s="17" t="n">
        <v>0</v>
      </c>
      <c r="N3559" s="17">
        <f>K3559*0.08+L3559*0.08</f>
        <v/>
      </c>
      <c r="O3559" s="17">
        <f>-(K3559*0.025+L3559*0.025)</f>
        <v/>
      </c>
      <c r="P3559" s="17">
        <f>32</f>
        <v/>
      </c>
      <c r="Q3559" s="17">
        <f>J3559+L3559+N3559+O3559-P3559-M3559</f>
        <v/>
      </c>
    </row>
    <row r="3560">
      <c r="A3560" s="16" t="inlineStr">
        <is>
          <t>5.29-6.4</t>
        </is>
      </c>
      <c r="B3560" s="16" t="inlineStr">
        <is>
          <t>PO-128-13505275474552031</t>
        </is>
      </c>
      <c r="C3560" s="16" t="inlineStr">
        <is>
          <t>Delivered</t>
        </is>
      </c>
      <c r="D3560" s="16" t="inlineStr">
        <is>
          <t>128-13505296446072031</t>
        </is>
      </c>
      <c r="E3560" s="16" t="inlineStr">
        <is>
          <t>Delivered</t>
        </is>
      </c>
      <c r="F3560" s="16" t="inlineStr">
        <is>
          <t>LV54W25</t>
        </is>
      </c>
      <c r="G3560" s="16" t="inlineStr">
        <is>
          <t>TIANLAI Lámpara Ventilador E27 2 en 1, Silenciosa, LED Alta Luminosidad 180°, Instalación Rápida, Ahorro Energético para Dormitorio y Interiores Pequeños</t>
        </is>
      </c>
      <c r="H3560" s="16" t="inlineStr">
        <is>
          <t>1 Pieza</t>
        </is>
      </c>
      <c r="I3560" s="16" t="n">
        <v>3</v>
      </c>
      <c r="J3560" s="17" t="n">
        <v>222</v>
      </c>
      <c r="K3560" s="17" t="n">
        <v>236.49</v>
      </c>
      <c r="L3560" s="17" t="n">
        <v>25.86</v>
      </c>
      <c r="M3560" s="17" t="n">
        <v>0</v>
      </c>
      <c r="N3560" s="17">
        <f>K3560*0.08+L3560*0.08</f>
        <v/>
      </c>
      <c r="O3560" s="17">
        <f>-(K3560*0.025+L3560*0.025)</f>
        <v/>
      </c>
      <c r="P3560" s="17">
        <f>32</f>
        <v/>
      </c>
      <c r="Q3560" s="17">
        <f>J3560+L3560+N3560+O3560-P3560-M3560</f>
        <v/>
      </c>
    </row>
    <row r="3561">
      <c r="A3561" s="16" t="inlineStr">
        <is>
          <t>5.29-6.4</t>
        </is>
      </c>
      <c r="B3561" s="16" t="inlineStr">
        <is>
          <t>PO-128-13581016397430427</t>
        </is>
      </c>
      <c r="C3561" s="16" t="inlineStr">
        <is>
          <t>Delivered</t>
        </is>
      </c>
      <c r="D3561" s="16" t="inlineStr">
        <is>
          <t>128-13581037368950427</t>
        </is>
      </c>
      <c r="E3561" s="16" t="inlineStr">
        <is>
          <t>Delivered</t>
        </is>
      </c>
      <c r="F3561" s="16" t="inlineStr">
        <is>
          <t>LV54W25</t>
        </is>
      </c>
      <c r="G3561" s="16" t="inlineStr">
        <is>
          <t>TIANLAI Lámpara Ventilador E27 2 en 1, Silenciosa, LED Alta Luminosidad 180°, Instalación Rápida, Ahorro Energético para Dormitorio y Interiores Pequeños</t>
        </is>
      </c>
      <c r="H3561" s="16" t="inlineStr">
        <is>
          <t>1 Pieza</t>
        </is>
      </c>
      <c r="I3561" s="16" t="n">
        <v>1</v>
      </c>
      <c r="J3561" s="17" t="n">
        <v>74</v>
      </c>
      <c r="K3561" s="17" t="n">
        <v>78.83</v>
      </c>
      <c r="L3561" s="17" t="n">
        <v>25.86</v>
      </c>
      <c r="M3561" s="17" t="n">
        <v>0</v>
      </c>
      <c r="N3561" s="17">
        <f>K3561*0.08+L3561*0.08</f>
        <v/>
      </c>
      <c r="O3561" s="17">
        <f>-(K3561*0.025+L3561*0.025)</f>
        <v/>
      </c>
      <c r="P3561" s="17">
        <f>32</f>
        <v/>
      </c>
      <c r="Q3561" s="17">
        <f>J3561+L3561+N3561+O3561-P3561-M3561</f>
        <v/>
      </c>
    </row>
    <row r="3562">
      <c r="A3562" s="16" t="inlineStr">
        <is>
          <t>5.29-6.4</t>
        </is>
      </c>
      <c r="B3562" s="16" t="inlineStr">
        <is>
          <t>PO-128-13449266084471213</t>
        </is>
      </c>
      <c r="C3562" s="16" t="inlineStr">
        <is>
          <t>Delivered</t>
        </is>
      </c>
      <c r="D3562" s="16" t="inlineStr">
        <is>
          <t>128-13449224141431213</t>
        </is>
      </c>
      <c r="E3562" s="16" t="inlineStr">
        <is>
          <t>Delivered</t>
        </is>
      </c>
      <c r="F3562" s="16" t="inlineStr">
        <is>
          <t>LV64W25</t>
        </is>
      </c>
      <c r="G35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62" s="16" t="inlineStr">
        <is>
          <t>Blanco</t>
        </is>
      </c>
      <c r="I3562" s="16" t="n">
        <v>3</v>
      </c>
      <c r="J3562" s="17" t="n">
        <v>357</v>
      </c>
      <c r="K3562" s="17" t="n">
        <v>382.98</v>
      </c>
      <c r="L3562" s="17" t="n">
        <v>0</v>
      </c>
      <c r="M3562" s="17" t="n">
        <v>0</v>
      </c>
      <c r="N3562" s="17">
        <f>K3562*0.08+L3562*0.08</f>
        <v/>
      </c>
      <c r="O3562" s="17">
        <f>-(K3562*0.025+L3562*0.025)</f>
        <v/>
      </c>
      <c r="P3562" s="17">
        <f>32</f>
        <v/>
      </c>
      <c r="Q3562" s="17">
        <f>J3562+L3562+N3562+O3562-P3562-M3562</f>
        <v/>
      </c>
    </row>
    <row r="3563">
      <c r="A3563" s="16" t="inlineStr">
        <is>
          <t>5.29-6.4</t>
        </is>
      </c>
      <c r="B3563" s="16" t="inlineStr">
        <is>
          <t>PO-128-13702133729910665</t>
        </is>
      </c>
      <c r="C3563" s="16" t="inlineStr">
        <is>
          <t>Delivered</t>
        </is>
      </c>
      <c r="D3563" s="16" t="inlineStr">
        <is>
          <t>128-13702136351350665</t>
        </is>
      </c>
      <c r="E3563" s="16" t="inlineStr">
        <is>
          <t>Delivered</t>
        </is>
      </c>
      <c r="F3563" s="16" t="inlineStr">
        <is>
          <t>LV64W25</t>
        </is>
      </c>
      <c r="G35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63" s="16" t="inlineStr">
        <is>
          <t>Blanco</t>
        </is>
      </c>
      <c r="I3563" s="16" t="n">
        <v>4</v>
      </c>
      <c r="J3563" s="17" t="n">
        <v>476</v>
      </c>
      <c r="K3563" s="17" t="n">
        <v>494.16</v>
      </c>
      <c r="L3563" s="17" t="n">
        <v>0</v>
      </c>
      <c r="M3563" s="17" t="n">
        <v>0</v>
      </c>
      <c r="N3563" s="17">
        <f>K3563*0.08+L3563*0.08</f>
        <v/>
      </c>
      <c r="O3563" s="17">
        <f>-(K3563*0.025+L3563*0.025)</f>
        <v/>
      </c>
      <c r="P3563" s="17">
        <f>32</f>
        <v/>
      </c>
      <c r="Q3563" s="17">
        <f>J3563+L3563+N3563+O3563-P3563-M3563</f>
        <v/>
      </c>
    </row>
    <row r="3564">
      <c r="A3564" s="16" t="inlineStr">
        <is>
          <t>5.29-6.4</t>
        </is>
      </c>
      <c r="B3564" s="16" t="inlineStr">
        <is>
          <t>PO-128-13693136026230847</t>
        </is>
      </c>
      <c r="C3564" s="16" t="inlineStr">
        <is>
          <t>Delivered</t>
        </is>
      </c>
      <c r="D3564" s="16" t="inlineStr">
        <is>
          <t>128-13693177969270847</t>
        </is>
      </c>
      <c r="E3564" s="16" t="inlineStr">
        <is>
          <t>Delivered</t>
        </is>
      </c>
      <c r="F3564" s="16" t="inlineStr">
        <is>
          <t>LV54W25</t>
        </is>
      </c>
      <c r="G3564" s="16" t="inlineStr">
        <is>
          <t>TIANLAI Lámpara Ventilador E27 2 en 1, Silenciosa, LED Alta Luminosidad 180°, Instalación Rápida, Ahorro Energético para Dormitorio y Interiores Pequeños</t>
        </is>
      </c>
      <c r="H3564" s="16" t="inlineStr">
        <is>
          <t>1 Pieza</t>
        </is>
      </c>
      <c r="I3564" s="16" t="n">
        <v>2</v>
      </c>
      <c r="J3564" s="17" t="n">
        <v>148</v>
      </c>
      <c r="K3564" s="17" t="n">
        <v>171.36</v>
      </c>
      <c r="L3564" s="17" t="n">
        <v>25.86</v>
      </c>
      <c r="M3564" s="17" t="n">
        <v>0</v>
      </c>
      <c r="N3564" s="17">
        <f>K3564*0.08+L3564*0.08</f>
        <v/>
      </c>
      <c r="O3564" s="17">
        <f>-(K3564*0.025+L3564*0.025)</f>
        <v/>
      </c>
      <c r="P3564" s="17">
        <f>32</f>
        <v/>
      </c>
      <c r="Q3564" s="17">
        <f>J3564+L3564+N3564+O3564-P3564-M3564</f>
        <v/>
      </c>
    </row>
    <row r="3565">
      <c r="A3565" s="16" t="inlineStr">
        <is>
          <t>5.29-6.4</t>
        </is>
      </c>
      <c r="B3565" s="16" t="inlineStr">
        <is>
          <t>PO-128-13693790956150843</t>
        </is>
      </c>
      <c r="C3565" s="16" t="inlineStr">
        <is>
          <t>Delivered</t>
        </is>
      </c>
      <c r="D3565" s="16" t="inlineStr">
        <is>
          <t>128-13693832899190843</t>
        </is>
      </c>
      <c r="E3565" s="16" t="inlineStr">
        <is>
          <t>Delivered</t>
        </is>
      </c>
      <c r="F3565" s="16" t="inlineStr">
        <is>
          <t>LV64W25</t>
        </is>
      </c>
      <c r="G35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65" s="16" t="inlineStr">
        <is>
          <t>Blanco</t>
        </is>
      </c>
      <c r="I3565" s="16" t="n">
        <v>4</v>
      </c>
      <c r="J3565" s="17" t="n">
        <v>476</v>
      </c>
      <c r="K3565" s="17" t="n">
        <v>510.64</v>
      </c>
      <c r="L3565" s="17" t="n">
        <v>0</v>
      </c>
      <c r="M3565" s="17" t="n">
        <v>0</v>
      </c>
      <c r="N3565" s="17">
        <f>K3565*0.08+L3565*0.08</f>
        <v/>
      </c>
      <c r="O3565" s="17">
        <f>-(K3565*0.025+L3565*0.025)</f>
        <v/>
      </c>
      <c r="P3565" s="17">
        <f>32</f>
        <v/>
      </c>
      <c r="Q3565" s="17">
        <f>J3565+L3565+N3565+O3565-P3565-M3565</f>
        <v/>
      </c>
    </row>
    <row r="3566">
      <c r="A3566" s="16" t="inlineStr">
        <is>
          <t>5.29-6.4</t>
        </is>
      </c>
      <c r="B3566" s="16" t="inlineStr">
        <is>
          <t>PO-128-13684291523190770</t>
        </is>
      </c>
      <c r="C3566" s="16" t="inlineStr">
        <is>
          <t>Delivered</t>
        </is>
      </c>
      <c r="D3566" s="16" t="inlineStr">
        <is>
          <t>128-13684312494710770</t>
        </is>
      </c>
      <c r="E3566" s="16" t="inlineStr">
        <is>
          <t>Delivered</t>
        </is>
      </c>
      <c r="F3566" s="16" t="inlineStr">
        <is>
          <t>LV54W25</t>
        </is>
      </c>
      <c r="G3566" s="16" t="inlineStr">
        <is>
          <t>TIANLAI Lámpara Ventilador E27 2 en 1, Silenciosa, LED Alta Luminosidad 180°, Instalación Rápida, Ahorro Energético para Dormitorio y Interiores Pequeños</t>
        </is>
      </c>
      <c r="H3566" s="16" t="inlineStr">
        <is>
          <t>1 Pieza</t>
        </is>
      </c>
      <c r="I3566" s="16" t="n">
        <v>1</v>
      </c>
      <c r="J3566" s="17" t="n">
        <v>74</v>
      </c>
      <c r="K3566" s="17" t="n">
        <v>59.8</v>
      </c>
      <c r="L3566" s="17" t="n">
        <v>25.86</v>
      </c>
      <c r="M3566" s="17" t="n">
        <v>0</v>
      </c>
      <c r="N3566" s="17">
        <f>K3566*0.08+L3566*0.08</f>
        <v/>
      </c>
      <c r="O3566" s="17">
        <f>-(K3566*0.025+L3566*0.025)</f>
        <v/>
      </c>
      <c r="P3566" s="17">
        <f>32</f>
        <v/>
      </c>
      <c r="Q3566" s="17">
        <f>J3566+L3566+N3566+O3566-P3566-M3566</f>
        <v/>
      </c>
    </row>
    <row r="3567">
      <c r="A3567" s="16" t="inlineStr">
        <is>
          <t>5.29-6.4</t>
        </is>
      </c>
      <c r="B3567" s="16" t="inlineStr">
        <is>
          <t>PO-128-13217054147193621</t>
        </is>
      </c>
      <c r="C3567" s="16" t="inlineStr">
        <is>
          <t>Delivered</t>
        </is>
      </c>
      <c r="D3567" s="16" t="inlineStr">
        <is>
          <t>128-13217012204153621</t>
        </is>
      </c>
      <c r="E3567" s="16" t="inlineStr">
        <is>
          <t>Delivered</t>
        </is>
      </c>
      <c r="F3567" s="16" t="inlineStr">
        <is>
          <t>LV54W25</t>
        </is>
      </c>
      <c r="G3567" s="16" t="inlineStr">
        <is>
          <t>TIANLAI Lámpara Ventilador E27 2 en 1, Silenciosa, LED Alta Luminosidad 180°, Instalación Rápida, Ahorro Energético para Dormitorio y Interiores Pequeños</t>
        </is>
      </c>
      <c r="H3567" s="16" t="inlineStr">
        <is>
          <t>1 Pieza</t>
        </is>
      </c>
      <c r="I3567" s="16" t="n">
        <v>1</v>
      </c>
      <c r="J3567" s="17" t="n">
        <v>74</v>
      </c>
      <c r="K3567" s="17" t="n">
        <v>77.12</v>
      </c>
      <c r="L3567" s="17" t="n">
        <v>25.86</v>
      </c>
      <c r="M3567" s="17" t="n">
        <v>0</v>
      </c>
      <c r="N3567" s="17">
        <f>K3567*0.08+L3567*0.08</f>
        <v/>
      </c>
      <c r="O3567" s="17">
        <f>-(K3567*0.025+L3567*0.025)</f>
        <v/>
      </c>
      <c r="P3567" s="17">
        <f>32</f>
        <v/>
      </c>
      <c r="Q3567" s="17">
        <f>J3567+L3567+N3567+O3567-P3567-M3567</f>
        <v/>
      </c>
    </row>
    <row r="3568">
      <c r="A3568" s="16" t="inlineStr">
        <is>
          <t>5.29-6.4</t>
        </is>
      </c>
      <c r="B3568" s="16" t="inlineStr">
        <is>
          <t>PO-128-13330470666873009</t>
        </is>
      </c>
      <c r="C3568" s="16" t="inlineStr">
        <is>
          <t>Delivered</t>
        </is>
      </c>
      <c r="D3568" s="16" t="inlineStr">
        <is>
          <t>128-13330428723833009</t>
        </is>
      </c>
      <c r="E3568" s="16" t="inlineStr">
        <is>
          <t>Delivered</t>
        </is>
      </c>
      <c r="F3568" s="16" t="inlineStr">
        <is>
          <t>LV64W25</t>
        </is>
      </c>
      <c r="G35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68" s="16" t="inlineStr">
        <is>
          <t>Blanco</t>
        </is>
      </c>
      <c r="I3568" s="16" t="n">
        <v>3</v>
      </c>
      <c r="J3568" s="17" t="n">
        <v>357</v>
      </c>
      <c r="K3568" s="17" t="n">
        <v>370.62</v>
      </c>
      <c r="L3568" s="17" t="n">
        <v>0</v>
      </c>
      <c r="M3568" s="17" t="n">
        <v>0</v>
      </c>
      <c r="N3568" s="17">
        <f>K3568*0.08+L3568*0.08</f>
        <v/>
      </c>
      <c r="O3568" s="17">
        <f>-(K3568*0.025+L3568*0.025)</f>
        <v/>
      </c>
      <c r="P3568" s="17">
        <f>32</f>
        <v/>
      </c>
      <c r="Q3568" s="17">
        <f>J3568+L3568+N3568+O3568-P3568-M3568</f>
        <v/>
      </c>
    </row>
    <row r="3569">
      <c r="A3569" s="16" t="inlineStr">
        <is>
          <t>5.29-6.4</t>
        </is>
      </c>
      <c r="B3569" s="16" t="inlineStr">
        <is>
          <t>PO-128-13406037545591468</t>
        </is>
      </c>
      <c r="C3569" s="16" t="inlineStr">
        <is>
          <t>Delivered</t>
        </is>
      </c>
      <c r="D3569" s="16" t="inlineStr">
        <is>
          <t>128-13406016574071468</t>
        </is>
      </c>
      <c r="E3569" s="16" t="inlineStr">
        <is>
          <t>Delivered</t>
        </is>
      </c>
      <c r="F3569" s="16" t="inlineStr">
        <is>
          <t>LV54W25</t>
        </is>
      </c>
      <c r="G3569" s="16" t="inlineStr">
        <is>
          <t>TIANLAI Lámpara Ventilador E27 2 en 1, Silenciosa, LED Alta Luminosidad 180°, Instalación Rápida, Ahorro Energético para Dormitorio y Interiores Pequeños</t>
        </is>
      </c>
      <c r="H3569" s="16" t="inlineStr">
        <is>
          <t>1 Pieza</t>
        </is>
      </c>
      <c r="I3569" s="16" t="n">
        <v>1</v>
      </c>
      <c r="J3569" s="17" t="n">
        <v>74</v>
      </c>
      <c r="K3569" s="17" t="n">
        <v>78.83</v>
      </c>
      <c r="L3569" s="17" t="n">
        <v>25.86</v>
      </c>
      <c r="M3569" s="17" t="n">
        <v>0</v>
      </c>
      <c r="N3569" s="17">
        <f>K3569*0.08+L3569*0.08</f>
        <v/>
      </c>
      <c r="O3569" s="17">
        <f>-(K3569*0.025+L3569*0.025)</f>
        <v/>
      </c>
      <c r="P3569" s="17">
        <f>32</f>
        <v/>
      </c>
      <c r="Q3569" s="17">
        <f>J3569+L3569+N3569+O3569-P3569-M3569</f>
        <v/>
      </c>
    </row>
    <row r="3570">
      <c r="A3570" s="16" t="inlineStr">
        <is>
          <t>5.29-6.4</t>
        </is>
      </c>
      <c r="B3570" s="16" t="inlineStr">
        <is>
          <t>PO-128-13419819059831514</t>
        </is>
      </c>
      <c r="C3570" s="16" t="inlineStr">
        <is>
          <t>Delivered</t>
        </is>
      </c>
      <c r="D3570" s="16" t="inlineStr">
        <is>
          <t>128-13419861002871514</t>
        </is>
      </c>
      <c r="E3570" s="16" t="inlineStr">
        <is>
          <t>Delivered</t>
        </is>
      </c>
      <c r="F3570" s="16" t="inlineStr">
        <is>
          <t>TLCD02-8P-R</t>
        </is>
      </c>
      <c r="G357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70" s="16" t="inlineStr">
        <is>
          <t>ROJO/pantalla de 8.5 pulgadas</t>
        </is>
      </c>
      <c r="I3570" s="16" t="n">
        <v>1</v>
      </c>
      <c r="J3570" s="17" t="n">
        <v>24</v>
      </c>
      <c r="K3570" s="17" t="n">
        <v>32.98</v>
      </c>
      <c r="L3570" s="17" t="n">
        <v>25.86</v>
      </c>
      <c r="M3570" s="17" t="n">
        <v>0</v>
      </c>
      <c r="N3570" s="17">
        <f>K3570*0.08+L3570*0.08</f>
        <v/>
      </c>
      <c r="O3570" s="17">
        <f>-(K3570*0.025+L3570*0.025)</f>
        <v/>
      </c>
      <c r="P3570" s="17">
        <f>32</f>
        <v/>
      </c>
      <c r="Q3570" s="17">
        <f>J3570+L3570+N3570+O3570-P3570-M3570</f>
        <v/>
      </c>
    </row>
    <row r="3571">
      <c r="A3571" s="16" t="inlineStr">
        <is>
          <t>5.29-6.4</t>
        </is>
      </c>
      <c r="B3571" s="16" t="inlineStr">
        <is>
          <t>PO-128-13359068478072708</t>
        </is>
      </c>
      <c r="C3571" s="16" t="inlineStr">
        <is>
          <t>Delivered</t>
        </is>
      </c>
      <c r="D3571" s="16" t="inlineStr">
        <is>
          <t>128-13359110421112708</t>
        </is>
      </c>
      <c r="E3571" s="16" t="inlineStr">
        <is>
          <t>Delivered</t>
        </is>
      </c>
      <c r="F3571" s="16" t="inlineStr">
        <is>
          <t>LV54W25</t>
        </is>
      </c>
      <c r="G3571" s="16" t="inlineStr">
        <is>
          <t>TIANLAI Lámpara Ventilador E27 2 en 1, Silenciosa, LED Alta Luminosidad 180°, Instalación Rápida, Ahorro Energético para Dormitorio y Interiores Pequeños</t>
        </is>
      </c>
      <c r="H3571" s="16" t="inlineStr">
        <is>
          <t>1 Pieza</t>
        </is>
      </c>
      <c r="I3571" s="16" t="n">
        <v>1</v>
      </c>
      <c r="J3571" s="17" t="n">
        <v>74</v>
      </c>
      <c r="K3571" s="17" t="n">
        <v>78.83</v>
      </c>
      <c r="L3571" s="17" t="n">
        <v>25.86</v>
      </c>
      <c r="M3571" s="17" t="n">
        <v>0</v>
      </c>
      <c r="N3571" s="17">
        <f>K3571*0.08+L3571*0.08</f>
        <v/>
      </c>
      <c r="O3571" s="17">
        <f>-(K3571*0.025+L3571*0.025)</f>
        <v/>
      </c>
      <c r="P3571" s="17">
        <f>32</f>
        <v/>
      </c>
      <c r="Q3571" s="17">
        <f>J3571+L3571+N3571+O3571-P3571-M3571</f>
        <v/>
      </c>
    </row>
    <row r="3572">
      <c r="A3572" s="16" t="inlineStr">
        <is>
          <t>5.29-6.4</t>
        </is>
      </c>
      <c r="B3572" s="16" t="inlineStr">
        <is>
          <t>PO-128-13305178286712135</t>
        </is>
      </c>
      <c r="C3572" s="16" t="inlineStr">
        <is>
          <t>Delivered</t>
        </is>
      </c>
      <c r="D3572" s="16" t="inlineStr">
        <is>
          <t>128-13305204501112135</t>
        </is>
      </c>
      <c r="E3572" s="16" t="inlineStr">
        <is>
          <t>Delivered</t>
        </is>
      </c>
      <c r="F3572" s="16" t="inlineStr">
        <is>
          <t>LV54W25</t>
        </is>
      </c>
      <c r="G3572" s="16" t="inlineStr">
        <is>
          <t>TIANLAI Lámpara Ventilador E27 2 en 1, Silenciosa, LED Alta Luminosidad 180°, Instalación Rápida, Ahorro Energético para Dormitorio y Interiores Pequeños</t>
        </is>
      </c>
      <c r="H3572" s="16" t="inlineStr">
        <is>
          <t>1 Pieza</t>
        </is>
      </c>
      <c r="I3572" s="16" t="n">
        <v>1</v>
      </c>
      <c r="J3572" s="17" t="n">
        <v>74</v>
      </c>
      <c r="K3572" s="17" t="n">
        <v>78.83</v>
      </c>
      <c r="L3572" s="17" t="n">
        <v>25.86</v>
      </c>
      <c r="M3572" s="17" t="n">
        <v>0</v>
      </c>
      <c r="N3572" s="17">
        <f>K3572*0.08+L3572*0.08</f>
        <v/>
      </c>
      <c r="O3572" s="17">
        <f>-(K3572*0.025+L3572*0.025)</f>
        <v/>
      </c>
      <c r="P3572" s="17">
        <f>32</f>
        <v/>
      </c>
      <c r="Q3572" s="17">
        <f>J3572+L3572+N3572+O3572-P3572-M3572</f>
        <v/>
      </c>
    </row>
    <row r="3573">
      <c r="A3573" s="16" t="inlineStr">
        <is>
          <t>5.29-6.4</t>
        </is>
      </c>
      <c r="B3573" s="16" t="inlineStr">
        <is>
          <t>PO-128-13347971692152902</t>
        </is>
      </c>
      <c r="C3573" s="16" t="inlineStr">
        <is>
          <t>Delivered</t>
        </is>
      </c>
      <c r="D3573" s="16" t="inlineStr">
        <is>
          <t>128-13348108007032902</t>
        </is>
      </c>
      <c r="E3573" s="16" t="inlineStr">
        <is>
          <t>Delivered</t>
        </is>
      </c>
      <c r="F3573" s="16" t="inlineStr">
        <is>
          <t>LV54W25</t>
        </is>
      </c>
      <c r="G3573" s="16" t="inlineStr">
        <is>
          <t>TIANLAI Lámpara Ventilador E27 2 en 1, Silenciosa, LED Alta Luminosidad 180°, Instalación Rápida, Ahorro Energético para Dormitorio y Interiores Pequeños</t>
        </is>
      </c>
      <c r="H3573" s="16" t="inlineStr">
        <is>
          <t>1 Pieza</t>
        </is>
      </c>
      <c r="I3573" s="16" t="n">
        <v>1</v>
      </c>
      <c r="J3573" s="17" t="n">
        <v>74</v>
      </c>
      <c r="K3573" s="17" t="n">
        <v>77.12</v>
      </c>
      <c r="L3573" s="17" t="n">
        <v>25.86</v>
      </c>
      <c r="M3573" s="17" t="n">
        <v>0</v>
      </c>
      <c r="N3573" s="17">
        <f>K3573*0.08+L3573*0.08</f>
        <v/>
      </c>
      <c r="O3573" s="17">
        <f>-(K3573*0.025+L3573*0.025)</f>
        <v/>
      </c>
      <c r="P3573" s="17">
        <f>32</f>
        <v/>
      </c>
      <c r="Q3573" s="17">
        <f>J3573+L3573+N3573+O3573-P3573-M3573</f>
        <v/>
      </c>
    </row>
    <row r="3574">
      <c r="A3574" s="16" t="inlineStr">
        <is>
          <t>5.29-6.4</t>
        </is>
      </c>
      <c r="B3574" s="16" t="inlineStr">
        <is>
          <t>PO-128-13279143803512227</t>
        </is>
      </c>
      <c r="C3574" s="16" t="inlineStr">
        <is>
          <t>Delivered</t>
        </is>
      </c>
      <c r="D3574" s="16" t="inlineStr">
        <is>
          <t>128-13279101860472227</t>
        </is>
      </c>
      <c r="E3574" s="16" t="inlineStr">
        <is>
          <t>Delivered</t>
        </is>
      </c>
      <c r="F3574" s="16" t="inlineStr">
        <is>
          <t>TLCD06-12P-N</t>
        </is>
      </c>
      <c r="G357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574" s="16" t="inlineStr">
        <is>
          <t>NEGRO/pantalla de 12 pulgadas</t>
        </is>
      </c>
      <c r="I3574" s="16" t="n">
        <v>1</v>
      </c>
      <c r="J3574" s="17" t="n">
        <v>32</v>
      </c>
      <c r="K3574" s="17" t="n">
        <v>44.01</v>
      </c>
      <c r="L3574" s="17" t="n">
        <v>25.86</v>
      </c>
      <c r="M3574" s="17" t="n">
        <v>0</v>
      </c>
      <c r="N3574" s="17">
        <f>K3574*0.08+L3574*0.08</f>
        <v/>
      </c>
      <c r="O3574" s="17">
        <f>-(K3574*0.025+L3574*0.025)</f>
        <v/>
      </c>
      <c r="P3574" s="17">
        <f>32</f>
        <v/>
      </c>
      <c r="Q3574" s="17">
        <f>J3574+L3574+N3574+O3574-P3574-M3574</f>
        <v/>
      </c>
    </row>
    <row r="3575">
      <c r="A3575" s="16" t="inlineStr">
        <is>
          <t>5.29-6.4</t>
        </is>
      </c>
      <c r="B3575" s="16" t="inlineStr">
        <is>
          <t>PO-128-13612879565430365</t>
        </is>
      </c>
      <c r="C3575" s="16" t="inlineStr">
        <is>
          <t>Delivered</t>
        </is>
      </c>
      <c r="D3575" s="16" t="inlineStr">
        <is>
          <t>128-13613015880310365</t>
        </is>
      </c>
      <c r="E3575" s="16" t="inlineStr">
        <is>
          <t>Delivered</t>
        </is>
      </c>
      <c r="F3575" s="16" t="inlineStr">
        <is>
          <t>LV64W25</t>
        </is>
      </c>
      <c r="G35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75" s="16" t="inlineStr">
        <is>
          <t>Blanco</t>
        </is>
      </c>
      <c r="I3575" s="16" t="n">
        <v>2</v>
      </c>
      <c r="J3575" s="17" t="n">
        <v>238</v>
      </c>
      <c r="K3575" s="17" t="n">
        <v>117.76</v>
      </c>
      <c r="L3575" s="17" t="n">
        <v>0</v>
      </c>
      <c r="M3575" s="17" t="n">
        <v>0</v>
      </c>
      <c r="N3575" s="17">
        <f>K3575*0.08+L3575*0.08</f>
        <v/>
      </c>
      <c r="O3575" s="17">
        <f>-(K3575*0.025+L3575*0.025)</f>
        <v/>
      </c>
      <c r="P3575" s="17">
        <f>32</f>
        <v/>
      </c>
      <c r="Q3575" s="17">
        <f>J3575+L3575+N3575+O3575-P3575-M3575</f>
        <v/>
      </c>
    </row>
    <row r="3576">
      <c r="A3576" s="16" t="inlineStr">
        <is>
          <t>5.29-6.4</t>
        </is>
      </c>
      <c r="B3576" s="16" t="inlineStr">
        <is>
          <t>PO-128-13518954107511885</t>
        </is>
      </c>
      <c r="C3576" s="16" t="inlineStr">
        <is>
          <t>Delivered</t>
        </is>
      </c>
      <c r="D3576" s="16" t="inlineStr">
        <is>
          <t>128-13518943621751885</t>
        </is>
      </c>
      <c r="E3576" s="16" t="inlineStr">
        <is>
          <t>Delivered</t>
        </is>
      </c>
      <c r="F3576" s="16" t="inlineStr">
        <is>
          <t>LV64W25</t>
        </is>
      </c>
      <c r="G35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76" s="16" t="inlineStr">
        <is>
          <t>Blanco</t>
        </is>
      </c>
      <c r="I3576" s="16" t="n">
        <v>1</v>
      </c>
      <c r="J3576" s="17" t="n">
        <v>119</v>
      </c>
      <c r="K3576" s="17" t="n">
        <v>123.54</v>
      </c>
      <c r="L3576" s="17" t="n">
        <v>25.86</v>
      </c>
      <c r="M3576" s="17" t="n">
        <v>0</v>
      </c>
      <c r="N3576" s="17">
        <f>K3576*0.08+L3576*0.08</f>
        <v/>
      </c>
      <c r="O3576" s="17">
        <f>-(K3576*0.025+L3576*0.025)</f>
        <v/>
      </c>
      <c r="P3576" s="17">
        <f>32</f>
        <v/>
      </c>
      <c r="Q3576" s="17">
        <f>J3576+L3576+N3576+O3576-P3576-M3576</f>
        <v/>
      </c>
    </row>
    <row r="3577">
      <c r="A3577" s="16" t="inlineStr">
        <is>
          <t>5.29-6.4</t>
        </is>
      </c>
      <c r="B3577" s="16" t="inlineStr">
        <is>
          <t>PO-128-13246038651512550</t>
        </is>
      </c>
      <c r="C3577" s="16" t="inlineStr">
        <is>
          <t>Delivered</t>
        </is>
      </c>
      <c r="D3577" s="16" t="inlineStr">
        <is>
          <t>128-13246106808952550</t>
        </is>
      </c>
      <c r="E3577" s="16" t="inlineStr">
        <is>
          <t>Delivered</t>
        </is>
      </c>
      <c r="F3577" s="16" t="inlineStr">
        <is>
          <t>LV54W25</t>
        </is>
      </c>
      <c r="G3577" s="16" t="inlineStr">
        <is>
          <t>TIANLAI Lámpara Ventilador E27 2 en 1, Silenciosa, LED Alta Luminosidad 180°, Instalación Rápida, Ahorro Energético para Dormitorio y Interiores Pequeños</t>
        </is>
      </c>
      <c r="H3577" s="16" t="inlineStr">
        <is>
          <t>1 Pieza</t>
        </is>
      </c>
      <c r="I3577" s="16" t="n">
        <v>1</v>
      </c>
      <c r="J3577" s="17" t="n">
        <v>74</v>
      </c>
      <c r="K3577" s="17" t="n">
        <v>77.12</v>
      </c>
      <c r="L3577" s="17" t="n">
        <v>25.86</v>
      </c>
      <c r="M3577" s="17" t="n">
        <v>0</v>
      </c>
      <c r="N3577" s="17">
        <f>K3577*0.08+L3577*0.08</f>
        <v/>
      </c>
      <c r="O3577" s="17">
        <f>-(K3577*0.025+L3577*0.025)</f>
        <v/>
      </c>
      <c r="P3577" s="17">
        <f>32</f>
        <v/>
      </c>
      <c r="Q3577" s="17">
        <f>J3577+L3577+N3577+O3577-P3577-M3577</f>
        <v/>
      </c>
    </row>
    <row r="3578">
      <c r="A3578" s="16" t="inlineStr">
        <is>
          <t>5.29-6.4</t>
        </is>
      </c>
      <c r="B3578" s="16" t="inlineStr">
        <is>
          <t>PO-128-13728058419830575</t>
        </is>
      </c>
      <c r="C3578" s="16" t="inlineStr">
        <is>
          <t>Delivered</t>
        </is>
      </c>
      <c r="D3578" s="16" t="inlineStr">
        <is>
          <t>128-13728110848630575</t>
        </is>
      </c>
      <c r="E3578" s="16" t="inlineStr">
        <is>
          <t>Delivered</t>
        </is>
      </c>
      <c r="F3578" s="16" t="inlineStr">
        <is>
          <t>LV64W25</t>
        </is>
      </c>
      <c r="G35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78" s="16" t="inlineStr">
        <is>
          <t>Blanco</t>
        </is>
      </c>
      <c r="I3578" s="16" t="n">
        <v>1</v>
      </c>
      <c r="J3578" s="17" t="n">
        <v>119</v>
      </c>
      <c r="K3578" s="17" t="n">
        <v>102.13</v>
      </c>
      <c r="L3578" s="17" t="n">
        <v>25.86</v>
      </c>
      <c r="M3578" s="17" t="n">
        <v>0</v>
      </c>
      <c r="N3578" s="17">
        <f>K3578*0.08+L3578*0.08</f>
        <v/>
      </c>
      <c r="O3578" s="17">
        <f>-(K3578*0.025+L3578*0.025)</f>
        <v/>
      </c>
      <c r="P3578" s="17">
        <f>32</f>
        <v/>
      </c>
      <c r="Q3578" s="17">
        <f>J3578+L3578+N3578+O3578-P3578-M3578</f>
        <v/>
      </c>
    </row>
    <row r="3579">
      <c r="A3579" s="16" t="inlineStr">
        <is>
          <t>5.29-6.4</t>
        </is>
      </c>
      <c r="B3579" s="16" t="inlineStr">
        <is>
          <t>PO-128-13459045018231216</t>
        </is>
      </c>
      <c r="C3579" s="16" t="inlineStr">
        <is>
          <t>Delivered</t>
        </is>
      </c>
      <c r="D3579" s="16" t="inlineStr">
        <is>
          <t>128-13459149875831216</t>
        </is>
      </c>
      <c r="E3579" s="16" t="inlineStr">
        <is>
          <t>Delivered</t>
        </is>
      </c>
      <c r="F3579" s="16" t="inlineStr">
        <is>
          <t>BG-115-B</t>
        </is>
      </c>
      <c r="G3579" s="16" t="inlineStr">
        <is>
          <t>LINK BITS Audífonos Inalámbricos con Luces Multicolor, Recargables y en Adorable Forma de Orejas de Gato - Conecta a Celulares y PCs, Tiene Radio FM, Tarjeta TF y AUX - 7 Horas de Reproducción, Plegables y Perfectos para Trabajo, Juegos y Estudio</t>
        </is>
      </c>
      <c r="H3579" s="16" t="inlineStr">
        <is>
          <t>blanco</t>
        </is>
      </c>
      <c r="I3579" s="16" t="n">
        <v>1</v>
      </c>
      <c r="J3579" s="17" t="n">
        <v>74.25</v>
      </c>
      <c r="K3579" s="17" t="n">
        <v>84.97</v>
      </c>
      <c r="L3579" s="17" t="n">
        <v>25.86</v>
      </c>
      <c r="M3579" s="17" t="n">
        <v>0</v>
      </c>
      <c r="N3579" s="17">
        <f>K3579*0.08+L3579*0.08</f>
        <v/>
      </c>
      <c r="O3579" s="17">
        <f>-(K3579*0.025+L3579*0.025)</f>
        <v/>
      </c>
      <c r="P3579" s="17">
        <f>32</f>
        <v/>
      </c>
      <c r="Q3579" s="17">
        <f>J3579+L3579+N3579+O3579-P3579-M3579</f>
        <v/>
      </c>
    </row>
    <row r="3580">
      <c r="A3580" s="16" t="inlineStr">
        <is>
          <t>5.29-6.4</t>
        </is>
      </c>
      <c r="B3580" s="16" t="inlineStr">
        <is>
          <t>PO-128-13737104169590585</t>
        </is>
      </c>
      <c r="C3580" s="16" t="inlineStr">
        <is>
          <t>Delivered</t>
        </is>
      </c>
      <c r="D3580" s="16" t="inlineStr">
        <is>
          <t>128-13737180191350585</t>
        </is>
      </c>
      <c r="E3580" s="16" t="inlineStr">
        <is>
          <t>Delivered</t>
        </is>
      </c>
      <c r="F3580" s="16" t="inlineStr">
        <is>
          <t>LV54W25</t>
        </is>
      </c>
      <c r="G3580" s="16" t="inlineStr">
        <is>
          <t>TIANLAI Lámpara Ventilador E27 2 en 1, Silenciosa, LED Alta Luminosidad 180°, Instalación Rápida, Ahorro Energético para Dormitorio y Interiores Pequeños</t>
        </is>
      </c>
      <c r="H3580" s="16" t="inlineStr">
        <is>
          <t>1 Pieza</t>
        </is>
      </c>
      <c r="I3580" s="16" t="n">
        <v>1</v>
      </c>
      <c r="J3580" s="17" t="n">
        <v>74</v>
      </c>
      <c r="K3580" s="17" t="n">
        <v>85.68000000000001</v>
      </c>
      <c r="L3580" s="17" t="n">
        <v>25.86</v>
      </c>
      <c r="M3580" s="17" t="n">
        <v>0</v>
      </c>
      <c r="N3580" s="17">
        <f>K3580*0.08+L3580*0.08</f>
        <v/>
      </c>
      <c r="O3580" s="17">
        <f>-(K3580*0.025+L3580*0.025)</f>
        <v/>
      </c>
      <c r="P3580" s="17">
        <f>32</f>
        <v/>
      </c>
      <c r="Q3580" s="17">
        <f>J3580+L3580+N3580+O3580-P3580-M3580</f>
        <v/>
      </c>
    </row>
    <row r="3581">
      <c r="A3581" s="16" t="inlineStr">
        <is>
          <t>5.29-6.4</t>
        </is>
      </c>
      <c r="B3581" s="16" t="inlineStr">
        <is>
          <t>PO-128-13562754468471622</t>
        </is>
      </c>
      <c r="C3581" s="16" t="inlineStr">
        <is>
          <t>Delivered</t>
        </is>
      </c>
      <c r="D3581" s="16" t="inlineStr">
        <is>
          <t>128-13562764954231622</t>
        </is>
      </c>
      <c r="E3581" s="16" t="inlineStr">
        <is>
          <t>Delivered</t>
        </is>
      </c>
      <c r="F3581" s="16" t="inlineStr">
        <is>
          <t>LV54W25</t>
        </is>
      </c>
      <c r="G3581" s="16" t="inlineStr">
        <is>
          <t>TIANLAI Lámpara Ventilador E27 2 en 1, Silenciosa, LED Alta Luminosidad 180°, Instalación Rápida, Ahorro Energético para Dormitorio y Interiores Pequeños</t>
        </is>
      </c>
      <c r="H3581" s="16" t="inlineStr">
        <is>
          <t>1 Pieza</t>
        </is>
      </c>
      <c r="I3581" s="16" t="n">
        <v>3</v>
      </c>
      <c r="J3581" s="17" t="n">
        <v>222</v>
      </c>
      <c r="K3581" s="17" t="n">
        <v>236.49</v>
      </c>
      <c r="L3581" s="17" t="n">
        <v>25.86</v>
      </c>
      <c r="M3581" s="17" t="n">
        <v>0</v>
      </c>
      <c r="N3581" s="17">
        <f>K3581*0.08+L3581*0.08</f>
        <v/>
      </c>
      <c r="O3581" s="17">
        <f>-(K3581*0.025+L3581*0.025)</f>
        <v/>
      </c>
      <c r="P3581" s="17">
        <f>32</f>
        <v/>
      </c>
      <c r="Q3581" s="17">
        <f>J3581+L3581+N3581+O3581-P3581-M3581</f>
        <v/>
      </c>
    </row>
    <row r="3582">
      <c r="A3582" s="16" t="inlineStr">
        <is>
          <t>5.29-6.4</t>
        </is>
      </c>
      <c r="B3582" s="16" t="inlineStr">
        <is>
          <t>PO-128-13599458488950317</t>
        </is>
      </c>
      <c r="C3582" s="16" t="inlineStr">
        <is>
          <t>Delivered</t>
        </is>
      </c>
      <c r="D3582" s="16" t="inlineStr">
        <is>
          <t>128-13599510917750317</t>
        </is>
      </c>
      <c r="E3582" s="16" t="inlineStr">
        <is>
          <t>Delivered</t>
        </is>
      </c>
      <c r="F3582" s="16" t="inlineStr">
        <is>
          <t>BG-115-B</t>
        </is>
      </c>
      <c r="G3582" s="16" t="inlineStr">
        <is>
          <t>LINK BITS Audífonos Inalámbricos con Luces Multicolor, Recargables y en Adorable Forma de Orejas de Gato - Conecta a Celulares y PCs, Tiene Radio FM, Tarjeta TF y AUX - 7 Horas de Reproducción, Plegables y Perfectos para Trabajo, Juegos y Estudio</t>
        </is>
      </c>
      <c r="H3582" s="16" t="inlineStr">
        <is>
          <t>blanco</t>
        </is>
      </c>
      <c r="I3582" s="16" t="n">
        <v>1</v>
      </c>
      <c r="J3582" s="17" t="n">
        <v>74.25</v>
      </c>
      <c r="K3582" s="17" t="n">
        <v>59.47</v>
      </c>
      <c r="L3582" s="17" t="n">
        <v>25.86</v>
      </c>
      <c r="M3582" s="17" t="n">
        <v>0</v>
      </c>
      <c r="N3582" s="17">
        <f>K3582*0.08+L3582*0.08</f>
        <v/>
      </c>
      <c r="O3582" s="17">
        <f>-(K3582*0.025+L3582*0.025)</f>
        <v/>
      </c>
      <c r="P3582" s="17">
        <f>32</f>
        <v/>
      </c>
      <c r="Q3582" s="17">
        <f>J3582+L3582+N3582+O3582-P3582-M3582</f>
        <v/>
      </c>
    </row>
    <row r="3583">
      <c r="A3583" s="16" t="inlineStr">
        <is>
          <t>5.29-6.4</t>
        </is>
      </c>
      <c r="B3583" s="16" t="inlineStr">
        <is>
          <t>PO-128-13545058447991728</t>
        </is>
      </c>
      <c r="C3583" s="16" t="inlineStr">
        <is>
          <t>Delivered</t>
        </is>
      </c>
      <c r="D3583" s="16" t="inlineStr">
        <is>
          <t>128-13545016504951728</t>
        </is>
      </c>
      <c r="E3583" s="16" t="inlineStr">
        <is>
          <t>Delivered</t>
        </is>
      </c>
      <c r="F3583" s="16" t="inlineStr">
        <is>
          <t>BSC07</t>
        </is>
      </c>
      <c r="G3583" s="16" t="inlineStr">
        <is>
          <t>TIANLAI Báscula Digital BSC04/BSC07, Alta Precisión, Fácil Operación, Ligera y Portátil, Función Tara, Unidad Dual oz/g, Ideal para Cocina, Control de Porciones, Sellos y Objetos Pequeños, Uso en Hogar y Viaje</t>
        </is>
      </c>
      <c r="H3583" s="16" t="inlineStr">
        <is>
          <t>1g/White</t>
        </is>
      </c>
      <c r="I3583" s="16" t="n">
        <v>1</v>
      </c>
      <c r="J3583" s="17" t="n">
        <v>35</v>
      </c>
      <c r="K3583" s="17" t="n">
        <v>47.22</v>
      </c>
      <c r="L3583" s="17" t="n">
        <v>9.68</v>
      </c>
      <c r="M3583" s="17" t="n">
        <v>0</v>
      </c>
      <c r="N3583" s="17">
        <f>K3583*0.08+L3583*0.08</f>
        <v/>
      </c>
      <c r="O3583" s="17">
        <f>-(K3583*0.025+L3583*0.025)</f>
        <v/>
      </c>
      <c r="P3583" s="17">
        <f>32</f>
        <v/>
      </c>
      <c r="Q3583" s="17">
        <f>J3583+L3583+N3583+O3583-P3583-M3583</f>
        <v/>
      </c>
    </row>
    <row r="3584">
      <c r="A3584" s="16" t="inlineStr">
        <is>
          <t>5.29-6.4</t>
        </is>
      </c>
      <c r="B3584" s="16" t="inlineStr">
        <is>
          <t>PO-128-13545058447991728</t>
        </is>
      </c>
      <c r="C3584" s="16" t="inlineStr">
        <is>
          <t>Delivered</t>
        </is>
      </c>
      <c r="D3584" s="16" t="inlineStr">
        <is>
          <t>128-13544974561911728</t>
        </is>
      </c>
      <c r="E3584" s="16" t="inlineStr">
        <is>
          <t>Delivered</t>
        </is>
      </c>
      <c r="F3584" s="16" t="inlineStr">
        <is>
          <t>LV54W25</t>
        </is>
      </c>
      <c r="G3584" s="16" t="inlineStr">
        <is>
          <t>TIANLAI Lámpara Ventilador E27 2 en 1, Silenciosa, LED Alta Luminosidad 180°, Instalación Rápida, Ahorro Energético para Dormitorio y Interiores Pequeños</t>
        </is>
      </c>
      <c r="H3584" s="16" t="inlineStr">
        <is>
          <t>1 Pieza</t>
        </is>
      </c>
      <c r="I3584" s="16" t="n">
        <v>1</v>
      </c>
      <c r="J3584" s="17" t="n">
        <v>74</v>
      </c>
      <c r="K3584" s="17" t="n">
        <v>78.83</v>
      </c>
      <c r="L3584" s="17" t="n">
        <v>16.18</v>
      </c>
      <c r="M3584" s="17" t="n">
        <v>0</v>
      </c>
      <c r="N3584" s="17">
        <f>K3584*0.08+L3584*0.08</f>
        <v/>
      </c>
      <c r="O3584" s="17">
        <f>-(K3584*0.025+L3584*0.025)</f>
        <v/>
      </c>
      <c r="P3584" s="17">
        <f>32</f>
        <v/>
      </c>
      <c r="Q3584" s="17">
        <f>J3584+L3584+N3584+O3584-P3584-M3584</f>
        <v/>
      </c>
    </row>
    <row r="3585">
      <c r="A3585" s="16" t="inlineStr">
        <is>
          <t>5.29-6.4</t>
        </is>
      </c>
      <c r="B3585" s="16" t="inlineStr">
        <is>
          <t>PO-128-13205716214393814</t>
        </is>
      </c>
      <c r="C3585" s="16" t="inlineStr">
        <is>
          <t>Delivered</t>
        </is>
      </c>
      <c r="D3585" s="16" t="inlineStr">
        <is>
          <t>128-13205821071993814</t>
        </is>
      </c>
      <c r="E3585" s="16" t="inlineStr">
        <is>
          <t>Delivered</t>
        </is>
      </c>
      <c r="F3585" s="16" t="inlineStr">
        <is>
          <t>KTS-2031</t>
        </is>
      </c>
      <c r="G3585" s="16" t="inlineStr">
        <is>
          <t>Bocina inalámbrica de 3 pulgadas con linterna multifuncional y panel solar integrado.Altavoz Portátil con Linterna LED 4 Modos, Radio FM, Bluetooth, Carga Solar, Ideal para Apagones, Emergencias, Campo y Exteriores</t>
        </is>
      </c>
      <c r="H3585" s="16" t="inlineStr">
        <is>
          <t>NEGRO</t>
        </is>
      </c>
      <c r="I3585" s="16" t="n">
        <v>1</v>
      </c>
      <c r="J3585" s="17" t="n">
        <v>88</v>
      </c>
      <c r="K3585" s="17" t="n">
        <v>97.22</v>
      </c>
      <c r="L3585" s="17" t="n">
        <v>25.86</v>
      </c>
      <c r="M3585" s="17" t="n">
        <v>0</v>
      </c>
      <c r="N3585" s="17">
        <f>K3585*0.08+L3585*0.08</f>
        <v/>
      </c>
      <c r="O3585" s="17">
        <f>-(K3585*0.025+L3585*0.025)</f>
        <v/>
      </c>
      <c r="P3585" s="17">
        <f>32</f>
        <v/>
      </c>
      <c r="Q3585" s="17">
        <f>J3585+L3585+N3585+O3585-P3585-M3585</f>
        <v/>
      </c>
    </row>
    <row r="3586">
      <c r="A3586" s="16" t="inlineStr">
        <is>
          <t>5.29-6.4</t>
        </is>
      </c>
      <c r="B3586" s="16" t="inlineStr">
        <is>
          <t>PO-128-13552693299831554</t>
        </is>
      </c>
      <c r="C3586" s="16" t="inlineStr">
        <is>
          <t>Delivered</t>
        </is>
      </c>
      <c r="D3586" s="16" t="inlineStr">
        <is>
          <t>128-13552745728631554</t>
        </is>
      </c>
      <c r="E3586" s="16" t="inlineStr">
        <is>
          <t>Delivered</t>
        </is>
      </c>
      <c r="F3586" s="16" t="inlineStr">
        <is>
          <t>LV64W25</t>
        </is>
      </c>
      <c r="G35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86" s="16" t="inlineStr">
        <is>
          <t>Blanco</t>
        </is>
      </c>
      <c r="I3586" s="16" t="n">
        <v>1</v>
      </c>
      <c r="J3586" s="17" t="n">
        <v>119</v>
      </c>
      <c r="K3586" s="17" t="n">
        <v>89.05</v>
      </c>
      <c r="L3586" s="17" t="n">
        <v>25.86</v>
      </c>
      <c r="M3586" s="17" t="n">
        <v>0</v>
      </c>
      <c r="N3586" s="17">
        <f>K3586*0.08+L3586*0.08</f>
        <v/>
      </c>
      <c r="O3586" s="17">
        <f>-(K3586*0.025+L3586*0.025)</f>
        <v/>
      </c>
      <c r="P3586" s="17">
        <f>32</f>
        <v/>
      </c>
      <c r="Q3586" s="17">
        <f>J3586+L3586+N3586+O3586-P3586-M3586</f>
        <v/>
      </c>
    </row>
    <row r="3587">
      <c r="A3587" s="16" t="inlineStr">
        <is>
          <t>5.29-6.4</t>
        </is>
      </c>
      <c r="B3587" s="16" t="inlineStr">
        <is>
          <t>PO-128-13390734787192648</t>
        </is>
      </c>
      <c r="C3587" s="16" t="inlineStr">
        <is>
          <t>Delivered</t>
        </is>
      </c>
      <c r="D3587" s="16" t="inlineStr">
        <is>
          <t>128-13390713815672648</t>
        </is>
      </c>
      <c r="E3587" s="16" t="inlineStr">
        <is>
          <t>Delivered</t>
        </is>
      </c>
      <c r="F3587" s="16" t="inlineStr">
        <is>
          <t>LV54W25</t>
        </is>
      </c>
      <c r="G3587" s="16" t="inlineStr">
        <is>
          <t>TIANLAI Lámpara Ventilador E27 2 en 1, Silenciosa, LED Alta Luminosidad 180°, Instalación Rápida, Ahorro Energético para Dormitorio y Interiores Pequeños</t>
        </is>
      </c>
      <c r="H3587" s="16" t="inlineStr">
        <is>
          <t>1 Pieza</t>
        </is>
      </c>
      <c r="I3587" s="16" t="n">
        <v>1</v>
      </c>
      <c r="J3587" s="17" t="n">
        <v>74</v>
      </c>
      <c r="K3587" s="17" t="n">
        <v>77.12</v>
      </c>
      <c r="L3587" s="17" t="n">
        <v>25.86</v>
      </c>
      <c r="M3587" s="17" t="n">
        <v>0</v>
      </c>
      <c r="N3587" s="17">
        <f>K3587*0.08+L3587*0.08</f>
        <v/>
      </c>
      <c r="O3587" s="17">
        <f>-(K3587*0.025+L3587*0.025)</f>
        <v/>
      </c>
      <c r="P3587" s="17">
        <f>32</f>
        <v/>
      </c>
      <c r="Q3587" s="17">
        <f>J3587+L3587+N3587+O3587-P3587-M3587</f>
        <v/>
      </c>
    </row>
    <row r="3588">
      <c r="A3588" s="16" t="inlineStr">
        <is>
          <t>5.29-6.4</t>
        </is>
      </c>
      <c r="B3588" s="16" t="inlineStr">
        <is>
          <t>PO-128-13650205706870079</t>
        </is>
      </c>
      <c r="C3588" s="16" t="inlineStr">
        <is>
          <t>Delivered</t>
        </is>
      </c>
      <c r="D3588" s="16" t="inlineStr">
        <is>
          <t>128-13650215209590079</t>
        </is>
      </c>
      <c r="E3588" s="16" t="inlineStr">
        <is>
          <t>Delivered</t>
        </is>
      </c>
      <c r="F3588" s="16" t="inlineStr">
        <is>
          <t>LMC02</t>
        </is>
      </c>
      <c r="G3588" s="16" t="inlineStr">
        <is>
          <t>Tira de poder de 16 en 1, montable en pared, con interruptor mecánico - 10 tomas CA EE.UU. espaciosas + 4 USB + 2 Tipo-C - Extensión blanca para oficina, hogar y estudio - Enchufe EE.UU., 125V/15A/1850W con protección contra sobrecarga</t>
        </is>
      </c>
      <c r="H3588" s="16" t="inlineStr">
        <is>
          <t>NEGARO/LMC02</t>
        </is>
      </c>
      <c r="I3588" s="16" t="n">
        <v>1</v>
      </c>
      <c r="J3588" s="17" t="n">
        <v>88.5</v>
      </c>
      <c r="K3588" s="17" t="n">
        <v>119.53</v>
      </c>
      <c r="L3588" s="17" t="n">
        <v>25.86</v>
      </c>
      <c r="M3588" s="17" t="n">
        <v>0</v>
      </c>
      <c r="N3588" s="17">
        <f>K3588*0.08+L3588*0.08</f>
        <v/>
      </c>
      <c r="O3588" s="17">
        <f>-(K3588*0.025+L3588*0.025)</f>
        <v/>
      </c>
      <c r="P3588" s="17">
        <f>32</f>
        <v/>
      </c>
      <c r="Q3588" s="17">
        <f>J3588+L3588+N3588+O3588-P3588-M3588</f>
        <v/>
      </c>
    </row>
    <row r="3589">
      <c r="A3589" s="16" t="inlineStr">
        <is>
          <t>5.29-6.4</t>
        </is>
      </c>
      <c r="B3589" s="16" t="inlineStr">
        <is>
          <t>PO-128-13692477051510851</t>
        </is>
      </c>
      <c r="C3589" s="16" t="inlineStr">
        <is>
          <t>Delivered</t>
        </is>
      </c>
      <c r="D3589" s="16" t="inlineStr">
        <is>
          <t>128-13692553073270851</t>
        </is>
      </c>
      <c r="E3589" s="16" t="inlineStr">
        <is>
          <t>Delivered</t>
        </is>
      </c>
      <c r="F3589" s="16" t="inlineStr">
        <is>
          <t>LV64W25</t>
        </is>
      </c>
      <c r="G35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89" s="16" t="inlineStr">
        <is>
          <t>Blanco</t>
        </is>
      </c>
      <c r="I3589" s="16" t="n">
        <v>1</v>
      </c>
      <c r="J3589" s="17" t="n">
        <v>119</v>
      </c>
      <c r="K3589" s="17" t="n">
        <v>137.26</v>
      </c>
      <c r="L3589" s="17" t="n">
        <v>25.86</v>
      </c>
      <c r="M3589" s="17" t="n">
        <v>0</v>
      </c>
      <c r="N3589" s="17">
        <f>K3589*0.08+L3589*0.08</f>
        <v/>
      </c>
      <c r="O3589" s="17">
        <f>-(K3589*0.025+L3589*0.025)</f>
        <v/>
      </c>
      <c r="P3589" s="17">
        <f>32</f>
        <v/>
      </c>
      <c r="Q3589" s="17">
        <f>J3589+L3589+N3589+O3589-P3589-M3589</f>
        <v/>
      </c>
    </row>
    <row r="3590">
      <c r="A3590" s="16" t="inlineStr">
        <is>
          <t>5.29-6.4</t>
        </is>
      </c>
      <c r="B3590" s="16" t="inlineStr">
        <is>
          <t>PO-128-13413108132471490</t>
        </is>
      </c>
      <c r="C3590" s="16" t="inlineStr">
        <is>
          <t>Delivered</t>
        </is>
      </c>
      <c r="D3590" s="16" t="inlineStr">
        <is>
          <t>128-13413150075511490</t>
        </is>
      </c>
      <c r="E3590" s="16" t="inlineStr">
        <is>
          <t>Delivered</t>
        </is>
      </c>
      <c r="F3590" s="16" t="inlineStr">
        <is>
          <t>LV54W25</t>
        </is>
      </c>
      <c r="G3590" s="16" t="inlineStr">
        <is>
          <t>TIANLAI Lámpara Ventilador E27 2 en 1, Silenciosa, LED Alta Luminosidad 180°, Instalación Rápida, Ahorro Energético para Dormitorio y Interiores Pequeños</t>
        </is>
      </c>
      <c r="H3590" s="16" t="inlineStr">
        <is>
          <t>1 Pieza</t>
        </is>
      </c>
      <c r="I3590" s="16" t="n">
        <v>1</v>
      </c>
      <c r="J3590" s="17" t="n">
        <v>74</v>
      </c>
      <c r="K3590" s="17" t="n">
        <v>25.4</v>
      </c>
      <c r="L3590" s="17" t="n">
        <v>25.86</v>
      </c>
      <c r="M3590" s="17" t="n">
        <v>0</v>
      </c>
      <c r="N3590" s="17">
        <f>K3590*0.08+L3590*0.08</f>
        <v/>
      </c>
      <c r="O3590" s="17">
        <f>-(K3590*0.025+L3590*0.025)</f>
        <v/>
      </c>
      <c r="P3590" s="17">
        <f>32</f>
        <v/>
      </c>
      <c r="Q3590" s="17">
        <f>J3590+L3590+N3590+O3590-P3590-M3590</f>
        <v/>
      </c>
    </row>
    <row r="3591">
      <c r="A3591" s="16" t="inlineStr">
        <is>
          <t>5.29-6.4</t>
        </is>
      </c>
      <c r="B3591" s="16" t="inlineStr">
        <is>
          <t>PO-128-13162873964154070</t>
        </is>
      </c>
      <c r="C3591" s="16" t="inlineStr">
        <is>
          <t>Delivered</t>
        </is>
      </c>
      <c r="D3591" s="16" t="inlineStr">
        <is>
          <t>128-13162884449914070</t>
        </is>
      </c>
      <c r="E3591" s="16" t="inlineStr">
        <is>
          <t>Delivered</t>
        </is>
      </c>
      <c r="F3591" s="16" t="inlineStr">
        <is>
          <t>LV54W25</t>
        </is>
      </c>
      <c r="G3591" s="16" t="inlineStr">
        <is>
          <t>TIANLAI Lámpara Ventilador E27 2 en 1, Silenciosa, LED Alta Luminosidad 180°, Instalación Rápida, Ahorro Energético para Dormitorio y Interiores Pequeños</t>
        </is>
      </c>
      <c r="H3591" s="16" t="inlineStr">
        <is>
          <t>1 Pieza</t>
        </is>
      </c>
      <c r="I3591" s="16" t="n">
        <v>1</v>
      </c>
      <c r="J3591" s="17" t="n">
        <v>74</v>
      </c>
      <c r="K3591" s="17" t="n">
        <v>78.83</v>
      </c>
      <c r="L3591" s="17" t="n">
        <v>25.86</v>
      </c>
      <c r="M3591" s="17" t="n">
        <v>0</v>
      </c>
      <c r="N3591" s="17">
        <f>K3591*0.08+L3591*0.08</f>
        <v/>
      </c>
      <c r="O3591" s="17">
        <f>-(K3591*0.025+L3591*0.025)</f>
        <v/>
      </c>
      <c r="P3591" s="17">
        <f>32</f>
        <v/>
      </c>
      <c r="Q3591" s="17">
        <f>J3591+L3591+N3591+O3591-P3591-M3591</f>
        <v/>
      </c>
    </row>
    <row r="3592">
      <c r="A3592" s="16" t="inlineStr">
        <is>
          <t>5.29-6.4</t>
        </is>
      </c>
      <c r="B3592" s="16" t="inlineStr">
        <is>
          <t>PO-128-13313860762232146</t>
        </is>
      </c>
      <c r="C3592" s="16" t="inlineStr">
        <is>
          <t>Delivered</t>
        </is>
      </c>
      <c r="D3592" s="16" t="inlineStr">
        <is>
          <t>128-13313818819192146</t>
        </is>
      </c>
      <c r="E3592" s="16" t="inlineStr">
        <is>
          <t>Delivered</t>
        </is>
      </c>
      <c r="F3592" s="16" t="inlineStr">
        <is>
          <t>LV64W25</t>
        </is>
      </c>
      <c r="G359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92" s="16" t="inlineStr">
        <is>
          <t>Blanco</t>
        </is>
      </c>
      <c r="I3592" s="16" t="n">
        <v>3</v>
      </c>
      <c r="J3592" s="17" t="n">
        <v>357</v>
      </c>
      <c r="K3592" s="17" t="n">
        <v>411.78</v>
      </c>
      <c r="L3592" s="17" t="n">
        <v>0</v>
      </c>
      <c r="M3592" s="17" t="n">
        <v>0</v>
      </c>
      <c r="N3592" s="17">
        <f>K3592*0.08+L3592*0.08</f>
        <v/>
      </c>
      <c r="O3592" s="17">
        <f>-(K3592*0.025+L3592*0.025)</f>
        <v/>
      </c>
      <c r="P3592" s="17">
        <f>32</f>
        <v/>
      </c>
      <c r="Q3592" s="17">
        <f>J3592+L3592+N3592+O3592-P3592-M3592</f>
        <v/>
      </c>
    </row>
    <row r="3593">
      <c r="A3593" s="16" t="inlineStr">
        <is>
          <t>5.29-6.4</t>
        </is>
      </c>
      <c r="B3593" s="16" t="inlineStr">
        <is>
          <t>PO-128-13470278866551087</t>
        </is>
      </c>
      <c r="C3593" s="16" t="inlineStr">
        <is>
          <t>Delivered</t>
        </is>
      </c>
      <c r="D3593" s="16" t="inlineStr">
        <is>
          <t>128-13470415181431087</t>
        </is>
      </c>
      <c r="E3593" s="16" t="inlineStr">
        <is>
          <t>Delivered</t>
        </is>
      </c>
      <c r="F3593" s="16" t="inlineStr">
        <is>
          <t>B03W10-10PZS</t>
        </is>
      </c>
      <c r="G359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593" s="16" t="inlineStr">
        <is>
          <t>B03W10</t>
        </is>
      </c>
      <c r="I3593" s="16" t="n">
        <v>1</v>
      </c>
      <c r="J3593" s="17" t="n">
        <v>66</v>
      </c>
      <c r="K3593" s="17" t="n">
        <v>71.05</v>
      </c>
      <c r="L3593" s="17" t="n">
        <v>25.86</v>
      </c>
      <c r="M3593" s="17" t="n">
        <v>0</v>
      </c>
      <c r="N3593" s="17">
        <f>K3593*0.08+L3593*0.08</f>
        <v/>
      </c>
      <c r="O3593" s="17">
        <f>-(K3593*0.025+L3593*0.025)</f>
        <v/>
      </c>
      <c r="P3593" s="17">
        <f>32</f>
        <v/>
      </c>
      <c r="Q3593" s="17">
        <f>J3593+L3593+N3593+O3593-P3593-M3593</f>
        <v/>
      </c>
    </row>
    <row r="3594">
      <c r="A3594" s="16" t="inlineStr">
        <is>
          <t>5.29-6.4</t>
        </is>
      </c>
      <c r="B3594" s="16" t="inlineStr">
        <is>
          <t>PO-128-13288783155832297</t>
        </is>
      </c>
      <c r="C3594" s="16" t="inlineStr">
        <is>
          <t>Delivered</t>
        </is>
      </c>
      <c r="D3594" s="16" t="inlineStr">
        <is>
          <t>128-13288751698552297</t>
        </is>
      </c>
      <c r="E3594" s="16" t="inlineStr">
        <is>
          <t>Delivered</t>
        </is>
      </c>
      <c r="F3594" s="16" t="inlineStr">
        <is>
          <t>TL1455N20B</t>
        </is>
      </c>
      <c r="G3594" s="16" t="inlineStr">
        <is>
          <t>LINK BITS Soporte para TV 14 A 55 Pulgadas, Base para TV Pantalla Articulado Inclinable y Giratorio, MAX VESA 400×400 mm, Soporta hasta 18kg, adaptarse a la mayoría de los televisores de 14 Pulgadas/20 Pulgadas/32 Pulgadas/42 Pulgadas/55 pulgadas</t>
        </is>
      </c>
      <c r="H3594" s="16" t="inlineStr">
        <is>
          <t>TL1455N20B</t>
        </is>
      </c>
      <c r="I3594" s="16" t="n">
        <v>1</v>
      </c>
      <c r="J3594" s="17" t="n">
        <v>74.59999999999999</v>
      </c>
      <c r="K3594" s="17" t="n">
        <v>124.93</v>
      </c>
      <c r="L3594" s="17" t="n">
        <v>25.86</v>
      </c>
      <c r="M3594" s="17" t="n">
        <v>0</v>
      </c>
      <c r="N3594" s="17">
        <f>K3594*0.08+L3594*0.08</f>
        <v/>
      </c>
      <c r="O3594" s="17">
        <f>-(K3594*0.025+L3594*0.025)</f>
        <v/>
      </c>
      <c r="P3594" s="17">
        <f>32</f>
        <v/>
      </c>
      <c r="Q3594" s="17">
        <f>J3594+L3594+N3594+O3594-P3594-M3594</f>
        <v/>
      </c>
    </row>
    <row r="3595">
      <c r="A3595" s="16" t="inlineStr">
        <is>
          <t>5.29-6.4</t>
        </is>
      </c>
      <c r="B3595" s="16" t="inlineStr">
        <is>
          <t>PO-128-13330934743673068</t>
        </is>
      </c>
      <c r="C3595" s="16" t="inlineStr">
        <is>
          <t>Delivered</t>
        </is>
      </c>
      <c r="D3595" s="16" t="inlineStr">
        <is>
          <t>128-13330987172473068</t>
        </is>
      </c>
      <c r="E3595" s="16" t="inlineStr">
        <is>
          <t>Delivered</t>
        </is>
      </c>
      <c r="F3595" s="16" t="inlineStr">
        <is>
          <t>LV64W25</t>
        </is>
      </c>
      <c r="G35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595" s="16" t="inlineStr">
        <is>
          <t>Blanco</t>
        </is>
      </c>
      <c r="I3595" s="16" t="n">
        <v>2</v>
      </c>
      <c r="J3595" s="17" t="n">
        <v>238</v>
      </c>
      <c r="K3595" s="17" t="n">
        <v>247.08</v>
      </c>
      <c r="L3595" s="17" t="n">
        <v>0</v>
      </c>
      <c r="M3595" s="17" t="n">
        <v>0</v>
      </c>
      <c r="N3595" s="17">
        <f>K3595*0.08+L3595*0.08</f>
        <v/>
      </c>
      <c r="O3595" s="17">
        <f>-(K3595*0.025+L3595*0.025)</f>
        <v/>
      </c>
      <c r="P3595" s="17">
        <f>32</f>
        <v/>
      </c>
      <c r="Q3595" s="17">
        <f>J3595+L3595+N3595+O3595-P3595-M3595</f>
        <v/>
      </c>
    </row>
    <row r="3596">
      <c r="A3596" s="16" t="inlineStr">
        <is>
          <t>5.29-6.4</t>
        </is>
      </c>
      <c r="B3596" s="16" t="inlineStr">
        <is>
          <t>PO-128-13071708283513527</t>
        </is>
      </c>
      <c r="C3596" s="16" t="inlineStr">
        <is>
          <t>Delivered</t>
        </is>
      </c>
      <c r="D3596" s="16" t="inlineStr">
        <is>
          <t>128-13071687311993527</t>
        </is>
      </c>
      <c r="E3596" s="16" t="inlineStr">
        <is>
          <t>Delivered</t>
        </is>
      </c>
      <c r="F3596" s="16" t="inlineStr">
        <is>
          <t>LV54W25</t>
        </is>
      </c>
      <c r="G3596" s="16" t="inlineStr">
        <is>
          <t>TIANLAI Lámpara Ventilador E27 2 en 1, Silenciosa, LED Alta Luminosidad 180°, Instalación Rápida, Ahorro Energético para Dormitorio y Interiores Pequeños</t>
        </is>
      </c>
      <c r="H3596" s="16" t="inlineStr">
        <is>
          <t>1 Pieza</t>
        </is>
      </c>
      <c r="I3596" s="16" t="n">
        <v>2</v>
      </c>
      <c r="J3596" s="17" t="n">
        <v>148</v>
      </c>
      <c r="K3596" s="17" t="n">
        <v>154.24</v>
      </c>
      <c r="L3596" s="17" t="n">
        <v>25.86</v>
      </c>
      <c r="M3596" s="17" t="n">
        <v>0</v>
      </c>
      <c r="N3596" s="17">
        <f>K3596*0.08+L3596*0.08</f>
        <v/>
      </c>
      <c r="O3596" s="17">
        <f>-(K3596*0.025+L3596*0.025)</f>
        <v/>
      </c>
      <c r="P3596" s="17">
        <f>32</f>
        <v/>
      </c>
      <c r="Q3596" s="17">
        <f>J3596+L3596+N3596+O3596-P3596-M3596</f>
        <v/>
      </c>
    </row>
    <row r="3597">
      <c r="A3597" s="16" t="inlineStr">
        <is>
          <t>5.29-6.4</t>
        </is>
      </c>
      <c r="B3597" s="16" t="inlineStr">
        <is>
          <t>PO-128-13342468639352873</t>
        </is>
      </c>
      <c r="C3597" s="16" t="inlineStr">
        <is>
          <t>Delivered</t>
        </is>
      </c>
      <c r="D3597" s="16" t="inlineStr">
        <is>
          <t>128-13342494853752873</t>
        </is>
      </c>
      <c r="E3597" s="16" t="inlineStr">
        <is>
          <t>Delivered</t>
        </is>
      </c>
      <c r="F3597" s="16" t="inlineStr">
        <is>
          <t>SB428T</t>
        </is>
      </c>
      <c r="G3597" s="16" t="inlineStr">
        <is>
          <t>LINK BITS Bocina Portátil con 2 Altavoces de 4" (5W×2), Sonido Potente, Luces LED, Bluetooth, USB/TF/FM - Ideal para Reuniones, Fiestas y Picnics en México</t>
        </is>
      </c>
      <c r="H3597" s="16" t="inlineStr">
        <is>
          <t>SB428T</t>
        </is>
      </c>
      <c r="I3597" s="16" t="n">
        <v>1</v>
      </c>
      <c r="J3597" s="17" t="n">
        <v>92</v>
      </c>
      <c r="K3597" s="17" t="n">
        <v>110.49</v>
      </c>
      <c r="L3597" s="17" t="n">
        <v>15.95</v>
      </c>
      <c r="M3597" s="17" t="n">
        <v>0</v>
      </c>
      <c r="N3597" s="17">
        <f>K3597*0.08+L3597*0.08</f>
        <v/>
      </c>
      <c r="O3597" s="17">
        <f>-(K3597*0.025+L3597*0.025)</f>
        <v/>
      </c>
      <c r="P3597" s="17">
        <f>32</f>
        <v/>
      </c>
      <c r="Q3597" s="17">
        <f>J3597+L3597+N3597+O3597-P3597-M3597</f>
        <v/>
      </c>
    </row>
    <row r="3598">
      <c r="A3598" s="16" t="inlineStr">
        <is>
          <t>5.29-6.4</t>
        </is>
      </c>
      <c r="B3598" s="16" t="inlineStr">
        <is>
          <t>PO-128-13342468639352873</t>
        </is>
      </c>
      <c r="C3598" s="16" t="inlineStr">
        <is>
          <t>Delivered</t>
        </is>
      </c>
      <c r="D3598" s="16" t="inlineStr">
        <is>
          <t>128-13342510582392873</t>
        </is>
      </c>
      <c r="E3598" s="16" t="inlineStr">
        <is>
          <t>Delivered</t>
        </is>
      </c>
      <c r="F3598" s="16" t="inlineStr">
        <is>
          <t>KTS-1369</t>
        </is>
      </c>
      <c r="G3598" s="16" t="inlineStr">
        <is>
          <t>Bocina 3 Pulgadas Portátil Bluetooth con Luces LED, Sonido Claro y Batería Larga Duración, TWS TF USB FM, Ideal para Hogar Oficina y Exterior</t>
        </is>
      </c>
      <c r="H3598" s="16" t="inlineStr">
        <is>
          <t>NEGRO</t>
        </is>
      </c>
      <c r="I3598" s="16" t="n">
        <v>1</v>
      </c>
      <c r="J3598" s="17" t="n">
        <v>50</v>
      </c>
      <c r="K3598" s="17" t="n">
        <v>68.73999999999999</v>
      </c>
      <c r="L3598" s="17" t="n">
        <v>9.91</v>
      </c>
      <c r="M3598" s="17" t="n">
        <v>0</v>
      </c>
      <c r="N3598" s="17">
        <f>K3598*0.08+L3598*0.08</f>
        <v/>
      </c>
      <c r="O3598" s="17">
        <f>-(K3598*0.025+L3598*0.025)</f>
        <v/>
      </c>
      <c r="P3598" s="17">
        <f>32</f>
        <v/>
      </c>
      <c r="Q3598" s="17">
        <f>J3598+L3598+N3598+O3598-P3598-M3598</f>
        <v/>
      </c>
    </row>
    <row r="3599">
      <c r="A3599" s="16" t="inlineStr">
        <is>
          <t>5.29-6.4</t>
        </is>
      </c>
      <c r="B3599" s="16" t="inlineStr">
        <is>
          <t>PO-128-13199588301433789</t>
        </is>
      </c>
      <c r="C3599" s="16" t="inlineStr">
        <is>
          <t>Delivered</t>
        </is>
      </c>
      <c r="D3599" s="16" t="inlineStr">
        <is>
          <t>128-13199551601273789</t>
        </is>
      </c>
      <c r="E3599" s="16" t="inlineStr">
        <is>
          <t>Delivered</t>
        </is>
      </c>
      <c r="F3599" s="16" t="inlineStr">
        <is>
          <t>LV54W25</t>
        </is>
      </c>
      <c r="G3599" s="16" t="inlineStr">
        <is>
          <t>TIANLAI Lámpara Ventilador E27 2 en 1, Silenciosa, LED Alta Luminosidad 180°, Instalación Rápida, Ahorro Energético para Dormitorio y Interiores Pequeños</t>
        </is>
      </c>
      <c r="H3599" s="16" t="inlineStr">
        <is>
          <t>1 Pieza</t>
        </is>
      </c>
      <c r="I3599" s="16" t="n">
        <v>1</v>
      </c>
      <c r="J3599" s="17" t="n">
        <v>74</v>
      </c>
      <c r="K3599" s="17" t="n">
        <v>77.12</v>
      </c>
      <c r="L3599" s="17" t="n">
        <v>25.86</v>
      </c>
      <c r="M3599" s="17" t="n">
        <v>0</v>
      </c>
      <c r="N3599" s="17">
        <f>K3599*0.08+L3599*0.08</f>
        <v/>
      </c>
      <c r="O3599" s="17">
        <f>-(K3599*0.025+L3599*0.025)</f>
        <v/>
      </c>
      <c r="P3599" s="17">
        <f>32</f>
        <v/>
      </c>
      <c r="Q3599" s="17">
        <f>J3599+L3599+N3599+O3599-P3599-M3599</f>
        <v/>
      </c>
    </row>
    <row r="3600">
      <c r="A3600" s="16" t="inlineStr">
        <is>
          <t>5.29-6.4</t>
        </is>
      </c>
      <c r="B3600" s="16" t="inlineStr">
        <is>
          <t>PO-128-13444041124471178</t>
        </is>
      </c>
      <c r="C3600" s="16" t="inlineStr">
        <is>
          <t>Delivered</t>
        </is>
      </c>
      <c r="D3600" s="16" t="inlineStr">
        <is>
          <t>128-13443946752631178</t>
        </is>
      </c>
      <c r="E3600" s="16" t="inlineStr">
        <is>
          <t>Delivered</t>
        </is>
      </c>
      <c r="F3600" s="16" t="inlineStr">
        <is>
          <t>LV64W25</t>
        </is>
      </c>
      <c r="G36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00" s="16" t="inlineStr">
        <is>
          <t>Blanco</t>
        </is>
      </c>
      <c r="I3600" s="16" t="n">
        <v>2</v>
      </c>
      <c r="J3600" s="17" t="n">
        <v>238</v>
      </c>
      <c r="K3600" s="17" t="n">
        <v>247.08</v>
      </c>
      <c r="L3600" s="17" t="n">
        <v>0</v>
      </c>
      <c r="M3600" s="17" t="n">
        <v>0</v>
      </c>
      <c r="N3600" s="17">
        <f>K3600*0.08+L3600*0.08</f>
        <v/>
      </c>
      <c r="O3600" s="17">
        <f>-(K3600*0.025+L3600*0.025)</f>
        <v/>
      </c>
      <c r="P3600" s="17">
        <f>32</f>
        <v/>
      </c>
      <c r="Q3600" s="17">
        <f>J3600+L3600+N3600+O3600-P3600-M3600</f>
        <v/>
      </c>
    </row>
    <row r="3601">
      <c r="A3601" s="16" t="inlineStr">
        <is>
          <t>5.29-6.4</t>
        </is>
      </c>
      <c r="B3601" s="16" t="inlineStr">
        <is>
          <t>PO-128-13256248039032363</t>
        </is>
      </c>
      <c r="C3601" s="16" t="inlineStr">
        <is>
          <t>Delivered</t>
        </is>
      </c>
      <c r="D3601" s="16" t="inlineStr">
        <is>
          <t>128-13256289982072363</t>
        </is>
      </c>
      <c r="E3601" s="16" t="inlineStr">
        <is>
          <t>Delivered</t>
        </is>
      </c>
      <c r="F3601" s="16" t="inlineStr">
        <is>
          <t>TLCD06-12P-R</t>
        </is>
      </c>
      <c r="G360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601" s="16" t="inlineStr">
        <is>
          <t>ROJO/pantalla de 12 pulgadas</t>
        </is>
      </c>
      <c r="I3601" s="16" t="n">
        <v>1</v>
      </c>
      <c r="J3601" s="17" t="n">
        <v>32</v>
      </c>
      <c r="K3601" s="17" t="n">
        <v>44.02</v>
      </c>
      <c r="L3601" s="17" t="n">
        <v>25.86</v>
      </c>
      <c r="M3601" s="17" t="n">
        <v>0</v>
      </c>
      <c r="N3601" s="17">
        <f>K3601*0.08+L3601*0.08</f>
        <v/>
      </c>
      <c r="O3601" s="17">
        <f>-(K3601*0.025+L3601*0.025)</f>
        <v/>
      </c>
      <c r="P3601" s="17">
        <f>32</f>
        <v/>
      </c>
      <c r="Q3601" s="17">
        <f>J3601+L3601+N3601+O3601-P3601-M3601</f>
        <v/>
      </c>
    </row>
    <row r="3602">
      <c r="A3602" s="16" t="inlineStr">
        <is>
          <t>5.29-6.4</t>
        </is>
      </c>
      <c r="B3602" s="16" t="inlineStr">
        <is>
          <t>PO-128-13142227763833171</t>
        </is>
      </c>
      <c r="C3602" s="16" t="inlineStr">
        <is>
          <t>Delivered</t>
        </is>
      </c>
      <c r="D3602" s="16" t="inlineStr">
        <is>
          <t>128-13142253978233171</t>
        </is>
      </c>
      <c r="E3602" s="16" t="inlineStr">
        <is>
          <t>Delivered</t>
        </is>
      </c>
      <c r="F3602" s="16" t="inlineStr">
        <is>
          <t>LV54W25</t>
        </is>
      </c>
      <c r="G3602" s="16" t="inlineStr">
        <is>
          <t>TIANLAI Lámpara Ventilador E27 2 en 1, Silenciosa, LED Alta Luminosidad 180°, Instalación Rápida, Ahorro Energético para Dormitorio y Interiores Pequeños</t>
        </is>
      </c>
      <c r="H3602" s="16" t="inlineStr">
        <is>
          <t>1 Pieza</t>
        </is>
      </c>
      <c r="I3602" s="16" t="n">
        <v>1</v>
      </c>
      <c r="J3602" s="17" t="n">
        <v>74</v>
      </c>
      <c r="K3602" s="17" t="n">
        <v>67.01000000000001</v>
      </c>
      <c r="L3602" s="17" t="n">
        <v>25.86</v>
      </c>
      <c r="M3602" s="17" t="n">
        <v>0</v>
      </c>
      <c r="N3602" s="17">
        <f>K3602*0.08+L3602*0.08</f>
        <v/>
      </c>
      <c r="O3602" s="17">
        <f>-(K3602*0.025+L3602*0.025)</f>
        <v/>
      </c>
      <c r="P3602" s="17">
        <f>32</f>
        <v/>
      </c>
      <c r="Q3602" s="17">
        <f>J3602+L3602+N3602+O3602-P3602-M3602</f>
        <v/>
      </c>
    </row>
    <row r="3603">
      <c r="A3603" s="16" t="inlineStr">
        <is>
          <t>5.29-6.4</t>
        </is>
      </c>
      <c r="B3603" s="16" t="inlineStr">
        <is>
          <t>PO-128-13374591765112808</t>
        </is>
      </c>
      <c r="C3603" s="16" t="inlineStr">
        <is>
          <t>Delivered</t>
        </is>
      </c>
      <c r="D3603" s="16" t="inlineStr">
        <is>
          <t>128-13374549822072808</t>
        </is>
      </c>
      <c r="E3603" s="16" t="inlineStr">
        <is>
          <t>Delivered</t>
        </is>
      </c>
      <c r="F3603" s="16" t="inlineStr">
        <is>
          <t>LV64W25</t>
        </is>
      </c>
      <c r="G36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03" s="16" t="inlineStr">
        <is>
          <t>Blanco</t>
        </is>
      </c>
      <c r="I3603" s="16" t="n">
        <v>3</v>
      </c>
      <c r="J3603" s="17" t="n">
        <v>357</v>
      </c>
      <c r="K3603" s="17" t="n">
        <v>370.62</v>
      </c>
      <c r="L3603" s="17" t="n">
        <v>0</v>
      </c>
      <c r="M3603" s="17" t="n">
        <v>0</v>
      </c>
      <c r="N3603" s="17">
        <f>K3603*0.08+L3603*0.08</f>
        <v/>
      </c>
      <c r="O3603" s="17">
        <f>-(K3603*0.025+L3603*0.025)</f>
        <v/>
      </c>
      <c r="P3603" s="17">
        <f>32</f>
        <v/>
      </c>
      <c r="Q3603" s="17">
        <f>J3603+L3603+N3603+O3603-P3603-M3603</f>
        <v/>
      </c>
    </row>
    <row r="3604">
      <c r="A3604" s="16" t="inlineStr">
        <is>
          <t>5.29-6.4</t>
        </is>
      </c>
      <c r="B3604" s="16" t="inlineStr">
        <is>
          <t>PO-128-13086353551993374</t>
        </is>
      </c>
      <c r="C3604" s="16" t="inlineStr">
        <is>
          <t>Delivered</t>
        </is>
      </c>
      <c r="D3604" s="16" t="inlineStr">
        <is>
          <t>128-13086385009273374</t>
        </is>
      </c>
      <c r="E3604" s="16" t="inlineStr">
        <is>
          <t>Delivered</t>
        </is>
      </c>
      <c r="F3604" s="16" t="inlineStr">
        <is>
          <t>LV54W25</t>
        </is>
      </c>
      <c r="G3604" s="16" t="inlineStr">
        <is>
          <t>TIANLAI Lámpara Ventilador E27 2 en 1, Silenciosa, LED Alta Luminosidad 180°, Instalación Rápida, Ahorro Energético para Dormitorio y Interiores Pequeños</t>
        </is>
      </c>
      <c r="H3604" s="16" t="inlineStr">
        <is>
          <t>1 Pieza</t>
        </is>
      </c>
      <c r="I3604" s="16" t="n">
        <v>1</v>
      </c>
      <c r="J3604" s="17" t="n">
        <v>74</v>
      </c>
      <c r="K3604" s="17" t="n">
        <v>67.01000000000001</v>
      </c>
      <c r="L3604" s="17" t="n">
        <v>25.86</v>
      </c>
      <c r="M3604" s="17" t="n">
        <v>0</v>
      </c>
      <c r="N3604" s="17">
        <f>K3604*0.08+L3604*0.08</f>
        <v/>
      </c>
      <c r="O3604" s="17">
        <f>-(K3604*0.025+L3604*0.025)</f>
        <v/>
      </c>
      <c r="P3604" s="17">
        <f>32</f>
        <v/>
      </c>
      <c r="Q3604" s="17">
        <f>J3604+L3604+N3604+O3604-P3604-M3604</f>
        <v/>
      </c>
    </row>
    <row r="3605">
      <c r="A3605" s="16" t="inlineStr">
        <is>
          <t>5.29-6.4</t>
        </is>
      </c>
      <c r="B3605" s="16" t="inlineStr">
        <is>
          <t>PO-128-13619585521270133</t>
        </is>
      </c>
      <c r="C3605" s="16" t="inlineStr">
        <is>
          <t>Delivered</t>
        </is>
      </c>
      <c r="D3605" s="16" t="inlineStr">
        <is>
          <t>128-13619653678710133</t>
        </is>
      </c>
      <c r="E3605" s="16" t="inlineStr">
        <is>
          <t>Delivered</t>
        </is>
      </c>
      <c r="F3605" s="16" t="inlineStr">
        <is>
          <t>LV54W25</t>
        </is>
      </c>
      <c r="G3605" s="16" t="inlineStr">
        <is>
          <t>TIANLAI Lámpara Ventilador E27 2 en 1, Silenciosa, LED Alta Luminosidad 180°, Instalación Rápida, Ahorro Energético para Dormitorio y Interiores Pequeños</t>
        </is>
      </c>
      <c r="H3605" s="16" t="inlineStr">
        <is>
          <t>1 Pieza</t>
        </is>
      </c>
      <c r="I3605" s="16" t="n">
        <v>1</v>
      </c>
      <c r="J3605" s="17" t="n">
        <v>74</v>
      </c>
      <c r="K3605" s="17" t="n">
        <v>85.68000000000001</v>
      </c>
      <c r="L3605" s="17" t="n">
        <v>25.86</v>
      </c>
      <c r="M3605" s="17" t="n">
        <v>0</v>
      </c>
      <c r="N3605" s="17">
        <f>K3605*0.08+L3605*0.08</f>
        <v/>
      </c>
      <c r="O3605" s="17">
        <f>-(K3605*0.025+L3605*0.025)</f>
        <v/>
      </c>
      <c r="P3605" s="17">
        <f>32</f>
        <v/>
      </c>
      <c r="Q3605" s="17">
        <f>J3605+L3605+N3605+O3605-P3605-M3605</f>
        <v/>
      </c>
    </row>
    <row r="3606">
      <c r="A3606" s="16" t="inlineStr">
        <is>
          <t>5.29-6.4</t>
        </is>
      </c>
      <c r="B3606" s="16" t="inlineStr">
        <is>
          <t>PO-128-13128110848633127</t>
        </is>
      </c>
      <c r="C3606" s="16" t="inlineStr">
        <is>
          <t>Delivered</t>
        </is>
      </c>
      <c r="D3606" s="16" t="inlineStr">
        <is>
          <t>128-13128127887993127</t>
        </is>
      </c>
      <c r="E3606" s="16" t="inlineStr">
        <is>
          <t>Delivered</t>
        </is>
      </c>
      <c r="F3606" s="16" t="inlineStr">
        <is>
          <t>LV54W25</t>
        </is>
      </c>
      <c r="G3606" s="16" t="inlineStr">
        <is>
          <t>TIANLAI Lámpara Ventilador E27 2 en 1, Silenciosa, LED Alta Luminosidad 180°, Instalación Rápida, Ahorro Energético para Dormitorio y Interiores Pequeños</t>
        </is>
      </c>
      <c r="H3606" s="16" t="inlineStr">
        <is>
          <t>1 Pieza</t>
        </is>
      </c>
      <c r="I3606" s="16" t="n">
        <v>1</v>
      </c>
      <c r="J3606" s="17" t="n">
        <v>74</v>
      </c>
      <c r="K3606" s="17" t="n">
        <v>85.68000000000001</v>
      </c>
      <c r="L3606" s="17" t="n">
        <v>25.86</v>
      </c>
      <c r="M3606" s="17" t="n">
        <v>0</v>
      </c>
      <c r="N3606" s="17">
        <f>K3606*0.08+L3606*0.08</f>
        <v/>
      </c>
      <c r="O3606" s="17">
        <f>-(K3606*0.025+L3606*0.025)</f>
        <v/>
      </c>
      <c r="P3606" s="17">
        <f>32</f>
        <v/>
      </c>
      <c r="Q3606" s="17">
        <f>J3606+L3606+N3606+O3606-P3606-M3606</f>
        <v/>
      </c>
    </row>
    <row r="3607">
      <c r="A3607" s="16" t="inlineStr">
        <is>
          <t>5.29-6.4</t>
        </is>
      </c>
      <c r="B3607" s="16" t="inlineStr">
        <is>
          <t>PO-128-13259839089272340</t>
        </is>
      </c>
      <c r="C3607" s="16" t="inlineStr">
        <is>
          <t>Delivered</t>
        </is>
      </c>
      <c r="D3607" s="16" t="inlineStr">
        <is>
          <t>128-13259865303672340</t>
        </is>
      </c>
      <c r="E3607" s="16" t="inlineStr">
        <is>
          <t>Delivered</t>
        </is>
      </c>
      <c r="F3607" s="16" t="inlineStr">
        <is>
          <t>KTS-2031</t>
        </is>
      </c>
      <c r="G3607" s="16" t="inlineStr">
        <is>
          <t>Bocina inalámbrica de 3 pulgadas con linterna multifuncional y panel solar integrado.Altavoz Portátil con Linterna LED 4 Modos, Radio FM, Bluetooth, Carga Solar, Ideal para Apagones, Emergencias, Campo y Exteriores</t>
        </is>
      </c>
      <c r="H3607" s="16" t="inlineStr">
        <is>
          <t>NEGRO</t>
        </is>
      </c>
      <c r="I3607" s="16" t="n">
        <v>3</v>
      </c>
      <c r="J3607" s="17" t="n">
        <v>264</v>
      </c>
      <c r="K3607" s="17" t="n">
        <v>291.66</v>
      </c>
      <c r="L3607" s="17" t="n">
        <v>0</v>
      </c>
      <c r="M3607" s="17" t="n">
        <v>0</v>
      </c>
      <c r="N3607" s="17">
        <f>K3607*0.08+L3607*0.08</f>
        <v/>
      </c>
      <c r="O3607" s="17">
        <f>-(K3607*0.025+L3607*0.025)</f>
        <v/>
      </c>
      <c r="P3607" s="17">
        <f>32</f>
        <v/>
      </c>
      <c r="Q3607" s="17">
        <f>J3607+L3607+N3607+O3607-P3607-M3607</f>
        <v/>
      </c>
    </row>
    <row r="3608">
      <c r="A3608" s="16" t="inlineStr">
        <is>
          <t>5.29-6.4</t>
        </is>
      </c>
      <c r="B3608" s="16" t="inlineStr">
        <is>
          <t>PO-128-13111184149113290</t>
        </is>
      </c>
      <c r="C3608" s="16" t="inlineStr">
        <is>
          <t>Delivered</t>
        </is>
      </c>
      <c r="D3608" s="16" t="inlineStr">
        <is>
          <t>128-13111205120633290</t>
        </is>
      </c>
      <c r="E3608" s="16" t="inlineStr">
        <is>
          <t>Delivered</t>
        </is>
      </c>
      <c r="F3608" s="16" t="inlineStr">
        <is>
          <t>LV54W25</t>
        </is>
      </c>
      <c r="G3608" s="16" t="inlineStr">
        <is>
          <t>TIANLAI Lámpara Ventilador E27 2 en 1, Silenciosa, LED Alta Luminosidad 180°, Instalación Rápida, Ahorro Energético para Dormitorio y Interiores Pequeños</t>
        </is>
      </c>
      <c r="H3608" s="16" t="inlineStr">
        <is>
          <t>1 Pieza</t>
        </is>
      </c>
      <c r="I3608" s="16" t="n">
        <v>1</v>
      </c>
      <c r="J3608" s="17" t="n">
        <v>74</v>
      </c>
      <c r="K3608" s="17" t="n">
        <v>62.66</v>
      </c>
      <c r="L3608" s="17" t="n">
        <v>25.86</v>
      </c>
      <c r="M3608" s="17" t="n">
        <v>0</v>
      </c>
      <c r="N3608" s="17">
        <f>K3608*0.08+L3608*0.08</f>
        <v/>
      </c>
      <c r="O3608" s="17">
        <f>-(K3608*0.025+L3608*0.025)</f>
        <v/>
      </c>
      <c r="P3608" s="17">
        <f>32</f>
        <v/>
      </c>
      <c r="Q3608" s="17">
        <f>J3608+L3608+N3608+O3608-P3608-M3608</f>
        <v/>
      </c>
    </row>
    <row r="3609">
      <c r="A3609" s="16" t="inlineStr">
        <is>
          <t>5.29-6.4</t>
        </is>
      </c>
      <c r="B3609" s="16" t="inlineStr">
        <is>
          <t>PO-128-13281724826232211</t>
        </is>
      </c>
      <c r="C3609" s="16" t="inlineStr">
        <is>
          <t>Delivered</t>
        </is>
      </c>
      <c r="D3609" s="16" t="inlineStr">
        <is>
          <t>128-13281829683832211</t>
        </is>
      </c>
      <c r="E3609" s="16" t="inlineStr">
        <is>
          <t>Delivered</t>
        </is>
      </c>
      <c r="F3609" s="16" t="inlineStr">
        <is>
          <t>KTS-2031</t>
        </is>
      </c>
      <c r="G3609" s="16" t="inlineStr">
        <is>
          <t>Bocina inalámbrica de 3 pulgadas con linterna multifuncional y panel solar integrado.Altavoz Portátil con Linterna LED 4 Modos, Radio FM, Bluetooth, Carga Solar, Ideal para Apagones, Emergencias, Campo y Exteriores</t>
        </is>
      </c>
      <c r="H3609" s="16" t="inlineStr">
        <is>
          <t>NEGRO</t>
        </is>
      </c>
      <c r="I3609" s="16" t="n">
        <v>2</v>
      </c>
      <c r="J3609" s="17" t="n">
        <v>176</v>
      </c>
      <c r="K3609" s="17" t="n">
        <v>194.44</v>
      </c>
      <c r="L3609" s="17" t="n">
        <v>25.86</v>
      </c>
      <c r="M3609" s="17" t="n">
        <v>0</v>
      </c>
      <c r="N3609" s="17">
        <f>K3609*0.08+L3609*0.08</f>
        <v/>
      </c>
      <c r="O3609" s="17">
        <f>-(K3609*0.025+L3609*0.025)</f>
        <v/>
      </c>
      <c r="P3609" s="17">
        <f>32</f>
        <v/>
      </c>
      <c r="Q3609" s="17">
        <f>J3609+L3609+N3609+O3609-P3609-M3609</f>
        <v/>
      </c>
    </row>
    <row r="3610">
      <c r="A3610" s="16" t="inlineStr">
        <is>
          <t>5.29-6.4</t>
        </is>
      </c>
      <c r="B3610" s="16" t="inlineStr">
        <is>
          <t>PO-128-13438752758391403</t>
        </is>
      </c>
      <c r="C3610" s="16" t="inlineStr">
        <is>
          <t>Delivered</t>
        </is>
      </c>
      <c r="D3610" s="16" t="inlineStr">
        <is>
          <t>128-13438742272631403</t>
        </is>
      </c>
      <c r="E3610" s="16" t="inlineStr">
        <is>
          <t>Delivered</t>
        </is>
      </c>
      <c r="F3610" s="16" t="inlineStr">
        <is>
          <t>LV54W25</t>
        </is>
      </c>
      <c r="G3610" s="16" t="inlineStr">
        <is>
          <t>TIANLAI Lámpara Ventilador E27 2 en 1, Silenciosa, LED Alta Luminosidad 180°, Instalación Rápida, Ahorro Energético para Dormitorio y Interiores Pequeños</t>
        </is>
      </c>
      <c r="H3610" s="16" t="inlineStr">
        <is>
          <t>1 Pieza</t>
        </is>
      </c>
      <c r="I3610" s="16" t="n">
        <v>1</v>
      </c>
      <c r="J3610" s="17" t="n">
        <v>74</v>
      </c>
      <c r="K3610" s="17" t="n">
        <v>77.12</v>
      </c>
      <c r="L3610" s="17" t="n">
        <v>25.86</v>
      </c>
      <c r="M3610" s="17" t="n">
        <v>0</v>
      </c>
      <c r="N3610" s="17">
        <f>K3610*0.08+L3610*0.08</f>
        <v/>
      </c>
      <c r="O3610" s="17">
        <f>-(K3610*0.025+L3610*0.025)</f>
        <v/>
      </c>
      <c r="P3610" s="17">
        <f>32</f>
        <v/>
      </c>
      <c r="Q3610" s="17">
        <f>J3610+L3610+N3610+O3610-P3610-M3610</f>
        <v/>
      </c>
    </row>
    <row r="3611">
      <c r="A3611" s="16" t="inlineStr">
        <is>
          <t>5.29-6.4</t>
        </is>
      </c>
      <c r="B3611" s="16" t="inlineStr">
        <is>
          <t>PO-128-13241003730552516</t>
        </is>
      </c>
      <c r="C3611" s="16" t="inlineStr">
        <is>
          <t>Delivered</t>
        </is>
      </c>
      <c r="D3611" s="16" t="inlineStr">
        <is>
          <t>128-13241071887992516</t>
        </is>
      </c>
      <c r="E3611" s="16" t="inlineStr">
        <is>
          <t>Delivered</t>
        </is>
      </c>
      <c r="F3611" s="16" t="inlineStr">
        <is>
          <t>VB349T</t>
        </is>
      </c>
      <c r="G3611" s="16" t="inlineStr">
        <is>
          <t>LINKBITS Altavoz Portátil de Doble Altavoz - 3 Pulgadas, Sonido HD, Emparejamiento Rápido de Bluetooth, Conectividad TWS, Reproducción Multimodo (Micro SD/USB/Radio FM) - Perfecto para Oficina, Viajes y Espacios Pequeños</t>
        </is>
      </c>
      <c r="H3611" s="16" t="inlineStr">
        <is>
          <t>NEGRO</t>
        </is>
      </c>
      <c r="I3611" s="16" t="n">
        <v>1</v>
      </c>
      <c r="J3611" s="17" t="n">
        <v>78</v>
      </c>
      <c r="K3611" s="17" t="n">
        <v>91.26000000000001</v>
      </c>
      <c r="L3611" s="17" t="n">
        <v>25.86</v>
      </c>
      <c r="M3611" s="17" t="n">
        <v>0</v>
      </c>
      <c r="N3611" s="17">
        <f>K3611*0.08+L3611*0.08</f>
        <v/>
      </c>
      <c r="O3611" s="17">
        <f>-(K3611*0.025+L3611*0.025)</f>
        <v/>
      </c>
      <c r="P3611" s="17">
        <f>32</f>
        <v/>
      </c>
      <c r="Q3611" s="17">
        <f>J3611+L3611+N3611+O3611-P3611-M3611</f>
        <v/>
      </c>
    </row>
    <row r="3612">
      <c r="A3612" s="16" t="inlineStr">
        <is>
          <t>5.29-6.4</t>
        </is>
      </c>
      <c r="B3612" s="16" t="inlineStr">
        <is>
          <t>PO-128-13574576179830400</t>
        </is>
      </c>
      <c r="C3612" s="16" t="inlineStr">
        <is>
          <t>Delivered</t>
        </is>
      </c>
      <c r="D3612" s="16" t="inlineStr">
        <is>
          <t>128-13574534236790400</t>
        </is>
      </c>
      <c r="E3612" s="16" t="inlineStr">
        <is>
          <t>Delivered</t>
        </is>
      </c>
      <c r="F3612" s="16" t="inlineStr">
        <is>
          <t>LV64W25</t>
        </is>
      </c>
      <c r="G36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12" s="16" t="inlineStr">
        <is>
          <t>Blanco</t>
        </is>
      </c>
      <c r="I3612" s="16" t="n">
        <v>2</v>
      </c>
      <c r="J3612" s="17" t="n">
        <v>238</v>
      </c>
      <c r="K3612" s="17" t="n">
        <v>197.66</v>
      </c>
      <c r="L3612" s="17" t="n">
        <v>0</v>
      </c>
      <c r="M3612" s="17" t="n">
        <v>0</v>
      </c>
      <c r="N3612" s="17">
        <f>K3612*0.08+L3612*0.08</f>
        <v/>
      </c>
      <c r="O3612" s="17">
        <f>-(K3612*0.025+L3612*0.025)</f>
        <v/>
      </c>
      <c r="P3612" s="17">
        <f>32</f>
        <v/>
      </c>
      <c r="Q3612" s="17">
        <f>J3612+L3612+N3612+O3612-P3612-M3612</f>
        <v/>
      </c>
    </row>
    <row r="3613">
      <c r="A3613" s="16" t="inlineStr">
        <is>
          <t>5.29-6.4</t>
        </is>
      </c>
      <c r="B3613" s="16" t="inlineStr">
        <is>
          <t>PO-128-13080148685433349</t>
        </is>
      </c>
      <c r="C3613" s="16" t="inlineStr">
        <is>
          <t>Delivered</t>
        </is>
      </c>
      <c r="D3613" s="16" t="inlineStr">
        <is>
          <t>128-13080106742393349</t>
        </is>
      </c>
      <c r="E3613" s="16" t="inlineStr">
        <is>
          <t>Delivered</t>
        </is>
      </c>
      <c r="F3613" s="16" t="inlineStr">
        <is>
          <t>BSC04</t>
        </is>
      </c>
      <c r="G3613" s="16" t="inlineStr">
        <is>
          <t>TIANLAI Báscula Digital BSC04/BSC07, Alta Precisión, Fácil Operación, Ligera y Portátil, Función Tara, Unidad Dual oz/g, Ideal para Cocina, Control de Porciones, Sellos y Objetos Pequeños, Uso en Hogar y Viaje</t>
        </is>
      </c>
      <c r="H3613" s="16" t="inlineStr">
        <is>
          <t>5g/White</t>
        </is>
      </c>
      <c r="I3613" s="16" t="n">
        <v>1</v>
      </c>
      <c r="J3613" s="17" t="n">
        <v>52</v>
      </c>
      <c r="K3613" s="17" t="n">
        <v>42.12</v>
      </c>
      <c r="L3613" s="17" t="n">
        <v>25.86</v>
      </c>
      <c r="M3613" s="17" t="n">
        <v>0</v>
      </c>
      <c r="N3613" s="17">
        <f>K3613*0.08+L3613*0.08</f>
        <v/>
      </c>
      <c r="O3613" s="17">
        <f>-(K3613*0.025+L3613*0.025)</f>
        <v/>
      </c>
      <c r="P3613" s="17">
        <f>32</f>
        <v/>
      </c>
      <c r="Q3613" s="17">
        <f>J3613+L3613+N3613+O3613-P3613-M3613</f>
        <v/>
      </c>
    </row>
    <row r="3614">
      <c r="A3614" s="16" t="inlineStr">
        <is>
          <t>5.29-6.4</t>
        </is>
      </c>
      <c r="B3614" s="16" t="inlineStr">
        <is>
          <t>PO-128-13286345528952246</t>
        </is>
      </c>
      <c r="C3614" s="16" t="inlineStr">
        <is>
          <t>Delivered</t>
        </is>
      </c>
      <c r="D3614" s="16" t="inlineStr">
        <is>
          <t>128-13286303585912246</t>
        </is>
      </c>
      <c r="E3614" s="16" t="inlineStr">
        <is>
          <t>Delivered</t>
        </is>
      </c>
      <c r="F3614" s="16" t="inlineStr">
        <is>
          <t>KTS-2031</t>
        </is>
      </c>
      <c r="G3614" s="16" t="inlineStr">
        <is>
          <t>Bocina inalámbrica de 3 pulgadas con linterna multifuncional y panel solar integrado.Altavoz Portátil con Linterna LED 4 Modos, Radio FM, Bluetooth, Carga Solar, Ideal para Apagones, Emergencias, Campo y Exteriores</t>
        </is>
      </c>
      <c r="H3614" s="16" t="inlineStr">
        <is>
          <t>NEGRO</t>
        </is>
      </c>
      <c r="I3614" s="16" t="n">
        <v>1</v>
      </c>
      <c r="J3614" s="17" t="n">
        <v>88</v>
      </c>
      <c r="K3614" s="17" t="n">
        <v>48.61</v>
      </c>
      <c r="L3614" s="17" t="n">
        <v>25.86</v>
      </c>
      <c r="M3614" s="17" t="n">
        <v>0</v>
      </c>
      <c r="N3614" s="17">
        <f>K3614*0.08+L3614*0.08</f>
        <v/>
      </c>
      <c r="O3614" s="17">
        <f>-(K3614*0.025+L3614*0.025)</f>
        <v/>
      </c>
      <c r="P3614" s="17">
        <f>32</f>
        <v/>
      </c>
      <c r="Q3614" s="17">
        <f>J3614+L3614+N3614+O3614-P3614-M3614</f>
        <v/>
      </c>
    </row>
    <row r="3615">
      <c r="A3615" s="16" t="inlineStr">
        <is>
          <t>5.29-6.4</t>
        </is>
      </c>
      <c r="B3615" s="16" t="inlineStr">
        <is>
          <t>PO-128-13358249708152715</t>
        </is>
      </c>
      <c r="C3615" s="16" t="inlineStr">
        <is>
          <t>Delivered</t>
        </is>
      </c>
      <c r="D3615" s="16" t="inlineStr">
        <is>
          <t>128-13358207765112715</t>
        </is>
      </c>
      <c r="E3615" s="16" t="inlineStr">
        <is>
          <t>Delivered</t>
        </is>
      </c>
      <c r="F3615" s="16" t="inlineStr">
        <is>
          <t>LV54W25</t>
        </is>
      </c>
      <c r="G3615" s="16" t="inlineStr">
        <is>
          <t>TIANLAI Lámpara Ventilador E27 2 en 1, Silenciosa, LED Alta Luminosidad 180°, Instalación Rápida, Ahorro Energético para Dormitorio y Interiores Pequeños</t>
        </is>
      </c>
      <c r="H3615" s="16" t="inlineStr">
        <is>
          <t>1 Pieza</t>
        </is>
      </c>
      <c r="I3615" s="16" t="n">
        <v>1</v>
      </c>
      <c r="J3615" s="17" t="n">
        <v>74</v>
      </c>
      <c r="K3615" s="17" t="n">
        <v>78.83</v>
      </c>
      <c r="L3615" s="17" t="n">
        <v>25.86</v>
      </c>
      <c r="M3615" s="17" t="n">
        <v>0</v>
      </c>
      <c r="N3615" s="17">
        <f>K3615*0.08+L3615*0.08</f>
        <v/>
      </c>
      <c r="O3615" s="17">
        <f>-(K3615*0.025+L3615*0.025)</f>
        <v/>
      </c>
      <c r="P3615" s="17">
        <f>32</f>
        <v/>
      </c>
      <c r="Q3615" s="17">
        <f>J3615+L3615+N3615+O3615-P3615-M3615</f>
        <v/>
      </c>
    </row>
    <row r="3616">
      <c r="A3616" s="16" t="inlineStr">
        <is>
          <t>5.29-6.4</t>
        </is>
      </c>
      <c r="B3616" s="16" t="inlineStr">
        <is>
          <t>PO-128-13476042394231117</t>
        </is>
      </c>
      <c r="C3616" s="16" t="inlineStr">
        <is>
          <t>Delivered</t>
        </is>
      </c>
      <c r="D3616" s="16" t="inlineStr">
        <is>
          <t>128-13476063365751117</t>
        </is>
      </c>
      <c r="E3616" s="16" t="inlineStr">
        <is>
          <t>Delivered</t>
        </is>
      </c>
      <c r="F3616" s="16" t="inlineStr">
        <is>
          <t>LV64W25</t>
        </is>
      </c>
      <c r="G36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16" s="16" t="inlineStr">
        <is>
          <t>Blanco</t>
        </is>
      </c>
      <c r="I3616" s="16" t="n">
        <v>1</v>
      </c>
      <c r="J3616" s="17" t="n">
        <v>119</v>
      </c>
      <c r="K3616" s="17" t="n">
        <v>127.66</v>
      </c>
      <c r="L3616" s="17" t="n">
        <v>25.86</v>
      </c>
      <c r="M3616" s="17" t="n">
        <v>0</v>
      </c>
      <c r="N3616" s="17">
        <f>K3616*0.08+L3616*0.08</f>
        <v/>
      </c>
      <c r="O3616" s="17">
        <f>-(K3616*0.025+L3616*0.025)</f>
        <v/>
      </c>
      <c r="P3616" s="17">
        <f>32</f>
        <v/>
      </c>
      <c r="Q3616" s="17">
        <f>J3616+L3616+N3616+O3616-P3616-M3616</f>
        <v/>
      </c>
    </row>
    <row r="3617">
      <c r="A3617" s="16" t="inlineStr">
        <is>
          <t>5.29-6.4</t>
        </is>
      </c>
      <c r="B3617" s="16" t="inlineStr">
        <is>
          <t>PO-128-13636433982070225</t>
        </is>
      </c>
      <c r="C3617" s="16" t="inlineStr">
        <is>
          <t>Delivered</t>
        </is>
      </c>
      <c r="D3617" s="16" t="inlineStr">
        <is>
          <t>128-13636475925110225</t>
        </is>
      </c>
      <c r="E3617" s="16" t="inlineStr">
        <is>
          <t>Delivered</t>
        </is>
      </c>
      <c r="F3617" s="16" t="inlineStr">
        <is>
          <t>MB-174-N</t>
        </is>
      </c>
      <c r="G3617" s="16" t="inlineStr">
        <is>
          <t>LINK BITS MB-174 Mini Bocina Bluetooth Soporte para Celular Integrado TWS Luz Ambiental 5W 80dB Sonido Claro Carga TYPE-C Material ABS Portátil Ideal como Regalo para Hogar Oficina Exterior Picnic</t>
        </is>
      </c>
      <c r="H3617" s="16" t="inlineStr">
        <is>
          <t>NEGRO</t>
        </is>
      </c>
      <c r="I3617" s="16" t="n">
        <v>1</v>
      </c>
      <c r="J3617" s="17" t="n">
        <v>93.59999999999999</v>
      </c>
      <c r="K3617" s="17" t="n">
        <v>115.74</v>
      </c>
      <c r="L3617" s="17" t="n">
        <v>25.86</v>
      </c>
      <c r="M3617" s="17" t="n">
        <v>0</v>
      </c>
      <c r="N3617" s="17">
        <f>K3617*0.08+L3617*0.08</f>
        <v/>
      </c>
      <c r="O3617" s="17">
        <f>-(K3617*0.025+L3617*0.025)</f>
        <v/>
      </c>
      <c r="P3617" s="17">
        <f>32</f>
        <v/>
      </c>
      <c r="Q3617" s="17">
        <f>J3617+L3617+N3617+O3617-P3617-M3617</f>
        <v/>
      </c>
    </row>
    <row r="3618">
      <c r="A3618" s="16" t="inlineStr">
        <is>
          <t>5.29-6.4</t>
        </is>
      </c>
      <c r="B3618" s="16" t="inlineStr">
        <is>
          <t>PO-128-13282240312952270</t>
        </is>
      </c>
      <c r="C3618" s="16" t="inlineStr">
        <is>
          <t>Delivered</t>
        </is>
      </c>
      <c r="D3618" s="16" t="inlineStr">
        <is>
          <t>128-13282198369912270</t>
        </is>
      </c>
      <c r="E3618" s="16" t="inlineStr">
        <is>
          <t>Delivered</t>
        </is>
      </c>
      <c r="F3618" s="16" t="inlineStr">
        <is>
          <t>LV64W25</t>
        </is>
      </c>
      <c r="G36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18" s="16" t="inlineStr">
        <is>
          <t>Blanco</t>
        </is>
      </c>
      <c r="I3618" s="16" t="n">
        <v>2</v>
      </c>
      <c r="J3618" s="17" t="n">
        <v>238</v>
      </c>
      <c r="K3618" s="17" t="n">
        <v>247.08</v>
      </c>
      <c r="L3618" s="17" t="n">
        <v>0</v>
      </c>
      <c r="M3618" s="17" t="n">
        <v>0</v>
      </c>
      <c r="N3618" s="17">
        <f>K3618*0.08+L3618*0.08</f>
        <v/>
      </c>
      <c r="O3618" s="17">
        <f>-(K3618*0.025+L3618*0.025)</f>
        <v/>
      </c>
      <c r="P3618" s="17">
        <f>32</f>
        <v/>
      </c>
      <c r="Q3618" s="17">
        <f>J3618+L3618+N3618+O3618-P3618-M3618</f>
        <v/>
      </c>
    </row>
    <row r="3619">
      <c r="A3619" s="16" t="inlineStr">
        <is>
          <t>5.29-6.4</t>
        </is>
      </c>
      <c r="B3619" s="16" t="inlineStr">
        <is>
          <t>PO-128-13475872937591116</t>
        </is>
      </c>
      <c r="C3619" s="16" t="inlineStr">
        <is>
          <t>Delivered</t>
        </is>
      </c>
      <c r="D3619" s="16" t="inlineStr">
        <is>
          <t>128-13475851966071116</t>
        </is>
      </c>
      <c r="E3619" s="16" t="inlineStr">
        <is>
          <t>Delivered</t>
        </is>
      </c>
      <c r="F3619" s="16" t="inlineStr">
        <is>
          <t>LV54W25</t>
        </is>
      </c>
      <c r="G3619" s="16" t="inlineStr">
        <is>
          <t>TIANLAI Lámpara Ventilador E27 2 en 1, Silenciosa, LED Alta Luminosidad 180°, Instalación Rápida, Ahorro Energético para Dormitorio y Interiores Pequeños</t>
        </is>
      </c>
      <c r="H3619" s="16" t="inlineStr">
        <is>
          <t>1 Pieza</t>
        </is>
      </c>
      <c r="I3619" s="16" t="n">
        <v>1</v>
      </c>
      <c r="J3619" s="17" t="n">
        <v>74</v>
      </c>
      <c r="K3619" s="17" t="n">
        <v>78.83</v>
      </c>
      <c r="L3619" s="17" t="n">
        <v>25.86</v>
      </c>
      <c r="M3619" s="17" t="n">
        <v>0</v>
      </c>
      <c r="N3619" s="17">
        <f>K3619*0.08+L3619*0.08</f>
        <v/>
      </c>
      <c r="O3619" s="17">
        <f>-(K3619*0.025+L3619*0.025)</f>
        <v/>
      </c>
      <c r="P3619" s="17">
        <f>32</f>
        <v/>
      </c>
      <c r="Q3619" s="17">
        <f>J3619+L3619+N3619+O3619-P3619-M3619</f>
        <v/>
      </c>
    </row>
    <row r="3620">
      <c r="A3620" s="16" t="inlineStr">
        <is>
          <t>5.29-6.4</t>
        </is>
      </c>
      <c r="B3620" s="16" t="inlineStr">
        <is>
          <t>PO-128-13331353733753067</t>
        </is>
      </c>
      <c r="C3620" s="16" t="inlineStr">
        <is>
          <t>Delivered</t>
        </is>
      </c>
      <c r="D3620" s="16" t="inlineStr">
        <is>
          <t>128-13331369462393067</t>
        </is>
      </c>
      <c r="E3620" s="16" t="inlineStr">
        <is>
          <t>Delivered</t>
        </is>
      </c>
      <c r="F3620" s="16" t="inlineStr">
        <is>
          <t>LV64W25</t>
        </is>
      </c>
      <c r="G36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20" s="16" t="inlineStr">
        <is>
          <t>Blanco</t>
        </is>
      </c>
      <c r="I3620" s="16" t="n">
        <v>1</v>
      </c>
      <c r="J3620" s="17" t="n">
        <v>119</v>
      </c>
      <c r="K3620" s="17" t="n">
        <v>127.66</v>
      </c>
      <c r="L3620" s="17" t="n">
        <v>25.86</v>
      </c>
      <c r="M3620" s="17" t="n">
        <v>0</v>
      </c>
      <c r="N3620" s="17">
        <f>K3620*0.08+L3620*0.08</f>
        <v/>
      </c>
      <c r="O3620" s="17">
        <f>-(K3620*0.025+L3620*0.025)</f>
        <v/>
      </c>
      <c r="P3620" s="17">
        <f>32</f>
        <v/>
      </c>
      <c r="Q3620" s="17">
        <f>J3620+L3620+N3620+O3620-P3620-M3620</f>
        <v/>
      </c>
    </row>
    <row r="3621">
      <c r="A3621" s="16" t="inlineStr">
        <is>
          <t>5.29-6.4</t>
        </is>
      </c>
      <c r="B3621" s="16" t="inlineStr">
        <is>
          <t>PO-128-13614162442870356</t>
        </is>
      </c>
      <c r="C3621" s="16" t="inlineStr">
        <is>
          <t>Delivered</t>
        </is>
      </c>
      <c r="D3621" s="16" t="inlineStr">
        <is>
          <t>128-13614073313910356</t>
        </is>
      </c>
      <c r="E3621" s="16" t="inlineStr">
        <is>
          <t>Delivered</t>
        </is>
      </c>
      <c r="F3621" s="16" t="inlineStr">
        <is>
          <t>LV64W25</t>
        </is>
      </c>
      <c r="G36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21" s="16" t="inlineStr">
        <is>
          <t>Blanco</t>
        </is>
      </c>
      <c r="I3621" s="16" t="n">
        <v>1</v>
      </c>
      <c r="J3621" s="17" t="n">
        <v>119</v>
      </c>
      <c r="K3621" s="17" t="n">
        <v>123.54</v>
      </c>
      <c r="L3621" s="17" t="n">
        <v>25.86</v>
      </c>
      <c r="M3621" s="17" t="n">
        <v>0</v>
      </c>
      <c r="N3621" s="17">
        <f>K3621*0.08+L3621*0.08</f>
        <v/>
      </c>
      <c r="O3621" s="17">
        <f>-(K3621*0.025+L3621*0.025)</f>
        <v/>
      </c>
      <c r="P3621" s="17">
        <f>32</f>
        <v/>
      </c>
      <c r="Q3621" s="17">
        <f>J3621+L3621+N3621+O3621-P3621-M3621</f>
        <v/>
      </c>
    </row>
    <row r="3622">
      <c r="A3622" s="16" t="inlineStr">
        <is>
          <t>5.29-6.4</t>
        </is>
      </c>
      <c r="B3622" s="16" t="inlineStr">
        <is>
          <t>PO-128-13262690632312389</t>
        </is>
      </c>
      <c r="C3622" s="16" t="inlineStr">
        <is>
          <t>Delivered</t>
        </is>
      </c>
      <c r="D3622" s="16" t="inlineStr">
        <is>
          <t>128-13262648689272389</t>
        </is>
      </c>
      <c r="E3622" s="16" t="inlineStr">
        <is>
          <t>Delivered</t>
        </is>
      </c>
      <c r="F3622" s="16" t="inlineStr">
        <is>
          <t>LV54W25</t>
        </is>
      </c>
      <c r="G3622" s="16" t="inlineStr">
        <is>
          <t>TIANLAI Lámpara Ventilador E27 2 en 1, Silenciosa, LED Alta Luminosidad 180°, Instalación Rápida, Ahorro Energético para Dormitorio y Interiores Pequeños</t>
        </is>
      </c>
      <c r="H3622" s="16" t="inlineStr">
        <is>
          <t>1 Pieza</t>
        </is>
      </c>
      <c r="I3622" s="16" t="n">
        <v>3</v>
      </c>
      <c r="J3622" s="17" t="n">
        <v>222</v>
      </c>
      <c r="K3622" s="17" t="n">
        <v>231.36</v>
      </c>
      <c r="L3622" s="17" t="n">
        <v>25.86</v>
      </c>
      <c r="M3622" s="17" t="n">
        <v>0</v>
      </c>
      <c r="N3622" s="17">
        <f>K3622*0.08+L3622*0.08</f>
        <v/>
      </c>
      <c r="O3622" s="17">
        <f>-(K3622*0.025+L3622*0.025)</f>
        <v/>
      </c>
      <c r="P3622" s="17">
        <f>32</f>
        <v/>
      </c>
      <c r="Q3622" s="17">
        <f>J3622+L3622+N3622+O3622-P3622-M3622</f>
        <v/>
      </c>
    </row>
    <row r="3623">
      <c r="A3623" s="16" t="inlineStr">
        <is>
          <t>5.29-6.4</t>
        </is>
      </c>
      <c r="B3623" s="16" t="inlineStr">
        <is>
          <t>PO-128-13573736325750407</t>
        </is>
      </c>
      <c r="C3623" s="16" t="inlineStr">
        <is>
          <t>Delivered</t>
        </is>
      </c>
      <c r="D3623" s="16" t="inlineStr">
        <is>
          <t>128-13573694382710407</t>
        </is>
      </c>
      <c r="E3623" s="16" t="inlineStr">
        <is>
          <t>Delivered</t>
        </is>
      </c>
      <c r="F3623" s="16" t="inlineStr">
        <is>
          <t>LV64W25</t>
        </is>
      </c>
      <c r="G36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23" s="16" t="inlineStr">
        <is>
          <t>Blanco</t>
        </is>
      </c>
      <c r="I3623" s="16" t="n">
        <v>3</v>
      </c>
      <c r="J3623" s="17" t="n">
        <v>357</v>
      </c>
      <c r="K3623" s="17" t="n">
        <v>370.62</v>
      </c>
      <c r="L3623" s="17" t="n">
        <v>0</v>
      </c>
      <c r="M3623" s="17" t="n">
        <v>0</v>
      </c>
      <c r="N3623" s="17">
        <f>K3623*0.08+L3623*0.08</f>
        <v/>
      </c>
      <c r="O3623" s="17">
        <f>-(K3623*0.025+L3623*0.025)</f>
        <v/>
      </c>
      <c r="P3623" s="17">
        <f>32</f>
        <v/>
      </c>
      <c r="Q3623" s="17">
        <f>J3623+L3623+N3623+O3623-P3623-M3623</f>
        <v/>
      </c>
    </row>
    <row r="3624">
      <c r="A3624" s="16" t="inlineStr">
        <is>
          <t>5.29-6.4</t>
        </is>
      </c>
      <c r="B3624" s="16" t="inlineStr">
        <is>
          <t>PO-128-02326307418232999</t>
        </is>
      </c>
      <c r="C3624" s="16" t="inlineStr">
        <is>
          <t>Delivered</t>
        </is>
      </c>
      <c r="D3624" s="16" t="inlineStr">
        <is>
          <t>128-02326265475192999</t>
        </is>
      </c>
      <c r="E3624" s="16" t="inlineStr">
        <is>
          <t>Delivered</t>
        </is>
      </c>
      <c r="F3624" s="16" t="inlineStr">
        <is>
          <t>B03W10-10PZS</t>
        </is>
      </c>
      <c r="G362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624" s="16" t="inlineStr">
        <is>
          <t>B03W10</t>
        </is>
      </c>
      <c r="I3624" s="16" t="n">
        <v>1</v>
      </c>
      <c r="J3624" s="17" t="n">
        <v>66</v>
      </c>
      <c r="K3624" s="17" t="n">
        <v>73.42</v>
      </c>
      <c r="L3624" s="17" t="n">
        <v>25.86</v>
      </c>
      <c r="M3624" s="17" t="n">
        <v>0</v>
      </c>
      <c r="N3624" s="17">
        <f>K3624*0.08+L3624*0.08</f>
        <v/>
      </c>
      <c r="O3624" s="17">
        <f>-(K3624*0.025+L3624*0.025)</f>
        <v/>
      </c>
      <c r="P3624" s="17">
        <f>32</f>
        <v/>
      </c>
      <c r="Q3624" s="17">
        <f>J3624+L3624+N3624+O3624-P3624-M3624</f>
        <v/>
      </c>
    </row>
    <row r="3625">
      <c r="A3625" s="16" t="inlineStr">
        <is>
          <t>5.29-6.4</t>
        </is>
      </c>
      <c r="B3625" s="16" t="inlineStr">
        <is>
          <t>PO-128-02548734774391737</t>
        </is>
      </c>
      <c r="C3625" s="16" t="inlineStr">
        <is>
          <t>Delivered</t>
        </is>
      </c>
      <c r="D3625" s="16" t="inlineStr">
        <is>
          <t>128-02548755745911737</t>
        </is>
      </c>
      <c r="E3625" s="16" t="inlineStr">
        <is>
          <t>Delivered</t>
        </is>
      </c>
      <c r="F3625" s="16" t="inlineStr">
        <is>
          <t>LV54W25</t>
        </is>
      </c>
      <c r="G3625" s="16" t="inlineStr">
        <is>
          <t>TIANLAI Lámpara Ventilador E27 2 en 1, Silenciosa, LED Alta Luminosidad 180°, Instalación Rápida, Ahorro Energético para Dormitorio y Interiores Pequeños</t>
        </is>
      </c>
      <c r="H3625" s="16" t="inlineStr">
        <is>
          <t>1 Pieza</t>
        </is>
      </c>
      <c r="I3625" s="16" t="n">
        <v>1</v>
      </c>
      <c r="J3625" s="17" t="n">
        <v>74</v>
      </c>
      <c r="K3625" s="17" t="n">
        <v>78.83</v>
      </c>
      <c r="L3625" s="17" t="n">
        <v>25.86</v>
      </c>
      <c r="M3625" s="17" t="n">
        <v>0</v>
      </c>
      <c r="N3625" s="17">
        <f>K3625*0.08+L3625*0.08</f>
        <v/>
      </c>
      <c r="O3625" s="17">
        <f>-(K3625*0.025+L3625*0.025)</f>
        <v/>
      </c>
      <c r="P3625" s="17">
        <f>32</f>
        <v/>
      </c>
      <c r="Q3625" s="17">
        <f>J3625+L3625+N3625+O3625-P3625-M3625</f>
        <v/>
      </c>
    </row>
    <row r="3626">
      <c r="A3626" s="16" t="inlineStr">
        <is>
          <t>5.29-6.4</t>
        </is>
      </c>
      <c r="B3626" s="16" t="inlineStr">
        <is>
          <t>PO-128-02152012096633972</t>
        </is>
      </c>
      <c r="C3626" s="16" t="inlineStr">
        <is>
          <t>Delivered</t>
        </is>
      </c>
      <c r="D3626" s="16" t="inlineStr">
        <is>
          <t>128-02152001610873972</t>
        </is>
      </c>
      <c r="E3626" s="16" t="inlineStr">
        <is>
          <t>Delivered</t>
        </is>
      </c>
      <c r="F3626" s="16" t="inlineStr">
        <is>
          <t>LV54W25</t>
        </is>
      </c>
      <c r="G3626" s="16" t="inlineStr">
        <is>
          <t>TIANLAI Lámpara Ventilador E27 2 en 1, Silenciosa, LED Alta Luminosidad 180°, Instalación Rápida, Ahorro Energético para Dormitorio y Interiores Pequeños</t>
        </is>
      </c>
      <c r="H3626" s="16" t="inlineStr">
        <is>
          <t>1 Pieza</t>
        </is>
      </c>
      <c r="I3626" s="16" t="n">
        <v>1</v>
      </c>
      <c r="J3626" s="17" t="n">
        <v>74</v>
      </c>
      <c r="K3626" s="17" t="n">
        <v>78.83</v>
      </c>
      <c r="L3626" s="17" t="n">
        <v>25.86</v>
      </c>
      <c r="M3626" s="17" t="n">
        <v>0</v>
      </c>
      <c r="N3626" s="17">
        <f>K3626*0.08+L3626*0.08</f>
        <v/>
      </c>
      <c r="O3626" s="17">
        <f>-(K3626*0.025+L3626*0.025)</f>
        <v/>
      </c>
      <c r="P3626" s="17">
        <f>32</f>
        <v/>
      </c>
      <c r="Q3626" s="17">
        <f>J3626+L3626+N3626+O3626-P3626-M3626</f>
        <v/>
      </c>
    </row>
    <row r="3627">
      <c r="A3627" s="16" t="inlineStr">
        <is>
          <t>5.29-6.4</t>
        </is>
      </c>
      <c r="B3627" s="16" t="inlineStr">
        <is>
          <t>PO-128-02589288558710471</t>
        </is>
      </c>
      <c r="C3627" s="16" t="inlineStr">
        <is>
          <t>Delivered</t>
        </is>
      </c>
      <c r="D3627" s="16" t="inlineStr">
        <is>
          <t>128-02589257101430471</t>
        </is>
      </c>
      <c r="E3627" s="16" t="inlineStr">
        <is>
          <t>Delivered</t>
        </is>
      </c>
      <c r="F3627" s="16" t="inlineStr">
        <is>
          <t>LV64W25</t>
        </is>
      </c>
      <c r="G36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27" s="16" t="inlineStr">
        <is>
          <t>Blanco</t>
        </is>
      </c>
      <c r="I3627" s="16" t="n">
        <v>1</v>
      </c>
      <c r="J3627" s="17" t="n">
        <v>119</v>
      </c>
      <c r="K3627" s="17" t="n">
        <v>123.54</v>
      </c>
      <c r="L3627" s="17" t="n">
        <v>0</v>
      </c>
      <c r="M3627" s="17" t="n">
        <v>0</v>
      </c>
      <c r="N3627" s="17">
        <f>K3627*0.08+L3627*0.08</f>
        <v/>
      </c>
      <c r="O3627" s="17">
        <f>-(K3627*0.025+L3627*0.025)</f>
        <v/>
      </c>
      <c r="P3627" s="17">
        <f>32</f>
        <v/>
      </c>
      <c r="Q3627" s="17">
        <f>J3627+L3627+N3627+O3627-P3627-M3627</f>
        <v/>
      </c>
    </row>
    <row r="3628">
      <c r="A3628" s="16" t="inlineStr">
        <is>
          <t>5.29-6.4</t>
        </is>
      </c>
      <c r="B3628" s="16" t="inlineStr">
        <is>
          <t>PO-128-02589288558710471</t>
        </is>
      </c>
      <c r="C3628" s="16" t="inlineStr">
        <is>
          <t>Delivered</t>
        </is>
      </c>
      <c r="D3628" s="16" t="inlineStr">
        <is>
          <t>128-02589246615670471</t>
        </is>
      </c>
      <c r="E3628" s="16" t="inlineStr">
        <is>
          <t>Delivered</t>
        </is>
      </c>
      <c r="F3628" s="16" t="inlineStr">
        <is>
          <t>LV54W25</t>
        </is>
      </c>
      <c r="G3628" s="16" t="inlineStr">
        <is>
          <t>TIANLAI Lámpara Ventilador E27 2 en 1, Silenciosa, LED Alta Luminosidad 180°, Instalación Rápida, Ahorro Energético para Dormitorio y Interiores Pequeños</t>
        </is>
      </c>
      <c r="H3628" s="16" t="inlineStr">
        <is>
          <t>1 Pieza</t>
        </is>
      </c>
      <c r="I3628" s="16" t="n">
        <v>2</v>
      </c>
      <c r="J3628" s="17" t="n">
        <v>148</v>
      </c>
      <c r="K3628" s="17" t="n">
        <v>154.24</v>
      </c>
      <c r="L3628" s="17" t="n">
        <v>0</v>
      </c>
      <c r="M3628" s="17" t="n">
        <v>0</v>
      </c>
      <c r="N3628" s="17">
        <f>K3628*0.08+L3628*0.08</f>
        <v/>
      </c>
      <c r="O3628" s="17">
        <f>-(K3628*0.025+L3628*0.025)</f>
        <v/>
      </c>
      <c r="P3628" s="17">
        <f>32</f>
        <v/>
      </c>
      <c r="Q3628" s="17">
        <f>J3628+L3628+N3628+O3628-P3628-M3628</f>
        <v/>
      </c>
    </row>
    <row r="3629">
      <c r="A3629" s="16" t="inlineStr">
        <is>
          <t>5.29-6.4</t>
        </is>
      </c>
      <c r="B3629" s="16" t="inlineStr">
        <is>
          <t>PO-128-02302242588792052</t>
        </is>
      </c>
      <c r="C3629" s="16" t="inlineStr">
        <is>
          <t>Delivered</t>
        </is>
      </c>
      <c r="D3629" s="16" t="inlineStr">
        <is>
          <t>128-02302200645752052</t>
        </is>
      </c>
      <c r="E3629" s="16" t="inlineStr">
        <is>
          <t>Delivered</t>
        </is>
      </c>
      <c r="F3629" s="16" t="inlineStr">
        <is>
          <t>LV54W25</t>
        </is>
      </c>
      <c r="G3629" s="16" t="inlineStr">
        <is>
          <t>TIANLAI Lámpara Ventilador E27 2 en 1, Silenciosa, LED Alta Luminosidad 180°, Instalación Rápida, Ahorro Energético para Dormitorio y Interiores Pequeños</t>
        </is>
      </c>
      <c r="H3629" s="16" t="inlineStr">
        <is>
          <t>1 Pieza</t>
        </is>
      </c>
      <c r="I3629" s="16" t="n">
        <v>2</v>
      </c>
      <c r="J3629" s="17" t="n">
        <v>148</v>
      </c>
      <c r="K3629" s="17" t="n">
        <v>157.66</v>
      </c>
      <c r="L3629" s="17" t="n">
        <v>25.86</v>
      </c>
      <c r="M3629" s="17" t="n">
        <v>0</v>
      </c>
      <c r="N3629" s="17">
        <f>K3629*0.08+L3629*0.08</f>
        <v/>
      </c>
      <c r="O3629" s="17">
        <f>-(K3629*0.025+L3629*0.025)</f>
        <v/>
      </c>
      <c r="P3629" s="17">
        <f>32</f>
        <v/>
      </c>
      <c r="Q3629" s="17">
        <f>J3629+L3629+N3629+O3629-P3629-M3629</f>
        <v/>
      </c>
    </row>
    <row r="3630">
      <c r="A3630" s="16" t="inlineStr">
        <is>
          <t>5.29-6.4</t>
        </is>
      </c>
      <c r="B3630" s="16" t="inlineStr">
        <is>
          <t>PO-128-02326165553272999</t>
        </is>
      </c>
      <c r="C3630" s="16" t="inlineStr">
        <is>
          <t>Delivered</t>
        </is>
      </c>
      <c r="D3630" s="16" t="inlineStr">
        <is>
          <t>128-02326241575032999</t>
        </is>
      </c>
      <c r="E3630" s="16" t="inlineStr">
        <is>
          <t>Delivered</t>
        </is>
      </c>
      <c r="F3630" s="16" t="inlineStr">
        <is>
          <t>VA371T</t>
        </is>
      </c>
      <c r="G3630" s="16" t="inlineStr">
        <is>
          <t>Linkbits Bocina Bluetooth Portátil 3" de Alta Gama，Hi-Res Audio y Graves Potentes，Luces LED + Soporte USB/TF/FM/TWS，Ideal para Hogar y Aire Libre</t>
        </is>
      </c>
      <c r="H3630" s="16" t="inlineStr">
        <is>
          <t>VA371T</t>
        </is>
      </c>
      <c r="I3630" s="16" t="n">
        <v>1</v>
      </c>
      <c r="J3630" s="17" t="n">
        <v>41.32</v>
      </c>
      <c r="K3630" s="17" t="n">
        <v>49.7</v>
      </c>
      <c r="L3630" s="17" t="n">
        <v>25.86</v>
      </c>
      <c r="M3630" s="17" t="n">
        <v>0</v>
      </c>
      <c r="N3630" s="17">
        <f>K3630*0.08+L3630*0.08</f>
        <v/>
      </c>
      <c r="O3630" s="17">
        <f>-(K3630*0.025+L3630*0.025)</f>
        <v/>
      </c>
      <c r="P3630" s="17">
        <f>32</f>
        <v/>
      </c>
      <c r="Q3630" s="17">
        <f>J3630+L3630+N3630+O3630-P3630-M3630</f>
        <v/>
      </c>
    </row>
    <row r="3631">
      <c r="A3631" s="16" t="inlineStr">
        <is>
          <t>5.29-6.4</t>
        </is>
      </c>
      <c r="B3631" s="16" t="inlineStr">
        <is>
          <t>PO-128-02720335675510712</t>
        </is>
      </c>
      <c r="C3631" s="16" t="inlineStr">
        <is>
          <t>Delivered</t>
        </is>
      </c>
      <c r="D3631" s="16" t="inlineStr">
        <is>
          <t>128-02720325189750712</t>
        </is>
      </c>
      <c r="E3631" s="16" t="inlineStr">
        <is>
          <t>Delivered</t>
        </is>
      </c>
      <c r="F3631" s="16" t="inlineStr">
        <is>
          <t>LV54W25</t>
        </is>
      </c>
      <c r="G3631" s="16" t="inlineStr">
        <is>
          <t>TIANLAI Lámpara Ventilador E27 2 en 1, Silenciosa, LED Alta Luminosidad 180°, Instalación Rápida, Ahorro Energético para Dormitorio y Interiores Pequeños</t>
        </is>
      </c>
      <c r="H3631" s="16" t="inlineStr">
        <is>
          <t>1 Pieza</t>
        </is>
      </c>
      <c r="I3631" s="16" t="n">
        <v>1</v>
      </c>
      <c r="J3631" s="17" t="n">
        <v>74</v>
      </c>
      <c r="K3631" s="17" t="n">
        <v>85.68000000000001</v>
      </c>
      <c r="L3631" s="17" t="n">
        <v>25.86</v>
      </c>
      <c r="M3631" s="17" t="n">
        <v>0</v>
      </c>
      <c r="N3631" s="17">
        <f>K3631*0.08+L3631*0.08</f>
        <v/>
      </c>
      <c r="O3631" s="17">
        <f>-(K3631*0.025+L3631*0.025)</f>
        <v/>
      </c>
      <c r="P3631" s="17">
        <f>32</f>
        <v/>
      </c>
      <c r="Q3631" s="17">
        <f>J3631+L3631+N3631+O3631-P3631-M3631</f>
        <v/>
      </c>
    </row>
    <row r="3632">
      <c r="A3632" s="16" t="inlineStr">
        <is>
          <t>5.29-6.4</t>
        </is>
      </c>
      <c r="B3632" s="16" t="inlineStr">
        <is>
          <t>PO-128-02126478042233100</t>
        </is>
      </c>
      <c r="C3632" s="16" t="inlineStr">
        <is>
          <t>Delivered</t>
        </is>
      </c>
      <c r="D3632" s="16" t="inlineStr">
        <is>
          <t>128-02126436099193100</t>
        </is>
      </c>
      <c r="E3632" s="16" t="inlineStr">
        <is>
          <t>Delivered</t>
        </is>
      </c>
      <c r="F3632" s="16" t="inlineStr">
        <is>
          <t>LV54W25</t>
        </is>
      </c>
      <c r="G3632" s="16" t="inlineStr">
        <is>
          <t>TIANLAI Lámpara Ventilador E27 2 en 1, Silenciosa, LED Alta Luminosidad 180°, Instalación Rápida, Ahorro Energético para Dormitorio y Interiores Pequeños</t>
        </is>
      </c>
      <c r="H3632" s="16" t="inlineStr">
        <is>
          <t>1 Pieza</t>
        </is>
      </c>
      <c r="I3632" s="16" t="n">
        <v>1</v>
      </c>
      <c r="J3632" s="17" t="n">
        <v>74</v>
      </c>
      <c r="K3632" s="17" t="n">
        <v>35.73</v>
      </c>
      <c r="L3632" s="17" t="n">
        <v>25.86</v>
      </c>
      <c r="M3632" s="17" t="n">
        <v>0</v>
      </c>
      <c r="N3632" s="17">
        <f>K3632*0.08+L3632*0.08</f>
        <v/>
      </c>
      <c r="O3632" s="17">
        <f>-(K3632*0.025+L3632*0.025)</f>
        <v/>
      </c>
      <c r="P3632" s="17">
        <f>32</f>
        <v/>
      </c>
      <c r="Q3632" s="17">
        <f>J3632+L3632+N3632+O3632-P3632-M3632</f>
        <v/>
      </c>
    </row>
    <row r="3633">
      <c r="A3633" s="16" t="inlineStr">
        <is>
          <t>5.29-6.4</t>
        </is>
      </c>
      <c r="B3633" s="16" t="inlineStr">
        <is>
          <t>PO-128-02371304809592728</t>
        </is>
      </c>
      <c r="C3633" s="16" t="inlineStr">
        <is>
          <t>Delivered</t>
        </is>
      </c>
      <c r="D3633" s="16" t="inlineStr">
        <is>
          <t>128-02371315295352728</t>
        </is>
      </c>
      <c r="E3633" s="16" t="inlineStr">
        <is>
          <t>Delivered</t>
        </is>
      </c>
      <c r="F3633" s="16" t="inlineStr">
        <is>
          <t>LV54W25</t>
        </is>
      </c>
      <c r="G3633" s="16" t="inlineStr">
        <is>
          <t>TIANLAI Lámpara Ventilador E27 2 en 1, Silenciosa, LED Alta Luminosidad 180°, Instalación Rápida, Ahorro Energético para Dormitorio y Interiores Pequeños</t>
        </is>
      </c>
      <c r="H3633" s="16" t="inlineStr">
        <is>
          <t>1 Pieza</t>
        </is>
      </c>
      <c r="I3633" s="16" t="n">
        <v>1</v>
      </c>
      <c r="J3633" s="17" t="n">
        <v>74</v>
      </c>
      <c r="K3633" s="17" t="n">
        <v>77.12</v>
      </c>
      <c r="L3633" s="17" t="n">
        <v>25.86</v>
      </c>
      <c r="M3633" s="17" t="n">
        <v>0</v>
      </c>
      <c r="N3633" s="17">
        <f>K3633*0.08+L3633*0.08</f>
        <v/>
      </c>
      <c r="O3633" s="17">
        <f>-(K3633*0.025+L3633*0.025)</f>
        <v/>
      </c>
      <c r="P3633" s="17">
        <f>32</f>
        <v/>
      </c>
      <c r="Q3633" s="17">
        <f>J3633+L3633+N3633+O3633-P3633-M3633</f>
        <v/>
      </c>
    </row>
    <row r="3634">
      <c r="A3634" s="16" t="inlineStr">
        <is>
          <t>5.29-6.4</t>
        </is>
      </c>
      <c r="B3634" s="16" t="inlineStr">
        <is>
          <t>PO-128-02349572309112858</t>
        </is>
      </c>
      <c r="C3634" s="16" t="inlineStr">
        <is>
          <t>Delivered</t>
        </is>
      </c>
      <c r="D3634" s="16" t="inlineStr">
        <is>
          <t>128-02349556580472858</t>
        </is>
      </c>
      <c r="E3634" s="16" t="inlineStr">
        <is>
          <t>Delivered</t>
        </is>
      </c>
      <c r="F3634" s="16" t="inlineStr">
        <is>
          <t>BG-115-B</t>
        </is>
      </c>
      <c r="G3634" s="16" t="inlineStr">
        <is>
          <t>LINK BITS Audífonos Inalámbricos con Luces Multicolor, Recargables y en Adorable Forma de Orejas de Gato - Conecta a Celulares y PCs, Tiene Radio FM, Tarjeta TF y AUX - 7 Horas de Reproducción, Plegables y Perfectos para Trabajo, Juegos y Estudio</t>
        </is>
      </c>
      <c r="H3634" s="16" t="inlineStr">
        <is>
          <t>blanco</t>
        </is>
      </c>
      <c r="I3634" s="16" t="n">
        <v>1</v>
      </c>
      <c r="J3634" s="17" t="n">
        <v>74.25</v>
      </c>
      <c r="K3634" s="17" t="n">
        <v>84.97</v>
      </c>
      <c r="L3634" s="17" t="n">
        <v>25.86</v>
      </c>
      <c r="M3634" s="17" t="n">
        <v>0</v>
      </c>
      <c r="N3634" s="17">
        <f>K3634*0.08+L3634*0.08</f>
        <v/>
      </c>
      <c r="O3634" s="17">
        <f>-(K3634*0.025+L3634*0.025)</f>
        <v/>
      </c>
      <c r="P3634" s="17">
        <f>32</f>
        <v/>
      </c>
      <c r="Q3634" s="17">
        <f>J3634+L3634+N3634+O3634-P3634-M3634</f>
        <v/>
      </c>
    </row>
    <row r="3635">
      <c r="A3635" s="16" t="inlineStr">
        <is>
          <t>5.29-6.4</t>
        </is>
      </c>
      <c r="B3635" s="16" t="inlineStr">
        <is>
          <t>PO-128-02680888676471013</t>
        </is>
      </c>
      <c r="C3635" s="16" t="inlineStr">
        <is>
          <t>Delivered</t>
        </is>
      </c>
      <c r="D3635" s="16" t="inlineStr">
        <is>
          <t>128-02680857219191013</t>
        </is>
      </c>
      <c r="E3635" s="16" t="inlineStr">
        <is>
          <t>Delivered</t>
        </is>
      </c>
      <c r="F3635" s="16" t="inlineStr">
        <is>
          <t>LV64W25</t>
        </is>
      </c>
      <c r="G363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35" s="16" t="inlineStr">
        <is>
          <t>Blanco</t>
        </is>
      </c>
      <c r="I3635" s="16" t="n">
        <v>1</v>
      </c>
      <c r="J3635" s="17" t="n">
        <v>119</v>
      </c>
      <c r="K3635" s="17" t="n">
        <v>127.66</v>
      </c>
      <c r="L3635" s="17" t="n">
        <v>25.86</v>
      </c>
      <c r="M3635" s="17" t="n">
        <v>0</v>
      </c>
      <c r="N3635" s="17">
        <f>K3635*0.08+L3635*0.08</f>
        <v/>
      </c>
      <c r="O3635" s="17">
        <f>-(K3635*0.025+L3635*0.025)</f>
        <v/>
      </c>
      <c r="P3635" s="17">
        <f>32</f>
        <v/>
      </c>
      <c r="Q3635" s="17">
        <f>J3635+L3635+N3635+O3635-P3635-M3635</f>
        <v/>
      </c>
    </row>
    <row r="3636">
      <c r="A3636" s="16" t="inlineStr">
        <is>
          <t>5.29-6.4</t>
        </is>
      </c>
      <c r="B3636" s="16" t="inlineStr">
        <is>
          <t>PO-128-02731949540470517</t>
        </is>
      </c>
      <c r="C3636" s="16" t="inlineStr">
        <is>
          <t>Delivered</t>
        </is>
      </c>
      <c r="D3636" s="16" t="inlineStr">
        <is>
          <t>128-02731970511990517</t>
        </is>
      </c>
      <c r="E3636" s="16" t="inlineStr">
        <is>
          <t>Delivered</t>
        </is>
      </c>
      <c r="F3636" s="16" t="inlineStr">
        <is>
          <t>LV54W25</t>
        </is>
      </c>
      <c r="G3636" s="16" t="inlineStr">
        <is>
          <t>TIANLAI Lámpara Ventilador E27 2 en 1, Silenciosa, LED Alta Luminosidad 180°, Instalación Rápida, Ahorro Energético para Dormitorio y Interiores Pequeños</t>
        </is>
      </c>
      <c r="H3636" s="16" t="inlineStr">
        <is>
          <t>1 Pieza</t>
        </is>
      </c>
      <c r="I3636" s="16" t="n">
        <v>1</v>
      </c>
      <c r="J3636" s="17" t="n">
        <v>74</v>
      </c>
      <c r="K3636" s="17" t="n">
        <v>85.68000000000001</v>
      </c>
      <c r="L3636" s="17" t="n">
        <v>25.86</v>
      </c>
      <c r="M3636" s="17" t="n">
        <v>0</v>
      </c>
      <c r="N3636" s="17">
        <f>K3636*0.08+L3636*0.08</f>
        <v/>
      </c>
      <c r="O3636" s="17">
        <f>-(K3636*0.025+L3636*0.025)</f>
        <v/>
      </c>
      <c r="P3636" s="17">
        <f>32</f>
        <v/>
      </c>
      <c r="Q3636" s="17">
        <f>J3636+L3636+N3636+O3636-P3636-M3636</f>
        <v/>
      </c>
    </row>
    <row r="3637">
      <c r="A3637" s="16" t="inlineStr">
        <is>
          <t>5.29-6.4</t>
        </is>
      </c>
      <c r="B3637" s="16" t="inlineStr">
        <is>
          <t>PO-128-02557636001911554</t>
        </is>
      </c>
      <c r="C3637" s="16" t="inlineStr">
        <is>
          <t>Delivered</t>
        </is>
      </c>
      <c r="D3637" s="16" t="inlineStr">
        <is>
          <t>128-02557656973431554</t>
        </is>
      </c>
      <c r="E3637" s="16" t="inlineStr">
        <is>
          <t>Delivered</t>
        </is>
      </c>
      <c r="F3637" s="16" t="inlineStr">
        <is>
          <t>LV54W25</t>
        </is>
      </c>
      <c r="G3637" s="16" t="inlineStr">
        <is>
          <t>TIANLAI Lámpara Ventilador E27 2 en 1, Silenciosa, LED Alta Luminosidad 180°, Instalación Rápida, Ahorro Energético para Dormitorio y Interiores Pequeños</t>
        </is>
      </c>
      <c r="H3637" s="16" t="inlineStr">
        <is>
          <t>1 Pieza</t>
        </is>
      </c>
      <c r="I3637" s="16" t="n">
        <v>2</v>
      </c>
      <c r="J3637" s="17" t="n">
        <v>148</v>
      </c>
      <c r="K3637" s="17" t="n">
        <v>145.67</v>
      </c>
      <c r="L3637" s="17" t="n">
        <v>25.86</v>
      </c>
      <c r="M3637" s="17" t="n">
        <v>0</v>
      </c>
      <c r="N3637" s="17">
        <f>K3637*0.08+L3637*0.08</f>
        <v/>
      </c>
      <c r="O3637" s="17">
        <f>-(K3637*0.025+L3637*0.025)</f>
        <v/>
      </c>
      <c r="P3637" s="17">
        <f>32</f>
        <v/>
      </c>
      <c r="Q3637" s="17">
        <f>J3637+L3637+N3637+O3637-P3637-M3637</f>
        <v/>
      </c>
    </row>
    <row r="3638">
      <c r="A3638" s="16" t="inlineStr">
        <is>
          <t>5.29-6.4</t>
        </is>
      </c>
      <c r="B3638" s="16" t="inlineStr">
        <is>
          <t>PO-128-02381703539832794</t>
        </is>
      </c>
      <c r="C3638" s="16" t="inlineStr">
        <is>
          <t>Delivered</t>
        </is>
      </c>
      <c r="D3638" s="16" t="inlineStr">
        <is>
          <t>128-02381750725752794</t>
        </is>
      </c>
      <c r="E3638" s="16" t="inlineStr">
        <is>
          <t>Delivered</t>
        </is>
      </c>
      <c r="F3638" s="16" t="inlineStr">
        <is>
          <t>LV54W25</t>
        </is>
      </c>
      <c r="G3638" s="16" t="inlineStr">
        <is>
          <t>TIANLAI Lámpara Ventilador E27 2 en 1, Silenciosa, LED Alta Luminosidad 180°, Instalación Rápida, Ahorro Energético para Dormitorio y Interiores Pequeños</t>
        </is>
      </c>
      <c r="H3638" s="16" t="inlineStr">
        <is>
          <t>1 Pieza</t>
        </is>
      </c>
      <c r="I3638" s="16" t="n">
        <v>2</v>
      </c>
      <c r="J3638" s="17" t="n">
        <v>148</v>
      </c>
      <c r="K3638" s="17" t="n">
        <v>138.09</v>
      </c>
      <c r="L3638" s="17" t="n">
        <v>25.86</v>
      </c>
      <c r="M3638" s="17" t="n">
        <v>0</v>
      </c>
      <c r="N3638" s="17">
        <f>K3638*0.08+L3638*0.08</f>
        <v/>
      </c>
      <c r="O3638" s="17">
        <f>-(K3638*0.025+L3638*0.025)</f>
        <v/>
      </c>
      <c r="P3638" s="17">
        <f>32</f>
        <v/>
      </c>
      <c r="Q3638" s="17">
        <f>J3638+L3638+N3638+O3638-P3638-M3638</f>
        <v/>
      </c>
    </row>
    <row r="3639">
      <c r="A3639" s="16" t="inlineStr">
        <is>
          <t>5.29-6.4</t>
        </is>
      </c>
      <c r="B3639" s="16" t="inlineStr">
        <is>
          <t>PO-128-02113466376313243</t>
        </is>
      </c>
      <c r="C3639" s="16" t="inlineStr">
        <is>
          <t>Delivered</t>
        </is>
      </c>
      <c r="D3639" s="16" t="inlineStr">
        <is>
          <t>128-02113482104953243</t>
        </is>
      </c>
      <c r="E3639" s="16" t="inlineStr">
        <is>
          <t>Delivered</t>
        </is>
      </c>
      <c r="F3639" s="16" t="inlineStr">
        <is>
          <t>LV54W25</t>
        </is>
      </c>
      <c r="G3639" s="16" t="inlineStr">
        <is>
          <t>TIANLAI Lámpara Ventilador E27 2 en 1, Silenciosa, LED Alta Luminosidad 180°, Instalación Rápida, Ahorro Energético para Dormitorio y Interiores Pequeños</t>
        </is>
      </c>
      <c r="H3639" s="16" t="inlineStr">
        <is>
          <t>1 Pieza</t>
        </is>
      </c>
      <c r="I3639" s="16" t="n">
        <v>1</v>
      </c>
      <c r="J3639" s="17" t="n">
        <v>74</v>
      </c>
      <c r="K3639" s="17" t="n">
        <v>78.83</v>
      </c>
      <c r="L3639" s="17" t="n">
        <v>25.86</v>
      </c>
      <c r="M3639" s="17" t="n">
        <v>0</v>
      </c>
      <c r="N3639" s="17">
        <f>K3639*0.08+L3639*0.08</f>
        <v/>
      </c>
      <c r="O3639" s="17">
        <f>-(K3639*0.025+L3639*0.025)</f>
        <v/>
      </c>
      <c r="P3639" s="17">
        <f>32</f>
        <v/>
      </c>
      <c r="Q3639" s="17">
        <f>J3639+L3639+N3639+O3639-P3639-M3639</f>
        <v/>
      </c>
    </row>
    <row r="3640">
      <c r="A3640" s="16" t="inlineStr">
        <is>
          <t>5.29-6.4</t>
        </is>
      </c>
      <c r="B3640" s="16" t="inlineStr">
        <is>
          <t>PO-128-02721915154550705</t>
        </is>
      </c>
      <c r="C3640" s="16" t="inlineStr">
        <is>
          <t>Delivered</t>
        </is>
      </c>
      <c r="D3640" s="16" t="inlineStr">
        <is>
          <t>128-02721873211510705</t>
        </is>
      </c>
      <c r="E3640" s="16" t="inlineStr">
        <is>
          <t>Delivered</t>
        </is>
      </c>
      <c r="F3640" s="16" t="inlineStr">
        <is>
          <t>KTS-2031</t>
        </is>
      </c>
      <c r="G3640" s="16" t="inlineStr">
        <is>
          <t>Bocina inalámbrica de 3 pulgadas con linterna multifuncional y panel solar integrado.Altavoz Portátil con Linterna LED 4 Modos, Radio FM, Bluetooth, Carga Solar, Ideal para Apagones, Emergencias, Campo y Exteriores</t>
        </is>
      </c>
      <c r="H3640" s="16" t="inlineStr">
        <is>
          <t>NEGRO</t>
        </is>
      </c>
      <c r="I3640" s="16" t="n">
        <v>1</v>
      </c>
      <c r="J3640" s="17" t="n">
        <v>88</v>
      </c>
      <c r="K3640" s="17" t="n">
        <v>97.22</v>
      </c>
      <c r="L3640" s="17" t="n">
        <v>25.86</v>
      </c>
      <c r="M3640" s="17" t="n">
        <v>0</v>
      </c>
      <c r="N3640" s="17">
        <f>K3640*0.08+L3640*0.08</f>
        <v/>
      </c>
      <c r="O3640" s="17">
        <f>-(K3640*0.025+L3640*0.025)</f>
        <v/>
      </c>
      <c r="P3640" s="17">
        <f>32</f>
        <v/>
      </c>
      <c r="Q3640" s="17">
        <f>J3640+L3640+N3640+O3640-P3640-M3640</f>
        <v/>
      </c>
    </row>
    <row r="3641">
      <c r="A3641" s="16" t="inlineStr">
        <is>
          <t>5.29-6.4</t>
        </is>
      </c>
      <c r="B3641" s="16" t="inlineStr">
        <is>
          <t>PO-128-02320486776952969</t>
        </is>
      </c>
      <c r="C3641" s="16" t="inlineStr">
        <is>
          <t>Delivered</t>
        </is>
      </c>
      <c r="D3641" s="16" t="inlineStr">
        <is>
          <t>128-02320507748472969</t>
        </is>
      </c>
      <c r="E3641" s="16" t="inlineStr">
        <is>
          <t>Delivered</t>
        </is>
      </c>
      <c r="F3641" s="16" t="inlineStr">
        <is>
          <t>LV64W25</t>
        </is>
      </c>
      <c r="G36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41" s="16" t="inlineStr">
        <is>
          <t>Blanco</t>
        </is>
      </c>
      <c r="I3641" s="16" t="n">
        <v>1</v>
      </c>
      <c r="J3641" s="17" t="n">
        <v>119</v>
      </c>
      <c r="K3641" s="17" t="n">
        <v>123.54</v>
      </c>
      <c r="L3641" s="17" t="n">
        <v>25.86</v>
      </c>
      <c r="M3641" s="17" t="n">
        <v>0</v>
      </c>
      <c r="N3641" s="17">
        <f>K3641*0.08+L3641*0.08</f>
        <v/>
      </c>
      <c r="O3641" s="17">
        <f>-(K3641*0.025+L3641*0.025)</f>
        <v/>
      </c>
      <c r="P3641" s="17">
        <f>32</f>
        <v/>
      </c>
      <c r="Q3641" s="17">
        <f>J3641+L3641+N3641+O3641-P3641-M3641</f>
        <v/>
      </c>
    </row>
    <row r="3642">
      <c r="A3642" s="16" t="inlineStr">
        <is>
          <t>5.29-6.4</t>
        </is>
      </c>
      <c r="B3642" s="16" t="inlineStr">
        <is>
          <t>PO-128-02524994931831876</t>
        </is>
      </c>
      <c r="C3642" s="16" t="inlineStr">
        <is>
          <t>Delivered</t>
        </is>
      </c>
      <c r="D3642" s="16" t="inlineStr">
        <is>
          <t>128-02524987067511876</t>
        </is>
      </c>
      <c r="E3642" s="16" t="inlineStr">
        <is>
          <t>Delivered</t>
        </is>
      </c>
      <c r="F3642" s="16" t="inlineStr">
        <is>
          <t>LV54W25</t>
        </is>
      </c>
      <c r="G3642" s="16" t="inlineStr">
        <is>
          <t>TIANLAI Lámpara Ventilador E27 2 en 1, Silenciosa, LED Alta Luminosidad 180°, Instalación Rápida, Ahorro Energético para Dormitorio y Interiores Pequeños</t>
        </is>
      </c>
      <c r="H3642" s="16" t="inlineStr">
        <is>
          <t>1 Pieza</t>
        </is>
      </c>
      <c r="I3642" s="16" t="n">
        <v>1</v>
      </c>
      <c r="J3642" s="17" t="n">
        <v>74</v>
      </c>
      <c r="K3642" s="17" t="n">
        <v>77.12</v>
      </c>
      <c r="L3642" s="17" t="n">
        <v>25.86</v>
      </c>
      <c r="M3642" s="17" t="n">
        <v>0</v>
      </c>
      <c r="N3642" s="17">
        <f>K3642*0.08+L3642*0.08</f>
        <v/>
      </c>
      <c r="O3642" s="17">
        <f>-(K3642*0.025+L3642*0.025)</f>
        <v/>
      </c>
      <c r="P3642" s="17">
        <f>32</f>
        <v/>
      </c>
      <c r="Q3642" s="17">
        <f>J3642+L3642+N3642+O3642-P3642-M3642</f>
        <v/>
      </c>
    </row>
    <row r="3643">
      <c r="A3643" s="16" t="inlineStr">
        <is>
          <t>5.29-6.4</t>
        </is>
      </c>
      <c r="B3643" s="16" t="inlineStr">
        <is>
          <t>PO-128-02327628583032991</t>
        </is>
      </c>
      <c r="C3643" s="16" t="inlineStr">
        <is>
          <t>Delivered</t>
        </is>
      </c>
      <c r="D3643" s="16" t="inlineStr">
        <is>
          <t>128-02327649554552991</t>
        </is>
      </c>
      <c r="E3643" s="16" t="inlineStr">
        <is>
          <t>Delivered</t>
        </is>
      </c>
      <c r="F3643" s="16" t="inlineStr">
        <is>
          <t>LV54W25</t>
        </is>
      </c>
      <c r="G3643" s="16" t="inlineStr">
        <is>
          <t>TIANLAI Lámpara Ventilador E27 2 en 1, Silenciosa, LED Alta Luminosidad 180°, Instalación Rápida, Ahorro Energético para Dormitorio y Interiores Pequeños</t>
        </is>
      </c>
      <c r="H3643" s="16" t="inlineStr">
        <is>
          <t>1 Pieza</t>
        </is>
      </c>
      <c r="I3643" s="16" t="n">
        <v>1</v>
      </c>
      <c r="J3643" s="17" t="n">
        <v>74</v>
      </c>
      <c r="K3643" s="17" t="n">
        <v>77.12</v>
      </c>
      <c r="L3643" s="17" t="n">
        <v>25.86</v>
      </c>
      <c r="M3643" s="17" t="n">
        <v>0</v>
      </c>
      <c r="N3643" s="17">
        <f>K3643*0.08+L3643*0.08</f>
        <v/>
      </c>
      <c r="O3643" s="17">
        <f>-(K3643*0.025+L3643*0.025)</f>
        <v/>
      </c>
      <c r="P3643" s="17">
        <f>32</f>
        <v/>
      </c>
      <c r="Q3643" s="17">
        <f>J3643+L3643+N3643+O3643-P3643-M3643</f>
        <v/>
      </c>
    </row>
    <row r="3644">
      <c r="A3644" s="16" t="inlineStr">
        <is>
          <t>5.29-6.4</t>
        </is>
      </c>
      <c r="B3644" s="16" t="inlineStr">
        <is>
          <t>PO-128-02497868777591974</t>
        </is>
      </c>
      <c r="C3644" s="16" t="inlineStr">
        <is>
          <t>Delivered</t>
        </is>
      </c>
      <c r="D3644" s="16" t="inlineStr">
        <is>
          <t>128-02497910720631974</t>
        </is>
      </c>
      <c r="E3644" s="16" t="inlineStr">
        <is>
          <t>Delivered</t>
        </is>
      </c>
      <c r="F3644" s="16" t="inlineStr">
        <is>
          <t>KTS-2031</t>
        </is>
      </c>
      <c r="G3644" s="16" t="inlineStr">
        <is>
          <t>Bocina inalámbrica de 3 pulgadas con linterna multifuncional y panel solar integrado.Altavoz Portátil con Linterna LED 4 Modos, Radio FM, Bluetooth, Carga Solar, Ideal para Apagones, Emergencias, Campo y Exteriores</t>
        </is>
      </c>
      <c r="H3644" s="16" t="inlineStr">
        <is>
          <t>NEGRO</t>
        </is>
      </c>
      <c r="I3644" s="16" t="n">
        <v>4</v>
      </c>
      <c r="J3644" s="17" t="n">
        <v>352</v>
      </c>
      <c r="K3644" s="17" t="n">
        <v>388.88</v>
      </c>
      <c r="L3644" s="17" t="n">
        <v>0</v>
      </c>
      <c r="M3644" s="17" t="n">
        <v>0</v>
      </c>
      <c r="N3644" s="17">
        <f>K3644*0.08+L3644*0.08</f>
        <v/>
      </c>
      <c r="O3644" s="17">
        <f>-(K3644*0.025+L3644*0.025)</f>
        <v/>
      </c>
      <c r="P3644" s="17">
        <f>32</f>
        <v/>
      </c>
      <c r="Q3644" s="17">
        <f>J3644+L3644+N3644+O3644-P3644-M3644</f>
        <v/>
      </c>
    </row>
    <row r="3645">
      <c r="A3645" s="16" t="inlineStr">
        <is>
          <t>5.29-6.4</t>
        </is>
      </c>
      <c r="B3645" s="16" t="inlineStr">
        <is>
          <t>PO-128-02265427592312337</t>
        </is>
      </c>
      <c r="C3645" s="16" t="inlineStr">
        <is>
          <t>Delivered</t>
        </is>
      </c>
      <c r="D3645" s="16" t="inlineStr">
        <is>
          <t>128-02265458803832337</t>
        </is>
      </c>
      <c r="E3645" s="16" t="inlineStr">
        <is>
          <t>Delivered</t>
        </is>
      </c>
      <c r="F3645" s="16" t="inlineStr">
        <is>
          <t>LV54W25</t>
        </is>
      </c>
      <c r="G3645" s="16" t="inlineStr">
        <is>
          <t>TIANLAI Lámpara Ventilador E27 2 en 1, Silenciosa, LED Alta Luminosidad 180°, Instalación Rápida, Ahorro Energético para Dormitorio y Interiores Pequeños</t>
        </is>
      </c>
      <c r="H3645" s="16" t="inlineStr">
        <is>
          <t>1 Pieza</t>
        </is>
      </c>
      <c r="I3645" s="16" t="n">
        <v>1</v>
      </c>
      <c r="J3645" s="17" t="n">
        <v>74</v>
      </c>
      <c r="K3645" s="17" t="n">
        <v>85.68000000000001</v>
      </c>
      <c r="L3645" s="17" t="n">
        <v>25.86</v>
      </c>
      <c r="M3645" s="17" t="n">
        <v>0</v>
      </c>
      <c r="N3645" s="17">
        <f>K3645*0.08+L3645*0.08</f>
        <v/>
      </c>
      <c r="O3645" s="17">
        <f>-(K3645*0.025+L3645*0.025)</f>
        <v/>
      </c>
      <c r="P3645" s="17">
        <f>32</f>
        <v/>
      </c>
      <c r="Q3645" s="17">
        <f>J3645+L3645+N3645+O3645-P3645-M3645</f>
        <v/>
      </c>
    </row>
    <row r="3646">
      <c r="A3646" s="16" t="inlineStr">
        <is>
          <t>5.29-6.4</t>
        </is>
      </c>
      <c r="B3646" s="16" t="inlineStr">
        <is>
          <t>PO-128-02530570965111909</t>
        </is>
      </c>
      <c r="C3646" s="16" t="inlineStr">
        <is>
          <t>Delivered</t>
        </is>
      </c>
      <c r="D3646" s="16" t="inlineStr">
        <is>
          <t>128-02530549993591909</t>
        </is>
      </c>
      <c r="E3646" s="16" t="inlineStr">
        <is>
          <t>Delivered</t>
        </is>
      </c>
      <c r="F3646" s="16" t="inlineStr">
        <is>
          <t>LV64W25</t>
        </is>
      </c>
      <c r="G36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46" s="16" t="inlineStr">
        <is>
          <t>Blanco</t>
        </is>
      </c>
      <c r="I3646" s="16" t="n">
        <v>1</v>
      </c>
      <c r="J3646" s="17" t="n">
        <v>119</v>
      </c>
      <c r="K3646" s="17" t="n">
        <v>105.01</v>
      </c>
      <c r="L3646" s="17" t="n">
        <v>25.86</v>
      </c>
      <c r="M3646" s="17" t="n">
        <v>0</v>
      </c>
      <c r="N3646" s="17">
        <f>K3646*0.08+L3646*0.08</f>
        <v/>
      </c>
      <c r="O3646" s="17">
        <f>-(K3646*0.025+L3646*0.025)</f>
        <v/>
      </c>
      <c r="P3646" s="17">
        <f>32</f>
        <v/>
      </c>
      <c r="Q3646" s="17">
        <f>J3646+L3646+N3646+O3646-P3646-M3646</f>
        <v/>
      </c>
    </row>
    <row r="3647">
      <c r="A3647" s="16" t="inlineStr">
        <is>
          <t>5.29-6.4</t>
        </is>
      </c>
      <c r="B3647" s="16" t="inlineStr">
        <is>
          <t>PO-128-02355010350712890</t>
        </is>
      </c>
      <c r="C3647" s="16" t="inlineStr">
        <is>
          <t>Delivered</t>
        </is>
      </c>
      <c r="D3647" s="16" t="inlineStr">
        <is>
          <t>128-02354968407672890</t>
        </is>
      </c>
      <c r="E3647" s="16" t="inlineStr">
        <is>
          <t>Delivered</t>
        </is>
      </c>
      <c r="F3647" s="16" t="inlineStr">
        <is>
          <t>LV64W25</t>
        </is>
      </c>
      <c r="G36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47" s="16" t="inlineStr">
        <is>
          <t>Blanco</t>
        </is>
      </c>
      <c r="I3647" s="16" t="n">
        <v>1</v>
      </c>
      <c r="J3647" s="17" t="n">
        <v>119</v>
      </c>
      <c r="K3647" s="17" t="n">
        <v>40.78</v>
      </c>
      <c r="L3647" s="17" t="n">
        <v>25.86</v>
      </c>
      <c r="M3647" s="17" t="n">
        <v>0</v>
      </c>
      <c r="N3647" s="17">
        <f>K3647*0.08+L3647*0.08</f>
        <v/>
      </c>
      <c r="O3647" s="17">
        <f>-(K3647*0.025+L3647*0.025)</f>
        <v/>
      </c>
      <c r="P3647" s="17">
        <f>32</f>
        <v/>
      </c>
      <c r="Q3647" s="17">
        <f>J3647+L3647+N3647+O3647-P3647-M3647</f>
        <v/>
      </c>
    </row>
    <row r="3648">
      <c r="A3648" s="16" t="inlineStr">
        <is>
          <t>5.29-6.4</t>
        </is>
      </c>
      <c r="B3648" s="16" t="inlineStr">
        <is>
          <t>PO-128-02704998060150869</t>
        </is>
      </c>
      <c r="C3648" s="16" t="inlineStr">
        <is>
          <t>Delivered</t>
        </is>
      </c>
      <c r="D3648" s="16" t="inlineStr">
        <is>
          <t>128-02705013788790869</t>
        </is>
      </c>
      <c r="E3648" s="16" t="inlineStr">
        <is>
          <t>Delivered</t>
        </is>
      </c>
      <c r="F3648" s="16" t="inlineStr">
        <is>
          <t>KTS-2031</t>
        </is>
      </c>
      <c r="G3648" s="16" t="inlineStr">
        <is>
          <t>Bocina inalámbrica de 3 pulgadas con linterna multifuncional y panel solar integrado.Altavoz Portátil con Linterna LED 4 Modos, Radio FM, Bluetooth, Carga Solar, Ideal para Apagones, Emergencias, Campo y Exteriores</t>
        </is>
      </c>
      <c r="H3648" s="16" t="inlineStr">
        <is>
          <t>NEGRO</t>
        </is>
      </c>
      <c r="I3648" s="16" t="n">
        <v>1</v>
      </c>
      <c r="J3648" s="17" t="n">
        <v>88</v>
      </c>
      <c r="K3648" s="17" t="n">
        <v>87.34</v>
      </c>
      <c r="L3648" s="17" t="n">
        <v>25.86</v>
      </c>
      <c r="M3648" s="17" t="n">
        <v>0</v>
      </c>
      <c r="N3648" s="17">
        <f>K3648*0.08+L3648*0.08</f>
        <v/>
      </c>
      <c r="O3648" s="17">
        <f>-(K3648*0.025+L3648*0.025)</f>
        <v/>
      </c>
      <c r="P3648" s="17">
        <f>32</f>
        <v/>
      </c>
      <c r="Q3648" s="17">
        <f>J3648+L3648+N3648+O3648-P3648-M3648</f>
        <v/>
      </c>
    </row>
    <row r="3649">
      <c r="A3649" s="16" t="inlineStr">
        <is>
          <t>5.29-6.4</t>
        </is>
      </c>
      <c r="B3649" s="16" t="inlineStr">
        <is>
          <t>PO-128-02611879744630334</t>
        </is>
      </c>
      <c r="C3649" s="16" t="inlineStr">
        <is>
          <t>Delivered</t>
        </is>
      </c>
      <c r="D3649" s="16" t="inlineStr">
        <is>
          <t>128-02611903337590334</t>
        </is>
      </c>
      <c r="E3649" s="16" t="inlineStr">
        <is>
          <t>Delivered</t>
        </is>
      </c>
      <c r="F3649" s="16" t="inlineStr">
        <is>
          <t>LV64W25</t>
        </is>
      </c>
      <c r="G36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49" s="16" t="inlineStr">
        <is>
          <t>Blanco</t>
        </is>
      </c>
      <c r="I3649" s="16" t="n">
        <v>3</v>
      </c>
      <c r="J3649" s="17" t="n">
        <v>357</v>
      </c>
      <c r="K3649" s="17" t="n">
        <v>382.98</v>
      </c>
      <c r="L3649" s="17" t="n">
        <v>0</v>
      </c>
      <c r="M3649" s="17" t="n">
        <v>0</v>
      </c>
      <c r="N3649" s="17">
        <f>K3649*0.08+L3649*0.08</f>
        <v/>
      </c>
      <c r="O3649" s="17">
        <f>-(K3649*0.025+L3649*0.025)</f>
        <v/>
      </c>
      <c r="P3649" s="17">
        <f>32</f>
        <v/>
      </c>
      <c r="Q3649" s="17">
        <f>J3649+L3649+N3649+O3649-P3649-M3649</f>
        <v/>
      </c>
    </row>
    <row r="3650">
      <c r="A3650" s="16" t="inlineStr">
        <is>
          <t>5.29-6.4</t>
        </is>
      </c>
      <c r="B3650" s="16" t="inlineStr">
        <is>
          <t>PO-128-02252921208952538</t>
        </is>
      </c>
      <c r="C3650" s="16" t="inlineStr">
        <is>
          <t>Delivered</t>
        </is>
      </c>
      <c r="D3650" s="16" t="inlineStr">
        <is>
          <t>128-02252879265912538</t>
        </is>
      </c>
      <c r="E3650" s="16" t="inlineStr">
        <is>
          <t>Delivered</t>
        </is>
      </c>
      <c r="F3650" s="16" t="inlineStr">
        <is>
          <t>LV54W25</t>
        </is>
      </c>
      <c r="G3650" s="16" t="inlineStr">
        <is>
          <t>TIANLAI Lámpara Ventilador E27 2 en 1, Silenciosa, LED Alta Luminosidad 180°, Instalación Rápida, Ahorro Energético para Dormitorio y Interiores Pequeños</t>
        </is>
      </c>
      <c r="H3650" s="16" t="inlineStr">
        <is>
          <t>1 Pieza</t>
        </is>
      </c>
      <c r="I3650" s="16" t="n">
        <v>1</v>
      </c>
      <c r="J3650" s="17" t="n">
        <v>74</v>
      </c>
      <c r="K3650" s="17" t="n">
        <v>78.83</v>
      </c>
      <c r="L3650" s="17" t="n">
        <v>25.86</v>
      </c>
      <c r="M3650" s="17" t="n">
        <v>0</v>
      </c>
      <c r="N3650" s="17">
        <f>K3650*0.08+L3650*0.08</f>
        <v/>
      </c>
      <c r="O3650" s="17">
        <f>-(K3650*0.025+L3650*0.025)</f>
        <v/>
      </c>
      <c r="P3650" s="17">
        <f>32</f>
        <v/>
      </c>
      <c r="Q3650" s="17">
        <f>J3650+L3650+N3650+O3650-P3650-M3650</f>
        <v/>
      </c>
    </row>
    <row r="3651">
      <c r="A3651" s="16" t="inlineStr">
        <is>
          <t>5.29-6.4</t>
        </is>
      </c>
      <c r="B3651" s="16" t="inlineStr">
        <is>
          <t>PO-128-02135257854073113</t>
        </is>
      </c>
      <c r="C3651" s="16" t="inlineStr">
        <is>
          <t>Delivered</t>
        </is>
      </c>
      <c r="D3651" s="16" t="inlineStr">
        <is>
          <t>128-02135362711673113</t>
        </is>
      </c>
      <c r="E3651" s="16" t="inlineStr">
        <is>
          <t>Delivered</t>
        </is>
      </c>
      <c r="F3651" s="16" t="inlineStr">
        <is>
          <t>LV54W25</t>
        </is>
      </c>
      <c r="G3651" s="16" t="inlineStr">
        <is>
          <t>TIANLAI Lámpara Ventilador E27 2 en 1, Silenciosa, LED Alta Luminosidad 180°, Instalación Rápida, Ahorro Energético para Dormitorio y Interiores Pequeños</t>
        </is>
      </c>
      <c r="H3651" s="16" t="inlineStr">
        <is>
          <t>1 Pieza</t>
        </is>
      </c>
      <c r="I3651" s="16" t="n">
        <v>3</v>
      </c>
      <c r="J3651" s="17" t="n">
        <v>222</v>
      </c>
      <c r="K3651" s="17" t="n">
        <v>231.36</v>
      </c>
      <c r="L3651" s="17" t="n">
        <v>25.86</v>
      </c>
      <c r="M3651" s="17" t="n">
        <v>0</v>
      </c>
      <c r="N3651" s="17">
        <f>K3651*0.08+L3651*0.08</f>
        <v/>
      </c>
      <c r="O3651" s="17">
        <f>-(K3651*0.025+L3651*0.025)</f>
        <v/>
      </c>
      <c r="P3651" s="17">
        <f>32</f>
        <v/>
      </c>
      <c r="Q3651" s="17">
        <f>J3651+L3651+N3651+O3651-P3651-M3651</f>
        <v/>
      </c>
    </row>
    <row r="3652">
      <c r="A3652" s="16" t="inlineStr">
        <is>
          <t>5.29-6.4</t>
        </is>
      </c>
      <c r="B3652" s="16" t="inlineStr">
        <is>
          <t>PO-128-02115669041273292</t>
        </is>
      </c>
      <c r="C3652" s="16" t="inlineStr">
        <is>
          <t>Delivered</t>
        </is>
      </c>
      <c r="D3652" s="16" t="inlineStr">
        <is>
          <t>128-02115710984313292</t>
        </is>
      </c>
      <c r="E3652" s="16" t="inlineStr">
        <is>
          <t>Delivered</t>
        </is>
      </c>
      <c r="F3652" s="16" t="inlineStr">
        <is>
          <t>LV54W25</t>
        </is>
      </c>
      <c r="G3652" s="16" t="inlineStr">
        <is>
          <t>TIANLAI Lámpara Ventilador E27 2 en 1, Silenciosa, LED Alta Luminosidad 180°, Instalación Rápida, Ahorro Energético para Dormitorio y Interiores Pequeños</t>
        </is>
      </c>
      <c r="H3652" s="16" t="inlineStr">
        <is>
          <t>1 Pieza</t>
        </is>
      </c>
      <c r="I3652" s="16" t="n">
        <v>3</v>
      </c>
      <c r="J3652" s="17" t="n">
        <v>222</v>
      </c>
      <c r="K3652" s="17" t="n">
        <v>231.36</v>
      </c>
      <c r="L3652" s="17" t="n">
        <v>25.86</v>
      </c>
      <c r="M3652" s="17" t="n">
        <v>0</v>
      </c>
      <c r="N3652" s="17">
        <f>K3652*0.08+L3652*0.08</f>
        <v/>
      </c>
      <c r="O3652" s="17">
        <f>-(K3652*0.025+L3652*0.025)</f>
        <v/>
      </c>
      <c r="P3652" s="17">
        <f>32</f>
        <v/>
      </c>
      <c r="Q3652" s="17">
        <f>J3652+L3652+N3652+O3652-P3652-M3652</f>
        <v/>
      </c>
    </row>
    <row r="3653">
      <c r="A3653" s="16" t="inlineStr">
        <is>
          <t>5.29-6.4</t>
        </is>
      </c>
      <c r="B3653" s="16" t="inlineStr">
        <is>
          <t>PO-128-02397033828472641</t>
        </is>
      </c>
      <c r="C3653" s="16" t="inlineStr">
        <is>
          <t>Delivered</t>
        </is>
      </c>
      <c r="D3653" s="16" t="inlineStr">
        <is>
          <t>128-02396976156792641</t>
        </is>
      </c>
      <c r="E3653" s="16" t="inlineStr">
        <is>
          <t>Delivered</t>
        </is>
      </c>
      <c r="F3653" s="16" t="inlineStr">
        <is>
          <t>TLCD02-8P-R</t>
        </is>
      </c>
      <c r="G365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653" s="16" t="inlineStr">
        <is>
          <t>ROJO/pantalla de 8.5 pulgadas</t>
        </is>
      </c>
      <c r="I3653" s="16" t="n">
        <v>3</v>
      </c>
      <c r="J3653" s="17" t="n">
        <v>72</v>
      </c>
      <c r="K3653" s="17" t="n">
        <v>98.94</v>
      </c>
      <c r="L3653" s="17" t="n">
        <v>25.86</v>
      </c>
      <c r="M3653" s="17" t="n">
        <v>0</v>
      </c>
      <c r="N3653" s="17">
        <f>K3653*0.08+L3653*0.08</f>
        <v/>
      </c>
      <c r="O3653" s="17">
        <f>-(K3653*0.025+L3653*0.025)</f>
        <v/>
      </c>
      <c r="P3653" s="17">
        <f>32</f>
        <v/>
      </c>
      <c r="Q3653" s="17">
        <f>J3653+L3653+N3653+O3653-P3653-M3653</f>
        <v/>
      </c>
    </row>
    <row r="3654">
      <c r="A3654" s="16" t="inlineStr">
        <is>
          <t>5.29-6.4</t>
        </is>
      </c>
      <c r="B3654" s="16" t="inlineStr">
        <is>
          <t>PO-128-02555250573431760</t>
        </is>
      </c>
      <c r="C3654" s="16" t="inlineStr">
        <is>
          <t>Delivered</t>
        </is>
      </c>
      <c r="D3654" s="16" t="inlineStr">
        <is>
          <t>128-02555203387511760</t>
        </is>
      </c>
      <c r="E3654" s="16" t="inlineStr">
        <is>
          <t>Delivered</t>
        </is>
      </c>
      <c r="F3654" s="16" t="inlineStr">
        <is>
          <t>LV54W25</t>
        </is>
      </c>
      <c r="G3654" s="16" t="inlineStr">
        <is>
          <t>TIANLAI Lámpara Ventilador E27 2 en 1, Silenciosa, LED Alta Luminosidad 180°, Instalación Rápida, Ahorro Energético para Dormitorio y Interiores Pequeños</t>
        </is>
      </c>
      <c r="H3654" s="16" t="inlineStr">
        <is>
          <t>1 Pieza</t>
        </is>
      </c>
      <c r="I3654" s="16" t="n">
        <v>1</v>
      </c>
      <c r="J3654" s="17" t="n">
        <v>74</v>
      </c>
      <c r="K3654" s="17" t="n">
        <v>77.12</v>
      </c>
      <c r="L3654" s="17" t="n">
        <v>25.86</v>
      </c>
      <c r="M3654" s="17" t="n">
        <v>0</v>
      </c>
      <c r="N3654" s="17">
        <f>K3654*0.08+L3654*0.08</f>
        <v/>
      </c>
      <c r="O3654" s="17">
        <f>-(K3654*0.025+L3654*0.025)</f>
        <v/>
      </c>
      <c r="P3654" s="17">
        <f>32</f>
        <v/>
      </c>
      <c r="Q3654" s="17">
        <f>J3654+L3654+N3654+O3654-P3654-M3654</f>
        <v/>
      </c>
    </row>
    <row r="3655">
      <c r="A3655" s="16" t="inlineStr">
        <is>
          <t>5.29-6.4</t>
        </is>
      </c>
      <c r="B3655" s="16" t="inlineStr">
        <is>
          <t>PO-128-02415403518071442</t>
        </is>
      </c>
      <c r="C3655" s="16" t="inlineStr">
        <is>
          <t>Delivered</t>
        </is>
      </c>
      <c r="D3655" s="16" t="inlineStr">
        <is>
          <t>128-02415361575031442</t>
        </is>
      </c>
      <c r="E3655" s="16" t="inlineStr">
        <is>
          <t>Delivered</t>
        </is>
      </c>
      <c r="F3655" s="16" t="inlineStr">
        <is>
          <t>BG-115-B</t>
        </is>
      </c>
      <c r="G3655" s="16" t="inlineStr">
        <is>
          <t>LINK BITS Audífonos Inalámbricos con Luces Multicolor, Recargables y en Adorable Forma de Orejas de Gato - Conecta a Celulares y PCs, Tiene Radio FM, Tarjeta TF y AUX - 7 Horas de Reproducción, Plegables y Perfectos para Trabajo, Juegos y Estudio</t>
        </is>
      </c>
      <c r="H3655" s="16" t="inlineStr">
        <is>
          <t>blanco</t>
        </is>
      </c>
      <c r="I3655" s="16" t="n">
        <v>1</v>
      </c>
      <c r="J3655" s="17" t="n">
        <v>74.25</v>
      </c>
      <c r="K3655" s="17" t="n">
        <v>84.97</v>
      </c>
      <c r="L3655" s="17" t="n">
        <v>25.86</v>
      </c>
      <c r="M3655" s="17" t="n">
        <v>0</v>
      </c>
      <c r="N3655" s="17">
        <f>K3655*0.08+L3655*0.08</f>
        <v/>
      </c>
      <c r="O3655" s="17">
        <f>-(K3655*0.025+L3655*0.025)</f>
        <v/>
      </c>
      <c r="P3655" s="17">
        <f>32</f>
        <v/>
      </c>
      <c r="Q3655" s="17">
        <f>J3655+L3655+N3655+O3655-P3655-M3655</f>
        <v/>
      </c>
    </row>
    <row r="3656">
      <c r="A3656" s="16" t="inlineStr">
        <is>
          <t>5.29-6.4</t>
        </is>
      </c>
      <c r="B3656" s="16" t="inlineStr">
        <is>
          <t>PO-128-02370357612152734</t>
        </is>
      </c>
      <c r="C3656" s="16" t="inlineStr">
        <is>
          <t>Delivered</t>
        </is>
      </c>
      <c r="D3656" s="16" t="inlineStr">
        <is>
          <t>128-02370302561912734</t>
        </is>
      </c>
      <c r="E3656" s="16" t="inlineStr">
        <is>
          <t>Delivered</t>
        </is>
      </c>
      <c r="F3656" s="16" t="inlineStr">
        <is>
          <t>BG-115-B</t>
        </is>
      </c>
      <c r="G3656" s="16" t="inlineStr">
        <is>
          <t>LINK BITS Audífonos Inalámbricos con Luces Multicolor, Recargables y en Adorable Forma de Orejas de Gato - Conecta a Celulares y PCs, Tiene Radio FM, Tarjeta TF y AUX - 7 Horas de Reproducción, Plegables y Perfectos para Trabajo, Juegos y Estudio</t>
        </is>
      </c>
      <c r="H3656" s="16" t="inlineStr">
        <is>
          <t>blanco</t>
        </is>
      </c>
      <c r="I3656" s="16" t="n">
        <v>1</v>
      </c>
      <c r="J3656" s="17" t="n">
        <v>74.25</v>
      </c>
      <c r="K3656" s="17" t="n">
        <v>84.97</v>
      </c>
      <c r="L3656" s="17" t="n">
        <v>25.86</v>
      </c>
      <c r="M3656" s="17" t="n">
        <v>0</v>
      </c>
      <c r="N3656" s="17">
        <f>K3656*0.08+L3656*0.08</f>
        <v/>
      </c>
      <c r="O3656" s="17">
        <f>-(K3656*0.025+L3656*0.025)</f>
        <v/>
      </c>
      <c r="P3656" s="17">
        <f>32</f>
        <v/>
      </c>
      <c r="Q3656" s="17">
        <f>J3656+L3656+N3656+O3656-P3656-M3656</f>
        <v/>
      </c>
    </row>
    <row r="3657">
      <c r="A3657" s="16" t="inlineStr">
        <is>
          <t>5.29-6.4</t>
        </is>
      </c>
      <c r="B3657" s="16" t="inlineStr">
        <is>
          <t>PO-128-02661569523830102</t>
        </is>
      </c>
      <c r="C3657" s="16" t="inlineStr">
        <is>
          <t>Delivered</t>
        </is>
      </c>
      <c r="D3657" s="16" t="inlineStr">
        <is>
          <t>128-02661559038070102</t>
        </is>
      </c>
      <c r="E3657" s="16" t="inlineStr">
        <is>
          <t>Delivered</t>
        </is>
      </c>
      <c r="F3657" s="16" t="inlineStr">
        <is>
          <t>LV54W25</t>
        </is>
      </c>
      <c r="G3657" s="16" t="inlineStr">
        <is>
          <t>TIANLAI Lámpara Ventilador E27 2 en 1, Silenciosa, LED Alta Luminosidad 180°, Instalación Rápida, Ahorro Energético para Dormitorio y Interiores Pequeños</t>
        </is>
      </c>
      <c r="H3657" s="16" t="inlineStr">
        <is>
          <t>1 Pieza</t>
        </is>
      </c>
      <c r="I3657" s="16" t="n">
        <v>1</v>
      </c>
      <c r="J3657" s="17" t="n">
        <v>74</v>
      </c>
      <c r="K3657" s="17" t="n">
        <v>85.68000000000001</v>
      </c>
      <c r="L3657" s="17" t="n">
        <v>25.86</v>
      </c>
      <c r="M3657" s="17" t="n">
        <v>0</v>
      </c>
      <c r="N3657" s="17">
        <f>K3657*0.08+L3657*0.08</f>
        <v/>
      </c>
      <c r="O3657" s="17">
        <f>-(K3657*0.025+L3657*0.025)</f>
        <v/>
      </c>
      <c r="P3657" s="17">
        <f>32</f>
        <v/>
      </c>
      <c r="Q3657" s="17">
        <f>J3657+L3657+N3657+O3657-P3657-M3657</f>
        <v/>
      </c>
    </row>
    <row r="3658">
      <c r="A3658" s="16" t="inlineStr">
        <is>
          <t>5.29-6.4</t>
        </is>
      </c>
      <c r="B3658" s="16" t="inlineStr">
        <is>
          <t>PO-128-02216079409273590</t>
        </is>
      </c>
      <c r="C3658" s="16" t="inlineStr">
        <is>
          <t>Delivered</t>
        </is>
      </c>
      <c r="D3658" s="16" t="inlineStr">
        <is>
          <t>128-02216037466233590</t>
        </is>
      </c>
      <c r="E3658" s="16" t="inlineStr">
        <is>
          <t>Delivered</t>
        </is>
      </c>
      <c r="F3658" s="16" t="inlineStr">
        <is>
          <t>LV64W25</t>
        </is>
      </c>
      <c r="G36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58" s="16" t="inlineStr">
        <is>
          <t>Blanco</t>
        </is>
      </c>
      <c r="I3658" s="16" t="n">
        <v>3</v>
      </c>
      <c r="J3658" s="17" t="n">
        <v>357</v>
      </c>
      <c r="K3658" s="17" t="n">
        <v>382.98</v>
      </c>
      <c r="L3658" s="17" t="n">
        <v>0</v>
      </c>
      <c r="M3658" s="17" t="n">
        <v>0</v>
      </c>
      <c r="N3658" s="17">
        <f>K3658*0.08+L3658*0.08</f>
        <v/>
      </c>
      <c r="O3658" s="17">
        <f>-(K3658*0.025+L3658*0.025)</f>
        <v/>
      </c>
      <c r="P3658" s="17">
        <f>32</f>
        <v/>
      </c>
      <c r="Q3658" s="17">
        <f>J3658+L3658+N3658+O3658-P3658-M3658</f>
        <v/>
      </c>
    </row>
    <row r="3659">
      <c r="A3659" s="16" t="inlineStr">
        <is>
          <t>5.29-6.4</t>
        </is>
      </c>
      <c r="B3659" s="16" t="inlineStr">
        <is>
          <t>PO-128-02520248394871843</t>
        </is>
      </c>
      <c r="C3659" s="16" t="inlineStr">
        <is>
          <t>Delivered</t>
        </is>
      </c>
      <c r="D3659" s="16" t="inlineStr">
        <is>
          <t>128-02520206451831843</t>
        </is>
      </c>
      <c r="E3659" s="16" t="inlineStr">
        <is>
          <t>Delivered</t>
        </is>
      </c>
      <c r="F3659" s="16" t="inlineStr">
        <is>
          <t>BG-115-B</t>
        </is>
      </c>
      <c r="G3659" s="16" t="inlineStr">
        <is>
          <t>LINK BITS Audífonos Inalámbricos con Luces Multicolor, Recargables y en Adorable Forma de Orejas de Gato - Conecta a Celulares y PCs, Tiene Radio FM, Tarjeta TF y AUX - 7 Horas de Reproducción, Plegables y Perfectos para Trabajo, Juegos y Estudio</t>
        </is>
      </c>
      <c r="H3659" s="16" t="inlineStr">
        <is>
          <t>blanco</t>
        </is>
      </c>
      <c r="I3659" s="16" t="n">
        <v>1</v>
      </c>
      <c r="J3659" s="17" t="n">
        <v>74.25</v>
      </c>
      <c r="K3659" s="17" t="n">
        <v>84.97</v>
      </c>
      <c r="L3659" s="17" t="n">
        <v>25.86</v>
      </c>
      <c r="M3659" s="17" t="n">
        <v>0</v>
      </c>
      <c r="N3659" s="17">
        <f>K3659*0.08+L3659*0.08</f>
        <v/>
      </c>
      <c r="O3659" s="17">
        <f>-(K3659*0.025+L3659*0.025)</f>
        <v/>
      </c>
      <c r="P3659" s="17">
        <f>32</f>
        <v/>
      </c>
      <c r="Q3659" s="17">
        <f>J3659+L3659+N3659+O3659-P3659-M3659</f>
        <v/>
      </c>
    </row>
    <row r="3660">
      <c r="A3660" s="16" t="inlineStr">
        <is>
          <t>5.29-6.4</t>
        </is>
      </c>
      <c r="B3660" s="16" t="inlineStr">
        <is>
          <t>PO-128-02191879544953734</t>
        </is>
      </c>
      <c r="C3660" s="16" t="inlineStr">
        <is>
          <t>Delivered</t>
        </is>
      </c>
      <c r="D3660" s="16" t="inlineStr">
        <is>
          <t>128-02191931973753734</t>
        </is>
      </c>
      <c r="E3660" s="16" t="inlineStr">
        <is>
          <t>Delivered</t>
        </is>
      </c>
      <c r="F3660" s="16" t="inlineStr">
        <is>
          <t>LV64W25</t>
        </is>
      </c>
      <c r="G36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60" s="16" t="inlineStr">
        <is>
          <t>Blanco</t>
        </is>
      </c>
      <c r="I3660" s="16" t="n">
        <v>1</v>
      </c>
      <c r="J3660" s="17" t="n">
        <v>119</v>
      </c>
      <c r="K3660" s="17" t="n">
        <v>40.78</v>
      </c>
      <c r="L3660" s="17" t="n">
        <v>25.86</v>
      </c>
      <c r="M3660" s="17" t="n">
        <v>0</v>
      </c>
      <c r="N3660" s="17">
        <f>K3660*0.08+L3660*0.08</f>
        <v/>
      </c>
      <c r="O3660" s="17">
        <f>-(K3660*0.025+L3660*0.025)</f>
        <v/>
      </c>
      <c r="P3660" s="17">
        <f>32</f>
        <v/>
      </c>
      <c r="Q3660" s="17">
        <f>J3660+L3660+N3660+O3660-P3660-M3660</f>
        <v/>
      </c>
    </row>
    <row r="3661">
      <c r="A3661" s="16" t="inlineStr">
        <is>
          <t>5.29-6.4</t>
        </is>
      </c>
      <c r="B3661" s="16" t="inlineStr">
        <is>
          <t>PO-128-02423078776951524</t>
        </is>
      </c>
      <c r="C3661" s="16" t="inlineStr">
        <is>
          <t>Delivered</t>
        </is>
      </c>
      <c r="D3661" s="16" t="inlineStr">
        <is>
          <t>128-02423057805431524</t>
        </is>
      </c>
      <c r="E3661" s="16" t="inlineStr">
        <is>
          <t>Delivered</t>
        </is>
      </c>
      <c r="F3661" s="16" t="inlineStr">
        <is>
          <t>LV64W25</t>
        </is>
      </c>
      <c r="G36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61" s="16" t="inlineStr">
        <is>
          <t>Blanco</t>
        </is>
      </c>
      <c r="I3661" s="16" t="n">
        <v>2</v>
      </c>
      <c r="J3661" s="17" t="n">
        <v>238</v>
      </c>
      <c r="K3661" s="17" t="n">
        <v>207.64</v>
      </c>
      <c r="L3661" s="17" t="n">
        <v>0</v>
      </c>
      <c r="M3661" s="17" t="n">
        <v>0</v>
      </c>
      <c r="N3661" s="17">
        <f>K3661*0.08+L3661*0.08</f>
        <v/>
      </c>
      <c r="O3661" s="17">
        <f>-(K3661*0.025+L3661*0.025)</f>
        <v/>
      </c>
      <c r="P3661" s="17">
        <f>32</f>
        <v/>
      </c>
      <c r="Q3661" s="17">
        <f>J3661+L3661+N3661+O3661-P3661-M3661</f>
        <v/>
      </c>
    </row>
    <row r="3662">
      <c r="A3662" s="16" t="inlineStr">
        <is>
          <t>5.29-6.4</t>
        </is>
      </c>
      <c r="B3662" s="16" t="inlineStr">
        <is>
          <t>PO-128-02741378614390589</t>
        </is>
      </c>
      <c r="C3662" s="16" t="inlineStr">
        <is>
          <t>Delivered</t>
        </is>
      </c>
      <c r="D3662" s="16" t="inlineStr">
        <is>
          <t>128-02741357642870589</t>
        </is>
      </c>
      <c r="E3662" s="16" t="inlineStr">
        <is>
          <t>Delivered</t>
        </is>
      </c>
      <c r="F3662" s="16" t="inlineStr">
        <is>
          <t>LV64W25</t>
        </is>
      </c>
      <c r="G366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62" s="16" t="inlineStr">
        <is>
          <t>Blanco</t>
        </is>
      </c>
      <c r="I3662" s="16" t="n">
        <v>1</v>
      </c>
      <c r="J3662" s="17" t="n">
        <v>119</v>
      </c>
      <c r="K3662" s="17" t="n">
        <v>127.66</v>
      </c>
      <c r="L3662" s="17" t="n">
        <v>25.86</v>
      </c>
      <c r="M3662" s="17" t="n">
        <v>0</v>
      </c>
      <c r="N3662" s="17">
        <f>K3662*0.08+L3662*0.08</f>
        <v/>
      </c>
      <c r="O3662" s="17">
        <f>-(K3662*0.025+L3662*0.025)</f>
        <v/>
      </c>
      <c r="P3662" s="17">
        <f>32</f>
        <v/>
      </c>
      <c r="Q3662" s="17">
        <f>J3662+L3662+N3662+O3662-P3662-M3662</f>
        <v/>
      </c>
    </row>
    <row r="3663">
      <c r="A3663" s="16" t="inlineStr">
        <is>
          <t>5.29-6.4</t>
        </is>
      </c>
      <c r="B3663" s="16" t="inlineStr">
        <is>
          <t>PO-128-02230880822393695</t>
        </is>
      </c>
      <c r="C3663" s="16" t="inlineStr">
        <is>
          <t>Delivered</t>
        </is>
      </c>
      <c r="D3663" s="16" t="inlineStr">
        <is>
          <t>128-02230883443833695</t>
        </is>
      </c>
      <c r="E3663" s="16" t="inlineStr">
        <is>
          <t>Delivered</t>
        </is>
      </c>
      <c r="F3663" s="16" t="inlineStr">
        <is>
          <t>KTS-2031</t>
        </is>
      </c>
      <c r="G3663" s="16" t="inlineStr">
        <is>
          <t>Bocina inalámbrica de 3 pulgadas con linterna multifuncional y panel solar integrado.Altavoz Portátil con Linterna LED 4 Modos, Radio FM, Bluetooth, Carga Solar, Ideal para Apagones, Emergencias, Campo y Exteriores</t>
        </is>
      </c>
      <c r="H3663" s="16" t="inlineStr">
        <is>
          <t>NEGRO</t>
        </is>
      </c>
      <c r="I3663" s="16" t="n">
        <v>2</v>
      </c>
      <c r="J3663" s="17" t="n">
        <v>176</v>
      </c>
      <c r="K3663" s="17" t="n">
        <v>194.44</v>
      </c>
      <c r="L3663" s="17" t="n">
        <v>25.86</v>
      </c>
      <c r="M3663" s="17" t="n">
        <v>0</v>
      </c>
      <c r="N3663" s="17">
        <f>K3663*0.08+L3663*0.08</f>
        <v/>
      </c>
      <c r="O3663" s="17">
        <f>-(K3663*0.025+L3663*0.025)</f>
        <v/>
      </c>
      <c r="P3663" s="17">
        <f>32</f>
        <v/>
      </c>
      <c r="Q3663" s="17">
        <f>J3663+L3663+N3663+O3663-P3663-M3663</f>
        <v/>
      </c>
    </row>
    <row r="3664">
      <c r="A3664" s="16" t="inlineStr">
        <is>
          <t>5.29-6.4</t>
        </is>
      </c>
      <c r="B3664" s="16" t="inlineStr">
        <is>
          <t>PO-128-02267844022392387</t>
        </is>
      </c>
      <c r="C3664" s="16" t="inlineStr">
        <is>
          <t>Delivered</t>
        </is>
      </c>
      <c r="D3664" s="16" t="inlineStr">
        <is>
          <t>128-02267885965432387</t>
        </is>
      </c>
      <c r="E3664" s="16" t="inlineStr">
        <is>
          <t>Delivered</t>
        </is>
      </c>
      <c r="F3664" s="16" t="inlineStr">
        <is>
          <t>TLCD01-4P-nN</t>
        </is>
      </c>
      <c r="G366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664" s="16" t="inlineStr">
        <is>
          <t>NEGRO/pantalla de 4.5 pulgadas</t>
        </is>
      </c>
      <c r="I3664" s="16" t="n">
        <v>1</v>
      </c>
      <c r="J3664" s="17" t="n">
        <v>19</v>
      </c>
      <c r="K3664" s="17" t="n">
        <v>22.63</v>
      </c>
      <c r="L3664" s="17" t="n">
        <v>25.86</v>
      </c>
      <c r="M3664" s="17" t="n">
        <v>0</v>
      </c>
      <c r="N3664" s="17">
        <f>K3664*0.08+L3664*0.08</f>
        <v/>
      </c>
      <c r="O3664" s="17">
        <f>-(K3664*0.025+L3664*0.025)</f>
        <v/>
      </c>
      <c r="P3664" s="17">
        <f>32</f>
        <v/>
      </c>
      <c r="Q3664" s="17">
        <f>J3664+L3664+N3664+O3664-P3664-M3664</f>
        <v/>
      </c>
    </row>
    <row r="3665">
      <c r="A3665" s="16" t="inlineStr">
        <is>
          <t>5.29-6.4</t>
        </is>
      </c>
      <c r="B3665" s="16" t="inlineStr">
        <is>
          <t>PO-128-02401233068152678</t>
        </is>
      </c>
      <c r="C3665" s="16" t="inlineStr">
        <is>
          <t>Delivered</t>
        </is>
      </c>
      <c r="D3665" s="16" t="inlineStr">
        <is>
          <t>128-02401222582392678</t>
        </is>
      </c>
      <c r="E3665" s="16" t="inlineStr">
        <is>
          <t>Delivered</t>
        </is>
      </c>
      <c r="F3665" s="16" t="inlineStr">
        <is>
          <t>i12-B</t>
        </is>
      </c>
      <c r="G3665" s="16" t="inlineStr">
        <is>
          <t>Auriculares Inalámbricos TWS - Ideales para Usuarios Android e iPhone, Entusiastas del Deporte &amp; Música, Controles Táctiles, Audífonos Para Correr y Jugar</t>
        </is>
      </c>
      <c r="H3665" s="16" t="inlineStr">
        <is>
          <t>Blanco</t>
        </is>
      </c>
      <c r="I3665" s="16" t="n">
        <v>1</v>
      </c>
      <c r="J3665" s="17" t="n">
        <v>42</v>
      </c>
      <c r="K3665" s="17" t="n">
        <v>73.03</v>
      </c>
      <c r="L3665" s="17" t="n">
        <v>25.86</v>
      </c>
      <c r="M3665" s="17" t="n">
        <v>0</v>
      </c>
      <c r="N3665" s="17">
        <f>K3665*0.08+L3665*0.08</f>
        <v/>
      </c>
      <c r="O3665" s="17">
        <f>-(K3665*0.025+L3665*0.025)</f>
        <v/>
      </c>
      <c r="P3665" s="17">
        <f>32</f>
        <v/>
      </c>
      <c r="Q3665" s="17">
        <f>J3665+L3665+N3665+O3665-P3665-M3665</f>
        <v/>
      </c>
    </row>
    <row r="3666">
      <c r="A3666" s="16" t="inlineStr">
        <is>
          <t>5.29-6.4</t>
        </is>
      </c>
      <c r="B3666" s="16" t="inlineStr">
        <is>
          <t>PO-128-02542454229111708</t>
        </is>
      </c>
      <c r="C3666" s="16" t="inlineStr">
        <is>
          <t>Delivered</t>
        </is>
      </c>
      <c r="D3666" s="16" t="inlineStr">
        <is>
          <t>128-02542475200631708</t>
        </is>
      </c>
      <c r="E3666" s="16" t="inlineStr">
        <is>
          <t>Delivered</t>
        </is>
      </c>
      <c r="F3666" s="16" t="inlineStr">
        <is>
          <t>LV54W25</t>
        </is>
      </c>
      <c r="G3666" s="16" t="inlineStr">
        <is>
          <t>TIANLAI Lámpara Ventilador E27 2 en 1, Silenciosa, LED Alta Luminosidad 180°, Instalación Rápida, Ahorro Energético para Dormitorio y Interiores Pequeños</t>
        </is>
      </c>
      <c r="H3666" s="16" t="inlineStr">
        <is>
          <t>1 Pieza</t>
        </is>
      </c>
      <c r="I3666" s="16" t="n">
        <v>1</v>
      </c>
      <c r="J3666" s="17" t="n">
        <v>74</v>
      </c>
      <c r="K3666" s="17" t="n">
        <v>78.83</v>
      </c>
      <c r="L3666" s="17" t="n">
        <v>25.86</v>
      </c>
      <c r="M3666" s="17" t="n">
        <v>0</v>
      </c>
      <c r="N3666" s="17">
        <f>K3666*0.08+L3666*0.08</f>
        <v/>
      </c>
      <c r="O3666" s="17">
        <f>-(K3666*0.025+L3666*0.025)</f>
        <v/>
      </c>
      <c r="P3666" s="17">
        <f>32</f>
        <v/>
      </c>
      <c r="Q3666" s="17">
        <f>J3666+L3666+N3666+O3666-P3666-M3666</f>
        <v/>
      </c>
    </row>
    <row r="3667">
      <c r="A3667" s="16" t="inlineStr">
        <is>
          <t>5.29-6.4</t>
        </is>
      </c>
      <c r="B3667" s="16" t="inlineStr">
        <is>
          <t>PO-128-02568089608311621</t>
        </is>
      </c>
      <c r="C3667" s="16" t="inlineStr">
        <is>
          <t>Delivered</t>
        </is>
      </c>
      <c r="D3667" s="16" t="inlineStr">
        <is>
          <t>128-02568171528311621</t>
        </is>
      </c>
      <c r="E3667" s="16" t="inlineStr">
        <is>
          <t>Delivered</t>
        </is>
      </c>
      <c r="F3667" s="16" t="inlineStr">
        <is>
          <t>LV64W25</t>
        </is>
      </c>
      <c r="G36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67" s="16" t="inlineStr">
        <is>
          <t>Blanco</t>
        </is>
      </c>
      <c r="I3667" s="16" t="n">
        <v>1</v>
      </c>
      <c r="J3667" s="17" t="n">
        <v>119</v>
      </c>
      <c r="K3667" s="17" t="n">
        <v>137.26</v>
      </c>
      <c r="L3667" s="17" t="n">
        <v>25.86</v>
      </c>
      <c r="M3667" s="17" t="n">
        <v>0</v>
      </c>
      <c r="N3667" s="17">
        <f>K3667*0.08+L3667*0.08</f>
        <v/>
      </c>
      <c r="O3667" s="17">
        <f>-(K3667*0.025+L3667*0.025)</f>
        <v/>
      </c>
      <c r="P3667" s="17">
        <f>32</f>
        <v/>
      </c>
      <c r="Q3667" s="17">
        <f>J3667+L3667+N3667+O3667-P3667-M3667</f>
        <v/>
      </c>
    </row>
    <row r="3668">
      <c r="A3668" s="16" t="inlineStr">
        <is>
          <t>5.29-6.4</t>
        </is>
      </c>
      <c r="B3668" s="16" t="inlineStr">
        <is>
          <t>PO-128-02477461435511072</t>
        </is>
      </c>
      <c r="C3668" s="16" t="inlineStr">
        <is>
          <t>Delivered</t>
        </is>
      </c>
      <c r="D3668" s="16" t="inlineStr">
        <is>
          <t>128-02477471921271072</t>
        </is>
      </c>
      <c r="E3668" s="16" t="inlineStr">
        <is>
          <t>Delivered</t>
        </is>
      </c>
      <c r="F3668" s="16" t="inlineStr">
        <is>
          <t>SA428T</t>
        </is>
      </c>
      <c r="G3668"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3668" s="16" t="inlineStr">
        <is>
          <t>SA428T</t>
        </is>
      </c>
      <c r="I3668" s="16" t="n">
        <v>1</v>
      </c>
      <c r="J3668" s="17" t="n">
        <v>79.59</v>
      </c>
      <c r="K3668" s="17" t="n">
        <v>109.23</v>
      </c>
      <c r="L3668" s="17" t="n">
        <v>25.86</v>
      </c>
      <c r="M3668" s="17" t="n">
        <v>0</v>
      </c>
      <c r="N3668" s="17">
        <f>K3668*0.08+L3668*0.08</f>
        <v/>
      </c>
      <c r="O3668" s="17">
        <f>-(K3668*0.025+L3668*0.025)</f>
        <v/>
      </c>
      <c r="P3668" s="17">
        <f>32</f>
        <v/>
      </c>
      <c r="Q3668" s="17">
        <f>J3668+L3668+N3668+O3668-P3668-M3668</f>
        <v/>
      </c>
    </row>
    <row r="3669">
      <c r="A3669" s="16" t="inlineStr">
        <is>
          <t>5.29-6.4</t>
        </is>
      </c>
      <c r="B3669" s="16" t="inlineStr">
        <is>
          <t>PO-128-02662163648630101</t>
        </is>
      </c>
      <c r="C3669" s="16" t="inlineStr">
        <is>
          <t>Delivered</t>
        </is>
      </c>
      <c r="D3669" s="16" t="inlineStr">
        <is>
          <t>128-02662142677110101</t>
        </is>
      </c>
      <c r="E3669" s="16" t="inlineStr">
        <is>
          <t>Delivered</t>
        </is>
      </c>
      <c r="F3669" s="16" t="inlineStr">
        <is>
          <t>TL1412N17C</t>
        </is>
      </c>
      <c r="G3669" s="16" t="inlineStr">
        <is>
          <t>Linkbits, Soporte de Pared Fijo para TV y Monitor de 14"-43", Ultra Delgado 2.3cm, Fuerte Capacidad de Peso de 25KG, Fácil Instalación con Accesorios Completos</t>
        </is>
      </c>
      <c r="H3669" s="16" t="inlineStr">
        <is>
          <t>NEGRO</t>
        </is>
      </c>
      <c r="I3669" s="16" t="n">
        <v>10</v>
      </c>
      <c r="J3669" s="17" t="n">
        <v>364</v>
      </c>
      <c r="K3669" s="17" t="n">
        <v>556.2</v>
      </c>
      <c r="L3669" s="17" t="n">
        <v>0</v>
      </c>
      <c r="M3669" s="17" t="n">
        <v>0</v>
      </c>
      <c r="N3669" s="17">
        <f>K3669*0.08+L3669*0.08</f>
        <v/>
      </c>
      <c r="O3669" s="17">
        <f>-(K3669*0.025+L3669*0.025)</f>
        <v/>
      </c>
      <c r="P3669" s="17">
        <f>32</f>
        <v/>
      </c>
      <c r="Q3669" s="17">
        <f>J3669+L3669+N3669+O3669-P3669-M3669</f>
        <v/>
      </c>
    </row>
    <row r="3670">
      <c r="A3670" s="16" t="inlineStr">
        <is>
          <t>5.29-6.4</t>
        </is>
      </c>
      <c r="B3670" s="16" t="inlineStr">
        <is>
          <t>PO-128-02567493338231625</t>
        </is>
      </c>
      <c r="C3670" s="16" t="inlineStr">
        <is>
          <t>Delivered</t>
        </is>
      </c>
      <c r="D3670" s="16" t="inlineStr">
        <is>
          <t>128-02567535281271625</t>
        </is>
      </c>
      <c r="E3670" s="16" t="inlineStr">
        <is>
          <t>Delivered</t>
        </is>
      </c>
      <c r="F3670" s="16" t="inlineStr">
        <is>
          <t>LV54W25</t>
        </is>
      </c>
      <c r="G3670" s="16" t="inlineStr">
        <is>
          <t>TIANLAI Lámpara Ventilador E27 2 en 1, Silenciosa, LED Alta Luminosidad 180°, Instalación Rápida, Ahorro Energético para Dormitorio y Interiores Pequeños</t>
        </is>
      </c>
      <c r="H3670" s="16" t="inlineStr">
        <is>
          <t>1 Pieza</t>
        </is>
      </c>
      <c r="I3670" s="16" t="n">
        <v>2</v>
      </c>
      <c r="J3670" s="17" t="n">
        <v>148</v>
      </c>
      <c r="K3670" s="17" t="n">
        <v>154.24</v>
      </c>
      <c r="L3670" s="17" t="n">
        <v>25.86</v>
      </c>
      <c r="M3670" s="17" t="n">
        <v>0</v>
      </c>
      <c r="N3670" s="17">
        <f>K3670*0.08+L3670*0.08</f>
        <v/>
      </c>
      <c r="O3670" s="17">
        <f>-(K3670*0.025+L3670*0.025)</f>
        <v/>
      </c>
      <c r="P3670" s="17">
        <f>32</f>
        <v/>
      </c>
      <c r="Q3670" s="17">
        <f>J3670+L3670+N3670+O3670-P3670-M3670</f>
        <v/>
      </c>
    </row>
    <row r="3671">
      <c r="A3671" s="16" t="inlineStr">
        <is>
          <t>5.29-6.4</t>
        </is>
      </c>
      <c r="B3671" s="16" t="inlineStr">
        <is>
          <t>PO-128-02503836147832002</t>
        </is>
      </c>
      <c r="C3671" s="16" t="inlineStr">
        <is>
          <t>Delivered</t>
        </is>
      </c>
      <c r="D3671" s="16" t="inlineStr">
        <is>
          <t>128-02503996055672002</t>
        </is>
      </c>
      <c r="E3671" s="16" t="inlineStr">
        <is>
          <t>Delivered</t>
        </is>
      </c>
      <c r="F3671" s="16" t="inlineStr">
        <is>
          <t>LV64W25</t>
        </is>
      </c>
      <c r="G367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71" s="16" t="inlineStr">
        <is>
          <t>Blanco</t>
        </is>
      </c>
      <c r="I3671" s="16" t="n">
        <v>8</v>
      </c>
      <c r="J3671" s="17" t="n">
        <v>952</v>
      </c>
      <c r="K3671" s="17" t="n">
        <v>1021.28</v>
      </c>
      <c r="L3671" s="17" t="n">
        <v>0</v>
      </c>
      <c r="M3671" s="17" t="n">
        <v>0</v>
      </c>
      <c r="N3671" s="17">
        <f>K3671*0.08+L3671*0.08</f>
        <v/>
      </c>
      <c r="O3671" s="17">
        <f>-(K3671*0.025+L3671*0.025)</f>
        <v/>
      </c>
      <c r="P3671" s="17">
        <f>32</f>
        <v/>
      </c>
      <c r="Q3671" s="17">
        <f>J3671+L3671+N3671+O3671-P3671-M3671</f>
        <v/>
      </c>
    </row>
    <row r="3672">
      <c r="A3672" s="16" t="inlineStr">
        <is>
          <t>5.29-6.4</t>
        </is>
      </c>
      <c r="B3672" s="16" t="inlineStr">
        <is>
          <t>PO-128-02637076119670248</t>
        </is>
      </c>
      <c r="C3672" s="16" t="inlineStr">
        <is>
          <t>Delivered</t>
        </is>
      </c>
      <c r="D3672" s="16" t="inlineStr">
        <is>
          <t>128-02637180977270248</t>
        </is>
      </c>
      <c r="E3672" s="16" t="inlineStr">
        <is>
          <t>Delivered</t>
        </is>
      </c>
      <c r="F3672" s="16" t="inlineStr">
        <is>
          <t>LV64W25</t>
        </is>
      </c>
      <c r="G36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72" s="16" t="inlineStr">
        <is>
          <t>Blanco</t>
        </is>
      </c>
      <c r="I3672" s="16" t="n">
        <v>3</v>
      </c>
      <c r="J3672" s="17" t="n">
        <v>357</v>
      </c>
      <c r="K3672" s="17" t="n">
        <v>370.62</v>
      </c>
      <c r="L3672" s="17" t="n">
        <v>0</v>
      </c>
      <c r="M3672" s="17" t="n">
        <v>0</v>
      </c>
      <c r="N3672" s="17">
        <f>K3672*0.08+L3672*0.08</f>
        <v/>
      </c>
      <c r="O3672" s="17">
        <f>-(K3672*0.025+L3672*0.025)</f>
        <v/>
      </c>
      <c r="P3672" s="17">
        <f>32</f>
        <v/>
      </c>
      <c r="Q3672" s="17">
        <f>J3672+L3672+N3672+O3672-P3672-M3672</f>
        <v/>
      </c>
    </row>
    <row r="3673">
      <c r="A3673" s="16" t="inlineStr">
        <is>
          <t>5.29-6.4</t>
        </is>
      </c>
      <c r="B3673" s="16" t="inlineStr">
        <is>
          <t>PO-128-02150688763513981</t>
        </is>
      </c>
      <c r="C3673" s="16" t="inlineStr">
        <is>
          <t>Delivered</t>
        </is>
      </c>
      <c r="D3673" s="16" t="inlineStr">
        <is>
          <t>128-02150720220793981</t>
        </is>
      </c>
      <c r="E3673" s="16" t="inlineStr">
        <is>
          <t>Delivered</t>
        </is>
      </c>
      <c r="F3673" s="16" t="inlineStr">
        <is>
          <t>LV64W25</t>
        </is>
      </c>
      <c r="G36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73" s="16" t="inlineStr">
        <is>
          <t>Blanco</t>
        </is>
      </c>
      <c r="I3673" s="16" t="n">
        <v>2</v>
      </c>
      <c r="J3673" s="17" t="n">
        <v>238</v>
      </c>
      <c r="K3673" s="17" t="n">
        <v>220.26</v>
      </c>
      <c r="L3673" s="17" t="n">
        <v>0</v>
      </c>
      <c r="M3673" s="17" t="n">
        <v>0</v>
      </c>
      <c r="N3673" s="17">
        <f>K3673*0.08+L3673*0.08</f>
        <v/>
      </c>
      <c r="O3673" s="17">
        <f>-(K3673*0.025+L3673*0.025)</f>
        <v/>
      </c>
      <c r="P3673" s="17">
        <f>32</f>
        <v/>
      </c>
      <c r="Q3673" s="17">
        <f>J3673+L3673+N3673+O3673-P3673-M3673</f>
        <v/>
      </c>
    </row>
    <row r="3674">
      <c r="A3674" s="16" t="inlineStr">
        <is>
          <t>5.29-6.4</t>
        </is>
      </c>
      <c r="B3674" s="16" t="inlineStr">
        <is>
          <t>PO-128-02400957228152680</t>
        </is>
      </c>
      <c r="C3674" s="16" t="inlineStr">
        <is>
          <t>Delivered</t>
        </is>
      </c>
      <c r="D3674" s="16" t="inlineStr">
        <is>
          <t>128-02400967713912680</t>
        </is>
      </c>
      <c r="E3674" s="16" t="inlineStr">
        <is>
          <t>Delivered</t>
        </is>
      </c>
      <c r="F3674" s="16" t="inlineStr">
        <is>
          <t>BSC04</t>
        </is>
      </c>
      <c r="G3674" s="16" t="inlineStr">
        <is>
          <t>TIANLAI Báscula Digital BSC04/BSC07, Alta Precisión, Fácil Operación, Ligera y Portátil, Función Tara, Unidad Dual oz/g, Ideal para Cocina, Control de Porciones, Sellos y Objetos Pequeños, Uso en Hogar y Viaje</t>
        </is>
      </c>
      <c r="H3674" s="16" t="inlineStr">
        <is>
          <t>5g/White</t>
        </is>
      </c>
      <c r="I3674" s="16" t="n">
        <v>1</v>
      </c>
      <c r="J3674" s="17" t="n">
        <v>52</v>
      </c>
      <c r="K3674" s="17" t="n">
        <v>85.22</v>
      </c>
      <c r="L3674" s="17" t="n">
        <v>25.86</v>
      </c>
      <c r="M3674" s="17" t="n">
        <v>0</v>
      </c>
      <c r="N3674" s="17">
        <f>K3674*0.08+L3674*0.08</f>
        <v/>
      </c>
      <c r="O3674" s="17">
        <f>-(K3674*0.025+L3674*0.025)</f>
        <v/>
      </c>
      <c r="P3674" s="17">
        <f>32</f>
        <v/>
      </c>
      <c r="Q3674" s="17">
        <f>J3674+L3674+N3674+O3674-P3674-M3674</f>
        <v/>
      </c>
    </row>
    <row r="3675">
      <c r="A3675" s="16" t="inlineStr">
        <is>
          <t>5.29-6.4</t>
        </is>
      </c>
      <c r="B3675" s="16" t="inlineStr">
        <is>
          <t>PO-128-02473528389751033</t>
        </is>
      </c>
      <c r="C3675" s="16" t="inlineStr">
        <is>
          <t>Delivered</t>
        </is>
      </c>
      <c r="D3675" s="16" t="inlineStr">
        <is>
          <t>128-02473570332791033</t>
        </is>
      </c>
      <c r="E3675" s="16" t="inlineStr">
        <is>
          <t>Delivered</t>
        </is>
      </c>
      <c r="F3675" s="16" t="inlineStr">
        <is>
          <t>LV64W25</t>
        </is>
      </c>
      <c r="G367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75" s="16" t="inlineStr">
        <is>
          <t>Blanco</t>
        </is>
      </c>
      <c r="I3675" s="16" t="n">
        <v>1</v>
      </c>
      <c r="J3675" s="17" t="n">
        <v>119</v>
      </c>
      <c r="K3675" s="17" t="n">
        <v>127.66</v>
      </c>
      <c r="L3675" s="17" t="n">
        <v>25.86</v>
      </c>
      <c r="M3675" s="17" t="n">
        <v>0</v>
      </c>
      <c r="N3675" s="17">
        <f>K3675*0.08+L3675*0.08</f>
        <v/>
      </c>
      <c r="O3675" s="17">
        <f>-(K3675*0.025+L3675*0.025)</f>
        <v/>
      </c>
      <c r="P3675" s="17">
        <f>32</f>
        <v/>
      </c>
      <c r="Q3675" s="17">
        <f>J3675+L3675+N3675+O3675-P3675-M3675</f>
        <v/>
      </c>
    </row>
    <row r="3676">
      <c r="A3676" s="16" t="inlineStr">
        <is>
          <t>5.29-6.4</t>
        </is>
      </c>
      <c r="B3676" s="16" t="inlineStr">
        <is>
          <t>PO-128-02656166756470073</t>
        </is>
      </c>
      <c r="C3676" s="16" t="inlineStr">
        <is>
          <t>Delivered</t>
        </is>
      </c>
      <c r="D3676" s="16" t="inlineStr">
        <is>
          <t>128-02656161513590073</t>
        </is>
      </c>
      <c r="E3676" s="16" t="inlineStr">
        <is>
          <t>Delivered</t>
        </is>
      </c>
      <c r="F3676" s="16" t="inlineStr">
        <is>
          <t>TLCD06-12P-R</t>
        </is>
      </c>
      <c r="G367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676" s="16" t="inlineStr">
        <is>
          <t>ROJO/pantalla de 12 pulgadas</t>
        </is>
      </c>
      <c r="I3676" s="16" t="n">
        <v>1</v>
      </c>
      <c r="J3676" s="17" t="n">
        <v>32</v>
      </c>
      <c r="K3676" s="17" t="n">
        <v>44.02</v>
      </c>
      <c r="L3676" s="17" t="n">
        <v>25.86</v>
      </c>
      <c r="M3676" s="17" t="n">
        <v>0</v>
      </c>
      <c r="N3676" s="17">
        <f>K3676*0.08+L3676*0.08</f>
        <v/>
      </c>
      <c r="O3676" s="17">
        <f>-(K3676*0.025+L3676*0.025)</f>
        <v/>
      </c>
      <c r="P3676" s="17">
        <f>32</f>
        <v/>
      </c>
      <c r="Q3676" s="17">
        <f>J3676+L3676+N3676+O3676-P3676-M3676</f>
        <v/>
      </c>
    </row>
    <row r="3677">
      <c r="A3677" s="16" t="inlineStr">
        <is>
          <t>5.29-6.4</t>
        </is>
      </c>
      <c r="B3677" s="16" t="inlineStr">
        <is>
          <t>PO-128-02470600942711051</t>
        </is>
      </c>
      <c r="C3677" s="16" t="inlineStr">
        <is>
          <t>Delivered</t>
        </is>
      </c>
      <c r="D3677" s="16" t="inlineStr">
        <is>
          <t>128-02470606185591051</t>
        </is>
      </c>
      <c r="E3677" s="16" t="inlineStr">
        <is>
          <t>Delivered</t>
        </is>
      </c>
      <c r="F3677" s="16" t="inlineStr">
        <is>
          <t>LV54W25</t>
        </is>
      </c>
      <c r="G3677" s="16" t="inlineStr">
        <is>
          <t>TIANLAI Lámpara Ventilador E27 2 en 1, Silenciosa, LED Alta Luminosidad 180°, Instalación Rápida, Ahorro Energético para Dormitorio y Interiores Pequeños</t>
        </is>
      </c>
      <c r="H3677" s="16" t="inlineStr">
        <is>
          <t>1 Pieza</t>
        </is>
      </c>
      <c r="I3677" s="16" t="n">
        <v>1</v>
      </c>
      <c r="J3677" s="17" t="n">
        <v>74</v>
      </c>
      <c r="K3677" s="17" t="n">
        <v>67.40000000000001</v>
      </c>
      <c r="L3677" s="17" t="n">
        <v>25.86</v>
      </c>
      <c r="M3677" s="17" t="n">
        <v>0</v>
      </c>
      <c r="N3677" s="17">
        <f>K3677*0.08+L3677*0.08</f>
        <v/>
      </c>
      <c r="O3677" s="17">
        <f>-(K3677*0.025+L3677*0.025)</f>
        <v/>
      </c>
      <c r="P3677" s="17">
        <f>32</f>
        <v/>
      </c>
      <c r="Q3677" s="17">
        <f>J3677+L3677+N3677+O3677-P3677-M3677</f>
        <v/>
      </c>
    </row>
    <row r="3678">
      <c r="A3678" s="16" t="inlineStr">
        <is>
          <t>5.29-6.4</t>
        </is>
      </c>
      <c r="B3678" s="16" t="inlineStr">
        <is>
          <t>PO-128-02419985795191478</t>
        </is>
      </c>
      <c r="C3678" s="16" t="inlineStr">
        <is>
          <t>Delivered</t>
        </is>
      </c>
      <c r="D3678" s="16" t="inlineStr">
        <is>
          <t>128-02419964823671478</t>
        </is>
      </c>
      <c r="E3678" s="16" t="inlineStr">
        <is>
          <t>Delivered</t>
        </is>
      </c>
      <c r="F3678" s="16" t="inlineStr">
        <is>
          <t>LV54W25</t>
        </is>
      </c>
      <c r="G3678" s="16" t="inlineStr">
        <is>
          <t>TIANLAI Lámpara Ventilador E27 2 en 1, Silenciosa, LED Alta Luminosidad 180°, Instalación Rápida, Ahorro Energético para Dormitorio y Interiores Pequeños</t>
        </is>
      </c>
      <c r="H3678" s="16" t="inlineStr">
        <is>
          <t>1 Pieza</t>
        </is>
      </c>
      <c r="I3678" s="16" t="n">
        <v>2</v>
      </c>
      <c r="J3678" s="17" t="n">
        <v>148</v>
      </c>
      <c r="K3678" s="17" t="n">
        <v>157.66</v>
      </c>
      <c r="L3678" s="17" t="n">
        <v>25.86</v>
      </c>
      <c r="M3678" s="17" t="n">
        <v>0</v>
      </c>
      <c r="N3678" s="17">
        <f>K3678*0.08+L3678*0.08</f>
        <v/>
      </c>
      <c r="O3678" s="17">
        <f>-(K3678*0.025+L3678*0.025)</f>
        <v/>
      </c>
      <c r="P3678" s="17">
        <f>32</f>
        <v/>
      </c>
      <c r="Q3678" s="17">
        <f>J3678+L3678+N3678+O3678-P3678-M3678</f>
        <v/>
      </c>
    </row>
    <row r="3679">
      <c r="A3679" s="16" t="inlineStr">
        <is>
          <t>5.29-6.4</t>
        </is>
      </c>
      <c r="B3679" s="16" t="inlineStr">
        <is>
          <t>PO-128-02458368684151187</t>
        </is>
      </c>
      <c r="C3679" s="16" t="inlineStr">
        <is>
          <t>Delivered</t>
        </is>
      </c>
      <c r="D3679" s="16" t="inlineStr">
        <is>
          <t>128-02458375565431187</t>
        </is>
      </c>
      <c r="E3679" s="16" t="inlineStr">
        <is>
          <t>Delivered</t>
        </is>
      </c>
      <c r="F3679" s="16" t="inlineStr">
        <is>
          <t>LV54W25</t>
        </is>
      </c>
      <c r="G3679" s="16" t="inlineStr">
        <is>
          <t>TIANLAI Lámpara Ventilador E27 2 en 1, Silenciosa, LED Alta Luminosidad 180°, Instalación Rápida, Ahorro Energético para Dormitorio y Interiores Pequeños</t>
        </is>
      </c>
      <c r="H3679" s="16" t="inlineStr">
        <is>
          <t>1 Pieza</t>
        </is>
      </c>
      <c r="I3679" s="16" t="n">
        <v>1</v>
      </c>
      <c r="J3679" s="17" t="n">
        <v>74</v>
      </c>
      <c r="K3679" s="17" t="n">
        <v>75.69</v>
      </c>
      <c r="L3679" s="17" t="n">
        <v>25.86</v>
      </c>
      <c r="M3679" s="17" t="n">
        <v>0</v>
      </c>
      <c r="N3679" s="17">
        <f>K3679*0.08+L3679*0.08</f>
        <v/>
      </c>
      <c r="O3679" s="17">
        <f>-(K3679*0.025+L3679*0.025)</f>
        <v/>
      </c>
      <c r="P3679" s="17">
        <f>32</f>
        <v/>
      </c>
      <c r="Q3679" s="17">
        <f>J3679+L3679+N3679+O3679-P3679-M3679</f>
        <v/>
      </c>
    </row>
    <row r="3680">
      <c r="A3680" s="16" t="inlineStr">
        <is>
          <t>5.29-6.4</t>
        </is>
      </c>
      <c r="B3680" s="16" t="inlineStr">
        <is>
          <t>PO-128-02725057569910748</t>
        </is>
      </c>
      <c r="C3680" s="16" t="inlineStr">
        <is>
          <t>Delivered</t>
        </is>
      </c>
      <c r="D3680" s="16" t="inlineStr">
        <is>
          <t>128-02725068055670748</t>
        </is>
      </c>
      <c r="E3680" s="16" t="inlineStr">
        <is>
          <t>Delivered</t>
        </is>
      </c>
      <c r="F3680" s="16" t="inlineStr">
        <is>
          <t>TLCD06-12P-N</t>
        </is>
      </c>
      <c r="G368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680" s="16" t="inlineStr">
        <is>
          <t>NEGRO/pantalla de 12 pulgadas</t>
        </is>
      </c>
      <c r="I3680" s="16" t="n">
        <v>1</v>
      </c>
      <c r="J3680" s="17" t="n">
        <v>32</v>
      </c>
      <c r="K3680" s="17" t="n">
        <v>44.01</v>
      </c>
      <c r="L3680" s="17" t="n">
        <v>25.86</v>
      </c>
      <c r="M3680" s="17" t="n">
        <v>0</v>
      </c>
      <c r="N3680" s="17">
        <f>K3680*0.08+L3680*0.08</f>
        <v/>
      </c>
      <c r="O3680" s="17">
        <f>-(K3680*0.025+L3680*0.025)</f>
        <v/>
      </c>
      <c r="P3680" s="17">
        <f>32</f>
        <v/>
      </c>
      <c r="Q3680" s="17">
        <f>J3680+L3680+N3680+O3680-P3680-M3680</f>
        <v/>
      </c>
    </row>
    <row r="3681">
      <c r="A3681" s="16" t="inlineStr">
        <is>
          <t>5.29-6.4</t>
        </is>
      </c>
      <c r="B3681" s="16" t="inlineStr">
        <is>
          <t>PO-128-02450541084791168</t>
        </is>
      </c>
      <c r="C3681" s="16" t="inlineStr">
        <is>
          <t>Delivered</t>
        </is>
      </c>
      <c r="D3681" s="16" t="inlineStr">
        <is>
          <t>128-02450509627511168</t>
        </is>
      </c>
      <c r="E3681" s="16" t="inlineStr">
        <is>
          <t>Delivered</t>
        </is>
      </c>
      <c r="F3681" s="16" t="inlineStr">
        <is>
          <t>KTS-2031</t>
        </is>
      </c>
      <c r="G3681" s="16" t="inlineStr">
        <is>
          <t>Bocina inalámbrica de 3 pulgadas con linterna multifuncional y panel solar integrado.Altavoz Portátil con Linterna LED 4 Modos, Radio FM, Bluetooth, Carga Solar, Ideal para Apagones, Emergencias, Campo y Exteriores</t>
        </is>
      </c>
      <c r="H3681" s="16" t="inlineStr">
        <is>
          <t>NEGRO</t>
        </is>
      </c>
      <c r="I3681" s="16" t="n">
        <v>1</v>
      </c>
      <c r="J3681" s="17" t="n">
        <v>88</v>
      </c>
      <c r="K3681" s="17" t="n">
        <v>97.22</v>
      </c>
      <c r="L3681" s="17" t="n">
        <v>25.86</v>
      </c>
      <c r="M3681" s="17" t="n">
        <v>0</v>
      </c>
      <c r="N3681" s="17">
        <f>K3681*0.08+L3681*0.08</f>
        <v/>
      </c>
      <c r="O3681" s="17">
        <f>-(K3681*0.025+L3681*0.025)</f>
        <v/>
      </c>
      <c r="P3681" s="17">
        <f>32</f>
        <v/>
      </c>
      <c r="Q3681" s="17">
        <f>J3681+L3681+N3681+O3681-P3681-M3681</f>
        <v/>
      </c>
    </row>
    <row r="3682">
      <c r="A3682" s="16" t="inlineStr">
        <is>
          <t>5.29-6.4</t>
        </is>
      </c>
      <c r="B3682" s="16" t="inlineStr">
        <is>
          <t>PO-128-02308013310072082</t>
        </is>
      </c>
      <c r="C3682" s="16" t="inlineStr">
        <is>
          <t>Delivered</t>
        </is>
      </c>
      <c r="D3682" s="16" t="inlineStr">
        <is>
          <t>128-02307971367032082</t>
        </is>
      </c>
      <c r="E3682" s="16" t="inlineStr">
        <is>
          <t>Delivered</t>
        </is>
      </c>
      <c r="F3682" s="16" t="inlineStr">
        <is>
          <t>LV54W25</t>
        </is>
      </c>
      <c r="G3682" s="16" t="inlineStr">
        <is>
          <t>TIANLAI Lámpara Ventilador E27 2 en 1, Silenciosa, LED Alta Luminosidad 180°, Instalación Rápida, Ahorro Energético para Dormitorio y Interiores Pequeños</t>
        </is>
      </c>
      <c r="H3682" s="16" t="inlineStr">
        <is>
          <t>1 Pieza</t>
        </is>
      </c>
      <c r="I3682" s="16" t="n">
        <v>1</v>
      </c>
      <c r="J3682" s="17" t="n">
        <v>74</v>
      </c>
      <c r="K3682" s="17" t="n">
        <v>78.83</v>
      </c>
      <c r="L3682" s="17" t="n">
        <v>25.86</v>
      </c>
      <c r="M3682" s="17" t="n">
        <v>0</v>
      </c>
      <c r="N3682" s="17">
        <f>K3682*0.08+L3682*0.08</f>
        <v/>
      </c>
      <c r="O3682" s="17">
        <f>-(K3682*0.025+L3682*0.025)</f>
        <v/>
      </c>
      <c r="P3682" s="17">
        <f>32</f>
        <v/>
      </c>
      <c r="Q3682" s="17">
        <f>J3682+L3682+N3682+O3682-P3682-M3682</f>
        <v/>
      </c>
    </row>
    <row r="3683">
      <c r="A3683" s="16" t="inlineStr">
        <is>
          <t>5.29-6.4</t>
        </is>
      </c>
      <c r="B3683" s="16" t="inlineStr">
        <is>
          <t>PO-128-02583068664950442</t>
        </is>
      </c>
      <c r="C3683" s="16" t="inlineStr">
        <is>
          <t>Delivered</t>
        </is>
      </c>
      <c r="D3683" s="16" t="inlineStr">
        <is>
          <t>128-02583110607990442</t>
        </is>
      </c>
      <c r="E3683" s="16" t="inlineStr">
        <is>
          <t>Delivered</t>
        </is>
      </c>
      <c r="F3683" s="16" t="inlineStr">
        <is>
          <t>LV64W25</t>
        </is>
      </c>
      <c r="G36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83" s="16" t="inlineStr">
        <is>
          <t>Blanco</t>
        </is>
      </c>
      <c r="I3683" s="16" t="n">
        <v>4</v>
      </c>
      <c r="J3683" s="17" t="n">
        <v>476</v>
      </c>
      <c r="K3683" s="17" t="n">
        <v>510.64</v>
      </c>
      <c r="L3683" s="17" t="n">
        <v>0</v>
      </c>
      <c r="M3683" s="17" t="n">
        <v>0</v>
      </c>
      <c r="N3683" s="17">
        <f>K3683*0.08+L3683*0.08</f>
        <v/>
      </c>
      <c r="O3683" s="17">
        <f>-(K3683*0.025+L3683*0.025)</f>
        <v/>
      </c>
      <c r="P3683" s="17">
        <f>32</f>
        <v/>
      </c>
      <c r="Q3683" s="17">
        <f>J3683+L3683+N3683+O3683-P3683-M3683</f>
        <v/>
      </c>
    </row>
    <row r="3684">
      <c r="A3684" s="16" t="inlineStr">
        <is>
          <t>5.29-6.4</t>
        </is>
      </c>
      <c r="B3684" s="16" t="inlineStr">
        <is>
          <t>PO-128-02271861092472427</t>
        </is>
      </c>
      <c r="C3684" s="16" t="inlineStr">
        <is>
          <t>Delivered</t>
        </is>
      </c>
      <c r="D3684" s="16" t="inlineStr">
        <is>
          <t>128-02271834878072427</t>
        </is>
      </c>
      <c r="E3684" s="16" t="inlineStr">
        <is>
          <t>Delivered</t>
        </is>
      </c>
      <c r="F3684" s="16" t="inlineStr">
        <is>
          <t>LV64W25</t>
        </is>
      </c>
      <c r="G36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84" s="16" t="inlineStr">
        <is>
          <t>Blanco</t>
        </is>
      </c>
      <c r="I3684" s="16" t="n">
        <v>1</v>
      </c>
      <c r="J3684" s="17" t="n">
        <v>119</v>
      </c>
      <c r="K3684" s="17" t="n">
        <v>114.27</v>
      </c>
      <c r="L3684" s="17" t="n">
        <v>25.86</v>
      </c>
      <c r="M3684" s="17" t="n">
        <v>0</v>
      </c>
      <c r="N3684" s="17">
        <f>K3684*0.08+L3684*0.08</f>
        <v/>
      </c>
      <c r="O3684" s="17">
        <f>-(K3684*0.025+L3684*0.025)</f>
        <v/>
      </c>
      <c r="P3684" s="17">
        <f>32</f>
        <v/>
      </c>
      <c r="Q3684" s="17">
        <f>J3684+L3684+N3684+O3684-P3684-M3684</f>
        <v/>
      </c>
    </row>
    <row r="3685">
      <c r="A3685" s="16" t="inlineStr">
        <is>
          <t>5.29-6.4</t>
        </is>
      </c>
      <c r="B3685" s="16" t="inlineStr">
        <is>
          <t>PO-128-02652347297910095</t>
        </is>
      </c>
      <c r="C3685" s="16" t="inlineStr">
        <is>
          <t>Delivered</t>
        </is>
      </c>
      <c r="D3685" s="16" t="inlineStr">
        <is>
          <t>128-02652452155510095</t>
        </is>
      </c>
      <c r="E3685" s="16" t="inlineStr">
        <is>
          <t>Delivered</t>
        </is>
      </c>
      <c r="F3685" s="16" t="inlineStr">
        <is>
          <t>LV64W25</t>
        </is>
      </c>
      <c r="G36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85" s="16" t="inlineStr">
        <is>
          <t>Blanco</t>
        </is>
      </c>
      <c r="I3685" s="16" t="n">
        <v>2</v>
      </c>
      <c r="J3685" s="17" t="n">
        <v>238</v>
      </c>
      <c r="K3685" s="17" t="n">
        <v>247.08</v>
      </c>
      <c r="L3685" s="17" t="n">
        <v>0</v>
      </c>
      <c r="M3685" s="17" t="n">
        <v>0</v>
      </c>
      <c r="N3685" s="17">
        <f>K3685*0.08+L3685*0.08</f>
        <v/>
      </c>
      <c r="O3685" s="17">
        <f>-(K3685*0.025+L3685*0.025)</f>
        <v/>
      </c>
      <c r="P3685" s="17">
        <f>32</f>
        <v/>
      </c>
      <c r="Q3685" s="17">
        <f>J3685+L3685+N3685+O3685-P3685-M3685</f>
        <v/>
      </c>
    </row>
    <row r="3686">
      <c r="A3686" s="16" t="inlineStr">
        <is>
          <t>5.29-6.4</t>
        </is>
      </c>
      <c r="B3686" s="16" t="inlineStr">
        <is>
          <t>PO-128-02248570217592500</t>
        </is>
      </c>
      <c r="C3686" s="16" t="inlineStr">
        <is>
          <t>Delivered</t>
        </is>
      </c>
      <c r="D3686" s="16" t="inlineStr">
        <is>
          <t>128-02248646239352500</t>
        </is>
      </c>
      <c r="E3686" s="16" t="inlineStr">
        <is>
          <t>Delivered</t>
        </is>
      </c>
      <c r="F3686" s="16" t="inlineStr">
        <is>
          <t>VA371T</t>
        </is>
      </c>
      <c r="G3686" s="16" t="inlineStr">
        <is>
          <t>Linkbits Bocina Bluetooth Portátil 3" de Alta Gama，Hi-Res Audio y Graves Potentes，Luces LED + Soporte USB/TF/FM/TWS，Ideal para Hogar y Aire Libre</t>
        </is>
      </c>
      <c r="H3686" s="16" t="inlineStr">
        <is>
          <t>VA371T</t>
        </is>
      </c>
      <c r="I3686" s="16" t="n">
        <v>1</v>
      </c>
      <c r="J3686" s="17" t="n">
        <v>41.32</v>
      </c>
      <c r="K3686" s="17" t="n">
        <v>49.7</v>
      </c>
      <c r="L3686" s="17" t="n">
        <v>25.86</v>
      </c>
      <c r="M3686" s="17" t="n">
        <v>0</v>
      </c>
      <c r="N3686" s="17">
        <f>K3686*0.08+L3686*0.08</f>
        <v/>
      </c>
      <c r="O3686" s="17">
        <f>-(K3686*0.025+L3686*0.025)</f>
        <v/>
      </c>
      <c r="P3686" s="17">
        <f>32</f>
        <v/>
      </c>
      <c r="Q3686" s="17">
        <f>J3686+L3686+N3686+O3686-P3686-M3686</f>
        <v/>
      </c>
    </row>
    <row r="3687">
      <c r="A3687" s="16" t="inlineStr">
        <is>
          <t>5.29-6.4</t>
        </is>
      </c>
      <c r="B3687" s="16" t="inlineStr">
        <is>
          <t>PO-128-02322316608632956</t>
        </is>
      </c>
      <c r="C3687" s="16" t="inlineStr">
        <is>
          <t>Delivered</t>
        </is>
      </c>
      <c r="D3687" s="16" t="inlineStr">
        <is>
          <t>128-02322327094392956</t>
        </is>
      </c>
      <c r="E3687" s="16" t="inlineStr">
        <is>
          <t>Delivered</t>
        </is>
      </c>
      <c r="F3687" s="16" t="inlineStr">
        <is>
          <t>LV54W25</t>
        </is>
      </c>
      <c r="G3687" s="16" t="inlineStr">
        <is>
          <t>TIANLAI Lámpara Ventilador E27 2 en 1, Silenciosa, LED Alta Luminosidad 180°, Instalación Rápida, Ahorro Energético para Dormitorio y Interiores Pequeños</t>
        </is>
      </c>
      <c r="H3687" s="16" t="inlineStr">
        <is>
          <t>1 Pieza</t>
        </is>
      </c>
      <c r="I3687" s="16" t="n">
        <v>2</v>
      </c>
      <c r="J3687" s="17" t="n">
        <v>148</v>
      </c>
      <c r="K3687" s="17" t="n">
        <v>157.66</v>
      </c>
      <c r="L3687" s="17" t="n">
        <v>25.86</v>
      </c>
      <c r="M3687" s="17" t="n">
        <v>0</v>
      </c>
      <c r="N3687" s="17">
        <f>K3687*0.08+L3687*0.08</f>
        <v/>
      </c>
      <c r="O3687" s="17">
        <f>-(K3687*0.025+L3687*0.025)</f>
        <v/>
      </c>
      <c r="P3687" s="17">
        <f>32</f>
        <v/>
      </c>
      <c r="Q3687" s="17">
        <f>J3687+L3687+N3687+O3687-P3687-M3687</f>
        <v/>
      </c>
    </row>
    <row r="3688">
      <c r="A3688" s="16" t="inlineStr">
        <is>
          <t>5.29-6.4</t>
        </is>
      </c>
      <c r="B3688" s="16" t="inlineStr">
        <is>
          <t>PO-128-02113557594233243</t>
        </is>
      </c>
      <c r="C3688" s="16" t="inlineStr">
        <is>
          <t>Delivered</t>
        </is>
      </c>
      <c r="D3688" s="16" t="inlineStr">
        <is>
          <t>128-02113515651193243</t>
        </is>
      </c>
      <c r="E3688" s="16" t="inlineStr">
        <is>
          <t>Delivered</t>
        </is>
      </c>
      <c r="F3688" s="16" t="inlineStr">
        <is>
          <t>LV64W25</t>
        </is>
      </c>
      <c r="G36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88" s="16" t="inlineStr">
        <is>
          <t>Blanco</t>
        </is>
      </c>
      <c r="I3688" s="16" t="n">
        <v>1</v>
      </c>
      <c r="J3688" s="17" t="n">
        <v>119</v>
      </c>
      <c r="K3688" s="17" t="n">
        <v>127.66</v>
      </c>
      <c r="L3688" s="17" t="n">
        <v>25.86</v>
      </c>
      <c r="M3688" s="17" t="n">
        <v>0</v>
      </c>
      <c r="N3688" s="17">
        <f>K3688*0.08+L3688*0.08</f>
        <v/>
      </c>
      <c r="O3688" s="17">
        <f>-(K3688*0.025+L3688*0.025)</f>
        <v/>
      </c>
      <c r="P3688" s="17">
        <f>32</f>
        <v/>
      </c>
      <c r="Q3688" s="17">
        <f>J3688+L3688+N3688+O3688-P3688-M3688</f>
        <v/>
      </c>
    </row>
    <row r="3689">
      <c r="A3689" s="16" t="inlineStr">
        <is>
          <t>5.29-6.4</t>
        </is>
      </c>
      <c r="B3689" s="16" t="inlineStr">
        <is>
          <t>PO-128-02385950692472579</t>
        </is>
      </c>
      <c r="C3689" s="16" t="inlineStr">
        <is>
          <t>Delivered</t>
        </is>
      </c>
      <c r="D3689" s="16" t="inlineStr">
        <is>
          <t>128-02385919235192579</t>
        </is>
      </c>
      <c r="E3689" s="16" t="inlineStr">
        <is>
          <t>Delivered</t>
        </is>
      </c>
      <c r="F3689" s="16" t="inlineStr">
        <is>
          <t>KTS-2031</t>
        </is>
      </c>
      <c r="G3689" s="16" t="inlineStr">
        <is>
          <t>Bocina inalámbrica de 3 pulgadas con linterna multifuncional y panel solar integrado.Altavoz Portátil con Linterna LED 4 Modos, Radio FM, Bluetooth, Carga Solar, Ideal para Apagones, Emergencias, Campo y Exteriores</t>
        </is>
      </c>
      <c r="H3689" s="16" t="inlineStr">
        <is>
          <t>NEGRO</t>
        </is>
      </c>
      <c r="I3689" s="16" t="n">
        <v>1</v>
      </c>
      <c r="J3689" s="17" t="n">
        <v>88</v>
      </c>
      <c r="K3689" s="17" t="n">
        <v>87.5</v>
      </c>
      <c r="L3689" s="17" t="n">
        <v>25.86</v>
      </c>
      <c r="M3689" s="17" t="n">
        <v>0</v>
      </c>
      <c r="N3689" s="17">
        <f>K3689*0.08+L3689*0.08</f>
        <v/>
      </c>
      <c r="O3689" s="17">
        <f>-(K3689*0.025+L3689*0.025)</f>
        <v/>
      </c>
      <c r="P3689" s="17">
        <f>32</f>
        <v/>
      </c>
      <c r="Q3689" s="17">
        <f>J3689+L3689+N3689+O3689-P3689-M3689</f>
        <v/>
      </c>
    </row>
    <row r="3690">
      <c r="A3690" s="16" t="inlineStr">
        <is>
          <t>5.29-6.4</t>
        </is>
      </c>
      <c r="B3690" s="16" t="inlineStr">
        <is>
          <t>PO-128-02516762857591799</t>
        </is>
      </c>
      <c r="C3690" s="16" t="inlineStr">
        <is>
          <t>Delivered</t>
        </is>
      </c>
      <c r="D3690" s="16" t="inlineStr">
        <is>
          <t>128-02516899172471799</t>
        </is>
      </c>
      <c r="E3690" s="16" t="inlineStr">
        <is>
          <t>Delivered</t>
        </is>
      </c>
      <c r="F3690" s="16" t="inlineStr">
        <is>
          <t>LV64W25</t>
        </is>
      </c>
      <c r="G36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0" s="16" t="inlineStr">
        <is>
          <t>Blanco</t>
        </is>
      </c>
      <c r="I3690" s="16" t="n">
        <v>4</v>
      </c>
      <c r="J3690" s="17" t="n">
        <v>476</v>
      </c>
      <c r="K3690" s="17" t="n">
        <v>549.04</v>
      </c>
      <c r="L3690" s="17" t="n">
        <v>0</v>
      </c>
      <c r="M3690" s="17" t="n">
        <v>0</v>
      </c>
      <c r="N3690" s="17">
        <f>K3690*0.08+L3690*0.08</f>
        <v/>
      </c>
      <c r="O3690" s="17">
        <f>-(K3690*0.025+L3690*0.025)</f>
        <v/>
      </c>
      <c r="P3690" s="17">
        <f>32</f>
        <v/>
      </c>
      <c r="Q3690" s="17">
        <f>J3690+L3690+N3690+O3690-P3690-M3690</f>
        <v/>
      </c>
    </row>
    <row r="3691">
      <c r="A3691" s="16" t="inlineStr">
        <is>
          <t>5.29-6.4</t>
        </is>
      </c>
      <c r="B3691" s="16" t="inlineStr">
        <is>
          <t>PO-128-02343813394552828</t>
        </is>
      </c>
      <c r="C3691" s="16" t="inlineStr">
        <is>
          <t>Delivered</t>
        </is>
      </c>
      <c r="D3691" s="16" t="inlineStr">
        <is>
          <t>128-02343834366072828</t>
        </is>
      </c>
      <c r="E3691" s="16" t="inlineStr">
        <is>
          <t>Delivered</t>
        </is>
      </c>
      <c r="F3691" s="16" t="inlineStr">
        <is>
          <t>LV64W25</t>
        </is>
      </c>
      <c r="G36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1" s="16" t="inlineStr">
        <is>
          <t>Blanco</t>
        </is>
      </c>
      <c r="I3691" s="16" t="n">
        <v>1</v>
      </c>
      <c r="J3691" s="17" t="n">
        <v>119</v>
      </c>
      <c r="K3691" s="17" t="n">
        <v>123.54</v>
      </c>
      <c r="L3691" s="17" t="n">
        <v>25.86</v>
      </c>
      <c r="M3691" s="17" t="n">
        <v>0</v>
      </c>
      <c r="N3691" s="17">
        <f>K3691*0.08+L3691*0.08</f>
        <v/>
      </c>
      <c r="O3691" s="17">
        <f>-(K3691*0.025+L3691*0.025)</f>
        <v/>
      </c>
      <c r="P3691" s="17">
        <f>32</f>
        <v/>
      </c>
      <c r="Q3691" s="17">
        <f>J3691+L3691+N3691+O3691-P3691-M3691</f>
        <v/>
      </c>
    </row>
    <row r="3692">
      <c r="A3692" s="16" t="inlineStr">
        <is>
          <t>5.29-6.4</t>
        </is>
      </c>
      <c r="B3692" s="16" t="inlineStr">
        <is>
          <t>PO-128-02305854943352097</t>
        </is>
      </c>
      <c r="C3692" s="16" t="inlineStr">
        <is>
          <t>Delivered</t>
        </is>
      </c>
      <c r="D3692" s="16" t="inlineStr">
        <is>
          <t>128-02305857564792097</t>
        </is>
      </c>
      <c r="E3692" s="16" t="inlineStr">
        <is>
          <t>Delivered</t>
        </is>
      </c>
      <c r="F3692" s="16" t="inlineStr">
        <is>
          <t>KTS-2031</t>
        </is>
      </c>
      <c r="G3692" s="16" t="inlineStr">
        <is>
          <t>Bocina inalámbrica de 3 pulgadas con linterna multifuncional y panel solar integrado.Altavoz Portátil con Linterna LED 4 Modos, Radio FM, Bluetooth, Carga Solar, Ideal para Apagones, Emergencias, Campo y Exteriores</t>
        </is>
      </c>
      <c r="H3692" s="16" t="inlineStr">
        <is>
          <t>NEGRO</t>
        </is>
      </c>
      <c r="I3692" s="16" t="n">
        <v>2</v>
      </c>
      <c r="J3692" s="17" t="n">
        <v>176</v>
      </c>
      <c r="K3692" s="17" t="n">
        <v>194.44</v>
      </c>
      <c r="L3692" s="17" t="n">
        <v>25.86</v>
      </c>
      <c r="M3692" s="17" t="n">
        <v>0</v>
      </c>
      <c r="N3692" s="17">
        <f>K3692*0.08+L3692*0.08</f>
        <v/>
      </c>
      <c r="O3692" s="17">
        <f>-(K3692*0.025+L3692*0.025)</f>
        <v/>
      </c>
      <c r="P3692" s="17">
        <f>32</f>
        <v/>
      </c>
      <c r="Q3692" s="17">
        <f>J3692+L3692+N3692+O3692-P3692-M3692</f>
        <v/>
      </c>
    </row>
    <row r="3693">
      <c r="A3693" s="16" t="inlineStr">
        <is>
          <t>5.29-6.4</t>
        </is>
      </c>
      <c r="B3693" s="16" t="inlineStr">
        <is>
          <t>PO-128-02730134577270526</t>
        </is>
      </c>
      <c r="C3693" s="16" t="inlineStr">
        <is>
          <t>Delivered</t>
        </is>
      </c>
      <c r="D3693" s="16" t="inlineStr">
        <is>
          <t>128-02730092634230526</t>
        </is>
      </c>
      <c r="E3693" s="16" t="inlineStr">
        <is>
          <t>Delivered</t>
        </is>
      </c>
      <c r="F3693" s="16" t="inlineStr">
        <is>
          <t>LV54W25</t>
        </is>
      </c>
      <c r="G3693" s="16" t="inlineStr">
        <is>
          <t>TIANLAI Lámpara Ventilador E27 2 en 1, Silenciosa, LED Alta Luminosidad 180°, Instalación Rápida, Ahorro Energético para Dormitorio y Interiores Pequeños</t>
        </is>
      </c>
      <c r="H3693" s="16" t="inlineStr">
        <is>
          <t>1 Pieza</t>
        </is>
      </c>
      <c r="I3693" s="16" t="n">
        <v>1</v>
      </c>
      <c r="J3693" s="17" t="n">
        <v>74</v>
      </c>
      <c r="K3693" s="17" t="n">
        <v>77.12</v>
      </c>
      <c r="L3693" s="17" t="n">
        <v>25.86</v>
      </c>
      <c r="M3693" s="17" t="n">
        <v>0</v>
      </c>
      <c r="N3693" s="17">
        <f>K3693*0.08+L3693*0.08</f>
        <v/>
      </c>
      <c r="O3693" s="17">
        <f>-(K3693*0.025+L3693*0.025)</f>
        <v/>
      </c>
      <c r="P3693" s="17">
        <f>32</f>
        <v/>
      </c>
      <c r="Q3693" s="17">
        <f>J3693+L3693+N3693+O3693-P3693-M3693</f>
        <v/>
      </c>
    </row>
    <row r="3694">
      <c r="A3694" s="16" t="inlineStr">
        <is>
          <t>5.29-6.4</t>
        </is>
      </c>
      <c r="B3694" s="16" t="inlineStr">
        <is>
          <t>PO-128-02091035758713377</t>
        </is>
      </c>
      <c r="C3694" s="16" t="inlineStr">
        <is>
          <t>Delivered</t>
        </is>
      </c>
      <c r="D3694" s="16" t="inlineStr">
        <is>
          <t>128-02091020030073377</t>
        </is>
      </c>
      <c r="E3694" s="16" t="inlineStr">
        <is>
          <t>Delivered</t>
        </is>
      </c>
      <c r="F3694" s="16" t="inlineStr">
        <is>
          <t>LV54W25</t>
        </is>
      </c>
      <c r="G3694" s="16" t="inlineStr">
        <is>
          <t>TIANLAI Lámpara Ventilador E27 2 en 1, Silenciosa, LED Alta Luminosidad 180°, Instalación Rápida, Ahorro Energético para Dormitorio y Interiores Pequeños</t>
        </is>
      </c>
      <c r="H3694" s="16" t="inlineStr">
        <is>
          <t>1 Pieza</t>
        </is>
      </c>
      <c r="I3694" s="16" t="n">
        <v>2</v>
      </c>
      <c r="J3694" s="17" t="n">
        <v>148</v>
      </c>
      <c r="K3694" s="17" t="n">
        <v>143.22</v>
      </c>
      <c r="L3694" s="17" t="n">
        <v>25.86</v>
      </c>
      <c r="M3694" s="17" t="n">
        <v>0</v>
      </c>
      <c r="N3694" s="17">
        <f>K3694*0.08+L3694*0.08</f>
        <v/>
      </c>
      <c r="O3694" s="17">
        <f>-(K3694*0.025+L3694*0.025)</f>
        <v/>
      </c>
      <c r="P3694" s="17">
        <f>32</f>
        <v/>
      </c>
      <c r="Q3694" s="17">
        <f>J3694+L3694+N3694+O3694-P3694-M3694</f>
        <v/>
      </c>
    </row>
    <row r="3695">
      <c r="A3695" s="16" t="inlineStr">
        <is>
          <t>5.29-6.4</t>
        </is>
      </c>
      <c r="B3695" s="16" t="inlineStr">
        <is>
          <t>PO-128-02652446364790095</t>
        </is>
      </c>
      <c r="C3695" s="16" t="inlineStr">
        <is>
          <t>Delivered</t>
        </is>
      </c>
      <c r="D3695" s="16" t="inlineStr">
        <is>
          <t>128-02652404421750095</t>
        </is>
      </c>
      <c r="E3695" s="16" t="inlineStr">
        <is>
          <t>Delivered</t>
        </is>
      </c>
      <c r="F3695" s="16" t="inlineStr">
        <is>
          <t>LV64W25</t>
        </is>
      </c>
      <c r="G36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5" s="16" t="inlineStr">
        <is>
          <t>Blanco</t>
        </is>
      </c>
      <c r="I3695" s="16" t="n">
        <v>2</v>
      </c>
      <c r="J3695" s="17" t="n">
        <v>238</v>
      </c>
      <c r="K3695" s="17" t="n">
        <v>247.08</v>
      </c>
      <c r="L3695" s="17" t="n">
        <v>0</v>
      </c>
      <c r="M3695" s="17" t="n">
        <v>0</v>
      </c>
      <c r="N3695" s="17">
        <f>K3695*0.08+L3695*0.08</f>
        <v/>
      </c>
      <c r="O3695" s="17">
        <f>-(K3695*0.025+L3695*0.025)</f>
        <v/>
      </c>
      <c r="P3695" s="17">
        <f>32</f>
        <v/>
      </c>
      <c r="Q3695" s="17">
        <f>J3695+L3695+N3695+O3695-P3695-M3695</f>
        <v/>
      </c>
    </row>
    <row r="3696">
      <c r="A3696" s="16" t="inlineStr">
        <is>
          <t>5.29-6.4</t>
        </is>
      </c>
      <c r="B3696" s="16" t="inlineStr">
        <is>
          <t>PO-128-02309531343992139</t>
        </is>
      </c>
      <c r="C3696" s="16" t="inlineStr">
        <is>
          <t>Delivered</t>
        </is>
      </c>
      <c r="D3696" s="16" t="inlineStr">
        <is>
          <t>128-02309550349432139</t>
        </is>
      </c>
      <c r="E3696" s="16" t="inlineStr">
        <is>
          <t>Delivered</t>
        </is>
      </c>
      <c r="F3696" s="16" t="inlineStr">
        <is>
          <t>LV64W25</t>
        </is>
      </c>
      <c r="G369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6" s="16" t="inlineStr">
        <is>
          <t>Blanco</t>
        </is>
      </c>
      <c r="I3696" s="16" t="n">
        <v>1</v>
      </c>
      <c r="J3696" s="17" t="n">
        <v>119</v>
      </c>
      <c r="K3696" s="17" t="n">
        <v>127.66</v>
      </c>
      <c r="L3696" s="17" t="n">
        <v>25.86</v>
      </c>
      <c r="M3696" s="17" t="n">
        <v>0</v>
      </c>
      <c r="N3696" s="17">
        <f>K3696*0.08+L3696*0.08</f>
        <v/>
      </c>
      <c r="O3696" s="17">
        <f>-(K3696*0.025+L3696*0.025)</f>
        <v/>
      </c>
      <c r="P3696" s="17">
        <f>32</f>
        <v/>
      </c>
      <c r="Q3696" s="17">
        <f>J3696+L3696+N3696+O3696-P3696-M3696</f>
        <v/>
      </c>
    </row>
    <row r="3697">
      <c r="A3697" s="16" t="inlineStr">
        <is>
          <t>5.29-6.4</t>
        </is>
      </c>
      <c r="B3697" s="16" t="inlineStr">
        <is>
          <t>PO-128-02420460659831477</t>
        </is>
      </c>
      <c r="C3697" s="16" t="inlineStr">
        <is>
          <t>Delivered</t>
        </is>
      </c>
      <c r="D3697" s="16" t="inlineStr">
        <is>
          <t>128-02420596974711477</t>
        </is>
      </c>
      <c r="E3697" s="16" t="inlineStr">
        <is>
          <t>Delivered</t>
        </is>
      </c>
      <c r="F3697" s="16" t="inlineStr">
        <is>
          <t>KTS-2031</t>
        </is>
      </c>
      <c r="G3697" s="16" t="inlineStr">
        <is>
          <t>Bocina inalámbrica de 3 pulgadas con linterna multifuncional y panel solar integrado.Altavoz Portátil con Linterna LED 4 Modos, Radio FM, Bluetooth, Carga Solar, Ideal para Apagones, Emergencias, Campo y Exteriores</t>
        </is>
      </c>
      <c r="H3697" s="16" t="inlineStr">
        <is>
          <t>NEGRO</t>
        </is>
      </c>
      <c r="I3697" s="16" t="n">
        <v>1</v>
      </c>
      <c r="J3697" s="17" t="n">
        <v>88</v>
      </c>
      <c r="K3697" s="17" t="n">
        <v>97.22</v>
      </c>
      <c r="L3697" s="17" t="n">
        <v>25.86</v>
      </c>
      <c r="M3697" s="17" t="n">
        <v>0</v>
      </c>
      <c r="N3697" s="17">
        <f>K3697*0.08+L3697*0.08</f>
        <v/>
      </c>
      <c r="O3697" s="17">
        <f>-(K3697*0.025+L3697*0.025)</f>
        <v/>
      </c>
      <c r="P3697" s="17">
        <f>32</f>
        <v/>
      </c>
      <c r="Q3697" s="17">
        <f>J3697+L3697+N3697+O3697-P3697-M3697</f>
        <v/>
      </c>
    </row>
    <row r="3698">
      <c r="A3698" s="16" t="inlineStr">
        <is>
          <t>5.29-6.4</t>
        </is>
      </c>
      <c r="B3698" s="16" t="inlineStr">
        <is>
          <t>PO-128-02419833536631481</t>
        </is>
      </c>
      <c r="C3698" s="16" t="inlineStr">
        <is>
          <t>Delivered</t>
        </is>
      </c>
      <c r="D3698" s="16" t="inlineStr">
        <is>
          <t>128-02419844022391481</t>
        </is>
      </c>
      <c r="E3698" s="16" t="inlineStr">
        <is>
          <t>Delivered</t>
        </is>
      </c>
      <c r="F3698" s="16" t="inlineStr">
        <is>
          <t>LV64W25</t>
        </is>
      </c>
      <c r="G36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698" s="16" t="inlineStr">
        <is>
          <t>Blanco</t>
        </is>
      </c>
      <c r="I3698" s="16" t="n">
        <v>1</v>
      </c>
      <c r="J3698" s="17" t="n">
        <v>119</v>
      </c>
      <c r="K3698" s="17" t="n">
        <v>123.54</v>
      </c>
      <c r="L3698" s="17" t="n">
        <v>25.86</v>
      </c>
      <c r="M3698" s="17" t="n">
        <v>0</v>
      </c>
      <c r="N3698" s="17">
        <f>K3698*0.08+L3698*0.08</f>
        <v/>
      </c>
      <c r="O3698" s="17">
        <f>-(K3698*0.025+L3698*0.025)</f>
        <v/>
      </c>
      <c r="P3698" s="17">
        <f>32</f>
        <v/>
      </c>
      <c r="Q3698" s="17">
        <f>J3698+L3698+N3698+O3698-P3698-M3698</f>
        <v/>
      </c>
    </row>
    <row r="3699">
      <c r="A3699" s="16" t="inlineStr">
        <is>
          <t>5.29-6.4</t>
        </is>
      </c>
      <c r="B3699" s="16" t="inlineStr">
        <is>
          <t>PO-128-02269041042552378</t>
        </is>
      </c>
      <c r="C3699" s="16" t="inlineStr">
        <is>
          <t>Delivered</t>
        </is>
      </c>
      <c r="D3699" s="16" t="inlineStr">
        <is>
          <t>128-02269109199992378</t>
        </is>
      </c>
      <c r="E3699" s="16" t="inlineStr">
        <is>
          <t>Delivered</t>
        </is>
      </c>
      <c r="F3699" s="16" t="inlineStr">
        <is>
          <t>LV54W25</t>
        </is>
      </c>
      <c r="G3699" s="16" t="inlineStr">
        <is>
          <t>TIANLAI Lámpara Ventilador E27 2 en 1, Silenciosa, LED Alta Luminosidad 180°, Instalación Rápida, Ahorro Energético para Dormitorio y Interiores Pequeños</t>
        </is>
      </c>
      <c r="H3699" s="16" t="inlineStr">
        <is>
          <t>1 Pieza</t>
        </is>
      </c>
      <c r="I3699" s="16" t="n">
        <v>1</v>
      </c>
      <c r="J3699" s="17" t="n">
        <v>74</v>
      </c>
      <c r="K3699" s="17" t="n">
        <v>78.83</v>
      </c>
      <c r="L3699" s="17" t="n">
        <v>25.86</v>
      </c>
      <c r="M3699" s="17" t="n">
        <v>0</v>
      </c>
      <c r="N3699" s="17">
        <f>K3699*0.08+L3699*0.08</f>
        <v/>
      </c>
      <c r="O3699" s="17">
        <f>-(K3699*0.025+L3699*0.025)</f>
        <v/>
      </c>
      <c r="P3699" s="17">
        <f>32</f>
        <v/>
      </c>
      <c r="Q3699" s="17">
        <f>J3699+L3699+N3699+O3699-P3699-M3699</f>
        <v/>
      </c>
    </row>
    <row r="3700">
      <c r="A3700" s="16" t="inlineStr">
        <is>
          <t>5.29-6.4</t>
        </is>
      </c>
      <c r="B3700" s="16" t="inlineStr">
        <is>
          <t>PO-128-02738859471990602</t>
        </is>
      </c>
      <c r="C3700" s="16" t="inlineStr">
        <is>
          <t>Delivered</t>
        </is>
      </c>
      <c r="D3700" s="16" t="inlineStr">
        <is>
          <t>128-02738817528950602</t>
        </is>
      </c>
      <c r="E3700" s="16" t="inlineStr">
        <is>
          <t>Delivered</t>
        </is>
      </c>
      <c r="F3700" s="16" t="inlineStr">
        <is>
          <t>KTS-2031</t>
        </is>
      </c>
      <c r="G3700" s="16" t="inlineStr">
        <is>
          <t>Bocina inalámbrica de 3 pulgadas con linterna multifuncional y panel solar integrado.Altavoz Portátil con Linterna LED 4 Modos, Radio FM, Bluetooth, Carga Solar, Ideal para Apagones, Emergencias, Campo y Exteriores</t>
        </is>
      </c>
      <c r="H3700" s="16" t="inlineStr">
        <is>
          <t>NEGRO</t>
        </is>
      </c>
      <c r="I3700" s="16" t="n">
        <v>2</v>
      </c>
      <c r="J3700" s="17" t="n">
        <v>176</v>
      </c>
      <c r="K3700" s="17" t="n">
        <v>151.34</v>
      </c>
      <c r="L3700" s="17" t="n">
        <v>25.86</v>
      </c>
      <c r="M3700" s="17" t="n">
        <v>0</v>
      </c>
      <c r="N3700" s="17">
        <f>K3700*0.08+L3700*0.08</f>
        <v/>
      </c>
      <c r="O3700" s="17">
        <f>-(K3700*0.025+L3700*0.025)</f>
        <v/>
      </c>
      <c r="P3700" s="17">
        <f>32</f>
        <v/>
      </c>
      <c r="Q3700" s="17">
        <f>J3700+L3700+N3700+O3700-P3700-M3700</f>
        <v/>
      </c>
    </row>
    <row r="3701">
      <c r="A3701" s="16" t="inlineStr">
        <is>
          <t>5.29-6.4</t>
        </is>
      </c>
      <c r="B3701" s="16" t="inlineStr">
        <is>
          <t>PO-128-02452670334071157</t>
        </is>
      </c>
      <c r="C3701" s="16" t="inlineStr">
        <is>
          <t>Delivered</t>
        </is>
      </c>
      <c r="D3701" s="16" t="inlineStr">
        <is>
          <t>128-02452686062711157</t>
        </is>
      </c>
      <c r="E3701" s="16" t="inlineStr">
        <is>
          <t>Delivered</t>
        </is>
      </c>
      <c r="F3701" s="16" t="inlineStr">
        <is>
          <t>LV54W25</t>
        </is>
      </c>
      <c r="G3701" s="16" t="inlineStr">
        <is>
          <t>TIANLAI Lámpara Ventilador E27 2 en 1, Silenciosa, LED Alta Luminosidad 180°, Instalación Rápida, Ahorro Energético para Dormitorio y Interiores Pequeños</t>
        </is>
      </c>
      <c r="H3701" s="16" t="inlineStr">
        <is>
          <t>1 Pieza</t>
        </is>
      </c>
      <c r="I3701" s="16" t="n">
        <v>1</v>
      </c>
      <c r="J3701" s="17" t="n">
        <v>74</v>
      </c>
      <c r="K3701" s="17" t="n">
        <v>61.7</v>
      </c>
      <c r="L3701" s="17" t="n">
        <v>25.86</v>
      </c>
      <c r="M3701" s="17" t="n">
        <v>0</v>
      </c>
      <c r="N3701" s="17">
        <f>K3701*0.08+L3701*0.08</f>
        <v/>
      </c>
      <c r="O3701" s="17">
        <f>-(K3701*0.025+L3701*0.025)</f>
        <v/>
      </c>
      <c r="P3701" s="17">
        <f>32</f>
        <v/>
      </c>
      <c r="Q3701" s="17">
        <f>J3701+L3701+N3701+O3701-P3701-M3701</f>
        <v/>
      </c>
    </row>
    <row r="3702">
      <c r="A3702" s="16" t="inlineStr">
        <is>
          <t>5.29-6.4</t>
        </is>
      </c>
      <c r="B3702" s="16" t="inlineStr">
        <is>
          <t>PO-128-02300719112312063</t>
        </is>
      </c>
      <c r="C3702" s="16" t="inlineStr">
        <is>
          <t>Delivered</t>
        </is>
      </c>
      <c r="D3702" s="16" t="inlineStr">
        <is>
          <t>128-02300761055352063</t>
        </is>
      </c>
      <c r="E3702" s="16" t="inlineStr">
        <is>
          <t>Delivered</t>
        </is>
      </c>
      <c r="F3702" s="16" t="inlineStr">
        <is>
          <t>KTS-2031</t>
        </is>
      </c>
      <c r="G3702" s="16" t="inlineStr">
        <is>
          <t>Bocina inalámbrica de 3 pulgadas con linterna multifuncional y panel solar integrado.Altavoz Portátil con Linterna LED 4 Modos, Radio FM, Bluetooth, Carga Solar, Ideal para Apagones, Emergencias, Campo y Exteriores</t>
        </is>
      </c>
      <c r="H3702" s="16" t="inlineStr">
        <is>
          <t>NEGRO</t>
        </is>
      </c>
      <c r="I3702" s="16" t="n">
        <v>3</v>
      </c>
      <c r="J3702" s="17" t="n">
        <v>264</v>
      </c>
      <c r="K3702" s="17" t="n">
        <v>233.33</v>
      </c>
      <c r="L3702" s="17" t="n">
        <v>0</v>
      </c>
      <c r="M3702" s="17" t="n">
        <v>0</v>
      </c>
      <c r="N3702" s="17">
        <f>K3702*0.08+L3702*0.08</f>
        <v/>
      </c>
      <c r="O3702" s="17">
        <f>-(K3702*0.025+L3702*0.025)</f>
        <v/>
      </c>
      <c r="P3702" s="17">
        <f>32</f>
        <v/>
      </c>
      <c r="Q3702" s="17">
        <f>J3702+L3702+N3702+O3702-P3702-M3702</f>
        <v/>
      </c>
    </row>
    <row r="3703">
      <c r="A3703" s="16" t="inlineStr">
        <is>
          <t>5.29-6.4</t>
        </is>
      </c>
      <c r="B3703" s="16" t="inlineStr">
        <is>
          <t>PO-128-02388023550072567</t>
        </is>
      </c>
      <c r="C3703" s="16" t="inlineStr">
        <is>
          <t>Delivered</t>
        </is>
      </c>
      <c r="D3703" s="16" t="inlineStr">
        <is>
          <t>128-02388044521592567</t>
        </is>
      </c>
      <c r="E3703" s="16" t="inlineStr">
        <is>
          <t>Delivered</t>
        </is>
      </c>
      <c r="F3703" s="16" t="inlineStr">
        <is>
          <t>LV54W25</t>
        </is>
      </c>
      <c r="G3703" s="16" t="inlineStr">
        <is>
          <t>TIANLAI Lámpara Ventilador E27 2 en 1, Silenciosa, LED Alta Luminosidad 180°, Instalación Rápida, Ahorro Energético para Dormitorio y Interiores Pequeños</t>
        </is>
      </c>
      <c r="H3703" s="16" t="inlineStr">
        <is>
          <t>1 Pieza</t>
        </is>
      </c>
      <c r="I3703" s="16" t="n">
        <v>1</v>
      </c>
      <c r="J3703" s="17" t="n">
        <v>74</v>
      </c>
      <c r="K3703" s="17" t="n">
        <v>78.83</v>
      </c>
      <c r="L3703" s="17" t="n">
        <v>25.86</v>
      </c>
      <c r="M3703" s="17" t="n">
        <v>0</v>
      </c>
      <c r="N3703" s="17">
        <f>K3703*0.08+L3703*0.08</f>
        <v/>
      </c>
      <c r="O3703" s="17">
        <f>-(K3703*0.025+L3703*0.025)</f>
        <v/>
      </c>
      <c r="P3703" s="17">
        <f>32</f>
        <v/>
      </c>
      <c r="Q3703" s="17">
        <f>J3703+L3703+N3703+O3703-P3703-M3703</f>
        <v/>
      </c>
    </row>
    <row r="3704">
      <c r="A3704" s="16" t="inlineStr">
        <is>
          <t>5.29-6.4</t>
        </is>
      </c>
      <c r="B3704" s="16" t="inlineStr">
        <is>
          <t>PO-128-02286870474872208</t>
        </is>
      </c>
      <c r="C3704" s="16" t="inlineStr">
        <is>
          <t>Delivered</t>
        </is>
      </c>
      <c r="D3704" s="16" t="inlineStr">
        <is>
          <t>128-02286828531832208</t>
        </is>
      </c>
      <c r="E3704" s="16" t="inlineStr">
        <is>
          <t>Delivered</t>
        </is>
      </c>
      <c r="F3704" s="16" t="inlineStr">
        <is>
          <t>TLCD01-4P-nN</t>
        </is>
      </c>
      <c r="G370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04" s="16" t="inlineStr">
        <is>
          <t>NEGRO/pantalla de 4.5 pulgadas</t>
        </is>
      </c>
      <c r="I3704" s="16" t="n">
        <v>1</v>
      </c>
      <c r="J3704" s="17" t="n">
        <v>19</v>
      </c>
      <c r="K3704" s="17" t="n">
        <v>22.63</v>
      </c>
      <c r="L3704" s="17" t="n">
        <v>25.86</v>
      </c>
      <c r="M3704" s="17" t="n">
        <v>0</v>
      </c>
      <c r="N3704" s="17">
        <f>K3704*0.08+L3704*0.08</f>
        <v/>
      </c>
      <c r="O3704" s="17">
        <f>-(K3704*0.025+L3704*0.025)</f>
        <v/>
      </c>
      <c r="P3704" s="17">
        <f>32</f>
        <v/>
      </c>
      <c r="Q3704" s="17">
        <f>J3704+L3704+N3704+O3704-P3704-M3704</f>
        <v/>
      </c>
    </row>
    <row r="3705">
      <c r="A3705" s="16" t="inlineStr">
        <is>
          <t>5.29-6.4</t>
        </is>
      </c>
      <c r="B3705" s="16" t="inlineStr">
        <is>
          <t>PO-128-02123841400953309</t>
        </is>
      </c>
      <c r="C3705" s="16" t="inlineStr">
        <is>
          <t>Delivered</t>
        </is>
      </c>
      <c r="D3705" s="16" t="inlineStr">
        <is>
          <t>128-02123872858233309</t>
        </is>
      </c>
      <c r="E3705" s="16" t="inlineStr">
        <is>
          <t>Delivered</t>
        </is>
      </c>
      <c r="F3705" s="16" t="inlineStr">
        <is>
          <t>LV54W25</t>
        </is>
      </c>
      <c r="G3705" s="16" t="inlineStr">
        <is>
          <t>TIANLAI Lámpara Ventilador E27 2 en 1, Silenciosa, LED Alta Luminosidad 180°, Instalación Rápida, Ahorro Energético para Dormitorio y Interiores Pequeños</t>
        </is>
      </c>
      <c r="H3705" s="16" t="inlineStr">
        <is>
          <t>1 Pieza</t>
        </is>
      </c>
      <c r="I3705" s="16" t="n">
        <v>1</v>
      </c>
      <c r="J3705" s="17" t="n">
        <v>74</v>
      </c>
      <c r="K3705" s="17" t="n">
        <v>65.19</v>
      </c>
      <c r="L3705" s="17" t="n">
        <v>25.86</v>
      </c>
      <c r="M3705" s="17" t="n">
        <v>0</v>
      </c>
      <c r="N3705" s="17">
        <f>K3705*0.08+L3705*0.08</f>
        <v/>
      </c>
      <c r="O3705" s="17">
        <f>-(K3705*0.025+L3705*0.025)</f>
        <v/>
      </c>
      <c r="P3705" s="17">
        <f>32</f>
        <v/>
      </c>
      <c r="Q3705" s="17">
        <f>J3705+L3705+N3705+O3705-P3705-M3705</f>
        <v/>
      </c>
    </row>
    <row r="3706">
      <c r="A3706" s="16" t="inlineStr">
        <is>
          <t>5.29-6.4</t>
        </is>
      </c>
      <c r="B3706" s="16" t="inlineStr">
        <is>
          <t>PO-128-02188724032633947</t>
        </is>
      </c>
      <c r="C3706" s="16" t="inlineStr">
        <is>
          <t>Delivered</t>
        </is>
      </c>
      <c r="D3706" s="16" t="inlineStr">
        <is>
          <t>128-02188750247033947</t>
        </is>
      </c>
      <c r="E3706" s="16" t="inlineStr">
        <is>
          <t>Delivered</t>
        </is>
      </c>
      <c r="F3706" s="16" t="inlineStr">
        <is>
          <t>KTS-2031</t>
        </is>
      </c>
      <c r="G3706" s="16" t="inlineStr">
        <is>
          <t>Bocina inalámbrica de 3 pulgadas con linterna multifuncional y panel solar integrado.Altavoz Portátil con Linterna LED 4 Modos, Radio FM, Bluetooth, Carga Solar, Ideal para Apagones, Emergencias, Campo y Exteriores</t>
        </is>
      </c>
      <c r="H3706" s="16" t="inlineStr">
        <is>
          <t>NEGRO</t>
        </is>
      </c>
      <c r="I3706" s="16" t="n">
        <v>3</v>
      </c>
      <c r="J3706" s="17" t="n">
        <v>264</v>
      </c>
      <c r="K3706" s="17" t="n">
        <v>291.66</v>
      </c>
      <c r="L3706" s="17" t="n">
        <v>0</v>
      </c>
      <c r="M3706" s="17" t="n">
        <v>0</v>
      </c>
      <c r="N3706" s="17">
        <f>K3706*0.08+L3706*0.08</f>
        <v/>
      </c>
      <c r="O3706" s="17">
        <f>-(K3706*0.025+L3706*0.025)</f>
        <v/>
      </c>
      <c r="P3706" s="17">
        <f>32</f>
        <v/>
      </c>
      <c r="Q3706" s="17">
        <f>J3706+L3706+N3706+O3706-P3706-M3706</f>
        <v/>
      </c>
    </row>
    <row r="3707">
      <c r="A3707" s="16" t="inlineStr">
        <is>
          <t>5.29-6.4</t>
        </is>
      </c>
      <c r="B3707" s="16" t="inlineStr">
        <is>
          <t>PO-128-02353382551672901</t>
        </is>
      </c>
      <c r="C3707" s="16" t="inlineStr">
        <is>
          <t>Delivered</t>
        </is>
      </c>
      <c r="D3707" s="16" t="inlineStr">
        <is>
          <t>128-02353402540152901</t>
        </is>
      </c>
      <c r="E3707" s="16" t="inlineStr">
        <is>
          <t>Delivered</t>
        </is>
      </c>
      <c r="F3707" s="16" t="inlineStr">
        <is>
          <t>VA371T</t>
        </is>
      </c>
      <c r="G3707" s="16" t="inlineStr">
        <is>
          <t>Linkbits Bocina Bluetooth Portátil 3" de Alta Gama，Hi-Res Audio y Graves Potentes，Luces LED + Soporte USB/TF/FM/TWS，Ideal para Hogar y Aire Libre</t>
        </is>
      </c>
      <c r="H3707" s="16" t="inlineStr">
        <is>
          <t>VA371T</t>
        </is>
      </c>
      <c r="I3707" s="16" t="n">
        <v>1</v>
      </c>
      <c r="J3707" s="17" t="n">
        <v>41.32</v>
      </c>
      <c r="K3707" s="17" t="n">
        <v>44.73</v>
      </c>
      <c r="L3707" s="17" t="n">
        <v>10.84</v>
      </c>
      <c r="M3707" s="17" t="n">
        <v>0</v>
      </c>
      <c r="N3707" s="17">
        <f>K3707*0.08+L3707*0.08</f>
        <v/>
      </c>
      <c r="O3707" s="17">
        <f>-(K3707*0.025+L3707*0.025)</f>
        <v/>
      </c>
      <c r="P3707" s="17">
        <f>32</f>
        <v/>
      </c>
      <c r="Q3707" s="17">
        <f>J3707+L3707+N3707+O3707-P3707-M3707</f>
        <v/>
      </c>
    </row>
    <row r="3708">
      <c r="A3708" s="16" t="inlineStr">
        <is>
          <t>5.29-6.4</t>
        </is>
      </c>
      <c r="B3708" s="16" t="inlineStr">
        <is>
          <t>PO-128-02353382551672901</t>
        </is>
      </c>
      <c r="C3708" s="16" t="inlineStr">
        <is>
          <t>Delivered</t>
        </is>
      </c>
      <c r="D3708" s="16" t="inlineStr">
        <is>
          <t>128-02353423511672901</t>
        </is>
      </c>
      <c r="E3708" s="16" t="inlineStr">
        <is>
          <t>Delivered</t>
        </is>
      </c>
      <c r="F3708" s="16" t="inlineStr">
        <is>
          <t>KTS-1369</t>
        </is>
      </c>
      <c r="G3708" s="16" t="inlineStr">
        <is>
          <t>Bocina 3 Pulgadas Portátil Bluetooth con Luces LED, Sonido Claro y Batería Larga Duración, TWS TF USB FM, Ideal para Hogar Oficina y Exterior</t>
        </is>
      </c>
      <c r="H3708" s="16" t="inlineStr">
        <is>
          <t>NEGRO</t>
        </is>
      </c>
      <c r="I3708" s="16" t="n">
        <v>1</v>
      </c>
      <c r="J3708" s="17" t="n">
        <v>50</v>
      </c>
      <c r="K3708" s="17" t="n">
        <v>61.87</v>
      </c>
      <c r="L3708" s="17" t="n">
        <v>15.02</v>
      </c>
      <c r="M3708" s="17" t="n">
        <v>0</v>
      </c>
      <c r="N3708" s="17">
        <f>K3708*0.08+L3708*0.08</f>
        <v/>
      </c>
      <c r="O3708" s="17">
        <f>-(K3708*0.025+L3708*0.025)</f>
        <v/>
      </c>
      <c r="P3708" s="17">
        <f>32</f>
        <v/>
      </c>
      <c r="Q3708" s="17">
        <f>J3708+L3708+N3708+O3708-P3708-M3708</f>
        <v/>
      </c>
    </row>
    <row r="3709">
      <c r="A3709" s="16" t="inlineStr">
        <is>
          <t>5.29-6.4</t>
        </is>
      </c>
      <c r="B3709" s="16" t="inlineStr">
        <is>
          <t>PO-128-02147086410873171</t>
        </is>
      </c>
      <c r="C3709" s="16" t="inlineStr">
        <is>
          <t>Delivered</t>
        </is>
      </c>
      <c r="D3709" s="16" t="inlineStr">
        <is>
          <t>128-02147107382393171</t>
        </is>
      </c>
      <c r="E3709" s="16" t="inlineStr">
        <is>
          <t>Delivered</t>
        </is>
      </c>
      <c r="F3709" s="16" t="inlineStr">
        <is>
          <t>LV54W25</t>
        </is>
      </c>
      <c r="G3709" s="16" t="inlineStr">
        <is>
          <t>TIANLAI Lámpara Ventilador E27 2 en 1, Silenciosa, LED Alta Luminosidad 180°, Instalación Rápida, Ahorro Energético para Dormitorio y Interiores Pequeños</t>
        </is>
      </c>
      <c r="H3709" s="16" t="inlineStr">
        <is>
          <t>1 Pieza</t>
        </is>
      </c>
      <c r="I3709" s="16" t="n">
        <v>1</v>
      </c>
      <c r="J3709" s="17" t="n">
        <v>74</v>
      </c>
      <c r="K3709" s="17" t="n">
        <v>85.68000000000001</v>
      </c>
      <c r="L3709" s="17" t="n">
        <v>25.86</v>
      </c>
      <c r="M3709" s="17" t="n">
        <v>0</v>
      </c>
      <c r="N3709" s="17">
        <f>K3709*0.08+L3709*0.08</f>
        <v/>
      </c>
      <c r="O3709" s="17">
        <f>-(K3709*0.025+L3709*0.025)</f>
        <v/>
      </c>
      <c r="P3709" s="17">
        <f>32</f>
        <v/>
      </c>
      <c r="Q3709" s="17">
        <f>J3709+L3709+N3709+O3709-P3709-M3709</f>
        <v/>
      </c>
    </row>
    <row r="3710">
      <c r="A3710" s="16" t="inlineStr">
        <is>
          <t>5.29-6.4</t>
        </is>
      </c>
      <c r="B3710" s="16" t="inlineStr">
        <is>
          <t>PO-128-02312604367992118</t>
        </is>
      </c>
      <c r="C3710" s="16" t="inlineStr">
        <is>
          <t>Delivered</t>
        </is>
      </c>
      <c r="D3710" s="16" t="inlineStr">
        <is>
          <t>128-02312625339512118</t>
        </is>
      </c>
      <c r="E3710" s="16" t="inlineStr">
        <is>
          <t>Delivered</t>
        </is>
      </c>
      <c r="F3710" s="16" t="inlineStr">
        <is>
          <t>LV54W25</t>
        </is>
      </c>
      <c r="G3710" s="16" t="inlineStr">
        <is>
          <t>TIANLAI Lámpara Ventilador E27 2 en 1, Silenciosa, LED Alta Luminosidad 180°, Instalación Rápida, Ahorro Energético para Dormitorio y Interiores Pequeños</t>
        </is>
      </c>
      <c r="H3710" s="16" t="inlineStr">
        <is>
          <t>1 Pieza</t>
        </is>
      </c>
      <c r="I3710" s="16" t="n">
        <v>1</v>
      </c>
      <c r="J3710" s="17" t="n">
        <v>74</v>
      </c>
      <c r="K3710" s="17" t="n">
        <v>78.83</v>
      </c>
      <c r="L3710" s="17" t="n">
        <v>25.86</v>
      </c>
      <c r="M3710" s="17" t="n">
        <v>0</v>
      </c>
      <c r="N3710" s="17">
        <f>K3710*0.08+L3710*0.08</f>
        <v/>
      </c>
      <c r="O3710" s="17">
        <f>-(K3710*0.025+L3710*0.025)</f>
        <v/>
      </c>
      <c r="P3710" s="17">
        <f>32</f>
        <v/>
      </c>
      <c r="Q3710" s="17">
        <f>J3710+L3710+N3710+O3710-P3710-M3710</f>
        <v/>
      </c>
    </row>
    <row r="3711">
      <c r="A3711" s="16" t="inlineStr">
        <is>
          <t>5.29-6.4</t>
        </is>
      </c>
      <c r="B3711" s="16" t="inlineStr">
        <is>
          <t>PO-128-02205842035833781</t>
        </is>
      </c>
      <c r="C3711" s="16" t="inlineStr">
        <is>
          <t>Delivered</t>
        </is>
      </c>
      <c r="D3711" s="16" t="inlineStr">
        <is>
          <t>128-02205800092793781</t>
        </is>
      </c>
      <c r="E3711" s="16" t="inlineStr">
        <is>
          <t>Delivered</t>
        </is>
      </c>
      <c r="F3711" s="16" t="inlineStr">
        <is>
          <t>LV54W25</t>
        </is>
      </c>
      <c r="G3711" s="16" t="inlineStr">
        <is>
          <t>TIANLAI Lámpara Ventilador E27 2 en 1, Silenciosa, LED Alta Luminosidad 180°, Instalación Rápida, Ahorro Energético para Dormitorio y Interiores Pequeños</t>
        </is>
      </c>
      <c r="H3711" s="16" t="inlineStr">
        <is>
          <t>1 Pieza</t>
        </is>
      </c>
      <c r="I3711" s="16" t="n">
        <v>1</v>
      </c>
      <c r="J3711" s="17" t="n">
        <v>74</v>
      </c>
      <c r="K3711" s="17" t="n">
        <v>85.68000000000001</v>
      </c>
      <c r="L3711" s="17" t="n">
        <v>25.86</v>
      </c>
      <c r="M3711" s="17" t="n">
        <v>0</v>
      </c>
      <c r="N3711" s="17">
        <f>K3711*0.08+L3711*0.08</f>
        <v/>
      </c>
      <c r="O3711" s="17">
        <f>-(K3711*0.025+L3711*0.025)</f>
        <v/>
      </c>
      <c r="P3711" s="17">
        <f>32</f>
        <v/>
      </c>
      <c r="Q3711" s="17">
        <f>J3711+L3711+N3711+O3711-P3711-M3711</f>
        <v/>
      </c>
    </row>
    <row r="3712">
      <c r="A3712" s="16" t="inlineStr">
        <is>
          <t>5.29-6.4</t>
        </is>
      </c>
      <c r="B3712" s="16" t="inlineStr">
        <is>
          <t>PO-128-02614028767350322</t>
        </is>
      </c>
      <c r="C3712" s="16" t="inlineStr">
        <is>
          <t>Delivered</t>
        </is>
      </c>
      <c r="D3712" s="16" t="inlineStr">
        <is>
          <t>128-02613986824310322</t>
        </is>
      </c>
      <c r="E3712" s="16" t="inlineStr">
        <is>
          <t>Delivered</t>
        </is>
      </c>
      <c r="F3712" s="16" t="inlineStr">
        <is>
          <t>TLCD04-10P-R</t>
        </is>
      </c>
      <c r="G371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12" s="16" t="inlineStr">
        <is>
          <t>ROJO/pantalla de 10.5 pulgadas</t>
        </is>
      </c>
      <c r="I3712" s="16" t="n">
        <v>1</v>
      </c>
      <c r="J3712" s="17" t="n">
        <v>35</v>
      </c>
      <c r="K3712" s="17" t="n">
        <v>47.27</v>
      </c>
      <c r="L3712" s="17" t="n">
        <v>25.86</v>
      </c>
      <c r="M3712" s="17" t="n">
        <v>0</v>
      </c>
      <c r="N3712" s="17">
        <f>K3712*0.08+L3712*0.08</f>
        <v/>
      </c>
      <c r="O3712" s="17">
        <f>-(K3712*0.025+L3712*0.025)</f>
        <v/>
      </c>
      <c r="P3712" s="17">
        <f>32</f>
        <v/>
      </c>
      <c r="Q3712" s="17">
        <f>J3712+L3712+N3712+O3712-P3712-M3712</f>
        <v/>
      </c>
    </row>
    <row r="3713">
      <c r="A3713" s="16" t="inlineStr">
        <is>
          <t>5.29-6.4</t>
        </is>
      </c>
      <c r="B3713" s="16" t="inlineStr">
        <is>
          <t>PO-128-02117834350713281</t>
        </is>
      </c>
      <c r="C3713" s="16" t="inlineStr">
        <is>
          <t>Delivered</t>
        </is>
      </c>
      <c r="D3713" s="16" t="inlineStr">
        <is>
          <t>128-02117805514873281</t>
        </is>
      </c>
      <c r="E3713" s="16" t="inlineStr">
        <is>
          <t>Delivered</t>
        </is>
      </c>
      <c r="F3713" s="16" t="inlineStr">
        <is>
          <t>LV54W25</t>
        </is>
      </c>
      <c r="G3713" s="16" t="inlineStr">
        <is>
          <t>TIANLAI Lámpara Ventilador E27 2 en 1, Silenciosa, LED Alta Luminosidad 180°, Instalación Rápida, Ahorro Energético para Dormitorio y Interiores Pequeños</t>
        </is>
      </c>
      <c r="H3713" s="16" t="inlineStr">
        <is>
          <t>1 Pieza</t>
        </is>
      </c>
      <c r="I3713" s="16" t="n">
        <v>2</v>
      </c>
      <c r="J3713" s="17" t="n">
        <v>148</v>
      </c>
      <c r="K3713" s="17" t="n">
        <v>171.36</v>
      </c>
      <c r="L3713" s="17" t="n">
        <v>25.86</v>
      </c>
      <c r="M3713" s="17" t="n">
        <v>0</v>
      </c>
      <c r="N3713" s="17">
        <f>K3713*0.08+L3713*0.08</f>
        <v/>
      </c>
      <c r="O3713" s="17">
        <f>-(K3713*0.025+L3713*0.025)</f>
        <v/>
      </c>
      <c r="P3713" s="17">
        <f>32</f>
        <v/>
      </c>
      <c r="Q3713" s="17">
        <f>J3713+L3713+N3713+O3713-P3713-M3713</f>
        <v/>
      </c>
    </row>
    <row r="3714">
      <c r="A3714" s="16" t="inlineStr">
        <is>
          <t>5.29-6.4</t>
        </is>
      </c>
      <c r="B3714" s="16" t="inlineStr">
        <is>
          <t>PO-128-02456156557431201</t>
        </is>
      </c>
      <c r="C3714" s="16" t="inlineStr">
        <is>
          <t>Delivered</t>
        </is>
      </c>
      <c r="D3714" s="16" t="inlineStr">
        <is>
          <t>128-02456149532791201</t>
        </is>
      </c>
      <c r="E3714" s="16" t="inlineStr">
        <is>
          <t>Delivered</t>
        </is>
      </c>
      <c r="F3714" s="16" t="inlineStr">
        <is>
          <t>LV54W25</t>
        </is>
      </c>
      <c r="G3714" s="16" t="inlineStr">
        <is>
          <t>TIANLAI Lámpara Ventilador E27 2 en 1, Silenciosa, LED Alta Luminosidad 180°, Instalación Rápida, Ahorro Energético para Dormitorio y Interiores Pequeños</t>
        </is>
      </c>
      <c r="H3714" s="16" t="inlineStr">
        <is>
          <t>1 Pieza</t>
        </is>
      </c>
      <c r="I3714" s="16" t="n">
        <v>1</v>
      </c>
      <c r="J3714" s="17" t="n">
        <v>74</v>
      </c>
      <c r="K3714" s="17" t="n">
        <v>85.68000000000001</v>
      </c>
      <c r="L3714" s="17" t="n">
        <v>12.93</v>
      </c>
      <c r="M3714" s="17" t="n">
        <v>0</v>
      </c>
      <c r="N3714" s="17">
        <f>K3714*0.08+L3714*0.08</f>
        <v/>
      </c>
      <c r="O3714" s="17">
        <f>-(K3714*0.025+L3714*0.025)</f>
        <v/>
      </c>
      <c r="P3714" s="17">
        <f>32</f>
        <v/>
      </c>
      <c r="Q3714" s="17">
        <f>J3714+L3714+N3714+O3714-P3714-M3714</f>
        <v/>
      </c>
    </row>
    <row r="3715">
      <c r="A3715" s="16" t="inlineStr">
        <is>
          <t>5.29-6.4</t>
        </is>
      </c>
      <c r="B3715" s="16" t="inlineStr">
        <is>
          <t>PO-128-02456156557431201</t>
        </is>
      </c>
      <c r="C3715" s="16" t="inlineStr">
        <is>
          <t>Delivered</t>
        </is>
      </c>
      <c r="D3715" s="16" t="inlineStr">
        <is>
          <t>128-02456114614391201</t>
        </is>
      </c>
      <c r="E3715" s="16" t="inlineStr">
        <is>
          <t>Delivered</t>
        </is>
      </c>
      <c r="F3715" s="16" t="inlineStr">
        <is>
          <t>LV54W25</t>
        </is>
      </c>
      <c r="G3715" s="16" t="inlineStr">
        <is>
          <t>TIANLAI Lámpara Ventilador E27 2 en 1, Silenciosa, LED Alta Luminosidad 180°, Instalación Rápida, Ahorro Energético para Dormitorio y Interiores Pequeños</t>
        </is>
      </c>
      <c r="H3715" s="16" t="inlineStr">
        <is>
          <t>1 Pieza</t>
        </is>
      </c>
      <c r="I3715" s="16" t="n">
        <v>1</v>
      </c>
      <c r="J3715" s="17" t="n">
        <v>74</v>
      </c>
      <c r="K3715" s="17" t="n">
        <v>85.68000000000001</v>
      </c>
      <c r="L3715" s="17" t="n">
        <v>12.93</v>
      </c>
      <c r="M3715" s="17" t="n">
        <v>0</v>
      </c>
      <c r="N3715" s="17">
        <f>K3715*0.08+L3715*0.08</f>
        <v/>
      </c>
      <c r="O3715" s="17">
        <f>-(K3715*0.025+L3715*0.025)</f>
        <v/>
      </c>
      <c r="P3715" s="17">
        <f>32</f>
        <v/>
      </c>
      <c r="Q3715" s="17">
        <f>J3715+L3715+N3715+O3715-P3715-M3715</f>
        <v/>
      </c>
    </row>
    <row r="3716">
      <c r="A3716" s="16" t="inlineStr">
        <is>
          <t>5.29-6.4</t>
        </is>
      </c>
      <c r="B3716" s="16" t="inlineStr">
        <is>
          <t>PO-128-02163181374074035</t>
        </is>
      </c>
      <c r="C3716" s="16" t="inlineStr">
        <is>
          <t>Delivered</t>
        </is>
      </c>
      <c r="D3716" s="16" t="inlineStr">
        <is>
          <t>128-02163233802874035</t>
        </is>
      </c>
      <c r="E3716" s="16" t="inlineStr">
        <is>
          <t>Delivered</t>
        </is>
      </c>
      <c r="F3716" s="16" t="inlineStr">
        <is>
          <t>LV64W25</t>
        </is>
      </c>
      <c r="G371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16" s="16" t="inlineStr">
        <is>
          <t>Blanco</t>
        </is>
      </c>
      <c r="I3716" s="16" t="n">
        <v>1</v>
      </c>
      <c r="J3716" s="17" t="n">
        <v>119</v>
      </c>
      <c r="K3716" s="17" t="n">
        <v>123.54</v>
      </c>
      <c r="L3716" s="17" t="n">
        <v>25.86</v>
      </c>
      <c r="M3716" s="17" t="n">
        <v>0</v>
      </c>
      <c r="N3716" s="17">
        <f>K3716*0.08+L3716*0.08</f>
        <v/>
      </c>
      <c r="O3716" s="17">
        <f>-(K3716*0.025+L3716*0.025)</f>
        <v/>
      </c>
      <c r="P3716" s="17">
        <f>32</f>
        <v/>
      </c>
      <c r="Q3716" s="17">
        <f>J3716+L3716+N3716+O3716-P3716-M3716</f>
        <v/>
      </c>
    </row>
    <row r="3717">
      <c r="A3717" s="16" t="inlineStr">
        <is>
          <t>5.29-6.4</t>
        </is>
      </c>
      <c r="B3717" s="16" t="inlineStr">
        <is>
          <t>PO-128-02638640241270241</t>
        </is>
      </c>
      <c r="C3717" s="16" t="inlineStr">
        <is>
          <t>Delivered</t>
        </is>
      </c>
      <c r="D3717" s="16" t="inlineStr">
        <is>
          <t>128-02638716263030241</t>
        </is>
      </c>
      <c r="E3717" s="16" t="inlineStr">
        <is>
          <t>Delivered</t>
        </is>
      </c>
      <c r="F3717" s="16" t="inlineStr">
        <is>
          <t>LV64W25</t>
        </is>
      </c>
      <c r="G371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17" s="16" t="inlineStr">
        <is>
          <t>Blanco</t>
        </is>
      </c>
      <c r="I3717" s="16" t="n">
        <v>2</v>
      </c>
      <c r="J3717" s="17" t="n">
        <v>238</v>
      </c>
      <c r="K3717" s="17" t="n">
        <v>247.08</v>
      </c>
      <c r="L3717" s="17" t="n">
        <v>0</v>
      </c>
      <c r="M3717" s="17" t="n">
        <v>0</v>
      </c>
      <c r="N3717" s="17">
        <f>K3717*0.08+L3717*0.08</f>
        <v/>
      </c>
      <c r="O3717" s="17">
        <f>-(K3717*0.025+L3717*0.025)</f>
        <v/>
      </c>
      <c r="P3717" s="17">
        <f>32</f>
        <v/>
      </c>
      <c r="Q3717" s="17">
        <f>J3717+L3717+N3717+O3717-P3717-M3717</f>
        <v/>
      </c>
    </row>
    <row r="3718">
      <c r="A3718" s="16" t="inlineStr">
        <is>
          <t>5.29-6.4</t>
        </is>
      </c>
      <c r="B3718" s="16" t="inlineStr">
        <is>
          <t>PO-128-02178247516793881</t>
        </is>
      </c>
      <c r="C3718" s="16" t="inlineStr">
        <is>
          <t>Delivered</t>
        </is>
      </c>
      <c r="D3718" s="16" t="inlineStr">
        <is>
          <t>128-02178221302393881</t>
        </is>
      </c>
      <c r="E3718" s="16" t="inlineStr">
        <is>
          <t>Delivered</t>
        </is>
      </c>
      <c r="F3718" s="16" t="inlineStr">
        <is>
          <t>LV54W25</t>
        </is>
      </c>
      <c r="G3718" s="16" t="inlineStr">
        <is>
          <t>TIANLAI Lámpara Ventilador E27 2 en 1, Silenciosa, LED Alta Luminosidad 180°, Instalación Rápida, Ahorro Energético para Dormitorio y Interiores Pequeños</t>
        </is>
      </c>
      <c r="H3718" s="16" t="inlineStr">
        <is>
          <t>1 Pieza</t>
        </is>
      </c>
      <c r="I3718" s="16" t="n">
        <v>1</v>
      </c>
      <c r="J3718" s="17" t="n">
        <v>74</v>
      </c>
      <c r="K3718" s="17" t="n">
        <v>77.29000000000001</v>
      </c>
      <c r="L3718" s="17" t="n">
        <v>25.86</v>
      </c>
      <c r="M3718" s="17" t="n">
        <v>0</v>
      </c>
      <c r="N3718" s="17">
        <f>K3718*0.08+L3718*0.08</f>
        <v/>
      </c>
      <c r="O3718" s="17">
        <f>-(K3718*0.025+L3718*0.025)</f>
        <v/>
      </c>
      <c r="P3718" s="17">
        <f>32</f>
        <v/>
      </c>
      <c r="Q3718" s="17">
        <f>J3718+L3718+N3718+O3718-P3718-M3718</f>
        <v/>
      </c>
    </row>
    <row r="3719">
      <c r="A3719" s="16" t="inlineStr">
        <is>
          <t>5.29-6.4</t>
        </is>
      </c>
      <c r="B3719" s="16" t="inlineStr">
        <is>
          <t>PO-128-02350555996792852</t>
        </is>
      </c>
      <c r="C3719" s="16" t="inlineStr">
        <is>
          <t>Delivered</t>
        </is>
      </c>
      <c r="D3719" s="16" t="inlineStr">
        <is>
          <t>128-02350576968312852</t>
        </is>
      </c>
      <c r="E3719" s="16" t="inlineStr">
        <is>
          <t>Delivered</t>
        </is>
      </c>
      <c r="F3719" s="16" t="inlineStr">
        <is>
          <t>TLCD06-12P-A</t>
        </is>
      </c>
      <c r="G371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19" s="16" t="inlineStr">
        <is>
          <t>AZUL/pantalla de 12 pulgadas</t>
        </is>
      </c>
      <c r="I3719" s="16" t="n">
        <v>1</v>
      </c>
      <c r="J3719" s="17" t="n">
        <v>32</v>
      </c>
      <c r="K3719" s="17" t="n">
        <v>36.37</v>
      </c>
      <c r="L3719" s="17" t="n">
        <v>25.86</v>
      </c>
      <c r="M3719" s="17" t="n">
        <v>0</v>
      </c>
      <c r="N3719" s="17">
        <f>K3719*0.08+L3719*0.08</f>
        <v/>
      </c>
      <c r="O3719" s="17">
        <f>-(K3719*0.025+L3719*0.025)</f>
        <v/>
      </c>
      <c r="P3719" s="17">
        <f>32</f>
        <v/>
      </c>
      <c r="Q3719" s="17">
        <f>J3719+L3719+N3719+O3719-P3719-M3719</f>
        <v/>
      </c>
    </row>
    <row r="3720">
      <c r="A3720" s="16" t="inlineStr">
        <is>
          <t>5.29-6.4</t>
        </is>
      </c>
      <c r="B3720" s="16" t="inlineStr">
        <is>
          <t>PO-128-02284140606072224</t>
        </is>
      </c>
      <c r="C3720" s="16" t="inlineStr">
        <is>
          <t>Delivered</t>
        </is>
      </c>
      <c r="D3720" s="16" t="inlineStr">
        <is>
          <t>128-02284145848952224</t>
        </is>
      </c>
      <c r="E3720" s="16" t="inlineStr">
        <is>
          <t>Delivered</t>
        </is>
      </c>
      <c r="F3720" s="16" t="inlineStr">
        <is>
          <t>TLCD06-12P-N</t>
        </is>
      </c>
      <c r="G3720"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20" s="16" t="inlineStr">
        <is>
          <t>NEGRO/pantalla de 12 pulgadas</t>
        </is>
      </c>
      <c r="I3720" s="16" t="n">
        <v>1</v>
      </c>
      <c r="J3720" s="17" t="n">
        <v>32</v>
      </c>
      <c r="K3720" s="17" t="n">
        <v>21.56</v>
      </c>
      <c r="L3720" s="17" t="n">
        <v>25.86</v>
      </c>
      <c r="M3720" s="17" t="n">
        <v>0</v>
      </c>
      <c r="N3720" s="17">
        <f>K3720*0.08+L3720*0.08</f>
        <v/>
      </c>
      <c r="O3720" s="17">
        <f>-(K3720*0.025+L3720*0.025)</f>
        <v/>
      </c>
      <c r="P3720" s="17">
        <f>32</f>
        <v/>
      </c>
      <c r="Q3720" s="17">
        <f>J3720+L3720+N3720+O3720-P3720-M3720</f>
        <v/>
      </c>
    </row>
    <row r="3721">
      <c r="A3721" s="16" t="inlineStr">
        <is>
          <t>5.29-6.4</t>
        </is>
      </c>
      <c r="B3721" s="16" t="inlineStr">
        <is>
          <t>PO-128-02459938447991240</t>
        </is>
      </c>
      <c r="C3721" s="16" t="inlineStr">
        <is>
          <t>Delivered</t>
        </is>
      </c>
      <c r="D3721" s="16" t="inlineStr">
        <is>
          <t>128-02459896259191240</t>
        </is>
      </c>
      <c r="E3721" s="16" t="inlineStr">
        <is>
          <t>Delivered</t>
        </is>
      </c>
      <c r="F3721" s="16" t="inlineStr">
        <is>
          <t>LV64W25</t>
        </is>
      </c>
      <c r="G37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21" s="16" t="inlineStr">
        <is>
          <t>Blanco</t>
        </is>
      </c>
      <c r="I3721" s="16" t="n">
        <v>1</v>
      </c>
      <c r="J3721" s="17" t="n">
        <v>119</v>
      </c>
      <c r="K3721" s="17" t="n">
        <v>137.26</v>
      </c>
      <c r="L3721" s="17" t="n">
        <v>25.86</v>
      </c>
      <c r="M3721" s="17" t="n">
        <v>0</v>
      </c>
      <c r="N3721" s="17">
        <f>K3721*0.08+L3721*0.08</f>
        <v/>
      </c>
      <c r="O3721" s="17">
        <f>-(K3721*0.025+L3721*0.025)</f>
        <v/>
      </c>
      <c r="P3721" s="17">
        <f>32</f>
        <v/>
      </c>
      <c r="Q3721" s="17">
        <f>J3721+L3721+N3721+O3721-P3721-M3721</f>
        <v/>
      </c>
    </row>
    <row r="3722">
      <c r="A3722" s="16" t="inlineStr">
        <is>
          <t>5.29-6.4</t>
        </is>
      </c>
      <c r="B3722" s="16" t="inlineStr">
        <is>
          <t>PO-128-02073658737273545</t>
        </is>
      </c>
      <c r="C3722" s="16" t="inlineStr">
        <is>
          <t>Delivered</t>
        </is>
      </c>
      <c r="D3722" s="16" t="inlineStr">
        <is>
          <t>128-02073616794233545</t>
        </is>
      </c>
      <c r="E3722" s="16" t="inlineStr">
        <is>
          <t>Delivered</t>
        </is>
      </c>
      <c r="F3722" s="16" t="inlineStr">
        <is>
          <t>KTS-2031</t>
        </is>
      </c>
      <c r="G3722" s="16" t="inlineStr">
        <is>
          <t>Bocina inalámbrica de 3 pulgadas con linterna multifuncional y panel solar integrado.Altavoz Portátil con Linterna LED 4 Modos, Radio FM, Bluetooth, Carga Solar, Ideal para Apagones, Emergencias, Campo y Exteriores</t>
        </is>
      </c>
      <c r="H3722" s="16" t="inlineStr">
        <is>
          <t>NEGRO</t>
        </is>
      </c>
      <c r="I3722" s="16" t="n">
        <v>1</v>
      </c>
      <c r="J3722" s="17" t="n">
        <v>88</v>
      </c>
      <c r="K3722" s="17" t="n">
        <v>97.22</v>
      </c>
      <c r="L3722" s="17" t="n">
        <v>25.86</v>
      </c>
      <c r="M3722" s="17" t="n">
        <v>0</v>
      </c>
      <c r="N3722" s="17">
        <f>K3722*0.08+L3722*0.08</f>
        <v/>
      </c>
      <c r="O3722" s="17">
        <f>-(K3722*0.025+L3722*0.025)</f>
        <v/>
      </c>
      <c r="P3722" s="17">
        <f>32</f>
        <v/>
      </c>
      <c r="Q3722" s="17">
        <f>J3722+L3722+N3722+O3722-P3722-M3722</f>
        <v/>
      </c>
    </row>
    <row r="3723">
      <c r="A3723" s="16" t="inlineStr">
        <is>
          <t>5.29-6.4</t>
        </is>
      </c>
      <c r="B3723" s="16" t="inlineStr">
        <is>
          <t>PO-128-02649681664630047</t>
        </is>
      </c>
      <c r="C3723" s="16" t="inlineStr">
        <is>
          <t>Delivered</t>
        </is>
      </c>
      <c r="D3723" s="16" t="inlineStr">
        <is>
          <t>128-02649692150390047</t>
        </is>
      </c>
      <c r="E3723" s="16" t="inlineStr">
        <is>
          <t>Delivered</t>
        </is>
      </c>
      <c r="F3723" s="16" t="inlineStr">
        <is>
          <t>VA371T</t>
        </is>
      </c>
      <c r="G3723" s="16" t="inlineStr">
        <is>
          <t>Linkbits Bocina Bluetooth Portátil 3" de Alta Gama，Hi-Res Audio y Graves Potentes，Luces LED + Soporte USB/TF/FM/TWS，Ideal para Hogar y Aire Libre</t>
        </is>
      </c>
      <c r="H3723" s="16" t="inlineStr">
        <is>
          <t>VA371T</t>
        </is>
      </c>
      <c r="I3723" s="16" t="n">
        <v>3</v>
      </c>
      <c r="J3723" s="17" t="n">
        <v>123.96</v>
      </c>
      <c r="K3723" s="17" t="n">
        <v>119.29</v>
      </c>
      <c r="L3723" s="17" t="n">
        <v>25.86</v>
      </c>
      <c r="M3723" s="17" t="n">
        <v>0</v>
      </c>
      <c r="N3723" s="17">
        <f>K3723*0.08+L3723*0.08</f>
        <v/>
      </c>
      <c r="O3723" s="17">
        <f>-(K3723*0.025+L3723*0.025)</f>
        <v/>
      </c>
      <c r="P3723" s="17">
        <f>32</f>
        <v/>
      </c>
      <c r="Q3723" s="17">
        <f>J3723+L3723+N3723+O3723-P3723-M3723</f>
        <v/>
      </c>
    </row>
    <row r="3724">
      <c r="A3724" s="16" t="inlineStr">
        <is>
          <t>5.29-6.4</t>
        </is>
      </c>
      <c r="B3724" s="16" t="inlineStr">
        <is>
          <t>PO-128-02411978271351462</t>
        </is>
      </c>
      <c r="C3724" s="16" t="inlineStr">
        <is>
          <t>Delivered</t>
        </is>
      </c>
      <c r="D3724" s="16" t="inlineStr">
        <is>
          <t>128-02412058225271462</t>
        </is>
      </c>
      <c r="E3724" s="16" t="inlineStr">
        <is>
          <t>Delivered</t>
        </is>
      </c>
      <c r="F3724" s="16" t="inlineStr">
        <is>
          <t>LV54W25</t>
        </is>
      </c>
      <c r="G3724" s="16" t="inlineStr">
        <is>
          <t>TIANLAI Lámpara Ventilador E27 2 en 1, Silenciosa, LED Alta Luminosidad 180°, Instalación Rápida, Ahorro Energético para Dormitorio y Interiores Pequeños</t>
        </is>
      </c>
      <c r="H3724" s="16" t="inlineStr">
        <is>
          <t>1 Pieza</t>
        </is>
      </c>
      <c r="I3724" s="16" t="n">
        <v>1</v>
      </c>
      <c r="J3724" s="17" t="n">
        <v>74</v>
      </c>
      <c r="K3724" s="17" t="n">
        <v>61.01</v>
      </c>
      <c r="L3724" s="17" t="n">
        <v>25.86</v>
      </c>
      <c r="M3724" s="17" t="n">
        <v>0</v>
      </c>
      <c r="N3724" s="17">
        <f>K3724*0.08+L3724*0.08</f>
        <v/>
      </c>
      <c r="O3724" s="17">
        <f>-(K3724*0.025+L3724*0.025)</f>
        <v/>
      </c>
      <c r="P3724" s="17">
        <f>32</f>
        <v/>
      </c>
      <c r="Q3724" s="17">
        <f>J3724+L3724+N3724+O3724-P3724-M3724</f>
        <v/>
      </c>
    </row>
    <row r="3725">
      <c r="A3725" s="16" t="inlineStr">
        <is>
          <t>5.29-6.4</t>
        </is>
      </c>
      <c r="B3725" s="16" t="inlineStr">
        <is>
          <t>PO-128-02423139175031525</t>
        </is>
      </c>
      <c r="C3725" s="16" t="inlineStr">
        <is>
          <t>Delivered</t>
        </is>
      </c>
      <c r="D3725" s="16" t="inlineStr">
        <is>
          <t>128-02423165389431525</t>
        </is>
      </c>
      <c r="E3725" s="16" t="inlineStr">
        <is>
          <t>Delivered</t>
        </is>
      </c>
      <c r="F3725" s="16" t="inlineStr">
        <is>
          <t>LV54W25</t>
        </is>
      </c>
      <c r="G3725" s="16" t="inlineStr">
        <is>
          <t>TIANLAI Lámpara Ventilador E27 2 en 1, Silenciosa, LED Alta Luminosidad 180°, Instalación Rápida, Ahorro Energético para Dormitorio y Interiores Pequeños</t>
        </is>
      </c>
      <c r="H3725" s="16" t="inlineStr">
        <is>
          <t>1 Pieza</t>
        </is>
      </c>
      <c r="I3725" s="16" t="n">
        <v>1</v>
      </c>
      <c r="J3725" s="17" t="n">
        <v>74</v>
      </c>
      <c r="K3725" s="17" t="n">
        <v>61.01</v>
      </c>
      <c r="L3725" s="17" t="n">
        <v>25.86</v>
      </c>
      <c r="M3725" s="17" t="n">
        <v>0</v>
      </c>
      <c r="N3725" s="17">
        <f>K3725*0.08+L3725*0.08</f>
        <v/>
      </c>
      <c r="O3725" s="17">
        <f>-(K3725*0.025+L3725*0.025)</f>
        <v/>
      </c>
      <c r="P3725" s="17">
        <f>32</f>
        <v/>
      </c>
      <c r="Q3725" s="17">
        <f>J3725+L3725+N3725+O3725-P3725-M3725</f>
        <v/>
      </c>
    </row>
    <row r="3726">
      <c r="A3726" s="16" t="inlineStr">
        <is>
          <t>5.29-6.4</t>
        </is>
      </c>
      <c r="B3726" s="16" t="inlineStr">
        <is>
          <t>PO-128-02338020936313057</t>
        </is>
      </c>
      <c r="C3726" s="16" t="inlineStr">
        <is>
          <t>Delivered</t>
        </is>
      </c>
      <c r="D3726" s="16" t="inlineStr">
        <is>
          <t>128-02337999964793057</t>
        </is>
      </c>
      <c r="E3726" s="16" t="inlineStr">
        <is>
          <t>Delivered</t>
        </is>
      </c>
      <c r="F3726" s="16" t="inlineStr">
        <is>
          <t>LV54W25</t>
        </is>
      </c>
      <c r="G3726" s="16" t="inlineStr">
        <is>
          <t>TIANLAI Lámpara Ventilador E27 2 en 1, Silenciosa, LED Alta Luminosidad 180°, Instalación Rápida, Ahorro Energético para Dormitorio y Interiores Pequeños</t>
        </is>
      </c>
      <c r="H3726" s="16" t="inlineStr">
        <is>
          <t>1 Pieza</t>
        </is>
      </c>
      <c r="I3726" s="16" t="n">
        <v>2</v>
      </c>
      <c r="J3726" s="17" t="n">
        <v>148</v>
      </c>
      <c r="K3726" s="17" t="n">
        <v>123.4</v>
      </c>
      <c r="L3726" s="17" t="n">
        <v>25.86</v>
      </c>
      <c r="M3726" s="17" t="n">
        <v>0</v>
      </c>
      <c r="N3726" s="17">
        <f>K3726*0.08+L3726*0.08</f>
        <v/>
      </c>
      <c r="O3726" s="17">
        <f>-(K3726*0.025+L3726*0.025)</f>
        <v/>
      </c>
      <c r="P3726" s="17">
        <f>32</f>
        <v/>
      </c>
      <c r="Q3726" s="17">
        <f>J3726+L3726+N3726+O3726-P3726-M3726</f>
        <v/>
      </c>
    </row>
    <row r="3727">
      <c r="A3727" s="16" t="inlineStr">
        <is>
          <t>5.29-6.4</t>
        </is>
      </c>
      <c r="B3727" s="16" t="inlineStr">
        <is>
          <t>PO-128-02569737196151610</t>
        </is>
      </c>
      <c r="C3727" s="16" t="inlineStr">
        <is>
          <t>Delivered</t>
        </is>
      </c>
      <c r="D3727" s="16" t="inlineStr">
        <is>
          <t>128-02569695253111610</t>
        </is>
      </c>
      <c r="E3727" s="16" t="inlineStr">
        <is>
          <t>Delivered</t>
        </is>
      </c>
      <c r="F3727" s="16" t="inlineStr">
        <is>
          <t>LV64W25</t>
        </is>
      </c>
      <c r="G37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27" s="16" t="inlineStr">
        <is>
          <t>Blanco</t>
        </is>
      </c>
      <c r="I3727" s="16" t="n">
        <v>2</v>
      </c>
      <c r="J3727" s="17" t="n">
        <v>238</v>
      </c>
      <c r="K3727" s="17" t="n">
        <v>247.08</v>
      </c>
      <c r="L3727" s="17" t="n">
        <v>0</v>
      </c>
      <c r="M3727" s="17" t="n">
        <v>0</v>
      </c>
      <c r="N3727" s="17">
        <f>K3727*0.08+L3727*0.08</f>
        <v/>
      </c>
      <c r="O3727" s="17">
        <f>-(K3727*0.025+L3727*0.025)</f>
        <v/>
      </c>
      <c r="P3727" s="17">
        <f>32</f>
        <v/>
      </c>
      <c r="Q3727" s="17">
        <f>J3727+L3727+N3727+O3727-P3727-M3727</f>
        <v/>
      </c>
    </row>
    <row r="3728">
      <c r="A3728" s="16" t="inlineStr">
        <is>
          <t>5.29-6.4</t>
        </is>
      </c>
      <c r="B3728" s="16" t="inlineStr">
        <is>
          <t>PO-128-02336646400633065</t>
        </is>
      </c>
      <c r="C3728" s="16" t="inlineStr">
        <is>
          <t>Delivered</t>
        </is>
      </c>
      <c r="D3728" s="16" t="inlineStr">
        <is>
          <t>128-02336688343673065</t>
        </is>
      </c>
      <c r="E3728" s="16" t="inlineStr">
        <is>
          <t>Delivered</t>
        </is>
      </c>
      <c r="F3728" s="16" t="inlineStr">
        <is>
          <t>LV64W25</t>
        </is>
      </c>
      <c r="G372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28" s="16" t="inlineStr">
        <is>
          <t>Blanco</t>
        </is>
      </c>
      <c r="I3728" s="16" t="n">
        <v>2</v>
      </c>
      <c r="J3728" s="17" t="n">
        <v>238</v>
      </c>
      <c r="K3728" s="17" t="n">
        <v>247.08</v>
      </c>
      <c r="L3728" s="17" t="n">
        <v>0</v>
      </c>
      <c r="M3728" s="17" t="n">
        <v>0</v>
      </c>
      <c r="N3728" s="17">
        <f>K3728*0.08+L3728*0.08</f>
        <v/>
      </c>
      <c r="O3728" s="17">
        <f>-(K3728*0.025+L3728*0.025)</f>
        <v/>
      </c>
      <c r="P3728" s="17">
        <f>32</f>
        <v/>
      </c>
      <c r="Q3728" s="17">
        <f>J3728+L3728+N3728+O3728-P3728-M3728</f>
        <v/>
      </c>
    </row>
    <row r="3729">
      <c r="A3729" s="16" t="inlineStr">
        <is>
          <t>5.29-6.4</t>
        </is>
      </c>
      <c r="B3729" s="16" t="inlineStr">
        <is>
          <t>PO-128-02191441203833736</t>
        </is>
      </c>
      <c r="C3729" s="16" t="inlineStr">
        <is>
          <t>Delivered</t>
        </is>
      </c>
      <c r="D3729" s="16" t="inlineStr">
        <is>
          <t>128-02191607009913736</t>
        </is>
      </c>
      <c r="E3729" s="16" t="inlineStr">
        <is>
          <t>Delivered</t>
        </is>
      </c>
      <c r="F3729" s="16" t="inlineStr">
        <is>
          <t>B03W10-10PZS</t>
        </is>
      </c>
      <c r="G372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729" s="16" t="inlineStr">
        <is>
          <t>B03W10</t>
        </is>
      </c>
      <c r="I3729" s="16" t="n">
        <v>1</v>
      </c>
      <c r="J3729" s="17" t="n">
        <v>66</v>
      </c>
      <c r="K3729" s="17" t="n">
        <v>17.6</v>
      </c>
      <c r="L3729" s="17" t="n">
        <v>25.86</v>
      </c>
      <c r="M3729" s="17" t="n">
        <v>0</v>
      </c>
      <c r="N3729" s="17">
        <f>K3729*0.08+L3729*0.08</f>
        <v/>
      </c>
      <c r="O3729" s="17">
        <f>-(K3729*0.025+L3729*0.025)</f>
        <v/>
      </c>
      <c r="P3729" s="17">
        <f>32</f>
        <v/>
      </c>
      <c r="Q3729" s="17">
        <f>J3729+L3729+N3729+O3729-P3729-M3729</f>
        <v/>
      </c>
    </row>
    <row r="3730">
      <c r="A3730" s="16" t="inlineStr">
        <is>
          <t>5.29-6.4</t>
        </is>
      </c>
      <c r="B3730" s="16" t="inlineStr">
        <is>
          <t>PO-128-02343086828152835</t>
        </is>
      </c>
      <c r="C3730" s="16" t="inlineStr">
        <is>
          <t>Delivered</t>
        </is>
      </c>
      <c r="D3730" s="16" t="inlineStr">
        <is>
          <t>128-02343044885112835</t>
        </is>
      </c>
      <c r="E3730" s="16" t="inlineStr">
        <is>
          <t>Delivered</t>
        </is>
      </c>
      <c r="F3730" s="16" t="inlineStr">
        <is>
          <t>LV64W25</t>
        </is>
      </c>
      <c r="G37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30" s="16" t="inlineStr">
        <is>
          <t>Blanco</t>
        </is>
      </c>
      <c r="I3730" s="16" t="n">
        <v>1</v>
      </c>
      <c r="J3730" s="17" t="n">
        <v>119</v>
      </c>
      <c r="K3730" s="17" t="n">
        <v>137.26</v>
      </c>
      <c r="L3730" s="17" t="n">
        <v>25.86</v>
      </c>
      <c r="M3730" s="17" t="n">
        <v>0</v>
      </c>
      <c r="N3730" s="17">
        <f>K3730*0.08+L3730*0.08</f>
        <v/>
      </c>
      <c r="O3730" s="17">
        <f>-(K3730*0.025+L3730*0.025)</f>
        <v/>
      </c>
      <c r="P3730" s="17">
        <f>32</f>
        <v/>
      </c>
      <c r="Q3730" s="17">
        <f>J3730+L3730+N3730+O3730-P3730-M3730</f>
        <v/>
      </c>
    </row>
    <row r="3731">
      <c r="A3731" s="16" t="inlineStr">
        <is>
          <t>5.29-6.4</t>
        </is>
      </c>
      <c r="B3731" s="16" t="inlineStr">
        <is>
          <t>PO-128-02673514179190929</t>
        </is>
      </c>
      <c r="C3731" s="16" t="inlineStr">
        <is>
          <t>Delivered</t>
        </is>
      </c>
      <c r="D3731" s="16" t="inlineStr">
        <is>
          <t>128-02673472236150929</t>
        </is>
      </c>
      <c r="E3731" s="16" t="inlineStr">
        <is>
          <t>Delivered</t>
        </is>
      </c>
      <c r="F3731" s="16" t="inlineStr">
        <is>
          <t>TLCD02-8P-A</t>
        </is>
      </c>
      <c r="G373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31" s="16" t="inlineStr">
        <is>
          <t>AZUL/pantalla de 8.5 pulgadas</t>
        </is>
      </c>
      <c r="I3731" s="16" t="n">
        <v>1</v>
      </c>
      <c r="J3731" s="17" t="n">
        <v>24</v>
      </c>
      <c r="K3731" s="17" t="n">
        <v>28.04</v>
      </c>
      <c r="L3731" s="17" t="n">
        <v>25.86</v>
      </c>
      <c r="M3731" s="17" t="n">
        <v>0</v>
      </c>
      <c r="N3731" s="17">
        <f>K3731*0.08+L3731*0.08</f>
        <v/>
      </c>
      <c r="O3731" s="17">
        <f>-(K3731*0.025+L3731*0.025)</f>
        <v/>
      </c>
      <c r="P3731" s="17">
        <f>32</f>
        <v/>
      </c>
      <c r="Q3731" s="17">
        <f>J3731+L3731+N3731+O3731-P3731-M3731</f>
        <v/>
      </c>
    </row>
    <row r="3732">
      <c r="A3732" s="16" t="inlineStr">
        <is>
          <t>5.29-6.4</t>
        </is>
      </c>
      <c r="B3732" s="16" t="inlineStr">
        <is>
          <t>PO-128-02735416914550558</t>
        </is>
      </c>
      <c r="C3732" s="16" t="inlineStr">
        <is>
          <t>Delivered</t>
        </is>
      </c>
      <c r="D3732" s="16" t="inlineStr">
        <is>
          <t>128-02735427400310558</t>
        </is>
      </c>
      <c r="E3732" s="16" t="inlineStr">
        <is>
          <t>Delivered</t>
        </is>
      </c>
      <c r="F3732" s="16" t="inlineStr">
        <is>
          <t>LV64W25</t>
        </is>
      </c>
      <c r="G37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32" s="16" t="inlineStr">
        <is>
          <t>Blanco</t>
        </is>
      </c>
      <c r="I3732" s="16" t="n">
        <v>1</v>
      </c>
      <c r="J3732" s="17" t="n">
        <v>119</v>
      </c>
      <c r="K3732" s="17" t="n">
        <v>137.26</v>
      </c>
      <c r="L3732" s="17" t="n">
        <v>25.86</v>
      </c>
      <c r="M3732" s="17" t="n">
        <v>0</v>
      </c>
      <c r="N3732" s="17">
        <f>K3732*0.08+L3732*0.08</f>
        <v/>
      </c>
      <c r="O3732" s="17">
        <f>-(K3732*0.025+L3732*0.025)</f>
        <v/>
      </c>
      <c r="P3732" s="17">
        <f>32</f>
        <v/>
      </c>
      <c r="Q3732" s="17">
        <f>J3732+L3732+N3732+O3732-P3732-M3732</f>
        <v/>
      </c>
    </row>
    <row r="3733">
      <c r="A3733" s="16" t="inlineStr">
        <is>
          <t>5.29-6.4</t>
        </is>
      </c>
      <c r="B3733" s="16" t="inlineStr">
        <is>
          <t>PO-128-02697797909110846</t>
        </is>
      </c>
      <c r="C3733" s="16" t="inlineStr">
        <is>
          <t>Delivered</t>
        </is>
      </c>
      <c r="D3733" s="16" t="inlineStr">
        <is>
          <t>128-02697817897590846</t>
        </is>
      </c>
      <c r="E3733" s="16" t="inlineStr">
        <is>
          <t>Delivered</t>
        </is>
      </c>
      <c r="F3733" s="16" t="inlineStr">
        <is>
          <t>BSC07</t>
        </is>
      </c>
      <c r="G3733" s="16" t="inlineStr">
        <is>
          <t>TIANLAI Báscula Digital BSC04/BSC07, Alta Precisión, Fácil Operación, Ligera y Portátil, Función Tara, Unidad Dual oz/g, Ideal para Cocina, Control de Porciones, Sellos y Objetos Pequeños, Uso en Hogar y Viaje</t>
        </is>
      </c>
      <c r="H3733" s="16" t="inlineStr">
        <is>
          <t>1g/White</t>
        </is>
      </c>
      <c r="I3733" s="16" t="n">
        <v>1</v>
      </c>
      <c r="J3733" s="17" t="n">
        <v>35</v>
      </c>
      <c r="K3733" s="17" t="n">
        <v>47.22</v>
      </c>
      <c r="L3733" s="17" t="n">
        <v>25.86</v>
      </c>
      <c r="M3733" s="17" t="n">
        <v>0</v>
      </c>
      <c r="N3733" s="17">
        <f>K3733*0.08+L3733*0.08</f>
        <v/>
      </c>
      <c r="O3733" s="17">
        <f>-(K3733*0.025+L3733*0.025)</f>
        <v/>
      </c>
      <c r="P3733" s="17">
        <f>32</f>
        <v/>
      </c>
      <c r="Q3733" s="17">
        <f>J3733+L3733+N3733+O3733-P3733-M3733</f>
        <v/>
      </c>
    </row>
    <row r="3734">
      <c r="A3734" s="16" t="inlineStr">
        <is>
          <t>5.29-6.4</t>
        </is>
      </c>
      <c r="B3734" s="16" t="inlineStr">
        <is>
          <t>PO-128-02601002793590273</t>
        </is>
      </c>
      <c r="C3734" s="16" t="inlineStr">
        <is>
          <t>Delivered</t>
        </is>
      </c>
      <c r="D3734" s="16" t="inlineStr">
        <is>
          <t>128-02600987064950273</t>
        </is>
      </c>
      <c r="E3734" s="16" t="inlineStr">
        <is>
          <t>Delivered</t>
        </is>
      </c>
      <c r="F3734" s="16" t="inlineStr">
        <is>
          <t>LV64W25</t>
        </is>
      </c>
      <c r="G37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34" s="16" t="inlineStr">
        <is>
          <t>Blanco</t>
        </is>
      </c>
      <c r="I3734" s="16" t="n">
        <v>1</v>
      </c>
      <c r="J3734" s="17" t="n">
        <v>119</v>
      </c>
      <c r="K3734" s="17" t="n">
        <v>123.54</v>
      </c>
      <c r="L3734" s="17" t="n">
        <v>25.86</v>
      </c>
      <c r="M3734" s="17" t="n">
        <v>0</v>
      </c>
      <c r="N3734" s="17">
        <f>K3734*0.08+L3734*0.08</f>
        <v/>
      </c>
      <c r="O3734" s="17">
        <f>-(K3734*0.025+L3734*0.025)</f>
        <v/>
      </c>
      <c r="P3734" s="17">
        <f>32</f>
        <v/>
      </c>
      <c r="Q3734" s="17">
        <f>J3734+L3734+N3734+O3734-P3734-M3734</f>
        <v/>
      </c>
    </row>
    <row r="3735">
      <c r="A3735" s="16" t="inlineStr">
        <is>
          <t>5.29-6.4</t>
        </is>
      </c>
      <c r="B3735" s="16" t="inlineStr">
        <is>
          <t>PO-128-02458043315831189</t>
        </is>
      </c>
      <c r="C3735" s="16" t="inlineStr">
        <is>
          <t>Delivered</t>
        </is>
      </c>
      <c r="D3735" s="16" t="inlineStr">
        <is>
          <t>128-02458074773111189</t>
        </is>
      </c>
      <c r="E3735" s="16" t="inlineStr">
        <is>
          <t>Delivered</t>
        </is>
      </c>
      <c r="F3735" s="16" t="inlineStr">
        <is>
          <t>LV54W25</t>
        </is>
      </c>
      <c r="G3735" s="16" t="inlineStr">
        <is>
          <t>TIANLAI Lámpara Ventilador E27 2 en 1, Silenciosa, LED Alta Luminosidad 180°, Instalación Rápida, Ahorro Energético para Dormitorio y Interiores Pequeños</t>
        </is>
      </c>
      <c r="H3735" s="16" t="inlineStr">
        <is>
          <t>1 Pieza</t>
        </is>
      </c>
      <c r="I3735" s="16" t="n">
        <v>2</v>
      </c>
      <c r="J3735" s="17" t="n">
        <v>148</v>
      </c>
      <c r="K3735" s="17" t="n">
        <v>154.24</v>
      </c>
      <c r="L3735" s="17" t="n">
        <v>25.86</v>
      </c>
      <c r="M3735" s="17" t="n">
        <v>0</v>
      </c>
      <c r="N3735" s="17">
        <f>K3735*0.08+L3735*0.08</f>
        <v/>
      </c>
      <c r="O3735" s="17">
        <f>-(K3735*0.025+L3735*0.025)</f>
        <v/>
      </c>
      <c r="P3735" s="17">
        <f>32</f>
        <v/>
      </c>
      <c r="Q3735" s="17">
        <f>J3735+L3735+N3735+O3735-P3735-M3735</f>
        <v/>
      </c>
    </row>
    <row r="3736">
      <c r="A3736" s="16" t="inlineStr">
        <is>
          <t>5.29-6.4</t>
        </is>
      </c>
      <c r="B3736" s="16" t="inlineStr">
        <is>
          <t>PO-128-02504157942392003</t>
        </is>
      </c>
      <c r="C3736" s="16" t="inlineStr">
        <is>
          <t>Delivered</t>
        </is>
      </c>
      <c r="D3736" s="16" t="inlineStr">
        <is>
          <t>128-02504115999352003</t>
        </is>
      </c>
      <c r="E3736" s="16" t="inlineStr">
        <is>
          <t>Delivered</t>
        </is>
      </c>
      <c r="F3736" s="16" t="inlineStr">
        <is>
          <t>LV54W25</t>
        </is>
      </c>
      <c r="G3736" s="16" t="inlineStr">
        <is>
          <t>TIANLAI Lámpara Ventilador E27 2 en 1, Silenciosa, LED Alta Luminosidad 180°, Instalación Rápida, Ahorro Energético para Dormitorio y Interiores Pequeños</t>
        </is>
      </c>
      <c r="H3736" s="16" t="inlineStr">
        <is>
          <t>1 Pieza</t>
        </is>
      </c>
      <c r="I3736" s="16" t="n">
        <v>10</v>
      </c>
      <c r="J3736" s="17" t="n">
        <v>740</v>
      </c>
      <c r="K3736" s="17" t="n">
        <v>616.98</v>
      </c>
      <c r="L3736" s="17" t="n">
        <v>0</v>
      </c>
      <c r="M3736" s="17" t="n">
        <v>0</v>
      </c>
      <c r="N3736" s="17">
        <f>K3736*0.08+L3736*0.08</f>
        <v/>
      </c>
      <c r="O3736" s="17">
        <f>-(K3736*0.025+L3736*0.025)</f>
        <v/>
      </c>
      <c r="P3736" s="17">
        <f>32</f>
        <v/>
      </c>
      <c r="Q3736" s="17">
        <f>J3736+L3736+N3736+O3736-P3736-M3736</f>
        <v/>
      </c>
    </row>
    <row r="3737">
      <c r="A3737" s="16" t="inlineStr">
        <is>
          <t>5.29-6.4</t>
        </is>
      </c>
      <c r="B3737" s="16" t="inlineStr">
        <is>
          <t>PO-128-02062904054393481</t>
        </is>
      </c>
      <c r="C3737" s="16" t="inlineStr">
        <is>
          <t>Delivered</t>
        </is>
      </c>
      <c r="D3737" s="16" t="inlineStr">
        <is>
          <t>128-02062862111353481</t>
        </is>
      </c>
      <c r="E3737" s="16" t="inlineStr">
        <is>
          <t>Delivered</t>
        </is>
      </c>
      <c r="F3737" s="16" t="inlineStr">
        <is>
          <t>LV54W25</t>
        </is>
      </c>
      <c r="G3737" s="16" t="inlineStr">
        <is>
          <t>TIANLAI Lámpara Ventilador E27 2 en 1, Silenciosa, LED Alta Luminosidad 180°, Instalación Rápida, Ahorro Energético para Dormitorio y Interiores Pequeños</t>
        </is>
      </c>
      <c r="H3737" s="16" t="inlineStr">
        <is>
          <t>1 Pieza</t>
        </is>
      </c>
      <c r="I3737" s="16" t="n">
        <v>1</v>
      </c>
      <c r="J3737" s="17" t="n">
        <v>74</v>
      </c>
      <c r="K3737" s="17" t="n">
        <v>76.26000000000001</v>
      </c>
      <c r="L3737" s="17" t="n">
        <v>25.86</v>
      </c>
      <c r="M3737" s="17" t="n">
        <v>0</v>
      </c>
      <c r="N3737" s="17">
        <f>K3737*0.08+L3737*0.08</f>
        <v/>
      </c>
      <c r="O3737" s="17">
        <f>-(K3737*0.025+L3737*0.025)</f>
        <v/>
      </c>
      <c r="P3737" s="17">
        <f>32</f>
        <v/>
      </c>
      <c r="Q3737" s="17">
        <f>J3737+L3737+N3737+O3737-P3737-M3737</f>
        <v/>
      </c>
    </row>
    <row r="3738">
      <c r="A3738" s="16" t="inlineStr">
        <is>
          <t>5.29-6.4</t>
        </is>
      </c>
      <c r="B3738" s="16" t="inlineStr">
        <is>
          <t>PO-128-02103187528313433</t>
        </is>
      </c>
      <c r="C3738" s="16" t="inlineStr">
        <is>
          <t>Delivered</t>
        </is>
      </c>
      <c r="D3738" s="16" t="inlineStr">
        <is>
          <t>128-02103145585273433</t>
        </is>
      </c>
      <c r="E3738" s="16" t="inlineStr">
        <is>
          <t>Delivered</t>
        </is>
      </c>
      <c r="F3738" s="16" t="inlineStr">
        <is>
          <t>LV64W25</t>
        </is>
      </c>
      <c r="G37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38" s="16" t="inlineStr">
        <is>
          <t>Blanco</t>
        </is>
      </c>
      <c r="I3738" s="16" t="n">
        <v>2</v>
      </c>
      <c r="J3738" s="17" t="n">
        <v>238</v>
      </c>
      <c r="K3738" s="17" t="n">
        <v>247.08</v>
      </c>
      <c r="L3738" s="17" t="n">
        <v>0</v>
      </c>
      <c r="M3738" s="17" t="n">
        <v>0</v>
      </c>
      <c r="N3738" s="17">
        <f>K3738*0.08+L3738*0.08</f>
        <v/>
      </c>
      <c r="O3738" s="17">
        <f>-(K3738*0.025+L3738*0.025)</f>
        <v/>
      </c>
      <c r="P3738" s="17">
        <f>32</f>
        <v/>
      </c>
      <c r="Q3738" s="17">
        <f>J3738+L3738+N3738+O3738-P3738-M3738</f>
        <v/>
      </c>
    </row>
    <row r="3739">
      <c r="A3739" s="16" t="inlineStr">
        <is>
          <t>5.29-6.4</t>
        </is>
      </c>
      <c r="B3739" s="16" t="inlineStr">
        <is>
          <t>PO-128-02409757660791413</t>
        </is>
      </c>
      <c r="C3739" s="16" t="inlineStr">
        <is>
          <t>Delivered</t>
        </is>
      </c>
      <c r="D3739" s="16" t="inlineStr">
        <is>
          <t>128-02409799603831413</t>
        </is>
      </c>
      <c r="E3739" s="16" t="inlineStr">
        <is>
          <t>Delivered</t>
        </is>
      </c>
      <c r="F3739" s="16" t="inlineStr">
        <is>
          <t>LV54W25</t>
        </is>
      </c>
      <c r="G3739" s="16" t="inlineStr">
        <is>
          <t>TIANLAI Lámpara Ventilador E27 2 en 1, Silenciosa, LED Alta Luminosidad 180°, Instalación Rápida, Ahorro Energético para Dormitorio y Interiores Pequeños</t>
        </is>
      </c>
      <c r="H3739" s="16" t="inlineStr">
        <is>
          <t>1 Pieza</t>
        </is>
      </c>
      <c r="I3739" s="16" t="n">
        <v>1</v>
      </c>
      <c r="J3739" s="17" t="n">
        <v>74</v>
      </c>
      <c r="K3739" s="17" t="n">
        <v>76.26000000000001</v>
      </c>
      <c r="L3739" s="17" t="n">
        <v>25.86</v>
      </c>
      <c r="M3739" s="17" t="n">
        <v>0</v>
      </c>
      <c r="N3739" s="17">
        <f>K3739*0.08+L3739*0.08</f>
        <v/>
      </c>
      <c r="O3739" s="17">
        <f>-(K3739*0.025+L3739*0.025)</f>
        <v/>
      </c>
      <c r="P3739" s="17">
        <f>32</f>
        <v/>
      </c>
      <c r="Q3739" s="17">
        <f>J3739+L3739+N3739+O3739-P3739-M3739</f>
        <v/>
      </c>
    </row>
    <row r="3740">
      <c r="A3740" s="16" t="inlineStr">
        <is>
          <t>5.29-6.4</t>
        </is>
      </c>
      <c r="B3740" s="16" t="inlineStr">
        <is>
          <t>PO-128-02330740531833034</t>
        </is>
      </c>
      <c r="C3740" s="16" t="inlineStr">
        <is>
          <t>Delivered</t>
        </is>
      </c>
      <c r="D3740" s="16" t="inlineStr">
        <is>
          <t>128-02330766746233034</t>
        </is>
      </c>
      <c r="E3740" s="16" t="inlineStr">
        <is>
          <t>Delivered</t>
        </is>
      </c>
      <c r="F3740" s="16" t="inlineStr">
        <is>
          <t>KTS-2031</t>
        </is>
      </c>
      <c r="G3740" s="16" t="inlineStr">
        <is>
          <t>Bocina inalámbrica de 3 pulgadas con linterna multifuncional y panel solar integrado.Altavoz Portátil con Linterna LED 4 Modos, Radio FM, Bluetooth, Carga Solar, Ideal para Apagones, Emergencias, Campo y Exteriores</t>
        </is>
      </c>
      <c r="H3740" s="16" t="inlineStr">
        <is>
          <t>NEGRO</t>
        </is>
      </c>
      <c r="I3740" s="16" t="n">
        <v>1</v>
      </c>
      <c r="J3740" s="17" t="n">
        <v>88</v>
      </c>
      <c r="K3740" s="17" t="n">
        <v>97.22</v>
      </c>
      <c r="L3740" s="17" t="n">
        <v>25.86</v>
      </c>
      <c r="M3740" s="17" t="n">
        <v>0</v>
      </c>
      <c r="N3740" s="17">
        <f>K3740*0.08+L3740*0.08</f>
        <v/>
      </c>
      <c r="O3740" s="17">
        <f>-(K3740*0.025+L3740*0.025)</f>
        <v/>
      </c>
      <c r="P3740" s="17">
        <f>32</f>
        <v/>
      </c>
      <c r="Q3740" s="17">
        <f>J3740+L3740+N3740+O3740-P3740-M3740</f>
        <v/>
      </c>
    </row>
    <row r="3741">
      <c r="A3741" s="16" t="inlineStr">
        <is>
          <t>5.29-6.4</t>
        </is>
      </c>
      <c r="B3741" s="16" t="inlineStr">
        <is>
          <t>PO-128-02071536497273493</t>
        </is>
      </c>
      <c r="C3741" s="16" t="inlineStr">
        <is>
          <t>Delivered</t>
        </is>
      </c>
      <c r="D3741" s="16" t="inlineStr">
        <is>
          <t>128-02071505039993493</t>
        </is>
      </c>
      <c r="E3741" s="16" t="inlineStr">
        <is>
          <t>Delivered</t>
        </is>
      </c>
      <c r="F3741" s="16" t="inlineStr">
        <is>
          <t>LV64W25</t>
        </is>
      </c>
      <c r="G37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41" s="16" t="inlineStr">
        <is>
          <t>Blanco</t>
        </is>
      </c>
      <c r="I3741" s="16" t="n">
        <v>1</v>
      </c>
      <c r="J3741" s="17" t="n">
        <v>119</v>
      </c>
      <c r="K3741" s="17" t="n">
        <v>118.2</v>
      </c>
      <c r="L3741" s="17" t="n">
        <v>25.86</v>
      </c>
      <c r="M3741" s="17" t="n">
        <v>0</v>
      </c>
      <c r="N3741" s="17">
        <f>K3741*0.08+L3741*0.08</f>
        <v/>
      </c>
      <c r="O3741" s="17">
        <f>-(K3741*0.025+L3741*0.025)</f>
        <v/>
      </c>
      <c r="P3741" s="17">
        <f>32</f>
        <v/>
      </c>
      <c r="Q3741" s="17">
        <f>J3741+L3741+N3741+O3741-P3741-M3741</f>
        <v/>
      </c>
    </row>
    <row r="3742">
      <c r="A3742" s="16" t="inlineStr">
        <is>
          <t>5.29-6.4</t>
        </is>
      </c>
      <c r="B3742" s="16" t="inlineStr">
        <is>
          <t>PO-128-02513994312311814</t>
        </is>
      </c>
      <c r="C3742" s="16" t="inlineStr">
        <is>
          <t>Delivered</t>
        </is>
      </c>
      <c r="D3742" s="16" t="inlineStr">
        <is>
          <t>128-02514046741111814</t>
        </is>
      </c>
      <c r="E3742" s="16" t="inlineStr">
        <is>
          <t>Delivered</t>
        </is>
      </c>
      <c r="F3742" s="16" t="inlineStr">
        <is>
          <t>LMC01N</t>
        </is>
      </c>
      <c r="G3742" s="16" t="inlineStr">
        <is>
          <t>Tira de poder de 16 en 1, montable en pared, con interruptor mecánico - 10 tomas CA EE.UU. espaciosas + 4 USB + 2 Tipo-C - Extensión blanca para oficina, hogar y estudio - Enchufe EE.UU., 125V/15A/1850W con protección contra sobrecarga</t>
        </is>
      </c>
      <c r="H3742" s="16" t="inlineStr">
        <is>
          <t>NEGARO/LMC01</t>
        </is>
      </c>
      <c r="I3742" s="16" t="n">
        <v>1</v>
      </c>
      <c r="J3742" s="17" t="n">
        <v>100.5</v>
      </c>
      <c r="K3742" s="17" t="n">
        <v>133.03</v>
      </c>
      <c r="L3742" s="17" t="n">
        <v>0</v>
      </c>
      <c r="M3742" s="17" t="n">
        <v>0</v>
      </c>
      <c r="N3742" s="17">
        <f>K3742*0.08+L3742*0.08</f>
        <v/>
      </c>
      <c r="O3742" s="17">
        <f>-(K3742*0.025+L3742*0.025)</f>
        <v/>
      </c>
      <c r="P3742" s="17">
        <f>32</f>
        <v/>
      </c>
      <c r="Q3742" s="17">
        <f>J3742+L3742+N3742+O3742-P3742-M3742</f>
        <v/>
      </c>
    </row>
    <row r="3743">
      <c r="A3743" s="16" t="inlineStr">
        <is>
          <t>5.29-6.4</t>
        </is>
      </c>
      <c r="B3743" s="16" t="inlineStr">
        <is>
          <t>PO-128-02513994312311814</t>
        </is>
      </c>
      <c r="C3743" s="16" t="inlineStr">
        <is>
          <t>Delivered</t>
        </is>
      </c>
      <c r="D3743" s="16" t="inlineStr">
        <is>
          <t>128-02514004798071814</t>
        </is>
      </c>
      <c r="E3743" s="16" t="inlineStr">
        <is>
          <t>Delivered</t>
        </is>
      </c>
      <c r="F3743" s="16" t="inlineStr">
        <is>
          <t>B03W10-10PZS</t>
        </is>
      </c>
      <c r="G374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743" s="16" t="inlineStr">
        <is>
          <t>B03W10</t>
        </is>
      </c>
      <c r="I3743" s="16" t="n">
        <v>1</v>
      </c>
      <c r="J3743" s="17" t="n">
        <v>66</v>
      </c>
      <c r="K3743" s="17" t="n">
        <v>71.05</v>
      </c>
      <c r="L3743" s="17" t="n">
        <v>0</v>
      </c>
      <c r="M3743" s="17" t="n">
        <v>0</v>
      </c>
      <c r="N3743" s="17">
        <f>K3743*0.08+L3743*0.08</f>
        <v/>
      </c>
      <c r="O3743" s="17">
        <f>-(K3743*0.025+L3743*0.025)</f>
        <v/>
      </c>
      <c r="P3743" s="17">
        <f>32</f>
        <v/>
      </c>
      <c r="Q3743" s="17">
        <f>J3743+L3743+N3743+O3743-P3743-M3743</f>
        <v/>
      </c>
    </row>
    <row r="3744">
      <c r="A3744" s="16" t="inlineStr">
        <is>
          <t>5.29-6.4</t>
        </is>
      </c>
      <c r="B3744" s="16" t="inlineStr">
        <is>
          <t>PO-128-02513994312311814</t>
        </is>
      </c>
      <c r="C3744" s="16" t="inlineStr">
        <is>
          <t>Delivered</t>
        </is>
      </c>
      <c r="D3744" s="16" t="inlineStr">
        <is>
          <t>128-02513962855031814</t>
        </is>
      </c>
      <c r="E3744" s="16" t="inlineStr">
        <is>
          <t>Delivered</t>
        </is>
      </c>
      <c r="F3744" s="16" t="inlineStr">
        <is>
          <t>LV54W25</t>
        </is>
      </c>
      <c r="G3744" s="16" t="inlineStr">
        <is>
          <t>TIANLAI Lámpara Ventilador E27 2 en 1, Silenciosa, LED Alta Luminosidad 180°, Instalación Rápida, Ahorro Energético para Dormitorio y Interiores Pequeños</t>
        </is>
      </c>
      <c r="H3744" s="16" t="inlineStr">
        <is>
          <t>1 Pieza</t>
        </is>
      </c>
      <c r="I3744" s="16" t="n">
        <v>1</v>
      </c>
      <c r="J3744" s="17" t="n">
        <v>74</v>
      </c>
      <c r="K3744" s="17" t="n">
        <v>77.12</v>
      </c>
      <c r="L3744" s="17" t="n">
        <v>0</v>
      </c>
      <c r="M3744" s="17" t="n">
        <v>0</v>
      </c>
      <c r="N3744" s="17">
        <f>K3744*0.08+L3744*0.08</f>
        <v/>
      </c>
      <c r="O3744" s="17">
        <f>-(K3744*0.025+L3744*0.025)</f>
        <v/>
      </c>
      <c r="P3744" s="17">
        <f>32</f>
        <v/>
      </c>
      <c r="Q3744" s="17">
        <f>J3744+L3744+N3744+O3744-P3744-M3744</f>
        <v/>
      </c>
    </row>
    <row r="3745">
      <c r="A3745" s="16" t="inlineStr">
        <is>
          <t>5.29-6.4</t>
        </is>
      </c>
      <c r="B3745" s="16" t="inlineStr">
        <is>
          <t>PO-128-02357780890232939</t>
        </is>
      </c>
      <c r="C3745" s="16" t="inlineStr">
        <is>
          <t>Delivered</t>
        </is>
      </c>
      <c r="D3745" s="16" t="inlineStr">
        <is>
          <t>128-02357759918712939</t>
        </is>
      </c>
      <c r="E3745" s="16" t="inlineStr">
        <is>
          <t>Delivered</t>
        </is>
      </c>
      <c r="F3745" s="16" t="inlineStr">
        <is>
          <t>LV64W25</t>
        </is>
      </c>
      <c r="G37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45" s="16" t="inlineStr">
        <is>
          <t>Blanco</t>
        </is>
      </c>
      <c r="I3745" s="16" t="n">
        <v>1</v>
      </c>
      <c r="J3745" s="17" t="n">
        <v>119</v>
      </c>
      <c r="K3745" s="17" t="n">
        <v>117.63</v>
      </c>
      <c r="L3745" s="17" t="n">
        <v>25.86</v>
      </c>
      <c r="M3745" s="17" t="n">
        <v>0</v>
      </c>
      <c r="N3745" s="17">
        <f>K3745*0.08+L3745*0.08</f>
        <v/>
      </c>
      <c r="O3745" s="17">
        <f>-(K3745*0.025+L3745*0.025)</f>
        <v/>
      </c>
      <c r="P3745" s="17">
        <f>32</f>
        <v/>
      </c>
      <c r="Q3745" s="17">
        <f>J3745+L3745+N3745+O3745-P3745-M3745</f>
        <v/>
      </c>
    </row>
    <row r="3746">
      <c r="A3746" s="16" t="inlineStr">
        <is>
          <t>5.29-6.4</t>
        </is>
      </c>
      <c r="B3746" s="16" t="inlineStr">
        <is>
          <t>PO-128-02170566989433863</t>
        </is>
      </c>
      <c r="C3746" s="16" t="inlineStr">
        <is>
          <t>Delivered</t>
        </is>
      </c>
      <c r="D3746" s="16" t="inlineStr">
        <is>
          <t>128-02170619418233863</t>
        </is>
      </c>
      <c r="E3746" s="16" t="inlineStr">
        <is>
          <t>Delivered</t>
        </is>
      </c>
      <c r="F3746" s="16" t="inlineStr">
        <is>
          <t>B03W10-10PZS</t>
        </is>
      </c>
      <c r="G374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746" s="16" t="inlineStr">
        <is>
          <t>B03W10</t>
        </is>
      </c>
      <c r="I3746" s="16" t="n">
        <v>1</v>
      </c>
      <c r="J3746" s="17" t="n">
        <v>66</v>
      </c>
      <c r="K3746" s="17" t="n">
        <v>71.05</v>
      </c>
      <c r="L3746" s="17" t="n">
        <v>25.86</v>
      </c>
      <c r="M3746" s="17" t="n">
        <v>0</v>
      </c>
      <c r="N3746" s="17">
        <f>K3746*0.08+L3746*0.08</f>
        <v/>
      </c>
      <c r="O3746" s="17">
        <f>-(K3746*0.025+L3746*0.025)</f>
        <v/>
      </c>
      <c r="P3746" s="17">
        <f>32</f>
        <v/>
      </c>
      <c r="Q3746" s="17">
        <f>J3746+L3746+N3746+O3746-P3746-M3746</f>
        <v/>
      </c>
    </row>
    <row r="3747">
      <c r="A3747" s="16" t="inlineStr">
        <is>
          <t>5.29-6.4</t>
        </is>
      </c>
      <c r="B3747" s="16" t="inlineStr">
        <is>
          <t>PO-128-02222907638393679</t>
        </is>
      </c>
      <c r="C3747" s="16" t="inlineStr">
        <is>
          <t>Delivered</t>
        </is>
      </c>
      <c r="D3747" s="16" t="inlineStr">
        <is>
          <t>128-02222975795833679</t>
        </is>
      </c>
      <c r="E3747" s="16" t="inlineStr">
        <is>
          <t>Delivered</t>
        </is>
      </c>
      <c r="F3747" s="16" t="inlineStr">
        <is>
          <t>LV54W25</t>
        </is>
      </c>
      <c r="G3747" s="16" t="inlineStr">
        <is>
          <t>TIANLAI Lámpara Ventilador E27 2 en 1, Silenciosa, LED Alta Luminosidad 180°, Instalación Rápida, Ahorro Energético para Dormitorio y Interiores Pequeños</t>
        </is>
      </c>
      <c r="H3747" s="16" t="inlineStr">
        <is>
          <t>1 Pieza</t>
        </is>
      </c>
      <c r="I3747" s="16" t="n">
        <v>4</v>
      </c>
      <c r="J3747" s="17" t="n">
        <v>296</v>
      </c>
      <c r="K3747" s="17" t="n">
        <v>244.04</v>
      </c>
      <c r="L3747" s="17" t="n">
        <v>0</v>
      </c>
      <c r="M3747" s="17" t="n">
        <v>0</v>
      </c>
      <c r="N3747" s="17">
        <f>K3747*0.08+L3747*0.08</f>
        <v/>
      </c>
      <c r="O3747" s="17">
        <f>-(K3747*0.025+L3747*0.025)</f>
        <v/>
      </c>
      <c r="P3747" s="17">
        <f>32</f>
        <v/>
      </c>
      <c r="Q3747" s="17">
        <f>J3747+L3747+N3747+O3747-P3747-M3747</f>
        <v/>
      </c>
    </row>
    <row r="3748">
      <c r="A3748" s="16" t="inlineStr">
        <is>
          <t>5.29-6.4</t>
        </is>
      </c>
      <c r="B3748" s="16" t="inlineStr">
        <is>
          <t>PO-128-02342180158072838</t>
        </is>
      </c>
      <c r="C3748" s="16" t="inlineStr">
        <is>
          <t>Delivered</t>
        </is>
      </c>
      <c r="D3748" s="16" t="inlineStr">
        <is>
          <t>128-02342222101112838</t>
        </is>
      </c>
      <c r="E3748" s="16" t="inlineStr">
        <is>
          <t>Delivered</t>
        </is>
      </c>
      <c r="F3748" s="16" t="inlineStr">
        <is>
          <t>TLCD06-12P-V</t>
        </is>
      </c>
      <c r="G374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48" s="16" t="inlineStr">
        <is>
          <t>VERDE/pantalla de 12 pulgadas</t>
        </is>
      </c>
      <c r="I3748" s="16" t="n">
        <v>2</v>
      </c>
      <c r="J3748" s="17" t="n">
        <v>64</v>
      </c>
      <c r="K3748" s="17" t="n">
        <v>88.04000000000001</v>
      </c>
      <c r="L3748" s="17" t="n">
        <v>25.86</v>
      </c>
      <c r="M3748" s="17" t="n">
        <v>0</v>
      </c>
      <c r="N3748" s="17">
        <f>K3748*0.08+L3748*0.08</f>
        <v/>
      </c>
      <c r="O3748" s="17">
        <f>-(K3748*0.025+L3748*0.025)</f>
        <v/>
      </c>
      <c r="P3748" s="17">
        <f>32</f>
        <v/>
      </c>
      <c r="Q3748" s="17">
        <f>J3748+L3748+N3748+O3748-P3748-M3748</f>
        <v/>
      </c>
    </row>
    <row r="3749">
      <c r="A3749" s="16" t="inlineStr">
        <is>
          <t>5.29-6.4</t>
        </is>
      </c>
      <c r="B3749" s="16" t="inlineStr">
        <is>
          <t>PO-128-02292377129592241</t>
        </is>
      </c>
      <c r="C3749" s="16" t="inlineStr">
        <is>
          <t>Delivered</t>
        </is>
      </c>
      <c r="D3749" s="16" t="inlineStr">
        <is>
          <t>128-02292333220472241</t>
        </is>
      </c>
      <c r="E3749" s="16" t="inlineStr">
        <is>
          <t>Delivered</t>
        </is>
      </c>
      <c r="F3749" s="16" t="inlineStr">
        <is>
          <t>KTS-2031</t>
        </is>
      </c>
      <c r="G3749" s="16" t="inlineStr">
        <is>
          <t>Bocina inalámbrica de 3 pulgadas con linterna multifuncional y panel solar integrado.Altavoz Portátil con Linterna LED 4 Modos, Radio FM, Bluetooth, Carga Solar, Ideal para Apagones, Emergencias, Campo y Exteriores</t>
        </is>
      </c>
      <c r="H3749" s="16" t="inlineStr">
        <is>
          <t>NEGRO</t>
        </is>
      </c>
      <c r="I3749" s="16" t="n">
        <v>1</v>
      </c>
      <c r="J3749" s="17" t="n">
        <v>88</v>
      </c>
      <c r="K3749" s="17" t="n">
        <v>97.22</v>
      </c>
      <c r="L3749" s="17" t="n">
        <v>25.86</v>
      </c>
      <c r="M3749" s="17" t="n">
        <v>0</v>
      </c>
      <c r="N3749" s="17">
        <f>K3749*0.08+L3749*0.08</f>
        <v/>
      </c>
      <c r="O3749" s="17">
        <f>-(K3749*0.025+L3749*0.025)</f>
        <v/>
      </c>
      <c r="P3749" s="17">
        <f>32</f>
        <v/>
      </c>
      <c r="Q3749" s="17">
        <f>J3749+L3749+N3749+O3749-P3749-M3749</f>
        <v/>
      </c>
    </row>
    <row r="3750">
      <c r="A3750" s="16" t="inlineStr">
        <is>
          <t>5.29-6.4</t>
        </is>
      </c>
      <c r="B3750" s="16" t="inlineStr">
        <is>
          <t>PO-128-02643833943670016</t>
        </is>
      </c>
      <c r="C3750" s="16" t="inlineStr">
        <is>
          <t>Delivered</t>
        </is>
      </c>
      <c r="D3750" s="16" t="inlineStr">
        <is>
          <t>128-02643771029110016</t>
        </is>
      </c>
      <c r="E3750" s="16" t="inlineStr">
        <is>
          <t>Delivered</t>
        </is>
      </c>
      <c r="F3750" s="16" t="inlineStr">
        <is>
          <t>BSC07</t>
        </is>
      </c>
      <c r="G3750" s="16" t="inlineStr">
        <is>
          <t>TIANLAI Báscula Digital BSC04/BSC07, Alta Precisión, Fácil Operación, Ligera y Portátil, Función Tara, Unidad Dual oz/g, Ideal para Cocina, Control de Porciones, Sellos y Objetos Pequeños, Uso en Hogar y Viaje</t>
        </is>
      </c>
      <c r="H3750" s="16" t="inlineStr">
        <is>
          <t>1g/White</t>
        </is>
      </c>
      <c r="I3750" s="16" t="n">
        <v>1</v>
      </c>
      <c r="J3750" s="17" t="n">
        <v>35</v>
      </c>
      <c r="K3750" s="17" t="n">
        <v>47.22</v>
      </c>
      <c r="L3750" s="17" t="n">
        <v>25.86</v>
      </c>
      <c r="M3750" s="17" t="n">
        <v>0</v>
      </c>
      <c r="N3750" s="17">
        <f>K3750*0.08+L3750*0.08</f>
        <v/>
      </c>
      <c r="O3750" s="17">
        <f>-(K3750*0.025+L3750*0.025)</f>
        <v/>
      </c>
      <c r="P3750" s="17">
        <f>32</f>
        <v/>
      </c>
      <c r="Q3750" s="17">
        <f>J3750+L3750+N3750+O3750-P3750-M3750</f>
        <v/>
      </c>
    </row>
    <row r="3751">
      <c r="A3751" s="16" t="inlineStr">
        <is>
          <t>5.29-6.4</t>
        </is>
      </c>
      <c r="B3751" s="16" t="inlineStr">
        <is>
          <t>PO-128-02232570430073685</t>
        </is>
      </c>
      <c r="C3751" s="16" t="inlineStr">
        <is>
          <t>Delivered</t>
        </is>
      </c>
      <c r="D3751" s="16" t="inlineStr">
        <is>
          <t>128-02232675287673685</t>
        </is>
      </c>
      <c r="E3751" s="16" t="inlineStr">
        <is>
          <t>Delivered</t>
        </is>
      </c>
      <c r="F3751" s="16" t="inlineStr">
        <is>
          <t>LV64W25</t>
        </is>
      </c>
      <c r="G37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51" s="16" t="inlineStr">
        <is>
          <t>Blanco</t>
        </is>
      </c>
      <c r="I3751" s="16" t="n">
        <v>1</v>
      </c>
      <c r="J3751" s="17" t="n">
        <v>119</v>
      </c>
      <c r="K3751" s="17" t="n">
        <v>123.54</v>
      </c>
      <c r="L3751" s="17" t="n">
        <v>25.86</v>
      </c>
      <c r="M3751" s="17" t="n">
        <v>0</v>
      </c>
      <c r="N3751" s="17">
        <f>K3751*0.08+L3751*0.08</f>
        <v/>
      </c>
      <c r="O3751" s="17">
        <f>-(K3751*0.025+L3751*0.025)</f>
        <v/>
      </c>
      <c r="P3751" s="17">
        <f>32</f>
        <v/>
      </c>
      <c r="Q3751" s="17">
        <f>J3751+L3751+N3751+O3751-P3751-M3751</f>
        <v/>
      </c>
    </row>
    <row r="3752">
      <c r="A3752" s="16" t="inlineStr">
        <is>
          <t>5.29-6.4</t>
        </is>
      </c>
      <c r="B3752" s="16" t="inlineStr">
        <is>
          <t>PO-128-02120270479993267</t>
        </is>
      </c>
      <c r="C3752" s="16" t="inlineStr">
        <is>
          <t>Delivered</t>
        </is>
      </c>
      <c r="D3752" s="16" t="inlineStr">
        <is>
          <t>128-02120296694393267</t>
        </is>
      </c>
      <c r="E3752" s="16" t="inlineStr">
        <is>
          <t>Delivered</t>
        </is>
      </c>
      <c r="F3752" s="16" t="inlineStr">
        <is>
          <t>LV54W25</t>
        </is>
      </c>
      <c r="G3752" s="16" t="inlineStr">
        <is>
          <t>TIANLAI Lámpara Ventilador E27 2 en 1, Silenciosa, LED Alta Luminosidad 180°, Instalación Rápida, Ahorro Energético para Dormitorio y Interiores Pequeños</t>
        </is>
      </c>
      <c r="H3752" s="16" t="inlineStr">
        <is>
          <t>1 Pieza</t>
        </is>
      </c>
      <c r="I3752" s="16" t="n">
        <v>1</v>
      </c>
      <c r="J3752" s="17" t="n">
        <v>74</v>
      </c>
      <c r="K3752" s="17" t="n">
        <v>76.26000000000001</v>
      </c>
      <c r="L3752" s="17" t="n">
        <v>25.86</v>
      </c>
      <c r="M3752" s="17" t="n">
        <v>0</v>
      </c>
      <c r="N3752" s="17">
        <f>K3752*0.08+L3752*0.08</f>
        <v/>
      </c>
      <c r="O3752" s="17">
        <f>-(K3752*0.025+L3752*0.025)</f>
        <v/>
      </c>
      <c r="P3752" s="17">
        <f>32</f>
        <v/>
      </c>
      <c r="Q3752" s="17">
        <f>J3752+L3752+N3752+O3752-P3752-M3752</f>
        <v/>
      </c>
    </row>
    <row r="3753">
      <c r="A3753" s="16" t="inlineStr">
        <is>
          <t>5.29-6.4</t>
        </is>
      </c>
      <c r="B3753" s="16" t="inlineStr">
        <is>
          <t>PO-128-02373558528632781</t>
        </is>
      </c>
      <c r="C3753" s="16" t="inlineStr">
        <is>
          <t>Delivered</t>
        </is>
      </c>
      <c r="D3753" s="16" t="inlineStr">
        <is>
          <t>128-02373638482552781</t>
        </is>
      </c>
      <c r="E3753" s="16" t="inlineStr">
        <is>
          <t>Delivered</t>
        </is>
      </c>
      <c r="F3753" s="16" t="inlineStr">
        <is>
          <t>LV64W25</t>
        </is>
      </c>
      <c r="G37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53" s="16" t="inlineStr">
        <is>
          <t>Blanco</t>
        </is>
      </c>
      <c r="I3753" s="16" t="n">
        <v>2</v>
      </c>
      <c r="J3753" s="17" t="n">
        <v>238</v>
      </c>
      <c r="K3753" s="17" t="n">
        <v>274.52</v>
      </c>
      <c r="L3753" s="17" t="n">
        <v>0</v>
      </c>
      <c r="M3753" s="17" t="n">
        <v>0</v>
      </c>
      <c r="N3753" s="17">
        <f>K3753*0.08+L3753*0.08</f>
        <v/>
      </c>
      <c r="O3753" s="17">
        <f>-(K3753*0.025+L3753*0.025)</f>
        <v/>
      </c>
      <c r="P3753" s="17">
        <f>32</f>
        <v/>
      </c>
      <c r="Q3753" s="17">
        <f>J3753+L3753+N3753+O3753-P3753-M3753</f>
        <v/>
      </c>
    </row>
    <row r="3754">
      <c r="A3754" s="16" t="inlineStr">
        <is>
          <t>5.29-6.4</t>
        </is>
      </c>
      <c r="B3754" s="16" t="inlineStr">
        <is>
          <t>PO-128-02600379623030277</t>
        </is>
      </c>
      <c r="C3754" s="16" t="inlineStr">
        <is>
          <t>Delivered</t>
        </is>
      </c>
      <c r="D3754" s="16" t="inlineStr">
        <is>
          <t>128-02600327194230277</t>
        </is>
      </c>
      <c r="E3754" s="16" t="inlineStr">
        <is>
          <t>Delivered</t>
        </is>
      </c>
      <c r="F3754" s="16" t="inlineStr">
        <is>
          <t>KTS-2031</t>
        </is>
      </c>
      <c r="G3754" s="16" t="inlineStr">
        <is>
          <t>Bocina inalámbrica de 3 pulgadas con linterna multifuncional y panel solar integrado.Altavoz Portátil con Linterna LED 4 Modos, Radio FM, Bluetooth, Carga Solar, Ideal para Apagones, Emergencias, Campo y Exteriores</t>
        </is>
      </c>
      <c r="H3754" s="16" t="inlineStr">
        <is>
          <t>NEGRO</t>
        </is>
      </c>
      <c r="I3754" s="16" t="n">
        <v>1</v>
      </c>
      <c r="J3754" s="17" t="n">
        <v>88</v>
      </c>
      <c r="K3754" s="17" t="n">
        <v>82.64</v>
      </c>
      <c r="L3754" s="17" t="n">
        <v>25.86</v>
      </c>
      <c r="M3754" s="17" t="n">
        <v>0</v>
      </c>
      <c r="N3754" s="17">
        <f>K3754*0.08+L3754*0.08</f>
        <v/>
      </c>
      <c r="O3754" s="17">
        <f>-(K3754*0.025+L3754*0.025)</f>
        <v/>
      </c>
      <c r="P3754" s="17">
        <f>32</f>
        <v/>
      </c>
      <c r="Q3754" s="17">
        <f>J3754+L3754+N3754+O3754-P3754-M3754</f>
        <v/>
      </c>
    </row>
    <row r="3755">
      <c r="A3755" s="16" t="inlineStr">
        <is>
          <t>5.29-6.4</t>
        </is>
      </c>
      <c r="B3755" s="16" t="inlineStr">
        <is>
          <t>PO-128-02733440348790570</t>
        </is>
      </c>
      <c r="C3755" s="16" t="inlineStr">
        <is>
          <t>Delivered</t>
        </is>
      </c>
      <c r="D3755" s="16" t="inlineStr">
        <is>
          <t>128-02733492777590570</t>
        </is>
      </c>
      <c r="E3755" s="16" t="inlineStr">
        <is>
          <t>Delivered</t>
        </is>
      </c>
      <c r="F3755" s="16" t="inlineStr">
        <is>
          <t>LV54W25</t>
        </is>
      </c>
      <c r="G3755" s="16" t="inlineStr">
        <is>
          <t>TIANLAI Lámpara Ventilador E27 2 en 1, Silenciosa, LED Alta Luminosidad 180°, Instalación Rápida, Ahorro Energético para Dormitorio y Interiores Pequeños</t>
        </is>
      </c>
      <c r="H3755" s="16" t="inlineStr">
        <is>
          <t>1 Pieza</t>
        </is>
      </c>
      <c r="I3755" s="16" t="n">
        <v>3</v>
      </c>
      <c r="J3755" s="17" t="n">
        <v>222</v>
      </c>
      <c r="K3755" s="17" t="n">
        <v>231.36</v>
      </c>
      <c r="L3755" s="17" t="n">
        <v>25.86</v>
      </c>
      <c r="M3755" s="17" t="n">
        <v>0</v>
      </c>
      <c r="N3755" s="17">
        <f>K3755*0.08+L3755*0.08</f>
        <v/>
      </c>
      <c r="O3755" s="17">
        <f>-(K3755*0.025+L3755*0.025)</f>
        <v/>
      </c>
      <c r="P3755" s="17">
        <f>32</f>
        <v/>
      </c>
      <c r="Q3755" s="17">
        <f>J3755+L3755+N3755+O3755-P3755-M3755</f>
        <v/>
      </c>
    </row>
    <row r="3756">
      <c r="A3756" s="16" t="inlineStr">
        <is>
          <t>5.29-6.4</t>
        </is>
      </c>
      <c r="B3756" s="16" t="inlineStr">
        <is>
          <t>PO-128-02277997159032199</t>
        </is>
      </c>
      <c r="C3756" s="16" t="inlineStr">
        <is>
          <t>Delivered</t>
        </is>
      </c>
      <c r="D3756" s="16" t="inlineStr">
        <is>
          <t>128-02277955215992199</t>
        </is>
      </c>
      <c r="E3756" s="16" t="inlineStr">
        <is>
          <t>Delivered</t>
        </is>
      </c>
      <c r="F3756" s="16" t="inlineStr">
        <is>
          <t>LV54W25</t>
        </is>
      </c>
      <c r="G3756" s="16" t="inlineStr">
        <is>
          <t>TIANLAI Lámpara Ventilador E27 2 en 1, Silenciosa, LED Alta Luminosidad 180°, Instalación Rápida, Ahorro Energético para Dormitorio y Interiores Pequeños</t>
        </is>
      </c>
      <c r="H3756" s="16" t="inlineStr">
        <is>
          <t>1 Pieza</t>
        </is>
      </c>
      <c r="I3756" s="16" t="n">
        <v>4</v>
      </c>
      <c r="J3756" s="17" t="n">
        <v>296</v>
      </c>
      <c r="K3756" s="17" t="n">
        <v>308.48</v>
      </c>
      <c r="L3756" s="17" t="n">
        <v>0</v>
      </c>
      <c r="M3756" s="17" t="n">
        <v>0</v>
      </c>
      <c r="N3756" s="17">
        <f>K3756*0.08+L3756*0.08</f>
        <v/>
      </c>
      <c r="O3756" s="17">
        <f>-(K3756*0.025+L3756*0.025)</f>
        <v/>
      </c>
      <c r="P3756" s="17">
        <f>32</f>
        <v/>
      </c>
      <c r="Q3756" s="17">
        <f>J3756+L3756+N3756+O3756-P3756-M3756</f>
        <v/>
      </c>
    </row>
    <row r="3757">
      <c r="A3757" s="16" t="inlineStr">
        <is>
          <t>5.29-6.4</t>
        </is>
      </c>
      <c r="B3757" s="16" t="inlineStr">
        <is>
          <t>PO-128-02483144284791102</t>
        </is>
      </c>
      <c r="C3757" s="16" t="inlineStr">
        <is>
          <t>Delivered</t>
        </is>
      </c>
      <c r="D3757" s="16" t="inlineStr">
        <is>
          <t>128-02483165256311102</t>
        </is>
      </c>
      <c r="E3757" s="16" t="inlineStr">
        <is>
          <t>Delivered</t>
        </is>
      </c>
      <c r="F3757" s="16" t="inlineStr">
        <is>
          <t>LV64W25</t>
        </is>
      </c>
      <c r="G37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57" s="16" t="inlineStr">
        <is>
          <t>Blanco</t>
        </is>
      </c>
      <c r="I3757" s="16" t="n">
        <v>3</v>
      </c>
      <c r="J3757" s="17" t="n">
        <v>357</v>
      </c>
      <c r="K3757" s="17" t="n">
        <v>370.62</v>
      </c>
      <c r="L3757" s="17" t="n">
        <v>0</v>
      </c>
      <c r="M3757" s="17" t="n">
        <v>0</v>
      </c>
      <c r="N3757" s="17">
        <f>K3757*0.08+L3757*0.08</f>
        <v/>
      </c>
      <c r="O3757" s="17">
        <f>-(K3757*0.025+L3757*0.025)</f>
        <v/>
      </c>
      <c r="P3757" s="17">
        <f>32</f>
        <v/>
      </c>
      <c r="Q3757" s="17">
        <f>J3757+L3757+N3757+O3757-P3757-M3757</f>
        <v/>
      </c>
    </row>
    <row r="3758">
      <c r="A3758" s="16" t="inlineStr">
        <is>
          <t>5.29-6.4</t>
        </is>
      </c>
      <c r="B3758" s="16" t="inlineStr">
        <is>
          <t>PO-128-02220033562233630</t>
        </is>
      </c>
      <c r="C3758" s="16" t="inlineStr">
        <is>
          <t>Delivered</t>
        </is>
      </c>
      <c r="D3758" s="16" t="inlineStr">
        <is>
          <t>128-02220012590713630</t>
        </is>
      </c>
      <c r="E3758" s="16" t="inlineStr">
        <is>
          <t>Delivered</t>
        </is>
      </c>
      <c r="F3758" s="16" t="inlineStr">
        <is>
          <t>LV64W25</t>
        </is>
      </c>
      <c r="G37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58" s="16" t="inlineStr">
        <is>
          <t>Blanco</t>
        </is>
      </c>
      <c r="I3758" s="16" t="n">
        <v>1</v>
      </c>
      <c r="J3758" s="17" t="n">
        <v>119</v>
      </c>
      <c r="K3758" s="17" t="n">
        <v>123.54</v>
      </c>
      <c r="L3758" s="17" t="n">
        <v>25.86</v>
      </c>
      <c r="M3758" s="17" t="n">
        <v>0</v>
      </c>
      <c r="N3758" s="17">
        <f>K3758*0.08+L3758*0.08</f>
        <v/>
      </c>
      <c r="O3758" s="17">
        <f>-(K3758*0.025+L3758*0.025)</f>
        <v/>
      </c>
      <c r="P3758" s="17">
        <f>32</f>
        <v/>
      </c>
      <c r="Q3758" s="17">
        <f>J3758+L3758+N3758+O3758-P3758-M3758</f>
        <v/>
      </c>
    </row>
    <row r="3759">
      <c r="A3759" s="16" t="inlineStr">
        <is>
          <t>5.29-6.4</t>
        </is>
      </c>
      <c r="B3759" s="16" t="inlineStr">
        <is>
          <t>PO-128-02236369705592447</t>
        </is>
      </c>
      <c r="C3759" s="16" t="inlineStr">
        <is>
          <t>Delivered</t>
        </is>
      </c>
      <c r="D3759" s="16" t="inlineStr">
        <is>
          <t>128-02236327762552447</t>
        </is>
      </c>
      <c r="E3759" s="16" t="inlineStr">
        <is>
          <t>Delivered</t>
        </is>
      </c>
      <c r="F3759" s="16" t="inlineStr">
        <is>
          <t>LV54W25</t>
        </is>
      </c>
      <c r="G3759" s="16" t="inlineStr">
        <is>
          <t>TIANLAI Lámpara Ventilador E27 2 en 1, Silenciosa, LED Alta Luminosidad 180°, Instalación Rápida, Ahorro Energético para Dormitorio y Interiores Pequeños</t>
        </is>
      </c>
      <c r="H3759" s="16" t="inlineStr">
        <is>
          <t>1 Pieza</t>
        </is>
      </c>
      <c r="I3759" s="16" t="n">
        <v>6</v>
      </c>
      <c r="J3759" s="17" t="n">
        <v>444</v>
      </c>
      <c r="K3759" s="17" t="n">
        <v>514.08</v>
      </c>
      <c r="L3759" s="17" t="n">
        <v>0</v>
      </c>
      <c r="M3759" s="17" t="n">
        <v>0</v>
      </c>
      <c r="N3759" s="17">
        <f>K3759*0.08+L3759*0.08</f>
        <v/>
      </c>
      <c r="O3759" s="17">
        <f>-(K3759*0.025+L3759*0.025)</f>
        <v/>
      </c>
      <c r="P3759" s="17">
        <f>32</f>
        <v/>
      </c>
      <c r="Q3759" s="17">
        <f>J3759+L3759+N3759+O3759-P3759-M3759</f>
        <v/>
      </c>
    </row>
    <row r="3760">
      <c r="A3760" s="16" t="inlineStr">
        <is>
          <t>5.29-6.4</t>
        </is>
      </c>
      <c r="B3760" s="16" t="inlineStr">
        <is>
          <t>PO-128-02350256814712854</t>
        </is>
      </c>
      <c r="C3760" s="16" t="inlineStr">
        <is>
          <t>Delivered</t>
        </is>
      </c>
      <c r="D3760" s="16" t="inlineStr">
        <is>
          <t>128-02350204385912854</t>
        </is>
      </c>
      <c r="E3760" s="16" t="inlineStr">
        <is>
          <t>Delivered</t>
        </is>
      </c>
      <c r="F3760" s="16" t="inlineStr">
        <is>
          <t>LV64W25</t>
        </is>
      </c>
      <c r="G37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60" s="16" t="inlineStr">
        <is>
          <t>Blanco</t>
        </is>
      </c>
      <c r="I3760" s="16" t="n">
        <v>3</v>
      </c>
      <c r="J3760" s="17" t="n">
        <v>357</v>
      </c>
      <c r="K3760" s="17" t="n">
        <v>370.62</v>
      </c>
      <c r="L3760" s="17" t="n">
        <v>0</v>
      </c>
      <c r="M3760" s="17" t="n">
        <v>0</v>
      </c>
      <c r="N3760" s="17">
        <f>K3760*0.08+L3760*0.08</f>
        <v/>
      </c>
      <c r="O3760" s="17">
        <f>-(K3760*0.025+L3760*0.025)</f>
        <v/>
      </c>
      <c r="P3760" s="17">
        <f>32</f>
        <v/>
      </c>
      <c r="Q3760" s="17">
        <f>J3760+L3760+N3760+O3760-P3760-M3760</f>
        <v/>
      </c>
    </row>
    <row r="3761">
      <c r="A3761" s="16" t="inlineStr">
        <is>
          <t>5.29-6.4</t>
        </is>
      </c>
      <c r="B3761" s="16" t="inlineStr">
        <is>
          <t>PO-128-02075126579833534</t>
        </is>
      </c>
      <c r="C3761" s="16" t="inlineStr">
        <is>
          <t>Delivered</t>
        </is>
      </c>
      <c r="D3761" s="16" t="inlineStr">
        <is>
          <t>128-02075042693753534</t>
        </is>
      </c>
      <c r="E3761" s="16" t="inlineStr">
        <is>
          <t>Delivered</t>
        </is>
      </c>
      <c r="F3761" s="16" t="inlineStr">
        <is>
          <t>LV64W25</t>
        </is>
      </c>
      <c r="G37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61" s="16" t="inlineStr">
        <is>
          <t>Blanco</t>
        </is>
      </c>
      <c r="I3761" s="16" t="n">
        <v>3</v>
      </c>
      <c r="J3761" s="17" t="n">
        <v>357</v>
      </c>
      <c r="K3761" s="17" t="n">
        <v>370.62</v>
      </c>
      <c r="L3761" s="17" t="n">
        <v>0</v>
      </c>
      <c r="M3761" s="17" t="n">
        <v>0</v>
      </c>
      <c r="N3761" s="17">
        <f>K3761*0.08+L3761*0.08</f>
        <v/>
      </c>
      <c r="O3761" s="17">
        <f>-(K3761*0.025+L3761*0.025)</f>
        <v/>
      </c>
      <c r="P3761" s="17">
        <f>32</f>
        <v/>
      </c>
      <c r="Q3761" s="17">
        <f>J3761+L3761+N3761+O3761-P3761-M3761</f>
        <v/>
      </c>
    </row>
    <row r="3762">
      <c r="A3762" s="16" t="inlineStr">
        <is>
          <t>5.29-6.4</t>
        </is>
      </c>
      <c r="B3762" s="16" t="inlineStr">
        <is>
          <t>PO-128-02564710349431576</t>
        </is>
      </c>
      <c r="C3762" s="16" t="inlineStr">
        <is>
          <t>Delivered</t>
        </is>
      </c>
      <c r="D3762" s="16" t="inlineStr">
        <is>
          <t>128-02564720835191576</t>
        </is>
      </c>
      <c r="E3762" s="16" t="inlineStr">
        <is>
          <t>Delivered</t>
        </is>
      </c>
      <c r="F3762" s="16" t="inlineStr">
        <is>
          <t>KTS-2031</t>
        </is>
      </c>
      <c r="G3762" s="16" t="inlineStr">
        <is>
          <t>Bocina inalámbrica de 3 pulgadas con linterna multifuncional y panel solar integrado.Altavoz Portátil con Linterna LED 4 Modos, Radio FM, Bluetooth, Carga Solar, Ideal para Apagones, Emergencias, Campo y Exteriores</t>
        </is>
      </c>
      <c r="H3762" s="16" t="inlineStr">
        <is>
          <t>NEGRO</t>
        </is>
      </c>
      <c r="I3762" s="16" t="n">
        <v>1</v>
      </c>
      <c r="J3762" s="17" t="n">
        <v>88</v>
      </c>
      <c r="K3762" s="17" t="n">
        <v>97.22</v>
      </c>
      <c r="L3762" s="17" t="n">
        <v>25.86</v>
      </c>
      <c r="M3762" s="17" t="n">
        <v>0</v>
      </c>
      <c r="N3762" s="17">
        <f>K3762*0.08+L3762*0.08</f>
        <v/>
      </c>
      <c r="O3762" s="17">
        <f>-(K3762*0.025+L3762*0.025)</f>
        <v/>
      </c>
      <c r="P3762" s="17">
        <f>32</f>
        <v/>
      </c>
      <c r="Q3762" s="17">
        <f>J3762+L3762+N3762+O3762-P3762-M3762</f>
        <v/>
      </c>
    </row>
    <row r="3763">
      <c r="A3763" s="16" t="inlineStr">
        <is>
          <t>5.29-6.4</t>
        </is>
      </c>
      <c r="B3763" s="16" t="inlineStr">
        <is>
          <t>PO-128-02349904271992856</t>
        </is>
      </c>
      <c r="C3763" s="16" t="inlineStr">
        <is>
          <t>Delivered</t>
        </is>
      </c>
      <c r="D3763" s="16" t="inlineStr">
        <is>
          <t>128-02349980293752856</t>
        </is>
      </c>
      <c r="E3763" s="16" t="inlineStr">
        <is>
          <t>Delivered</t>
        </is>
      </c>
      <c r="F3763" s="16" t="inlineStr">
        <is>
          <t>LV54W25</t>
        </is>
      </c>
      <c r="G3763" s="16" t="inlineStr">
        <is>
          <t>TIANLAI Lámpara Ventilador E27 2 en 1, Silenciosa, LED Alta Luminosidad 180°, Instalación Rápida, Ahorro Energético para Dormitorio y Interiores Pequeños</t>
        </is>
      </c>
      <c r="H3763" s="16" t="inlineStr">
        <is>
          <t>1 Pieza</t>
        </is>
      </c>
      <c r="I3763" s="16" t="n">
        <v>2</v>
      </c>
      <c r="J3763" s="17" t="n">
        <v>148</v>
      </c>
      <c r="K3763" s="17" t="n">
        <v>152.52</v>
      </c>
      <c r="L3763" s="17" t="n">
        <v>25.86</v>
      </c>
      <c r="M3763" s="17" t="n">
        <v>0</v>
      </c>
      <c r="N3763" s="17">
        <f>K3763*0.08+L3763*0.08</f>
        <v/>
      </c>
      <c r="O3763" s="17">
        <f>-(K3763*0.025+L3763*0.025)</f>
        <v/>
      </c>
      <c r="P3763" s="17">
        <f>32</f>
        <v/>
      </c>
      <c r="Q3763" s="17">
        <f>J3763+L3763+N3763+O3763-P3763-M3763</f>
        <v/>
      </c>
    </row>
    <row r="3764">
      <c r="A3764" s="16" t="inlineStr">
        <is>
          <t>5.29-6.4</t>
        </is>
      </c>
      <c r="B3764" s="16" t="inlineStr">
        <is>
          <t>PO-128-02219873342073633</t>
        </is>
      </c>
      <c r="C3764" s="16" t="inlineStr">
        <is>
          <t>Delivered</t>
        </is>
      </c>
      <c r="D3764" s="16" t="inlineStr">
        <is>
          <t>128-02219915285113633</t>
        </is>
      </c>
      <c r="E3764" s="16" t="inlineStr">
        <is>
          <t>Delivered</t>
        </is>
      </c>
      <c r="F3764" s="16" t="inlineStr">
        <is>
          <t>KTS-2031</t>
        </is>
      </c>
      <c r="G3764" s="16" t="inlineStr">
        <is>
          <t>Bocina inalámbrica de 3 pulgadas con linterna multifuncional y panel solar integrado.Altavoz Portátil con Linterna LED 4 Modos, Radio FM, Bluetooth, Carga Solar, Ideal para Apagones, Emergencias, Campo y Exteriores</t>
        </is>
      </c>
      <c r="H3764" s="16" t="inlineStr">
        <is>
          <t>NEGRO</t>
        </is>
      </c>
      <c r="I3764" s="16" t="n">
        <v>1</v>
      </c>
      <c r="J3764" s="17" t="n">
        <v>88</v>
      </c>
      <c r="K3764" s="17" t="n">
        <v>97.22</v>
      </c>
      <c r="L3764" s="17" t="n">
        <v>25.86</v>
      </c>
      <c r="M3764" s="17" t="n">
        <v>0</v>
      </c>
      <c r="N3764" s="17">
        <f>K3764*0.08+L3764*0.08</f>
        <v/>
      </c>
      <c r="O3764" s="17">
        <f>-(K3764*0.025+L3764*0.025)</f>
        <v/>
      </c>
      <c r="P3764" s="17">
        <f>32</f>
        <v/>
      </c>
      <c r="Q3764" s="17">
        <f>J3764+L3764+N3764+O3764-P3764-M3764</f>
        <v/>
      </c>
    </row>
    <row r="3765">
      <c r="A3765" s="16" t="inlineStr">
        <is>
          <t>5.29-6.4</t>
        </is>
      </c>
      <c r="B3765" s="16" t="inlineStr">
        <is>
          <t>PO-128-02368841933432745</t>
        </is>
      </c>
      <c r="C3765" s="16" t="inlineStr">
        <is>
          <t>Delivered</t>
        </is>
      </c>
      <c r="D3765" s="16" t="inlineStr">
        <is>
          <t>128-02368883876472745</t>
        </is>
      </c>
      <c r="E3765" s="16" t="inlineStr">
        <is>
          <t>Delivered</t>
        </is>
      </c>
      <c r="F3765" s="16" t="inlineStr">
        <is>
          <t>KTS-2031</t>
        </is>
      </c>
      <c r="G3765" s="16" t="inlineStr">
        <is>
          <t>Bocina inalámbrica de 3 pulgadas con linterna multifuncional y panel solar integrado.Altavoz Portátil con Linterna LED 4 Modos, Radio FM, Bluetooth, Carga Solar, Ideal para Apagones, Emergencias, Campo y Exteriores</t>
        </is>
      </c>
      <c r="H3765" s="16" t="inlineStr">
        <is>
          <t>NEGRO</t>
        </is>
      </c>
      <c r="I3765" s="16" t="n">
        <v>2</v>
      </c>
      <c r="J3765" s="17" t="n">
        <v>176</v>
      </c>
      <c r="K3765" s="17" t="n">
        <v>165.27</v>
      </c>
      <c r="L3765" s="17" t="n">
        <v>25.86</v>
      </c>
      <c r="M3765" s="17" t="n">
        <v>0</v>
      </c>
      <c r="N3765" s="17">
        <f>K3765*0.08+L3765*0.08</f>
        <v/>
      </c>
      <c r="O3765" s="17">
        <f>-(K3765*0.025+L3765*0.025)</f>
        <v/>
      </c>
      <c r="P3765" s="17">
        <f>32</f>
        <v/>
      </c>
      <c r="Q3765" s="17">
        <f>J3765+L3765+N3765+O3765-P3765-M3765</f>
        <v/>
      </c>
    </row>
    <row r="3766">
      <c r="A3766" s="16" t="inlineStr">
        <is>
          <t>5.29-6.4</t>
        </is>
      </c>
      <c r="B3766" s="16" t="inlineStr">
        <is>
          <t>PO-128-02733651241590571</t>
        </is>
      </c>
      <c r="C3766" s="16" t="inlineStr">
        <is>
          <t>Delivered</t>
        </is>
      </c>
      <c r="D3766" s="16" t="inlineStr">
        <is>
          <t>128-02733609298550571</t>
        </is>
      </c>
      <c r="E3766" s="16" t="inlineStr">
        <is>
          <t>Delivered</t>
        </is>
      </c>
      <c r="F3766" s="16" t="inlineStr">
        <is>
          <t>KTS-2031</t>
        </is>
      </c>
      <c r="G3766" s="16" t="inlineStr">
        <is>
          <t>Bocina inalámbrica de 3 pulgadas con linterna multifuncional y panel solar integrado.Altavoz Portátil con Linterna LED 4 Modos, Radio FM, Bluetooth, Carga Solar, Ideal para Apagones, Emergencias, Campo y Exteriores</t>
        </is>
      </c>
      <c r="H3766" s="16" t="inlineStr">
        <is>
          <t>NEGRO</t>
        </is>
      </c>
      <c r="I3766" s="16" t="n">
        <v>1</v>
      </c>
      <c r="J3766" s="17" t="n">
        <v>88</v>
      </c>
      <c r="K3766" s="17" t="n">
        <v>97.22</v>
      </c>
      <c r="L3766" s="17" t="n">
        <v>25.86</v>
      </c>
      <c r="M3766" s="17" t="n">
        <v>0</v>
      </c>
      <c r="N3766" s="17">
        <f>K3766*0.08+L3766*0.08</f>
        <v/>
      </c>
      <c r="O3766" s="17">
        <f>-(K3766*0.025+L3766*0.025)</f>
        <v/>
      </c>
      <c r="P3766" s="17">
        <f>32</f>
        <v/>
      </c>
      <c r="Q3766" s="17">
        <f>J3766+L3766+N3766+O3766-P3766-M3766</f>
        <v/>
      </c>
    </row>
    <row r="3767">
      <c r="A3767" s="16" t="inlineStr">
        <is>
          <t>5.29-6.4</t>
        </is>
      </c>
      <c r="B3767" s="16" t="inlineStr">
        <is>
          <t>PO-128-02305071391352101</t>
        </is>
      </c>
      <c r="C3767" s="16" t="inlineStr">
        <is>
          <t>Delivered</t>
        </is>
      </c>
      <c r="D3767" s="16" t="inlineStr">
        <is>
          <t>128-02305066148472101</t>
        </is>
      </c>
      <c r="E3767" s="16" t="inlineStr">
        <is>
          <t>Delivered</t>
        </is>
      </c>
      <c r="F3767" s="16" t="inlineStr">
        <is>
          <t>LV54W25</t>
        </is>
      </c>
      <c r="G3767" s="16" t="inlineStr">
        <is>
          <t>TIANLAI Lámpara Ventilador E27 2 en 1, Silenciosa, LED Alta Luminosidad 180°, Instalación Rápida, Ahorro Energético para Dormitorio y Interiores Pequeños</t>
        </is>
      </c>
      <c r="H3767" s="16" t="inlineStr">
        <is>
          <t>1 Pieza</t>
        </is>
      </c>
      <c r="I3767" s="16" t="n">
        <v>1</v>
      </c>
      <c r="J3767" s="17" t="n">
        <v>74</v>
      </c>
      <c r="K3767" s="17" t="n">
        <v>65.54000000000001</v>
      </c>
      <c r="L3767" s="17" t="n">
        <v>25.86</v>
      </c>
      <c r="M3767" s="17" t="n">
        <v>0</v>
      </c>
      <c r="N3767" s="17">
        <f>K3767*0.08+L3767*0.08</f>
        <v/>
      </c>
      <c r="O3767" s="17">
        <f>-(K3767*0.025+L3767*0.025)</f>
        <v/>
      </c>
      <c r="P3767" s="17">
        <f>32</f>
        <v/>
      </c>
      <c r="Q3767" s="17">
        <f>J3767+L3767+N3767+O3767-P3767-M3767</f>
        <v/>
      </c>
    </row>
    <row r="3768">
      <c r="A3768" s="16" t="inlineStr">
        <is>
          <t>5.29-6.4</t>
        </is>
      </c>
      <c r="B3768" s="16" t="inlineStr">
        <is>
          <t>PO-128-02106270536313220</t>
        </is>
      </c>
      <c r="C3768" s="16" t="inlineStr">
        <is>
          <t>Delivered</t>
        </is>
      </c>
      <c r="D3768" s="16" t="inlineStr">
        <is>
          <t>128-02106312479353220</t>
        </is>
      </c>
      <c r="E3768" s="16" t="inlineStr">
        <is>
          <t>Delivered</t>
        </is>
      </c>
      <c r="F3768" s="16" t="inlineStr">
        <is>
          <t>VB349T</t>
        </is>
      </c>
      <c r="G3768" s="16" t="inlineStr">
        <is>
          <t>LINKBITS Altavoz Portátil de Doble Altavoz - 3 Pulgadas, Sonido HD, Emparejamiento Rápido de Bluetooth, Conectividad TWS, Reproducción Multimodo (Micro SD/USB/Radio FM) - Perfecto para Oficina, Viajes y Espacios Pequeños</t>
        </is>
      </c>
      <c r="H3768" s="16" t="inlineStr">
        <is>
          <t>NEGRO</t>
        </is>
      </c>
      <c r="I3768" s="16" t="n">
        <v>1</v>
      </c>
      <c r="J3768" s="17" t="n">
        <v>78</v>
      </c>
      <c r="K3768" s="17" t="n">
        <v>73.01000000000001</v>
      </c>
      <c r="L3768" s="17" t="n">
        <v>25.86</v>
      </c>
      <c r="M3768" s="17" t="n">
        <v>0</v>
      </c>
      <c r="N3768" s="17">
        <f>K3768*0.08+L3768*0.08</f>
        <v/>
      </c>
      <c r="O3768" s="17">
        <f>-(K3768*0.025+L3768*0.025)</f>
        <v/>
      </c>
      <c r="P3768" s="17">
        <f>32</f>
        <v/>
      </c>
      <c r="Q3768" s="17">
        <f>J3768+L3768+N3768+O3768-P3768-M3768</f>
        <v/>
      </c>
    </row>
    <row r="3769">
      <c r="A3769" s="16" t="inlineStr">
        <is>
          <t>5.29-6.4</t>
        </is>
      </c>
      <c r="B3769" s="16" t="inlineStr">
        <is>
          <t>PO-128-02589356073590471</t>
        </is>
      </c>
      <c r="C3769" s="16" t="inlineStr">
        <is>
          <t>Delivered</t>
        </is>
      </c>
      <c r="D3769" s="16" t="inlineStr">
        <is>
          <t>128-02589314130550471</t>
        </is>
      </c>
      <c r="E3769" s="16" t="inlineStr">
        <is>
          <t>Delivered</t>
        </is>
      </c>
      <c r="F3769" s="16" t="inlineStr">
        <is>
          <t>LV54W25</t>
        </is>
      </c>
      <c r="G3769" s="16" t="inlineStr">
        <is>
          <t>TIANLAI Lámpara Ventilador E27 2 en 1, Silenciosa, LED Alta Luminosidad 180°, Instalación Rápida, Ahorro Energético para Dormitorio y Interiores Pequeños</t>
        </is>
      </c>
      <c r="H3769" s="16" t="inlineStr">
        <is>
          <t>1 Pieza</t>
        </is>
      </c>
      <c r="I3769" s="16" t="n">
        <v>3</v>
      </c>
      <c r="J3769" s="17" t="n">
        <v>222</v>
      </c>
      <c r="K3769" s="17" t="n">
        <v>228.78</v>
      </c>
      <c r="L3769" s="17" t="n">
        <v>25.86</v>
      </c>
      <c r="M3769" s="17" t="n">
        <v>0</v>
      </c>
      <c r="N3769" s="17">
        <f>K3769*0.08+L3769*0.08</f>
        <v/>
      </c>
      <c r="O3769" s="17">
        <f>-(K3769*0.025+L3769*0.025)</f>
        <v/>
      </c>
      <c r="P3769" s="17">
        <f>32</f>
        <v/>
      </c>
      <c r="Q3769" s="17">
        <f>J3769+L3769+N3769+O3769-P3769-M3769</f>
        <v/>
      </c>
    </row>
    <row r="3770">
      <c r="A3770" s="16" t="inlineStr">
        <is>
          <t>5.29-6.4</t>
        </is>
      </c>
      <c r="B3770" s="16" t="inlineStr">
        <is>
          <t>PO-128-02468636222071252</t>
        </is>
      </c>
      <c r="C3770" s="16" t="inlineStr">
        <is>
          <t>Delivered</t>
        </is>
      </c>
      <c r="D3770" s="16" t="inlineStr">
        <is>
          <t>128-02468628357751252</t>
        </is>
      </c>
      <c r="E3770" s="16" t="inlineStr">
        <is>
          <t>Delivered</t>
        </is>
      </c>
      <c r="F3770" s="16" t="inlineStr">
        <is>
          <t>KTS-2031</t>
        </is>
      </c>
      <c r="G3770" s="16" t="inlineStr">
        <is>
          <t>Bocina inalámbrica de 3 pulgadas con linterna multifuncional y panel solar integrado.Altavoz Portátil con Linterna LED 4 Modos, Radio FM, Bluetooth, Carga Solar, Ideal para Apagones, Emergencias, Campo y Exteriores</t>
        </is>
      </c>
      <c r="H3770" s="16" t="inlineStr">
        <is>
          <t>NEGRO</t>
        </is>
      </c>
      <c r="I3770" s="16" t="n">
        <v>1</v>
      </c>
      <c r="J3770" s="17" t="n">
        <v>88</v>
      </c>
      <c r="K3770" s="17" t="n">
        <v>82.81</v>
      </c>
      <c r="L3770" s="17" t="n">
        <v>25.86</v>
      </c>
      <c r="M3770" s="17" t="n">
        <v>0</v>
      </c>
      <c r="N3770" s="17">
        <f>K3770*0.08+L3770*0.08</f>
        <v/>
      </c>
      <c r="O3770" s="17">
        <f>-(K3770*0.025+L3770*0.025)</f>
        <v/>
      </c>
      <c r="P3770" s="17">
        <f>32</f>
        <v/>
      </c>
      <c r="Q3770" s="17">
        <f>J3770+L3770+N3770+O3770-P3770-M3770</f>
        <v/>
      </c>
    </row>
    <row r="3771">
      <c r="A3771" s="16" t="inlineStr">
        <is>
          <t>5.29-6.4</t>
        </is>
      </c>
      <c r="B3771" s="16" t="inlineStr">
        <is>
          <t>PO-128-02716837991030735</t>
        </is>
      </c>
      <c r="C3771" s="16" t="inlineStr">
        <is>
          <t>Delivered</t>
        </is>
      </c>
      <c r="D3771" s="16" t="inlineStr">
        <is>
          <t>128-02716827505270735</t>
        </is>
      </c>
      <c r="E3771" s="16" t="inlineStr">
        <is>
          <t>Delivered</t>
        </is>
      </c>
      <c r="F3771" s="16" t="inlineStr">
        <is>
          <t>TLCD01-4P-nN</t>
        </is>
      </c>
      <c r="G377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71" s="16" t="inlineStr">
        <is>
          <t>NEGRO/pantalla de 4.5 pulgadas</t>
        </is>
      </c>
      <c r="I3771" s="16" t="n">
        <v>1</v>
      </c>
      <c r="J3771" s="17" t="n">
        <v>19</v>
      </c>
      <c r="K3771" s="17" t="n">
        <v>22.63</v>
      </c>
      <c r="L3771" s="17" t="n">
        <v>25.86</v>
      </c>
      <c r="M3771" s="17" t="n">
        <v>0</v>
      </c>
      <c r="N3771" s="17">
        <f>K3771*0.08+L3771*0.08</f>
        <v/>
      </c>
      <c r="O3771" s="17">
        <f>-(K3771*0.025+L3771*0.025)</f>
        <v/>
      </c>
      <c r="P3771" s="17">
        <f>32</f>
        <v/>
      </c>
      <c r="Q3771" s="17">
        <f>J3771+L3771+N3771+O3771-P3771-M3771</f>
        <v/>
      </c>
    </row>
    <row r="3772">
      <c r="A3772" s="16" t="inlineStr">
        <is>
          <t>5.29-6.4</t>
        </is>
      </c>
      <c r="B3772" s="16" t="inlineStr">
        <is>
          <t>PO-128-02731548846710519</t>
        </is>
      </c>
      <c r="C3772" s="16" t="inlineStr">
        <is>
          <t>Delivered</t>
        </is>
      </c>
      <c r="D3772" s="16" t="inlineStr">
        <is>
          <t>128-02731590789750519</t>
        </is>
      </c>
      <c r="E3772" s="16" t="inlineStr">
        <is>
          <t>Delivered</t>
        </is>
      </c>
      <c r="F3772" s="16" t="inlineStr">
        <is>
          <t>LV64W25</t>
        </is>
      </c>
      <c r="G377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72" s="16" t="inlineStr">
        <is>
          <t>Blanco</t>
        </is>
      </c>
      <c r="I3772" s="16" t="n">
        <v>1</v>
      </c>
      <c r="J3772" s="17" t="n">
        <v>119</v>
      </c>
      <c r="K3772" s="17" t="n">
        <v>80.44</v>
      </c>
      <c r="L3772" s="17" t="n">
        <v>25.86</v>
      </c>
      <c r="M3772" s="17" t="n">
        <v>0</v>
      </c>
      <c r="N3772" s="17">
        <f>K3772*0.08+L3772*0.08</f>
        <v/>
      </c>
      <c r="O3772" s="17">
        <f>-(K3772*0.025+L3772*0.025)</f>
        <v/>
      </c>
      <c r="P3772" s="17">
        <f>32</f>
        <v/>
      </c>
      <c r="Q3772" s="17">
        <f>J3772+L3772+N3772+O3772-P3772-M3772</f>
        <v/>
      </c>
    </row>
    <row r="3773">
      <c r="A3773" s="16" t="inlineStr">
        <is>
          <t>5.29-6.4</t>
        </is>
      </c>
      <c r="B3773" s="16" t="inlineStr">
        <is>
          <t>PO-128-02366472745592695</t>
        </is>
      </c>
      <c r="C3773" s="16" t="inlineStr">
        <is>
          <t>Delivered</t>
        </is>
      </c>
      <c r="D3773" s="16" t="inlineStr">
        <is>
          <t>128-02366514688632695</t>
        </is>
      </c>
      <c r="E3773" s="16" t="inlineStr">
        <is>
          <t>Delivered</t>
        </is>
      </c>
      <c r="F3773" s="16" t="inlineStr">
        <is>
          <t>TLCD06-12P-N</t>
        </is>
      </c>
      <c r="G377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73" s="16" t="inlineStr">
        <is>
          <t>NEGRO/pantalla de 12 pulgadas</t>
        </is>
      </c>
      <c r="I3773" s="16" t="n">
        <v>2</v>
      </c>
      <c r="J3773" s="17" t="n">
        <v>64</v>
      </c>
      <c r="K3773" s="17" t="n">
        <v>88.02</v>
      </c>
      <c r="L3773" s="17" t="n">
        <v>25.86</v>
      </c>
      <c r="M3773" s="17" t="n">
        <v>0</v>
      </c>
      <c r="N3773" s="17">
        <f>K3773*0.08+L3773*0.08</f>
        <v/>
      </c>
      <c r="O3773" s="17">
        <f>-(K3773*0.025+L3773*0.025)</f>
        <v/>
      </c>
      <c r="P3773" s="17">
        <f>32</f>
        <v/>
      </c>
      <c r="Q3773" s="17">
        <f>J3773+L3773+N3773+O3773-P3773-M3773</f>
        <v/>
      </c>
    </row>
    <row r="3774">
      <c r="A3774" s="16" t="inlineStr">
        <is>
          <t>5.29-6.4</t>
        </is>
      </c>
      <c r="B3774" s="16" t="inlineStr">
        <is>
          <t>PO-128-02296603802232278</t>
        </is>
      </c>
      <c r="C3774" s="16" t="inlineStr">
        <is>
          <t>Delivered</t>
        </is>
      </c>
      <c r="D3774" s="16" t="inlineStr">
        <is>
          <t>128-02296561859192278</t>
        </is>
      </c>
      <c r="E3774" s="16" t="inlineStr">
        <is>
          <t>Delivered</t>
        </is>
      </c>
      <c r="F3774" s="16" t="inlineStr">
        <is>
          <t>LV54W25</t>
        </is>
      </c>
      <c r="G3774" s="16" t="inlineStr">
        <is>
          <t>TIANLAI Lámpara Ventilador E27 2 en 1, Silenciosa, LED Alta Luminosidad 180°, Instalación Rápida, Ahorro Energético para Dormitorio y Interiores Pequeños</t>
        </is>
      </c>
      <c r="H3774" s="16" t="inlineStr">
        <is>
          <t>1 Pieza</t>
        </is>
      </c>
      <c r="I3774" s="16" t="n">
        <v>1</v>
      </c>
      <c r="J3774" s="17" t="n">
        <v>74</v>
      </c>
      <c r="K3774" s="17" t="n">
        <v>76.26000000000001</v>
      </c>
      <c r="L3774" s="17" t="n">
        <v>25.86</v>
      </c>
      <c r="M3774" s="17" t="n">
        <v>0</v>
      </c>
      <c r="N3774" s="17">
        <f>K3774*0.08+L3774*0.08</f>
        <v/>
      </c>
      <c r="O3774" s="17">
        <f>-(K3774*0.025+L3774*0.025)</f>
        <v/>
      </c>
      <c r="P3774" s="17">
        <f>32</f>
        <v/>
      </c>
      <c r="Q3774" s="17">
        <f>J3774+L3774+N3774+O3774-P3774-M3774</f>
        <v/>
      </c>
    </row>
    <row r="3775">
      <c r="A3775" s="16" t="inlineStr">
        <is>
          <t>5.29-6.4</t>
        </is>
      </c>
      <c r="B3775" s="16" t="inlineStr">
        <is>
          <t>PO-128-02311624438392124</t>
        </is>
      </c>
      <c r="C3775" s="16" t="inlineStr">
        <is>
          <t>Delivered</t>
        </is>
      </c>
      <c r="D3775" s="16" t="inlineStr">
        <is>
          <t>128-02311592981112124</t>
        </is>
      </c>
      <c r="E3775" s="16" t="inlineStr">
        <is>
          <t>Delivered</t>
        </is>
      </c>
      <c r="F3775" s="16" t="inlineStr">
        <is>
          <t>LV54W25</t>
        </is>
      </c>
      <c r="G3775" s="16" t="inlineStr">
        <is>
          <t>TIANLAI Lámpara Ventilador E27 2 en 1, Silenciosa, LED Alta Luminosidad 180°, Instalación Rápida, Ahorro Energético para Dormitorio y Interiores Pequeños</t>
        </is>
      </c>
      <c r="H3775" s="16" t="inlineStr">
        <is>
          <t>1 Pieza</t>
        </is>
      </c>
      <c r="I3775" s="16" t="n">
        <v>1</v>
      </c>
      <c r="J3775" s="17" t="n">
        <v>74</v>
      </c>
      <c r="K3775" s="17" t="n">
        <v>77.12</v>
      </c>
      <c r="L3775" s="17" t="n">
        <v>25.86</v>
      </c>
      <c r="M3775" s="17" t="n">
        <v>0</v>
      </c>
      <c r="N3775" s="17">
        <f>K3775*0.08+L3775*0.08</f>
        <v/>
      </c>
      <c r="O3775" s="17">
        <f>-(K3775*0.025+L3775*0.025)</f>
        <v/>
      </c>
      <c r="P3775" s="17">
        <f>32</f>
        <v/>
      </c>
      <c r="Q3775" s="17">
        <f>J3775+L3775+N3775+O3775-P3775-M3775</f>
        <v/>
      </c>
    </row>
    <row r="3776">
      <c r="A3776" s="16" t="inlineStr">
        <is>
          <t>5.29-6.4</t>
        </is>
      </c>
      <c r="B3776" s="16" t="inlineStr">
        <is>
          <t>PO-128-02146398290553175</t>
        </is>
      </c>
      <c r="C3776" s="16" t="inlineStr">
        <is>
          <t>Delivered</t>
        </is>
      </c>
      <c r="D3776" s="16" t="inlineStr">
        <is>
          <t>128-02146432369273175</t>
        </is>
      </c>
      <c r="E3776" s="16" t="inlineStr">
        <is>
          <t>Delivered</t>
        </is>
      </c>
      <c r="F3776" s="16" t="inlineStr">
        <is>
          <t>TLCD01-4P-nN</t>
        </is>
      </c>
      <c r="G377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76" s="16" t="inlineStr">
        <is>
          <t>NEGRO/pantalla de 4.5 pulgadas</t>
        </is>
      </c>
      <c r="I3776" s="16" t="n">
        <v>1</v>
      </c>
      <c r="J3776" s="17" t="n">
        <v>19</v>
      </c>
      <c r="K3776" s="17" t="n">
        <v>22.63</v>
      </c>
      <c r="L3776" s="17" t="n">
        <v>25.86</v>
      </c>
      <c r="M3776" s="17" t="n">
        <v>0</v>
      </c>
      <c r="N3776" s="17">
        <f>K3776*0.08+L3776*0.08</f>
        <v/>
      </c>
      <c r="O3776" s="17">
        <f>-(K3776*0.025+L3776*0.025)</f>
        <v/>
      </c>
      <c r="P3776" s="17">
        <f>32</f>
        <v/>
      </c>
      <c r="Q3776" s="17">
        <f>J3776+L3776+N3776+O3776-P3776-M3776</f>
        <v/>
      </c>
    </row>
    <row r="3777">
      <c r="A3777" s="16" t="inlineStr">
        <is>
          <t>5.29-6.4</t>
        </is>
      </c>
      <c r="B3777" s="16" t="inlineStr">
        <is>
          <t>PO-128-02090822113913376</t>
        </is>
      </c>
      <c r="C3777" s="16" t="inlineStr">
        <is>
          <t>Delivered</t>
        </is>
      </c>
      <c r="D3777" s="16" t="inlineStr">
        <is>
          <t>128-02090898135673376</t>
        </is>
      </c>
      <c r="E3777" s="16" t="inlineStr">
        <is>
          <t>Delivered</t>
        </is>
      </c>
      <c r="F3777" s="16" t="inlineStr">
        <is>
          <t>LV54W25</t>
        </is>
      </c>
      <c r="G3777" s="16" t="inlineStr">
        <is>
          <t>TIANLAI Lámpara Ventilador E27 2 en 1, Silenciosa, LED Alta Luminosidad 180°, Instalación Rápida, Ahorro Energético para Dormitorio y Interiores Pequeños</t>
        </is>
      </c>
      <c r="H3777" s="16" t="inlineStr">
        <is>
          <t>1 Pieza</t>
        </is>
      </c>
      <c r="I3777" s="16" t="n">
        <v>1</v>
      </c>
      <c r="J3777" s="17" t="n">
        <v>74</v>
      </c>
      <c r="K3777" s="17" t="n">
        <v>65.45</v>
      </c>
      <c r="L3777" s="17" t="n">
        <v>25.86</v>
      </c>
      <c r="M3777" s="17" t="n">
        <v>0</v>
      </c>
      <c r="N3777" s="17">
        <f>K3777*0.08+L3777*0.08</f>
        <v/>
      </c>
      <c r="O3777" s="17">
        <f>-(K3777*0.025+L3777*0.025)</f>
        <v/>
      </c>
      <c r="P3777" s="17">
        <f>32</f>
        <v/>
      </c>
      <c r="Q3777" s="17">
        <f>J3777+L3777+N3777+O3777-P3777-M3777</f>
        <v/>
      </c>
    </row>
    <row r="3778">
      <c r="A3778" s="16" t="inlineStr">
        <is>
          <t>5.29-6.4</t>
        </is>
      </c>
      <c r="B3778" s="16" t="inlineStr">
        <is>
          <t>PO-128-02185231667833966</t>
        </is>
      </c>
      <c r="C3778" s="16" t="inlineStr">
        <is>
          <t>Delivered</t>
        </is>
      </c>
      <c r="D3778" s="16" t="inlineStr">
        <is>
          <t>128-02185189724793966</t>
        </is>
      </c>
      <c r="E3778" s="16" t="inlineStr">
        <is>
          <t>Delivered</t>
        </is>
      </c>
      <c r="F3778" s="16" t="inlineStr">
        <is>
          <t>LV54W25</t>
        </is>
      </c>
      <c r="G3778" s="16" t="inlineStr">
        <is>
          <t>TIANLAI Lámpara Ventilador E27 2 en 1, Silenciosa, LED Alta Luminosidad 180°, Instalación Rápida, Ahorro Energético para Dormitorio y Interiores Pequeños</t>
        </is>
      </c>
      <c r="H3778" s="16" t="inlineStr">
        <is>
          <t>1 Pieza</t>
        </is>
      </c>
      <c r="I3778" s="16" t="n">
        <v>2</v>
      </c>
      <c r="J3778" s="17" t="n">
        <v>148</v>
      </c>
      <c r="K3778" s="17" t="n">
        <v>154.24</v>
      </c>
      <c r="L3778" s="17" t="n">
        <v>25.86</v>
      </c>
      <c r="M3778" s="17" t="n">
        <v>0</v>
      </c>
      <c r="N3778" s="17">
        <f>K3778*0.08+L3778*0.08</f>
        <v/>
      </c>
      <c r="O3778" s="17">
        <f>-(K3778*0.025+L3778*0.025)</f>
        <v/>
      </c>
      <c r="P3778" s="17">
        <f>32</f>
        <v/>
      </c>
      <c r="Q3778" s="17">
        <f>J3778+L3778+N3778+O3778-P3778-M3778</f>
        <v/>
      </c>
    </row>
    <row r="3779">
      <c r="A3779" s="16" t="inlineStr">
        <is>
          <t>5.29-6.4</t>
        </is>
      </c>
      <c r="B3779" s="16" t="inlineStr">
        <is>
          <t>PO-128-02625073316470128</t>
        </is>
      </c>
      <c r="C3779" s="16" t="inlineStr">
        <is>
          <t>Delivered</t>
        </is>
      </c>
      <c r="D3779" s="16" t="inlineStr">
        <is>
          <t>128-02625094287990128</t>
        </is>
      </c>
      <c r="E3779" s="16" t="inlineStr">
        <is>
          <t>Delivered</t>
        </is>
      </c>
      <c r="F3779" s="16" t="inlineStr">
        <is>
          <t>LV64W25</t>
        </is>
      </c>
      <c r="G37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79" s="16" t="inlineStr">
        <is>
          <t>Blanco</t>
        </is>
      </c>
      <c r="I3779" s="16" t="n">
        <v>2</v>
      </c>
      <c r="J3779" s="17" t="n">
        <v>238</v>
      </c>
      <c r="K3779" s="17" t="n">
        <v>197.84</v>
      </c>
      <c r="L3779" s="17" t="n">
        <v>0</v>
      </c>
      <c r="M3779" s="17" t="n">
        <v>0</v>
      </c>
      <c r="N3779" s="17">
        <f>K3779*0.08+L3779*0.08</f>
        <v/>
      </c>
      <c r="O3779" s="17">
        <f>-(K3779*0.025+L3779*0.025)</f>
        <v/>
      </c>
      <c r="P3779" s="17">
        <f>32</f>
        <v/>
      </c>
      <c r="Q3779" s="17">
        <f>J3779+L3779+N3779+O3779-P3779-M3779</f>
        <v/>
      </c>
    </row>
    <row r="3780">
      <c r="A3780" s="16" t="inlineStr">
        <is>
          <t>5.29-6.4</t>
        </is>
      </c>
      <c r="B3780" s="16" t="inlineStr">
        <is>
          <t>PO-128-02679114593911022</t>
        </is>
      </c>
      <c r="C3780" s="16" t="inlineStr">
        <is>
          <t>Delivered</t>
        </is>
      </c>
      <c r="D3780" s="16" t="inlineStr">
        <is>
          <t>128-02679072650871022</t>
        </is>
      </c>
      <c r="E3780" s="16" t="inlineStr">
        <is>
          <t>Delivered</t>
        </is>
      </c>
      <c r="F3780" s="16" t="inlineStr">
        <is>
          <t>TL2663N18C</t>
        </is>
      </c>
      <c r="G3780" s="16" t="inlineStr">
        <is>
          <t>Linkbits，Soporte de pared fijo para televisores de 26"-63", Ultra-Delgado Compatible con VESA 400x400mm, Capacidad de Peso Fuerte de 25KG, Instalación Fácil Sin Electricidad</t>
        </is>
      </c>
      <c r="H3780" s="16" t="inlineStr">
        <is>
          <t>NEGRO</t>
        </is>
      </c>
      <c r="I3780" s="16" t="n">
        <v>1</v>
      </c>
      <c r="J3780" s="17" t="n">
        <v>45</v>
      </c>
      <c r="K3780" s="17" t="n">
        <v>82.16</v>
      </c>
      <c r="L3780" s="17" t="n">
        <v>25.86</v>
      </c>
      <c r="M3780" s="17" t="n">
        <v>0</v>
      </c>
      <c r="N3780" s="17">
        <f>K3780*0.08+L3780*0.08</f>
        <v/>
      </c>
      <c r="O3780" s="17">
        <f>-(K3780*0.025+L3780*0.025)</f>
        <v/>
      </c>
      <c r="P3780" s="17">
        <f>32</f>
        <v/>
      </c>
      <c r="Q3780" s="17">
        <f>J3780+L3780+N3780+O3780-P3780-M3780</f>
        <v/>
      </c>
    </row>
    <row r="3781">
      <c r="A3781" s="16" t="inlineStr">
        <is>
          <t>5.29-6.4</t>
        </is>
      </c>
      <c r="B3781" s="16" t="inlineStr">
        <is>
          <t>PO-128-02220074527353630</t>
        </is>
      </c>
      <c r="C3781" s="16" t="inlineStr">
        <is>
          <t>Delivered</t>
        </is>
      </c>
      <c r="D3781" s="16" t="inlineStr">
        <is>
          <t>128-02220048312953630</t>
        </is>
      </c>
      <c r="E3781" s="16" t="inlineStr">
        <is>
          <t>Delivered</t>
        </is>
      </c>
      <c r="F3781" s="16" t="inlineStr">
        <is>
          <t>KTS-2031</t>
        </is>
      </c>
      <c r="G3781" s="16" t="inlineStr">
        <is>
          <t>Bocina inalámbrica de 3 pulgadas con linterna multifuncional y panel solar integrado.Altavoz Portátil con Linterna LED 4 Modos, Radio FM, Bluetooth, Carga Solar, Ideal para Apagones, Emergencias, Campo y Exteriores</t>
        </is>
      </c>
      <c r="H3781" s="16" t="inlineStr">
        <is>
          <t>NEGRO</t>
        </is>
      </c>
      <c r="I3781" s="16" t="n">
        <v>1</v>
      </c>
      <c r="J3781" s="17" t="n">
        <v>88</v>
      </c>
      <c r="K3781" s="17" t="n">
        <v>97.22</v>
      </c>
      <c r="L3781" s="17" t="n">
        <v>25.86</v>
      </c>
      <c r="M3781" s="17" t="n">
        <v>0</v>
      </c>
      <c r="N3781" s="17">
        <f>K3781*0.08+L3781*0.08</f>
        <v/>
      </c>
      <c r="O3781" s="17">
        <f>-(K3781*0.025+L3781*0.025)</f>
        <v/>
      </c>
      <c r="P3781" s="17">
        <f>32</f>
        <v/>
      </c>
      <c r="Q3781" s="17">
        <f>J3781+L3781+N3781+O3781-P3781-M3781</f>
        <v/>
      </c>
    </row>
    <row r="3782">
      <c r="A3782" s="16" t="inlineStr">
        <is>
          <t>5.29-6.4</t>
        </is>
      </c>
      <c r="B3782" s="16" t="inlineStr">
        <is>
          <t>PO-128-02155138796154019</t>
        </is>
      </c>
      <c r="C3782" s="16" t="inlineStr">
        <is>
          <t>Delivered</t>
        </is>
      </c>
      <c r="D3782" s="16" t="inlineStr">
        <is>
          <t>128-02155159767674019</t>
        </is>
      </c>
      <c r="E3782" s="16" t="inlineStr">
        <is>
          <t>Delivered</t>
        </is>
      </c>
      <c r="F3782" s="16" t="inlineStr">
        <is>
          <t>LV54W25</t>
        </is>
      </c>
      <c r="G3782" s="16" t="inlineStr">
        <is>
          <t>TIANLAI Lámpara Ventilador E27 2 en 1, Silenciosa, LED Alta Luminosidad 180°, Instalación Rápida, Ahorro Energético para Dormitorio y Interiores Pequeños</t>
        </is>
      </c>
      <c r="H3782" s="16" t="inlineStr">
        <is>
          <t>1 Pieza</t>
        </is>
      </c>
      <c r="I3782" s="16" t="n">
        <v>2</v>
      </c>
      <c r="J3782" s="17" t="n">
        <v>148</v>
      </c>
      <c r="K3782" s="17" t="n">
        <v>152.52</v>
      </c>
      <c r="L3782" s="17" t="n">
        <v>25.86</v>
      </c>
      <c r="M3782" s="17" t="n">
        <v>0</v>
      </c>
      <c r="N3782" s="17">
        <f>K3782*0.08+L3782*0.08</f>
        <v/>
      </c>
      <c r="O3782" s="17">
        <f>-(K3782*0.025+L3782*0.025)</f>
        <v/>
      </c>
      <c r="P3782" s="17">
        <f>32</f>
        <v/>
      </c>
      <c r="Q3782" s="17">
        <f>J3782+L3782+N3782+O3782-P3782-M3782</f>
        <v/>
      </c>
    </row>
    <row r="3783">
      <c r="A3783" s="16" t="inlineStr">
        <is>
          <t>5.29-6.4</t>
        </is>
      </c>
      <c r="B3783" s="16" t="inlineStr">
        <is>
          <t>PO-128-02381361633912796</t>
        </is>
      </c>
      <c r="C3783" s="16" t="inlineStr">
        <is>
          <t>Delivered</t>
        </is>
      </c>
      <c r="D3783" s="16" t="inlineStr">
        <is>
          <t>128-02381369498232796</t>
        </is>
      </c>
      <c r="E3783" s="16" t="inlineStr">
        <is>
          <t>Delivered</t>
        </is>
      </c>
      <c r="F3783" s="16" t="inlineStr">
        <is>
          <t>TL2663N18C</t>
        </is>
      </c>
      <c r="G3783" s="16" t="inlineStr">
        <is>
          <t>Linkbits，Soporte de pared fijo para televisores de 26"-63", Ultra-Delgado Compatible con VESA 400x400mm, Capacidad de Peso Fuerte de 25KG, Instalación Fácil Sin Electricidad</t>
        </is>
      </c>
      <c r="H3783" s="16" t="inlineStr">
        <is>
          <t>NEGRO</t>
        </is>
      </c>
      <c r="I3783" s="16" t="n">
        <v>1</v>
      </c>
      <c r="J3783" s="17" t="n">
        <v>45</v>
      </c>
      <c r="K3783" s="17" t="n">
        <v>82.16</v>
      </c>
      <c r="L3783" s="17" t="n">
        <v>25.86</v>
      </c>
      <c r="M3783" s="17" t="n">
        <v>0</v>
      </c>
      <c r="N3783" s="17">
        <f>K3783*0.08+L3783*0.08</f>
        <v/>
      </c>
      <c r="O3783" s="17">
        <f>-(K3783*0.025+L3783*0.025)</f>
        <v/>
      </c>
      <c r="P3783" s="17">
        <f>32</f>
        <v/>
      </c>
      <c r="Q3783" s="17">
        <f>J3783+L3783+N3783+O3783-P3783-M3783</f>
        <v/>
      </c>
    </row>
    <row r="3784">
      <c r="A3784" s="16" t="inlineStr">
        <is>
          <t>5.29-6.4</t>
        </is>
      </c>
      <c r="B3784" s="16" t="inlineStr">
        <is>
          <t>PO-128-02248248719992502</t>
        </is>
      </c>
      <c r="C3784" s="16" t="inlineStr">
        <is>
          <t>Delivered</t>
        </is>
      </c>
      <c r="D3784" s="16" t="inlineStr">
        <is>
          <t>128-02248238234232502</t>
        </is>
      </c>
      <c r="E3784" s="16" t="inlineStr">
        <is>
          <t>Delivered</t>
        </is>
      </c>
      <c r="F3784" s="16" t="inlineStr">
        <is>
          <t>TLCD04-10P-R</t>
        </is>
      </c>
      <c r="G378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84" s="16" t="inlineStr">
        <is>
          <t>ROJO/pantalla de 10.5 pulgadas</t>
        </is>
      </c>
      <c r="I3784" s="16" t="n">
        <v>1</v>
      </c>
      <c r="J3784" s="17" t="n">
        <v>35</v>
      </c>
      <c r="K3784" s="17" t="n">
        <v>47.27</v>
      </c>
      <c r="L3784" s="17" t="n">
        <v>25.86</v>
      </c>
      <c r="M3784" s="17" t="n">
        <v>0</v>
      </c>
      <c r="N3784" s="17">
        <f>K3784*0.08+L3784*0.08</f>
        <v/>
      </c>
      <c r="O3784" s="17">
        <f>-(K3784*0.025+L3784*0.025)</f>
        <v/>
      </c>
      <c r="P3784" s="17">
        <f>32</f>
        <v/>
      </c>
      <c r="Q3784" s="17">
        <f>J3784+L3784+N3784+O3784-P3784-M3784</f>
        <v/>
      </c>
    </row>
    <row r="3785">
      <c r="A3785" s="16" t="inlineStr">
        <is>
          <t>5.29-6.4</t>
        </is>
      </c>
      <c r="B3785" s="16" t="inlineStr">
        <is>
          <t>PO-128-02311034148472128</t>
        </is>
      </c>
      <c r="C3785" s="16" t="inlineStr">
        <is>
          <t>Delivered</t>
        </is>
      </c>
      <c r="D3785" s="16" t="inlineStr">
        <is>
          <t>128-02310992205432128</t>
        </is>
      </c>
      <c r="E3785" s="16" t="inlineStr">
        <is>
          <t>Delivered</t>
        </is>
      </c>
      <c r="F3785" s="16" t="inlineStr">
        <is>
          <t>LV54W25</t>
        </is>
      </c>
      <c r="G3785" s="16" t="inlineStr">
        <is>
          <t>TIANLAI Lámpara Ventilador E27 2 en 1, Silenciosa, LED Alta Luminosidad 180°, Instalación Rápida, Ahorro Energético para Dormitorio y Interiores Pequeños</t>
        </is>
      </c>
      <c r="H3785" s="16" t="inlineStr">
        <is>
          <t>1 Pieza</t>
        </is>
      </c>
      <c r="I3785" s="16" t="n">
        <v>2</v>
      </c>
      <c r="J3785" s="17" t="n">
        <v>148</v>
      </c>
      <c r="K3785" s="17" t="n">
        <v>161.94</v>
      </c>
      <c r="L3785" s="17" t="n">
        <v>12.93</v>
      </c>
      <c r="M3785" s="17" t="n">
        <v>85.68000000000001</v>
      </c>
      <c r="N3785" s="17">
        <f>K3785*0.08+L3785*0.08</f>
        <v/>
      </c>
      <c r="O3785" s="17">
        <f>-(K3785*0.025+L3785*0.025)</f>
        <v/>
      </c>
      <c r="P3785" s="17">
        <f>32</f>
        <v/>
      </c>
      <c r="Q3785" s="17">
        <f>J3785+L3785+N3785+O3785-P3785-M3785</f>
        <v/>
      </c>
    </row>
    <row r="3786">
      <c r="A3786" s="16" t="inlineStr">
        <is>
          <t>5.29-6.4</t>
        </is>
      </c>
      <c r="B3786" s="16" t="inlineStr">
        <is>
          <t>PO-128-02732134093430514</t>
        </is>
      </c>
      <c r="C3786" s="16" t="inlineStr">
        <is>
          <t>Delivered</t>
        </is>
      </c>
      <c r="D3786" s="16" t="inlineStr">
        <is>
          <t>128-02732092150390514</t>
        </is>
      </c>
      <c r="E3786" s="16" t="inlineStr">
        <is>
          <t>Delivered</t>
        </is>
      </c>
      <c r="F3786" s="16" t="inlineStr">
        <is>
          <t>LV54W25</t>
        </is>
      </c>
      <c r="G3786" s="16" t="inlineStr">
        <is>
          <t>TIANLAI Lámpara Ventilador E27 2 en 1, Silenciosa, LED Alta Luminosidad 180°, Instalación Rápida, Ahorro Energético para Dormitorio y Interiores Pequeños</t>
        </is>
      </c>
      <c r="H3786" s="16" t="inlineStr">
        <is>
          <t>1 Pieza</t>
        </is>
      </c>
      <c r="I3786" s="16" t="n">
        <v>1</v>
      </c>
      <c r="J3786" s="17" t="n">
        <v>74</v>
      </c>
      <c r="K3786" s="17" t="n">
        <v>77.12</v>
      </c>
      <c r="L3786" s="17" t="n">
        <v>25.86</v>
      </c>
      <c r="M3786" s="17" t="n">
        <v>0</v>
      </c>
      <c r="N3786" s="17">
        <f>K3786*0.08+L3786*0.08</f>
        <v/>
      </c>
      <c r="O3786" s="17">
        <f>-(K3786*0.025+L3786*0.025)</f>
        <v/>
      </c>
      <c r="P3786" s="17">
        <f>32</f>
        <v/>
      </c>
      <c r="Q3786" s="17">
        <f>J3786+L3786+N3786+O3786-P3786-M3786</f>
        <v/>
      </c>
    </row>
    <row r="3787">
      <c r="A3787" s="16" t="inlineStr">
        <is>
          <t>5.29-6.4</t>
        </is>
      </c>
      <c r="B3787" s="16" t="inlineStr">
        <is>
          <t>PO-128-02694731111030803</t>
        </is>
      </c>
      <c r="C3787" s="16" t="inlineStr">
        <is>
          <t>Delivered</t>
        </is>
      </c>
      <c r="D3787" s="16" t="inlineStr">
        <is>
          <t>128-02694689167990803</t>
        </is>
      </c>
      <c r="E3787" s="16" t="inlineStr">
        <is>
          <t>Delivered</t>
        </is>
      </c>
      <c r="F3787" s="16" t="inlineStr">
        <is>
          <t>LV54W25</t>
        </is>
      </c>
      <c r="G3787" s="16" t="inlineStr">
        <is>
          <t>TIANLAI Lámpara Ventilador E27 2 en 1, Silenciosa, LED Alta Luminosidad 180°, Instalación Rápida, Ahorro Energético para Dormitorio y Interiores Pequeños</t>
        </is>
      </c>
      <c r="H3787" s="16" t="inlineStr">
        <is>
          <t>1 Pieza</t>
        </is>
      </c>
      <c r="I3787" s="16" t="n">
        <v>2</v>
      </c>
      <c r="J3787" s="17" t="n">
        <v>148</v>
      </c>
      <c r="K3787" s="17" t="n">
        <v>152.52</v>
      </c>
      <c r="L3787" s="17" t="n">
        <v>25.86</v>
      </c>
      <c r="M3787" s="17" t="n">
        <v>0</v>
      </c>
      <c r="N3787" s="17">
        <f>K3787*0.08+L3787*0.08</f>
        <v/>
      </c>
      <c r="O3787" s="17">
        <f>-(K3787*0.025+L3787*0.025)</f>
        <v/>
      </c>
      <c r="P3787" s="17">
        <f>32</f>
        <v/>
      </c>
      <c r="Q3787" s="17">
        <f>J3787+L3787+N3787+O3787-P3787-M3787</f>
        <v/>
      </c>
    </row>
    <row r="3788">
      <c r="A3788" s="16" t="inlineStr">
        <is>
          <t>5.29-6.4</t>
        </is>
      </c>
      <c r="B3788" s="16" t="inlineStr">
        <is>
          <t>PO-128-02157463388794005</t>
        </is>
      </c>
      <c r="C3788" s="16" t="inlineStr">
        <is>
          <t>Delivered</t>
        </is>
      </c>
      <c r="D3788" s="16" t="inlineStr">
        <is>
          <t>128-02157505331834005</t>
        </is>
      </c>
      <c r="E3788" s="16" t="inlineStr">
        <is>
          <t>Delivered</t>
        </is>
      </c>
      <c r="F3788" s="16" t="inlineStr">
        <is>
          <t>LV54W25</t>
        </is>
      </c>
      <c r="G3788" s="16" t="inlineStr">
        <is>
          <t>TIANLAI Lámpara Ventilador E27 2 en 1, Silenciosa, LED Alta Luminosidad 180°, Instalación Rápida, Ahorro Energético para Dormitorio y Interiores Pequeños</t>
        </is>
      </c>
      <c r="H3788" s="16" t="inlineStr">
        <is>
          <t>1 Pieza</t>
        </is>
      </c>
      <c r="I3788" s="16" t="n">
        <v>1</v>
      </c>
      <c r="J3788" s="17" t="n">
        <v>74</v>
      </c>
      <c r="K3788" s="17" t="n">
        <v>85.68000000000001</v>
      </c>
      <c r="L3788" s="17" t="n">
        <v>25.86</v>
      </c>
      <c r="M3788" s="17" t="n">
        <v>0</v>
      </c>
      <c r="N3788" s="17">
        <f>K3788*0.08+L3788*0.08</f>
        <v/>
      </c>
      <c r="O3788" s="17">
        <f>-(K3788*0.025+L3788*0.025)</f>
        <v/>
      </c>
      <c r="P3788" s="17">
        <f>32</f>
        <v/>
      </c>
      <c r="Q3788" s="17">
        <f>J3788+L3788+N3788+O3788-P3788-M3788</f>
        <v/>
      </c>
    </row>
    <row r="3789">
      <c r="A3789" s="16" t="inlineStr">
        <is>
          <t>5.29-6.4</t>
        </is>
      </c>
      <c r="B3789" s="16" t="inlineStr">
        <is>
          <t>PO-128-02106405601913221</t>
        </is>
      </c>
      <c r="C3789" s="16" t="inlineStr">
        <is>
          <t>Delivered</t>
        </is>
      </c>
      <c r="D3789" s="16" t="inlineStr">
        <is>
          <t>128-02106418709113221</t>
        </is>
      </c>
      <c r="E3789" s="16" t="inlineStr">
        <is>
          <t>Delivered</t>
        </is>
      </c>
      <c r="F3789" s="16" t="inlineStr">
        <is>
          <t>LV54W25</t>
        </is>
      </c>
      <c r="G3789" s="16" t="inlineStr">
        <is>
          <t>TIANLAI Lámpara Ventilador E27 2 en 1, Silenciosa, LED Alta Luminosidad 180°, Instalación Rápida, Ahorro Energético para Dormitorio y Interiores Pequeños</t>
        </is>
      </c>
      <c r="H3789" s="16" t="inlineStr">
        <is>
          <t>1 Pieza</t>
        </is>
      </c>
      <c r="I3789" s="16" t="n">
        <v>2</v>
      </c>
      <c r="J3789" s="17" t="n">
        <v>148</v>
      </c>
      <c r="K3789" s="17" t="n">
        <v>154.24</v>
      </c>
      <c r="L3789" s="17" t="n">
        <v>25.86</v>
      </c>
      <c r="M3789" s="17" t="n">
        <v>0</v>
      </c>
      <c r="N3789" s="17">
        <f>K3789*0.08+L3789*0.08</f>
        <v/>
      </c>
      <c r="O3789" s="17">
        <f>-(K3789*0.025+L3789*0.025)</f>
        <v/>
      </c>
      <c r="P3789" s="17">
        <f>32</f>
        <v/>
      </c>
      <c r="Q3789" s="17">
        <f>J3789+L3789+N3789+O3789-P3789-M3789</f>
        <v/>
      </c>
    </row>
    <row r="3790">
      <c r="A3790" s="16" t="inlineStr">
        <is>
          <t>5.29-6.4</t>
        </is>
      </c>
      <c r="B3790" s="16" t="inlineStr">
        <is>
          <t>PO-128-02465298494071272</t>
        </is>
      </c>
      <c r="C3790" s="16" t="inlineStr">
        <is>
          <t>Delivered</t>
        </is>
      </c>
      <c r="D3790" s="16" t="inlineStr">
        <is>
          <t>128-02465340437111272</t>
        </is>
      </c>
      <c r="E3790" s="16" t="inlineStr">
        <is>
          <t>Delivered</t>
        </is>
      </c>
      <c r="F3790" s="16" t="inlineStr">
        <is>
          <t>LV64W25</t>
        </is>
      </c>
      <c r="G37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790" s="16" t="inlineStr">
        <is>
          <t>Blanco</t>
        </is>
      </c>
      <c r="I3790" s="16" t="n">
        <v>3</v>
      </c>
      <c r="J3790" s="17" t="n">
        <v>357</v>
      </c>
      <c r="K3790" s="17" t="n">
        <v>370.62</v>
      </c>
      <c r="L3790" s="17" t="n">
        <v>0</v>
      </c>
      <c r="M3790" s="17" t="n">
        <v>0</v>
      </c>
      <c r="N3790" s="17">
        <f>K3790*0.08+L3790*0.08</f>
        <v/>
      </c>
      <c r="O3790" s="17">
        <f>-(K3790*0.025+L3790*0.025)</f>
        <v/>
      </c>
      <c r="P3790" s="17">
        <f>32</f>
        <v/>
      </c>
      <c r="Q3790" s="17">
        <f>J3790+L3790+N3790+O3790-P3790-M3790</f>
        <v/>
      </c>
    </row>
    <row r="3791">
      <c r="A3791" s="16" t="inlineStr">
        <is>
          <t>5.29-6.4</t>
        </is>
      </c>
      <c r="B3791" s="16" t="inlineStr">
        <is>
          <t>PO-128-02153313731194028</t>
        </is>
      </c>
      <c r="C3791" s="16" t="inlineStr">
        <is>
          <t>Delivered</t>
        </is>
      </c>
      <c r="D3791" s="16" t="inlineStr">
        <is>
          <t>128-02153271788154028</t>
        </is>
      </c>
      <c r="E3791" s="16" t="inlineStr">
        <is>
          <t>Delivered</t>
        </is>
      </c>
      <c r="F3791" s="16" t="inlineStr">
        <is>
          <t>LV54W25</t>
        </is>
      </c>
      <c r="G3791" s="16" t="inlineStr">
        <is>
          <t>TIANLAI Lámpara Ventilador E27 2 en 1, Silenciosa, LED Alta Luminosidad 180°, Instalación Rápida, Ahorro Energético para Dormitorio y Interiores Pequeños</t>
        </is>
      </c>
      <c r="H3791" s="16" t="inlineStr">
        <is>
          <t>1 Pieza</t>
        </is>
      </c>
      <c r="I3791" s="16" t="n">
        <v>3</v>
      </c>
      <c r="J3791" s="17" t="n">
        <v>222</v>
      </c>
      <c r="K3791" s="17" t="n">
        <v>228.78</v>
      </c>
      <c r="L3791" s="17" t="n">
        <v>25.86</v>
      </c>
      <c r="M3791" s="17" t="n">
        <v>0</v>
      </c>
      <c r="N3791" s="17">
        <f>K3791*0.08+L3791*0.08</f>
        <v/>
      </c>
      <c r="O3791" s="17">
        <f>-(K3791*0.025+L3791*0.025)</f>
        <v/>
      </c>
      <c r="P3791" s="17">
        <f>32</f>
        <v/>
      </c>
      <c r="Q3791" s="17">
        <f>J3791+L3791+N3791+O3791-P3791-M3791</f>
        <v/>
      </c>
    </row>
    <row r="3792">
      <c r="A3792" s="16" t="inlineStr">
        <is>
          <t>5.29-6.4</t>
        </is>
      </c>
      <c r="B3792" s="16" t="inlineStr">
        <is>
          <t>PO-128-02564609679991576</t>
        </is>
      </c>
      <c r="C3792" s="16" t="inlineStr">
        <is>
          <t>Delivered</t>
        </is>
      </c>
      <c r="D3792" s="16" t="inlineStr">
        <is>
          <t>128-02564605747831576</t>
        </is>
      </c>
      <c r="E3792" s="16" t="inlineStr">
        <is>
          <t>Delivered</t>
        </is>
      </c>
      <c r="F3792" s="16" t="inlineStr">
        <is>
          <t>KTS-2031</t>
        </is>
      </c>
      <c r="G3792" s="16" t="inlineStr">
        <is>
          <t>Bocina inalámbrica de 3 pulgadas con linterna multifuncional y panel solar integrado.Altavoz Portátil con Linterna LED 4 Modos, Radio FM, Bluetooth, Carga Solar, Ideal para Apagones, Emergencias, Campo y Exteriores</t>
        </is>
      </c>
      <c r="H3792" s="16" t="inlineStr">
        <is>
          <t>NEGRO</t>
        </is>
      </c>
      <c r="I3792" s="16" t="n">
        <v>1</v>
      </c>
      <c r="J3792" s="17" t="n">
        <v>88</v>
      </c>
      <c r="K3792" s="17" t="n">
        <v>97.22</v>
      </c>
      <c r="L3792" s="17" t="n">
        <v>25.86</v>
      </c>
      <c r="M3792" s="17" t="n">
        <v>0</v>
      </c>
      <c r="N3792" s="17">
        <f>K3792*0.08+L3792*0.08</f>
        <v/>
      </c>
      <c r="O3792" s="17">
        <f>-(K3792*0.025+L3792*0.025)</f>
        <v/>
      </c>
      <c r="P3792" s="17">
        <f>32</f>
        <v/>
      </c>
      <c r="Q3792" s="17">
        <f>J3792+L3792+N3792+O3792-P3792-M3792</f>
        <v/>
      </c>
    </row>
    <row r="3793">
      <c r="A3793" s="16" t="inlineStr">
        <is>
          <t>5.29-6.4</t>
        </is>
      </c>
      <c r="B3793" s="16" t="inlineStr">
        <is>
          <t>PO-128-02733941555830569</t>
        </is>
      </c>
      <c r="C3793" s="16" t="inlineStr">
        <is>
          <t>Delivered</t>
        </is>
      </c>
      <c r="D3793" s="16" t="inlineStr">
        <is>
          <t>128-02733946798710569</t>
        </is>
      </c>
      <c r="E3793" s="16" t="inlineStr">
        <is>
          <t>Delivered</t>
        </is>
      </c>
      <c r="F3793" s="16" t="inlineStr">
        <is>
          <t>KTS-2031</t>
        </is>
      </c>
      <c r="G3793" s="16" t="inlineStr">
        <is>
          <t>Bocina inalámbrica de 3 pulgadas con linterna multifuncional y panel solar integrado.Altavoz Portátil con Linterna LED 4 Modos, Radio FM, Bluetooth, Carga Solar, Ideal para Apagones, Emergencias, Campo y Exteriores</t>
        </is>
      </c>
      <c r="H3793" s="16" t="inlineStr">
        <is>
          <t>NEGRO</t>
        </is>
      </c>
      <c r="I3793" s="16" t="n">
        <v>3</v>
      </c>
      <c r="J3793" s="17" t="n">
        <v>264</v>
      </c>
      <c r="K3793" s="17" t="n">
        <v>291.66</v>
      </c>
      <c r="L3793" s="17" t="n">
        <v>0</v>
      </c>
      <c r="M3793" s="17" t="n">
        <v>0</v>
      </c>
      <c r="N3793" s="17">
        <f>K3793*0.08+L3793*0.08</f>
        <v/>
      </c>
      <c r="O3793" s="17">
        <f>-(K3793*0.025+L3793*0.025)</f>
        <v/>
      </c>
      <c r="P3793" s="17">
        <f>32</f>
        <v/>
      </c>
      <c r="Q3793" s="17">
        <f>J3793+L3793+N3793+O3793-P3793-M3793</f>
        <v/>
      </c>
    </row>
    <row r="3794">
      <c r="A3794" s="16" t="inlineStr">
        <is>
          <t>5.29-6.4</t>
        </is>
      </c>
      <c r="B3794" s="16" t="inlineStr">
        <is>
          <t>PO-128-21832875940470456</t>
        </is>
      </c>
      <c r="C3794" s="16" t="inlineStr">
        <is>
          <t>Delivered</t>
        </is>
      </c>
      <c r="D3794" s="16" t="inlineStr">
        <is>
          <t>128-21833012255350456</t>
        </is>
      </c>
      <c r="E3794" s="16" t="inlineStr">
        <is>
          <t>Delivered</t>
        </is>
      </c>
      <c r="F3794" s="16" t="inlineStr">
        <is>
          <t>TLCD02-8P-A</t>
        </is>
      </c>
      <c r="G379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794" s="16" t="inlineStr">
        <is>
          <t>AZUL/pantalla de 8.5 pulgadas</t>
        </is>
      </c>
      <c r="I3794" s="16" t="n">
        <v>1</v>
      </c>
      <c r="J3794" s="17" t="n">
        <v>24</v>
      </c>
      <c r="K3794" s="17" t="n">
        <v>32.98</v>
      </c>
      <c r="L3794" s="17" t="n">
        <v>25.86</v>
      </c>
      <c r="M3794" s="17" t="n">
        <v>0</v>
      </c>
      <c r="N3794" s="17">
        <f>K3794*0.08+L3794*0.08</f>
        <v/>
      </c>
      <c r="O3794" s="17">
        <f>-(K3794*0.025+L3794*0.025)</f>
        <v/>
      </c>
      <c r="P3794" s="17">
        <f>32</f>
        <v/>
      </c>
      <c r="Q3794" s="17">
        <f>J3794+L3794+N3794+O3794-P3794-M3794</f>
        <v/>
      </c>
    </row>
    <row r="3795">
      <c r="A3795" s="16" t="inlineStr">
        <is>
          <t>5.29-6.4</t>
        </is>
      </c>
      <c r="B3795" s="16" t="inlineStr">
        <is>
          <t>PO-128-21714855557751032</t>
        </is>
      </c>
      <c r="C3795" s="16" t="inlineStr">
        <is>
          <t>Delivered</t>
        </is>
      </c>
      <c r="D3795" s="16" t="inlineStr">
        <is>
          <t>128-21714787338871032</t>
        </is>
      </c>
      <c r="E3795" s="16" t="inlineStr">
        <is>
          <t>Delivered</t>
        </is>
      </c>
      <c r="F3795" s="16" t="inlineStr">
        <is>
          <t>KTS-2031</t>
        </is>
      </c>
      <c r="G3795" s="16" t="inlineStr">
        <is>
          <t>Bocina inalámbrica de 3 pulgadas con linterna multifuncional y panel solar integrado.Altavoz Portátil con Linterna LED 4 Modos, Radio FM, Bluetooth, Carga Solar, Ideal para Apagones, Emergencias, Campo y Exteriores</t>
        </is>
      </c>
      <c r="H3795" s="16" t="inlineStr">
        <is>
          <t>NEGRO</t>
        </is>
      </c>
      <c r="I3795" s="16" t="n">
        <v>3</v>
      </c>
      <c r="J3795" s="17" t="n">
        <v>264</v>
      </c>
      <c r="K3795" s="17" t="n">
        <v>291.66</v>
      </c>
      <c r="L3795" s="17" t="n">
        <v>0</v>
      </c>
      <c r="M3795" s="17" t="n">
        <v>0</v>
      </c>
      <c r="N3795" s="17">
        <f>K3795*0.08+L3795*0.08</f>
        <v/>
      </c>
      <c r="O3795" s="17">
        <f>-(K3795*0.025+L3795*0.025)</f>
        <v/>
      </c>
      <c r="P3795" s="17">
        <f>32</f>
        <v/>
      </c>
      <c r="Q3795" s="17">
        <f>J3795+L3795+N3795+O3795-P3795-M3795</f>
        <v/>
      </c>
    </row>
    <row r="3796">
      <c r="A3796" s="16" t="inlineStr">
        <is>
          <t>5.29-6.4</t>
        </is>
      </c>
      <c r="B3796" s="16" t="inlineStr">
        <is>
          <t>PO-128-21532350387832248</t>
        </is>
      </c>
      <c r="C3796" s="16" t="inlineStr">
        <is>
          <t>Delivered</t>
        </is>
      </c>
      <c r="D3796" s="16" t="inlineStr">
        <is>
          <t>128-21532308444792248</t>
        </is>
      </c>
      <c r="E3796" s="16" t="inlineStr">
        <is>
          <t>Delivered</t>
        </is>
      </c>
      <c r="F3796" s="16" t="inlineStr">
        <is>
          <t>LV54W25</t>
        </is>
      </c>
      <c r="G3796" s="16" t="inlineStr">
        <is>
          <t>TIANLAI Lámpara Ventilador E27 2 en 1, Silenciosa, LED Alta Luminosidad 180°, Instalación Rápida, Ahorro Energético para Dormitorio y Interiores Pequeños</t>
        </is>
      </c>
      <c r="H3796" s="16" t="inlineStr">
        <is>
          <t>1 Pieza</t>
        </is>
      </c>
      <c r="I3796" s="16" t="n">
        <v>1</v>
      </c>
      <c r="J3796" s="17" t="n">
        <v>74</v>
      </c>
      <c r="K3796" s="17" t="n">
        <v>76.26000000000001</v>
      </c>
      <c r="L3796" s="17" t="n">
        <v>25.86</v>
      </c>
      <c r="M3796" s="17" t="n">
        <v>0</v>
      </c>
      <c r="N3796" s="17">
        <f>K3796*0.08+L3796*0.08</f>
        <v/>
      </c>
      <c r="O3796" s="17">
        <f>-(K3796*0.025+L3796*0.025)</f>
        <v/>
      </c>
      <c r="P3796" s="17">
        <f>32</f>
        <v/>
      </c>
      <c r="Q3796" s="17">
        <f>J3796+L3796+N3796+O3796-P3796-M3796</f>
        <v/>
      </c>
    </row>
    <row r="3797">
      <c r="A3797" s="16" t="inlineStr">
        <is>
          <t>5.29-6.4</t>
        </is>
      </c>
      <c r="B3797" s="16" t="inlineStr">
        <is>
          <t>PO-128-21369180631673092</t>
        </is>
      </c>
      <c r="C3797" s="16" t="inlineStr">
        <is>
          <t>Delivered</t>
        </is>
      </c>
      <c r="D3797" s="16" t="inlineStr">
        <is>
          <t>128-21369285489273092</t>
        </is>
      </c>
      <c r="E3797" s="16" t="inlineStr">
        <is>
          <t>Delivered</t>
        </is>
      </c>
      <c r="F3797" s="16" t="inlineStr">
        <is>
          <t>LV54W25</t>
        </is>
      </c>
      <c r="G3797" s="16" t="inlineStr">
        <is>
          <t>TIANLAI Lámpara Ventilador E27 2 en 1, Silenciosa, LED Alta Luminosidad 180°, Instalación Rápida, Ahorro Energético para Dormitorio y Interiores Pequeños</t>
        </is>
      </c>
      <c r="H3797" s="16" t="inlineStr">
        <is>
          <t>1 Pieza</t>
        </is>
      </c>
      <c r="I3797" s="16" t="n">
        <v>3</v>
      </c>
      <c r="J3797" s="17" t="n">
        <v>222</v>
      </c>
      <c r="K3797" s="17" t="n">
        <v>228.78</v>
      </c>
      <c r="L3797" s="17" t="n">
        <v>25.86</v>
      </c>
      <c r="M3797" s="17" t="n">
        <v>0</v>
      </c>
      <c r="N3797" s="17">
        <f>K3797*0.08+L3797*0.08</f>
        <v/>
      </c>
      <c r="O3797" s="17">
        <f>-(K3797*0.025+L3797*0.025)</f>
        <v/>
      </c>
      <c r="P3797" s="17">
        <f>32</f>
        <v/>
      </c>
      <c r="Q3797" s="17">
        <f>J3797+L3797+N3797+O3797-P3797-M3797</f>
        <v/>
      </c>
    </row>
    <row r="3798">
      <c r="A3798" s="16" t="inlineStr">
        <is>
          <t>5.29-6.4</t>
        </is>
      </c>
      <c r="B3798" s="16" t="inlineStr">
        <is>
          <t>PO-128-21875467326070205</t>
        </is>
      </c>
      <c r="C3798" s="16" t="inlineStr">
        <is>
          <t>Delivered</t>
        </is>
      </c>
      <c r="D3798" s="16" t="inlineStr">
        <is>
          <t>128-21875446354550205</t>
        </is>
      </c>
      <c r="E3798" s="16" t="inlineStr">
        <is>
          <t>Delivered</t>
        </is>
      </c>
      <c r="F3798" s="16" t="inlineStr">
        <is>
          <t>LV54W25</t>
        </is>
      </c>
      <c r="G3798" s="16" t="inlineStr">
        <is>
          <t>TIANLAI Lámpara Ventilador E27 2 en 1, Silenciosa, LED Alta Luminosidad 180°, Instalación Rápida, Ahorro Energético para Dormitorio y Interiores Pequeños</t>
        </is>
      </c>
      <c r="H3798" s="16" t="inlineStr">
        <is>
          <t>1 Pieza</t>
        </is>
      </c>
      <c r="I3798" s="16" t="n">
        <v>1</v>
      </c>
      <c r="J3798" s="17" t="n">
        <v>74</v>
      </c>
      <c r="K3798" s="17" t="n">
        <v>55.3</v>
      </c>
      <c r="L3798" s="17" t="n">
        <v>25.86</v>
      </c>
      <c r="M3798" s="17" t="n">
        <v>0</v>
      </c>
      <c r="N3798" s="17">
        <f>K3798*0.08+L3798*0.08</f>
        <v/>
      </c>
      <c r="O3798" s="17">
        <f>-(K3798*0.025+L3798*0.025)</f>
        <v/>
      </c>
      <c r="P3798" s="17">
        <f>32</f>
        <v/>
      </c>
      <c r="Q3798" s="17">
        <f>J3798+L3798+N3798+O3798-P3798-M3798</f>
        <v/>
      </c>
    </row>
    <row r="3799">
      <c r="A3799" s="16" t="inlineStr">
        <is>
          <t>5.29-6.4</t>
        </is>
      </c>
      <c r="B3799" s="16" t="inlineStr">
        <is>
          <t>PO-128-21849310131830294</t>
        </is>
      </c>
      <c r="C3799" s="16" t="inlineStr">
        <is>
          <t>Delivered</t>
        </is>
      </c>
      <c r="D3799" s="16" t="inlineStr">
        <is>
          <t>128-21849336346230294</t>
        </is>
      </c>
      <c r="E3799" s="16" t="inlineStr">
        <is>
          <t>Delivered</t>
        </is>
      </c>
      <c r="F3799" s="16" t="inlineStr">
        <is>
          <t>LV54W25</t>
        </is>
      </c>
      <c r="G3799" s="16" t="inlineStr">
        <is>
          <t>TIANLAI Lámpara Ventilador E27 2 en 1, Silenciosa, LED Alta Luminosidad 180°, Instalación Rápida, Ahorro Energético para Dormitorio y Interiores Pequeños</t>
        </is>
      </c>
      <c r="H3799" s="16" t="inlineStr">
        <is>
          <t>1 Pieza</t>
        </is>
      </c>
      <c r="I3799" s="16" t="n">
        <v>1</v>
      </c>
      <c r="J3799" s="17" t="n">
        <v>74</v>
      </c>
      <c r="K3799" s="17" t="n">
        <v>76.26000000000001</v>
      </c>
      <c r="L3799" s="17" t="n">
        <v>25.86</v>
      </c>
      <c r="M3799" s="17" t="n">
        <v>0</v>
      </c>
      <c r="N3799" s="17">
        <f>K3799*0.08+L3799*0.08</f>
        <v/>
      </c>
      <c r="O3799" s="17">
        <f>-(K3799*0.025+L3799*0.025)</f>
        <v/>
      </c>
      <c r="P3799" s="17">
        <f>32</f>
        <v/>
      </c>
      <c r="Q3799" s="17">
        <f>J3799+L3799+N3799+O3799-P3799-M3799</f>
        <v/>
      </c>
    </row>
    <row r="3800">
      <c r="A3800" s="16" t="inlineStr">
        <is>
          <t>5.29-6.4</t>
        </is>
      </c>
      <c r="B3800" s="16" t="inlineStr">
        <is>
          <t>PO-128-21614373120632721</t>
        </is>
      </c>
      <c r="C3800" s="16" t="inlineStr">
        <is>
          <t>Delivered</t>
        </is>
      </c>
      <c r="D3800" s="16" t="inlineStr">
        <is>
          <t>128-21614278748792721</t>
        </is>
      </c>
      <c r="E3800" s="16" t="inlineStr">
        <is>
          <t>Delivered</t>
        </is>
      </c>
      <c r="F3800" s="16" t="inlineStr">
        <is>
          <t>LV64W25</t>
        </is>
      </c>
      <c r="G380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00" s="16" t="inlineStr">
        <is>
          <t>Blanco</t>
        </is>
      </c>
      <c r="I3800" s="16" t="n">
        <v>1</v>
      </c>
      <c r="J3800" s="17" t="n">
        <v>119</v>
      </c>
      <c r="K3800" s="17" t="n">
        <v>123.54</v>
      </c>
      <c r="L3800" s="17" t="n">
        <v>25.86</v>
      </c>
      <c r="M3800" s="17" t="n">
        <v>0</v>
      </c>
      <c r="N3800" s="17">
        <f>K3800*0.08+L3800*0.08</f>
        <v/>
      </c>
      <c r="O3800" s="17">
        <f>-(K3800*0.025+L3800*0.025)</f>
        <v/>
      </c>
      <c r="P3800" s="17">
        <f>32</f>
        <v/>
      </c>
      <c r="Q3800" s="17">
        <f>J3800+L3800+N3800+O3800-P3800-M3800</f>
        <v/>
      </c>
    </row>
    <row r="3801">
      <c r="A3801" s="16" t="inlineStr">
        <is>
          <t>5.29-6.4</t>
        </is>
      </c>
      <c r="B3801" s="16" t="inlineStr">
        <is>
          <t>PO-128-21790667582071732</t>
        </is>
      </c>
      <c r="C3801" s="16" t="inlineStr">
        <is>
          <t>Delivered</t>
        </is>
      </c>
      <c r="D3801" s="16" t="inlineStr">
        <is>
          <t>128-21790751437431732</t>
        </is>
      </c>
      <c r="E3801" s="16" t="inlineStr">
        <is>
          <t>Delivered</t>
        </is>
      </c>
      <c r="F3801" s="16" t="inlineStr">
        <is>
          <t>LV64W25</t>
        </is>
      </c>
      <c r="G38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01" s="16" t="inlineStr">
        <is>
          <t>Blanco</t>
        </is>
      </c>
      <c r="I3801" s="16" t="n">
        <v>1</v>
      </c>
      <c r="J3801" s="17" t="n">
        <v>119</v>
      </c>
      <c r="K3801" s="17" t="n">
        <v>137.26</v>
      </c>
      <c r="L3801" s="17" t="n">
        <v>25.86</v>
      </c>
      <c r="M3801" s="17" t="n">
        <v>0</v>
      </c>
      <c r="N3801" s="17">
        <f>K3801*0.08+L3801*0.08</f>
        <v/>
      </c>
      <c r="O3801" s="17">
        <f>-(K3801*0.025+L3801*0.025)</f>
        <v/>
      </c>
      <c r="P3801" s="17">
        <f>32</f>
        <v/>
      </c>
      <c r="Q3801" s="17">
        <f>J3801+L3801+N3801+O3801-P3801-M3801</f>
        <v/>
      </c>
    </row>
    <row r="3802">
      <c r="A3802" s="16" t="inlineStr">
        <is>
          <t>5.29-6.4</t>
        </is>
      </c>
      <c r="B3802" s="16" t="inlineStr">
        <is>
          <t>PO-128-21795196401271771</t>
        </is>
      </c>
      <c r="C3802" s="16" t="inlineStr">
        <is>
          <t>Delivered</t>
        </is>
      </c>
      <c r="D3802" s="16" t="inlineStr">
        <is>
          <t>128-21795238344311771</t>
        </is>
      </c>
      <c r="E3802" s="16" t="inlineStr">
        <is>
          <t>Delivered</t>
        </is>
      </c>
      <c r="F3802" s="16" t="inlineStr">
        <is>
          <t>LV54W25</t>
        </is>
      </c>
      <c r="G3802" s="16" t="inlineStr">
        <is>
          <t>TIANLAI Lámpara Ventilador E27 2 en 1, Silenciosa, LED Alta Luminosidad 180°, Instalación Rápida, Ahorro Energético para Dormitorio y Interiores Pequeños</t>
        </is>
      </c>
      <c r="H3802" s="16" t="inlineStr">
        <is>
          <t>1 Pieza</t>
        </is>
      </c>
      <c r="I3802" s="16" t="n">
        <v>4</v>
      </c>
      <c r="J3802" s="17" t="n">
        <v>296</v>
      </c>
      <c r="K3802" s="17" t="n">
        <v>244.04</v>
      </c>
      <c r="L3802" s="17" t="n">
        <v>0</v>
      </c>
      <c r="M3802" s="17" t="n">
        <v>0</v>
      </c>
      <c r="N3802" s="17">
        <f>K3802*0.08+L3802*0.08</f>
        <v/>
      </c>
      <c r="O3802" s="17">
        <f>-(K3802*0.025+L3802*0.025)</f>
        <v/>
      </c>
      <c r="P3802" s="17">
        <f>32</f>
        <v/>
      </c>
      <c r="Q3802" s="17">
        <f>J3802+L3802+N3802+O3802-P3802-M3802</f>
        <v/>
      </c>
    </row>
    <row r="3803">
      <c r="A3803" s="16" t="inlineStr">
        <is>
          <t>5.29-6.4</t>
        </is>
      </c>
      <c r="B3803" s="16" t="inlineStr">
        <is>
          <t>PO-128-21557131326072164</t>
        </is>
      </c>
      <c r="C3803" s="16" t="inlineStr">
        <is>
          <t>Delivered</t>
        </is>
      </c>
      <c r="D3803" s="16" t="inlineStr">
        <is>
          <t>128-21557148365432164</t>
        </is>
      </c>
      <c r="E3803" s="16" t="inlineStr">
        <is>
          <t>Delivered</t>
        </is>
      </c>
      <c r="F3803" s="16" t="inlineStr">
        <is>
          <t>KTS-2031</t>
        </is>
      </c>
      <c r="G3803" s="16" t="inlineStr">
        <is>
          <t>Bocina inalámbrica de 3 pulgadas con linterna multifuncional y panel solar integrado.Altavoz Portátil con Linterna LED 4 Modos, Radio FM, Bluetooth, Carga Solar, Ideal para Apagones, Emergencias, Campo y Exteriores</t>
        </is>
      </c>
      <c r="H3803" s="16" t="inlineStr">
        <is>
          <t>NEGRO</t>
        </is>
      </c>
      <c r="I3803" s="16" t="n">
        <v>1</v>
      </c>
      <c r="J3803" s="17" t="n">
        <v>88</v>
      </c>
      <c r="K3803" s="17" t="n">
        <v>97.22</v>
      </c>
      <c r="L3803" s="17" t="n">
        <v>25.86</v>
      </c>
      <c r="M3803" s="17" t="n">
        <v>0</v>
      </c>
      <c r="N3803" s="17">
        <f>K3803*0.08+L3803*0.08</f>
        <v/>
      </c>
      <c r="O3803" s="17">
        <f>-(K3803*0.025+L3803*0.025)</f>
        <v/>
      </c>
      <c r="P3803" s="17">
        <f>32</f>
        <v/>
      </c>
      <c r="Q3803" s="17">
        <f>J3803+L3803+N3803+O3803-P3803-M3803</f>
        <v/>
      </c>
    </row>
    <row r="3804">
      <c r="A3804" s="16" t="inlineStr">
        <is>
          <t>5.29-6.4</t>
        </is>
      </c>
      <c r="B3804" s="16" t="inlineStr">
        <is>
          <t>PO-128-21887299031670004</t>
        </is>
      </c>
      <c r="C3804" s="16" t="inlineStr">
        <is>
          <t>Delivered</t>
        </is>
      </c>
      <c r="D3804" s="16" t="inlineStr">
        <is>
          <t>128-21887340974710004</t>
        </is>
      </c>
      <c r="E3804" s="16" t="inlineStr">
        <is>
          <t>Delivered</t>
        </is>
      </c>
      <c r="F3804" s="16" t="inlineStr">
        <is>
          <t>LV54W25</t>
        </is>
      </c>
      <c r="G3804" s="16" t="inlineStr">
        <is>
          <t>TIANLAI Lámpara Ventilador E27 2 en 1, Silenciosa, LED Alta Luminosidad 180°, Instalación Rápida, Ahorro Energético para Dormitorio y Interiores Pequeños</t>
        </is>
      </c>
      <c r="H3804" s="16" t="inlineStr">
        <is>
          <t>1 Pieza</t>
        </is>
      </c>
      <c r="I3804" s="16" t="n">
        <v>1</v>
      </c>
      <c r="J3804" s="17" t="n">
        <v>74</v>
      </c>
      <c r="K3804" s="17" t="n">
        <v>77.12</v>
      </c>
      <c r="L3804" s="17" t="n">
        <v>25.86</v>
      </c>
      <c r="M3804" s="17" t="n">
        <v>0</v>
      </c>
      <c r="N3804" s="17">
        <f>K3804*0.08+L3804*0.08</f>
        <v/>
      </c>
      <c r="O3804" s="17">
        <f>-(K3804*0.025+L3804*0.025)</f>
        <v/>
      </c>
      <c r="P3804" s="17">
        <f>32</f>
        <v/>
      </c>
      <c r="Q3804" s="17">
        <f>J3804+L3804+N3804+O3804-P3804-M3804</f>
        <v/>
      </c>
    </row>
    <row r="3805">
      <c r="A3805" s="16" t="inlineStr">
        <is>
          <t>5.29-6.4</t>
        </is>
      </c>
      <c r="B3805" s="16" t="inlineStr">
        <is>
          <t>PO-128-21366426727033303</t>
        </is>
      </c>
      <c r="C3805" s="16" t="inlineStr">
        <is>
          <t>Delivered</t>
        </is>
      </c>
      <c r="D3805" s="16" t="inlineStr">
        <is>
          <t>128-21366384783993303</t>
        </is>
      </c>
      <c r="E3805" s="16" t="inlineStr">
        <is>
          <t>Delivered</t>
        </is>
      </c>
      <c r="F3805" s="16" t="inlineStr">
        <is>
          <t>LV54W25</t>
        </is>
      </c>
      <c r="G3805" s="16" t="inlineStr">
        <is>
          <t>TIANLAI Lámpara Ventilador E27 2 en 1, Silenciosa, LED Alta Luminosidad 180°, Instalación Rápida, Ahorro Energético para Dormitorio y Interiores Pequeños</t>
        </is>
      </c>
      <c r="H3805" s="16" t="inlineStr">
        <is>
          <t>1 Pieza</t>
        </is>
      </c>
      <c r="I3805" s="16" t="n">
        <v>2</v>
      </c>
      <c r="J3805" s="17" t="n">
        <v>148</v>
      </c>
      <c r="K3805" s="17" t="n">
        <v>69.76000000000001</v>
      </c>
      <c r="L3805" s="17" t="n">
        <v>25.86</v>
      </c>
      <c r="M3805" s="17" t="n">
        <v>0</v>
      </c>
      <c r="N3805" s="17">
        <f>K3805*0.08+L3805*0.08</f>
        <v/>
      </c>
      <c r="O3805" s="17">
        <f>-(K3805*0.025+L3805*0.025)</f>
        <v/>
      </c>
      <c r="P3805" s="17">
        <f>32</f>
        <v/>
      </c>
      <c r="Q3805" s="17">
        <f>J3805+L3805+N3805+O3805-P3805-M3805</f>
        <v/>
      </c>
    </row>
    <row r="3806">
      <c r="A3806" s="16" t="inlineStr">
        <is>
          <t>5.29-6.4</t>
        </is>
      </c>
      <c r="B3806" s="16" t="inlineStr">
        <is>
          <t>PO-128-21615775601272774</t>
        </is>
      </c>
      <c r="C3806" s="16" t="inlineStr">
        <is>
          <t>Delivered</t>
        </is>
      </c>
      <c r="D3806" s="16" t="inlineStr">
        <is>
          <t>128-21615807058552774</t>
        </is>
      </c>
      <c r="E3806" s="16" t="inlineStr">
        <is>
          <t>Delivered</t>
        </is>
      </c>
      <c r="F3806" s="16" t="inlineStr">
        <is>
          <t>LV64W25</t>
        </is>
      </c>
      <c r="G38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06" s="16" t="inlineStr">
        <is>
          <t>Blanco</t>
        </is>
      </c>
      <c r="I3806" s="16" t="n">
        <v>1</v>
      </c>
      <c r="J3806" s="17" t="n">
        <v>119</v>
      </c>
      <c r="K3806" s="17" t="n">
        <v>137.26</v>
      </c>
      <c r="L3806" s="17" t="n">
        <v>25.86</v>
      </c>
      <c r="M3806" s="17" t="n">
        <v>0</v>
      </c>
      <c r="N3806" s="17">
        <f>K3806*0.08+L3806*0.08</f>
        <v/>
      </c>
      <c r="O3806" s="17">
        <f>-(K3806*0.025+L3806*0.025)</f>
        <v/>
      </c>
      <c r="P3806" s="17">
        <f>32</f>
        <v/>
      </c>
      <c r="Q3806" s="17">
        <f>J3806+L3806+N3806+O3806-P3806-M3806</f>
        <v/>
      </c>
    </row>
    <row r="3807">
      <c r="A3807" s="16" t="inlineStr">
        <is>
          <t>5.29-6.4</t>
        </is>
      </c>
      <c r="B3807" s="16" t="inlineStr">
        <is>
          <t>PO-128-21484330317432470</t>
        </is>
      </c>
      <c r="C3807" s="16" t="inlineStr">
        <is>
          <t>Delivered</t>
        </is>
      </c>
      <c r="D3807" s="16" t="inlineStr">
        <is>
          <t>128-21484382746232470</t>
        </is>
      </c>
      <c r="E3807" s="16" t="inlineStr">
        <is>
          <t>Delivered</t>
        </is>
      </c>
      <c r="F3807" s="16" t="inlineStr">
        <is>
          <t>LV54W25</t>
        </is>
      </c>
      <c r="G3807" s="16" t="inlineStr">
        <is>
          <t>TIANLAI Lámpara Ventilador E27 2 en 1, Silenciosa, LED Alta Luminosidad 180°, Instalación Rápida, Ahorro Energético para Dormitorio y Interiores Pequeños</t>
        </is>
      </c>
      <c r="H3807" s="16" t="inlineStr">
        <is>
          <t>1 Pieza</t>
        </is>
      </c>
      <c r="I3807" s="16" t="n">
        <v>1</v>
      </c>
      <c r="J3807" s="17" t="n">
        <v>74</v>
      </c>
      <c r="K3807" s="17" t="n">
        <v>77.12</v>
      </c>
      <c r="L3807" s="17" t="n">
        <v>25.86</v>
      </c>
      <c r="M3807" s="17" t="n">
        <v>0</v>
      </c>
      <c r="N3807" s="17">
        <f>K3807*0.08+L3807*0.08</f>
        <v/>
      </c>
      <c r="O3807" s="17">
        <f>-(K3807*0.025+L3807*0.025)</f>
        <v/>
      </c>
      <c r="P3807" s="17">
        <f>32</f>
        <v/>
      </c>
      <c r="Q3807" s="17">
        <f>J3807+L3807+N3807+O3807-P3807-M3807</f>
        <v/>
      </c>
    </row>
    <row r="3808">
      <c r="A3808" s="16" t="inlineStr">
        <is>
          <t>5.29-6.4</t>
        </is>
      </c>
      <c r="B3808" s="16" t="inlineStr">
        <is>
          <t>PO-128-21961248461430717</t>
        </is>
      </c>
      <c r="C3808" s="16" t="inlineStr">
        <is>
          <t>Delivered</t>
        </is>
      </c>
      <c r="D3808" s="16" t="inlineStr">
        <is>
          <t>128-21961353319030717</t>
        </is>
      </c>
      <c r="E3808" s="16" t="inlineStr">
        <is>
          <t>Delivered</t>
        </is>
      </c>
      <c r="F3808" s="16" t="inlineStr">
        <is>
          <t>LV54W25</t>
        </is>
      </c>
      <c r="G3808" s="16" t="inlineStr">
        <is>
          <t>TIANLAI Lámpara Ventilador E27 2 en 1, Silenciosa, LED Alta Luminosidad 180°, Instalación Rápida, Ahorro Energético para Dormitorio y Interiores Pequeños</t>
        </is>
      </c>
      <c r="H3808" s="16" t="inlineStr">
        <is>
          <t>1 Pieza</t>
        </is>
      </c>
      <c r="I3808" s="16" t="n">
        <v>2</v>
      </c>
      <c r="J3808" s="17" t="n">
        <v>148</v>
      </c>
      <c r="K3808" s="17" t="n">
        <v>171.36</v>
      </c>
      <c r="L3808" s="17" t="n">
        <v>25.86</v>
      </c>
      <c r="M3808" s="17" t="n">
        <v>0</v>
      </c>
      <c r="N3808" s="17">
        <f>K3808*0.08+L3808*0.08</f>
        <v/>
      </c>
      <c r="O3808" s="17">
        <f>-(K3808*0.025+L3808*0.025)</f>
        <v/>
      </c>
      <c r="P3808" s="17">
        <f>32</f>
        <v/>
      </c>
      <c r="Q3808" s="17">
        <f>J3808+L3808+N3808+O3808-P3808-M3808</f>
        <v/>
      </c>
    </row>
    <row r="3809">
      <c r="A3809" s="16" t="inlineStr">
        <is>
          <t>5.29-6.4</t>
        </is>
      </c>
      <c r="B3809" s="16" t="inlineStr">
        <is>
          <t>PO-128-21546892657272099</t>
        </is>
      </c>
      <c r="C3809" s="16" t="inlineStr">
        <is>
          <t>Delivered</t>
        </is>
      </c>
      <c r="D3809" s="16" t="inlineStr">
        <is>
          <t>128-21546819256952099</t>
        </is>
      </c>
      <c r="E3809" s="16" t="inlineStr">
        <is>
          <t>Delivered</t>
        </is>
      </c>
      <c r="F3809" s="16" t="inlineStr">
        <is>
          <t>LV64W25</t>
        </is>
      </c>
      <c r="G38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09" s="16" t="inlineStr">
        <is>
          <t>Blanco</t>
        </is>
      </c>
      <c r="I3809" s="16" t="n">
        <v>2</v>
      </c>
      <c r="J3809" s="17" t="n">
        <v>238</v>
      </c>
      <c r="K3809" s="17" t="n">
        <v>247.08</v>
      </c>
      <c r="L3809" s="17" t="n">
        <v>0</v>
      </c>
      <c r="M3809" s="17" t="n">
        <v>0</v>
      </c>
      <c r="N3809" s="17">
        <f>K3809*0.08+L3809*0.08</f>
        <v/>
      </c>
      <c r="O3809" s="17">
        <f>-(K3809*0.025+L3809*0.025)</f>
        <v/>
      </c>
      <c r="P3809" s="17">
        <f>32</f>
        <v/>
      </c>
      <c r="Q3809" s="17">
        <f>J3809+L3809+N3809+O3809-P3809-M3809</f>
        <v/>
      </c>
    </row>
    <row r="3810">
      <c r="A3810" s="16" t="inlineStr">
        <is>
          <t>5.29-6.4</t>
        </is>
      </c>
      <c r="B3810" s="16" t="inlineStr">
        <is>
          <t>PO-128-21340125983353395</t>
        </is>
      </c>
      <c r="C3810" s="16" t="inlineStr">
        <is>
          <t>Delivered</t>
        </is>
      </c>
      <c r="D3810" s="16" t="inlineStr">
        <is>
          <t>128-21340157440633395</t>
        </is>
      </c>
      <c r="E3810" s="16" t="inlineStr">
        <is>
          <t>Delivered</t>
        </is>
      </c>
      <c r="F3810" s="16" t="inlineStr">
        <is>
          <t>KTS-2031</t>
        </is>
      </c>
      <c r="G3810" s="16" t="inlineStr">
        <is>
          <t>Bocina inalámbrica de 3 pulgadas con linterna multifuncional y panel solar integrado.Altavoz Portátil con Linterna LED 4 Modos, Radio FM, Bluetooth, Carga Solar, Ideal para Apagones, Emergencias, Campo y Exteriores</t>
        </is>
      </c>
      <c r="H3810" s="16" t="inlineStr">
        <is>
          <t>NEGRO</t>
        </is>
      </c>
      <c r="I3810" s="16" t="n">
        <v>1</v>
      </c>
      <c r="J3810" s="17" t="n">
        <v>88</v>
      </c>
      <c r="K3810" s="17" t="n">
        <v>97.22</v>
      </c>
      <c r="L3810" s="17" t="n">
        <v>25.86</v>
      </c>
      <c r="M3810" s="17" t="n">
        <v>0</v>
      </c>
      <c r="N3810" s="17">
        <f>K3810*0.08+L3810*0.08</f>
        <v/>
      </c>
      <c r="O3810" s="17">
        <f>-(K3810*0.025+L3810*0.025)</f>
        <v/>
      </c>
      <c r="P3810" s="17">
        <f>32</f>
        <v/>
      </c>
      <c r="Q3810" s="17">
        <f>J3810+L3810+N3810+O3810-P3810-M3810</f>
        <v/>
      </c>
    </row>
    <row r="3811">
      <c r="A3811" s="16" t="inlineStr">
        <is>
          <t>5.29-6.4</t>
        </is>
      </c>
      <c r="B3811" s="16" t="inlineStr">
        <is>
          <t>PO-128-21924842317430996</t>
        </is>
      </c>
      <c r="C3811" s="16" t="inlineStr">
        <is>
          <t>Delivered</t>
        </is>
      </c>
      <c r="D3811" s="16" t="inlineStr">
        <is>
          <t>128-21924821345910996</t>
        </is>
      </c>
      <c r="E3811" s="16" t="inlineStr">
        <is>
          <t>Delivered</t>
        </is>
      </c>
      <c r="F3811" s="16" t="inlineStr">
        <is>
          <t>LV54W25</t>
        </is>
      </c>
      <c r="G3811" s="16" t="inlineStr">
        <is>
          <t>TIANLAI Lámpara Ventilador E27 2 en 1, Silenciosa, LED Alta Luminosidad 180°, Instalación Rápida, Ahorro Energético para Dormitorio y Interiores Pequeños</t>
        </is>
      </c>
      <c r="H3811" s="16" t="inlineStr">
        <is>
          <t>1 Pieza</t>
        </is>
      </c>
      <c r="I3811" s="16" t="n">
        <v>1</v>
      </c>
      <c r="J3811" s="17" t="n">
        <v>74</v>
      </c>
      <c r="K3811" s="17" t="n">
        <v>85.68000000000001</v>
      </c>
      <c r="L3811" s="17" t="n">
        <v>25.86</v>
      </c>
      <c r="M3811" s="17" t="n">
        <v>0</v>
      </c>
      <c r="N3811" s="17">
        <f>K3811*0.08+L3811*0.08</f>
        <v/>
      </c>
      <c r="O3811" s="17">
        <f>-(K3811*0.025+L3811*0.025)</f>
        <v/>
      </c>
      <c r="P3811" s="17">
        <f>32</f>
        <v/>
      </c>
      <c r="Q3811" s="17">
        <f>J3811+L3811+N3811+O3811-P3811-M3811</f>
        <v/>
      </c>
    </row>
    <row r="3812">
      <c r="A3812" s="16" t="inlineStr">
        <is>
          <t>5.29-6.4</t>
        </is>
      </c>
      <c r="B3812" s="16" t="inlineStr">
        <is>
          <t>PO-128-21713091922551042</t>
        </is>
      </c>
      <c r="C3812" s="16" t="inlineStr">
        <is>
          <t>Delivered</t>
        </is>
      </c>
      <c r="D3812" s="16" t="inlineStr">
        <is>
          <t>128-21713102408311042</t>
        </is>
      </c>
      <c r="E3812" s="16" t="inlineStr">
        <is>
          <t>Delivered</t>
        </is>
      </c>
      <c r="F3812" s="16" t="inlineStr">
        <is>
          <t>LV64W25</t>
        </is>
      </c>
      <c r="G38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12" s="16" t="inlineStr">
        <is>
          <t>Blanco</t>
        </is>
      </c>
      <c r="I3812" s="16" t="n">
        <v>1</v>
      </c>
      <c r="J3812" s="17" t="n">
        <v>119</v>
      </c>
      <c r="K3812" s="17" t="n">
        <v>124.37</v>
      </c>
      <c r="L3812" s="17" t="n">
        <v>25.86</v>
      </c>
      <c r="M3812" s="17" t="n">
        <v>0</v>
      </c>
      <c r="N3812" s="17">
        <f>K3812*0.08+L3812*0.08</f>
        <v/>
      </c>
      <c r="O3812" s="17">
        <f>-(K3812*0.025+L3812*0.025)</f>
        <v/>
      </c>
      <c r="P3812" s="17">
        <f>32</f>
        <v/>
      </c>
      <c r="Q3812" s="17">
        <f>J3812+L3812+N3812+O3812-P3812-M3812</f>
        <v/>
      </c>
    </row>
    <row r="3813">
      <c r="A3813" s="16" t="inlineStr">
        <is>
          <t>5.29-6.4</t>
        </is>
      </c>
      <c r="B3813" s="16" t="inlineStr">
        <is>
          <t>PO-128-21904373688950926</t>
        </is>
      </c>
      <c r="C3813" s="16" t="inlineStr">
        <is>
          <t>Delivered</t>
        </is>
      </c>
      <c r="D3813" s="16" t="inlineStr">
        <is>
          <t>128-21904363203190926</t>
        </is>
      </c>
      <c r="E3813" s="16" t="inlineStr">
        <is>
          <t>Delivered</t>
        </is>
      </c>
      <c r="F3813" s="16" t="inlineStr">
        <is>
          <t>VB349T</t>
        </is>
      </c>
      <c r="G3813" s="16" t="inlineStr">
        <is>
          <t>LINKBITS Altavoz Portátil de Doble Altavoz - 3 Pulgadas, Sonido HD, Emparejamiento Rápido de Bluetooth, Conectividad TWS, Reproducción Multimodo (Micro SD/USB/Radio FM) - Perfecto para Oficina, Viajes y Espacios Pequeños</t>
        </is>
      </c>
      <c r="H3813" s="16" t="inlineStr">
        <is>
          <t>NEGRO</t>
        </is>
      </c>
      <c r="I3813" s="16" t="n">
        <v>2</v>
      </c>
      <c r="J3813" s="17" t="n">
        <v>156</v>
      </c>
      <c r="K3813" s="17" t="n">
        <v>182.52</v>
      </c>
      <c r="L3813" s="17" t="n">
        <v>25.86</v>
      </c>
      <c r="M3813" s="17" t="n">
        <v>0</v>
      </c>
      <c r="N3813" s="17">
        <f>K3813*0.08+L3813*0.08</f>
        <v/>
      </c>
      <c r="O3813" s="17">
        <f>-(K3813*0.025+L3813*0.025)</f>
        <v/>
      </c>
      <c r="P3813" s="17">
        <f>32</f>
        <v/>
      </c>
      <c r="Q3813" s="17">
        <f>J3813+L3813+N3813+O3813-P3813-M3813</f>
        <v/>
      </c>
    </row>
    <row r="3814">
      <c r="A3814" s="16" t="inlineStr">
        <is>
          <t>5.29-6.4</t>
        </is>
      </c>
      <c r="B3814" s="16" t="inlineStr">
        <is>
          <t>PO-128-21794213192311777</t>
        </is>
      </c>
      <c r="C3814" s="16" t="inlineStr">
        <is>
          <t>Delivered</t>
        </is>
      </c>
      <c r="D3814" s="16" t="inlineStr">
        <is>
          <t>128-21794167317111777</t>
        </is>
      </c>
      <c r="E3814" s="16" t="inlineStr">
        <is>
          <t>Delivered</t>
        </is>
      </c>
      <c r="F3814" s="16" t="inlineStr">
        <is>
          <t>TLCD02-8P-V</t>
        </is>
      </c>
      <c r="G381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814" s="16" t="inlineStr">
        <is>
          <t>VERDE/pantalla de 8.5 pulgadas</t>
        </is>
      </c>
      <c r="I3814" s="16" t="n">
        <v>1</v>
      </c>
      <c r="J3814" s="17" t="n">
        <v>24</v>
      </c>
      <c r="K3814" s="17" t="n">
        <v>28.47</v>
      </c>
      <c r="L3814" s="17" t="n">
        <v>25.86</v>
      </c>
      <c r="M3814" s="17" t="n">
        <v>0</v>
      </c>
      <c r="N3814" s="17">
        <f>K3814*0.08+L3814*0.08</f>
        <v/>
      </c>
      <c r="O3814" s="17">
        <f>-(K3814*0.025+L3814*0.025)</f>
        <v/>
      </c>
      <c r="P3814" s="17">
        <f>32</f>
        <v/>
      </c>
      <c r="Q3814" s="17">
        <f>J3814+L3814+N3814+O3814-P3814-M3814</f>
        <v/>
      </c>
    </row>
    <row r="3815">
      <c r="A3815" s="16" t="inlineStr">
        <is>
          <t>5.29-6.4</t>
        </is>
      </c>
      <c r="B3815" s="16" t="inlineStr">
        <is>
          <t>PO-128-21927053251190793</t>
        </is>
      </c>
      <c r="C3815" s="16" t="inlineStr">
        <is>
          <t>Delivered</t>
        </is>
      </c>
      <c r="D3815" s="16" t="inlineStr">
        <is>
          <t>128-21927074222710793</t>
        </is>
      </c>
      <c r="E3815" s="16" t="inlineStr">
        <is>
          <t>Delivered</t>
        </is>
      </c>
      <c r="F3815" s="16" t="inlineStr">
        <is>
          <t>LV54W25</t>
        </is>
      </c>
      <c r="G3815" s="16" t="inlineStr">
        <is>
          <t>TIANLAI Lámpara Ventilador E27 2 en 1, Silenciosa, LED Alta Luminosidad 180°, Instalación Rápida, Ahorro Energético para Dormitorio y Interiores Pequeños</t>
        </is>
      </c>
      <c r="H3815" s="16" t="inlineStr">
        <is>
          <t>1 Pieza</t>
        </is>
      </c>
      <c r="I3815" s="16" t="n">
        <v>1</v>
      </c>
      <c r="J3815" s="17" t="n">
        <v>74</v>
      </c>
      <c r="K3815" s="17" t="n">
        <v>76.26000000000001</v>
      </c>
      <c r="L3815" s="17" t="n">
        <v>25.86</v>
      </c>
      <c r="M3815" s="17" t="n">
        <v>0</v>
      </c>
      <c r="N3815" s="17">
        <f>K3815*0.08+L3815*0.08</f>
        <v/>
      </c>
      <c r="O3815" s="17">
        <f>-(K3815*0.025+L3815*0.025)</f>
        <v/>
      </c>
      <c r="P3815" s="17">
        <f>32</f>
        <v/>
      </c>
      <c r="Q3815" s="17">
        <f>J3815+L3815+N3815+O3815-P3815-M3815</f>
        <v/>
      </c>
    </row>
    <row r="3816">
      <c r="A3816" s="16" t="inlineStr">
        <is>
          <t>5.29-6.4</t>
        </is>
      </c>
      <c r="B3816" s="16" t="inlineStr">
        <is>
          <t>PO-128-21736321813111928</t>
        </is>
      </c>
      <c r="C3816" s="16" t="inlineStr">
        <is>
          <t>Delivered</t>
        </is>
      </c>
      <c r="D3816" s="16" t="inlineStr">
        <is>
          <t>128-21736269384311928</t>
        </is>
      </c>
      <c r="E3816" s="16" t="inlineStr">
        <is>
          <t>Delivered</t>
        </is>
      </c>
      <c r="F3816" s="16" t="inlineStr">
        <is>
          <t>VB349T</t>
        </is>
      </c>
      <c r="G3816" s="16" t="inlineStr">
        <is>
          <t>LINKBITS Altavoz Portátil de Doble Altavoz - 3 Pulgadas, Sonido HD, Emparejamiento Rápido de Bluetooth, Conectividad TWS, Reproducción Multimodo (Micro SD/USB/Radio FM) - Perfecto para Oficina, Viajes y Espacios Pequeños</t>
        </is>
      </c>
      <c r="H3816" s="16" t="inlineStr">
        <is>
          <t>NEGRO</t>
        </is>
      </c>
      <c r="I3816" s="16" t="n">
        <v>1</v>
      </c>
      <c r="J3816" s="17" t="n">
        <v>78</v>
      </c>
      <c r="K3816" s="17" t="n">
        <v>91.26000000000001</v>
      </c>
      <c r="L3816" s="17" t="n">
        <v>25.86</v>
      </c>
      <c r="M3816" s="17" t="n">
        <v>0</v>
      </c>
      <c r="N3816" s="17">
        <f>K3816*0.08+L3816*0.08</f>
        <v/>
      </c>
      <c r="O3816" s="17">
        <f>-(K3816*0.025+L3816*0.025)</f>
        <v/>
      </c>
      <c r="P3816" s="17">
        <f>32</f>
        <v/>
      </c>
      <c r="Q3816" s="17">
        <f>J3816+L3816+N3816+O3816-P3816-M3816</f>
        <v/>
      </c>
    </row>
    <row r="3817">
      <c r="A3817" s="16" t="inlineStr">
        <is>
          <t>5.29-6.4</t>
        </is>
      </c>
      <c r="B3817" s="16" t="inlineStr">
        <is>
          <t>PO-128-21330081915513391</t>
        </is>
      </c>
      <c r="C3817" s="16" t="inlineStr">
        <is>
          <t>Delivered</t>
        </is>
      </c>
      <c r="D3817" s="16" t="inlineStr">
        <is>
          <t>128-21330186773113391</t>
        </is>
      </c>
      <c r="E3817" s="16" t="inlineStr">
        <is>
          <t>Delivered</t>
        </is>
      </c>
      <c r="F3817" s="16" t="inlineStr">
        <is>
          <t>LV54W25</t>
        </is>
      </c>
      <c r="G3817" s="16" t="inlineStr">
        <is>
          <t>TIANLAI Lámpara Ventilador E27 2 en 1, Silenciosa, LED Alta Luminosidad 180°, Instalación Rápida, Ahorro Energético para Dormitorio y Interiores Pequeños</t>
        </is>
      </c>
      <c r="H3817" s="16" t="inlineStr">
        <is>
          <t>1 Pieza</t>
        </is>
      </c>
      <c r="I3817" s="16" t="n">
        <v>1</v>
      </c>
      <c r="J3817" s="17" t="n">
        <v>74</v>
      </c>
      <c r="K3817" s="17" t="n">
        <v>77.12</v>
      </c>
      <c r="L3817" s="17" t="n">
        <v>25.86</v>
      </c>
      <c r="M3817" s="17" t="n">
        <v>0</v>
      </c>
      <c r="N3817" s="17">
        <f>K3817*0.08+L3817*0.08</f>
        <v/>
      </c>
      <c r="O3817" s="17">
        <f>-(K3817*0.025+L3817*0.025)</f>
        <v/>
      </c>
      <c r="P3817" s="17">
        <f>32</f>
        <v/>
      </c>
      <c r="Q3817" s="17">
        <f>J3817+L3817+N3817+O3817-P3817-M3817</f>
        <v/>
      </c>
    </row>
    <row r="3818">
      <c r="A3818" s="16" t="inlineStr">
        <is>
          <t>5.29-6.4</t>
        </is>
      </c>
      <c r="B3818" s="16" t="inlineStr">
        <is>
          <t>PO-128-21617273631352766</t>
        </is>
      </c>
      <c r="C3818" s="16" t="inlineStr">
        <is>
          <t>Delivered</t>
        </is>
      </c>
      <c r="D3818" s="16" t="inlineStr">
        <is>
          <t>128-21617263145592766</t>
        </is>
      </c>
      <c r="E3818" s="16" t="inlineStr">
        <is>
          <t>Delivered</t>
        </is>
      </c>
      <c r="F3818" s="16" t="inlineStr">
        <is>
          <t>TLCD01-4P-nN</t>
        </is>
      </c>
      <c r="G3818"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818" s="16" t="inlineStr">
        <is>
          <t>NEGRO/pantalla de 4.5 pulgadas</t>
        </is>
      </c>
      <c r="I3818" s="16" t="n">
        <v>1</v>
      </c>
      <c r="J3818" s="17" t="n">
        <v>19</v>
      </c>
      <c r="K3818" s="17" t="n">
        <v>22.63</v>
      </c>
      <c r="L3818" s="17" t="n">
        <v>25.86</v>
      </c>
      <c r="M3818" s="17" t="n">
        <v>0</v>
      </c>
      <c r="N3818" s="17">
        <f>K3818*0.08+L3818*0.08</f>
        <v/>
      </c>
      <c r="O3818" s="17">
        <f>-(K3818*0.025+L3818*0.025)</f>
        <v/>
      </c>
      <c r="P3818" s="17">
        <f>32</f>
        <v/>
      </c>
      <c r="Q3818" s="17">
        <f>J3818+L3818+N3818+O3818-P3818-M3818</f>
        <v/>
      </c>
    </row>
    <row r="3819">
      <c r="A3819" s="16" t="inlineStr">
        <is>
          <t>5.29-6.4</t>
        </is>
      </c>
      <c r="B3819" s="16" t="inlineStr">
        <is>
          <t>PO-128-21608519291512690</t>
        </is>
      </c>
      <c r="C3819" s="16" t="inlineStr">
        <is>
          <t>Delivered</t>
        </is>
      </c>
      <c r="D3819" s="16" t="inlineStr">
        <is>
          <t>128-21608545505912690</t>
        </is>
      </c>
      <c r="E3819" s="16" t="inlineStr">
        <is>
          <t>Delivered</t>
        </is>
      </c>
      <c r="F3819" s="16" t="inlineStr">
        <is>
          <t>KTS-2031</t>
        </is>
      </c>
      <c r="G3819" s="16" t="inlineStr">
        <is>
          <t>Bocina inalámbrica de 3 pulgadas con linterna multifuncional y panel solar integrado.Altavoz Portátil con Linterna LED 4 Modos, Radio FM, Bluetooth, Carga Solar, Ideal para Apagones, Emergencias, Campo y Exteriores</t>
        </is>
      </c>
      <c r="H3819" s="16" t="inlineStr">
        <is>
          <t>NEGRO</t>
        </is>
      </c>
      <c r="I3819" s="16" t="n">
        <v>1</v>
      </c>
      <c r="J3819" s="17" t="n">
        <v>88</v>
      </c>
      <c r="K3819" s="17" t="n">
        <v>97.22</v>
      </c>
      <c r="L3819" s="17" t="n">
        <v>25.86</v>
      </c>
      <c r="M3819" s="17" t="n">
        <v>0</v>
      </c>
      <c r="N3819" s="17">
        <f>K3819*0.08+L3819*0.08</f>
        <v/>
      </c>
      <c r="O3819" s="17">
        <f>-(K3819*0.025+L3819*0.025)</f>
        <v/>
      </c>
      <c r="P3819" s="17">
        <f>32</f>
        <v/>
      </c>
      <c r="Q3819" s="17">
        <f>J3819+L3819+N3819+O3819-P3819-M3819</f>
        <v/>
      </c>
    </row>
    <row r="3820">
      <c r="A3820" s="16" t="inlineStr">
        <is>
          <t>5.29-6.4</t>
        </is>
      </c>
      <c r="B3820" s="16" t="inlineStr">
        <is>
          <t>PO-128-21644665139832666</t>
        </is>
      </c>
      <c r="C3820" s="16" t="inlineStr">
        <is>
          <t>Delivered</t>
        </is>
      </c>
      <c r="D3820" s="16" t="inlineStr">
        <is>
          <t>128-21644707082872666</t>
        </is>
      </c>
      <c r="E3820" s="16" t="inlineStr">
        <is>
          <t>Delivered</t>
        </is>
      </c>
      <c r="F3820" s="16" t="inlineStr">
        <is>
          <t>LV64W25</t>
        </is>
      </c>
      <c r="G38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20" s="16" t="inlineStr">
        <is>
          <t>Blanco</t>
        </is>
      </c>
      <c r="I3820" s="16" t="n">
        <v>2</v>
      </c>
      <c r="J3820" s="17" t="n">
        <v>238</v>
      </c>
      <c r="K3820" s="17" t="n">
        <v>247.08</v>
      </c>
      <c r="L3820" s="17" t="n">
        <v>0</v>
      </c>
      <c r="M3820" s="17" t="n">
        <v>0</v>
      </c>
      <c r="N3820" s="17">
        <f>K3820*0.08+L3820*0.08</f>
        <v/>
      </c>
      <c r="O3820" s="17">
        <f>-(K3820*0.025+L3820*0.025)</f>
        <v/>
      </c>
      <c r="P3820" s="17">
        <f>32</f>
        <v/>
      </c>
      <c r="Q3820" s="17">
        <f>J3820+L3820+N3820+O3820-P3820-M3820</f>
        <v/>
      </c>
    </row>
    <row r="3821">
      <c r="A3821" s="16" t="inlineStr">
        <is>
          <t>5.29-6.4</t>
        </is>
      </c>
      <c r="B3821" s="16" t="inlineStr">
        <is>
          <t>PO-128-21552456632952128</t>
        </is>
      </c>
      <c r="C3821" s="16" t="inlineStr">
        <is>
          <t>Delivered</t>
        </is>
      </c>
      <c r="D3821" s="16" t="inlineStr">
        <is>
          <t>128-21552477604472128</t>
        </is>
      </c>
      <c r="E3821" s="16" t="inlineStr">
        <is>
          <t>Delivered</t>
        </is>
      </c>
      <c r="F3821" s="16" t="inlineStr">
        <is>
          <t>TLCD01-4P-nN</t>
        </is>
      </c>
      <c r="G382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821" s="16" t="inlineStr">
        <is>
          <t>NEGRO/pantalla de 4.5 pulgadas</t>
        </is>
      </c>
      <c r="I3821" s="16" t="n">
        <v>1</v>
      </c>
      <c r="J3821" s="17" t="n">
        <v>19</v>
      </c>
      <c r="K3821" s="17" t="n">
        <v>22.63</v>
      </c>
      <c r="L3821" s="17" t="n">
        <v>25.86</v>
      </c>
      <c r="M3821" s="17" t="n">
        <v>0</v>
      </c>
      <c r="N3821" s="17">
        <f>K3821*0.08+L3821*0.08</f>
        <v/>
      </c>
      <c r="O3821" s="17">
        <f>-(K3821*0.025+L3821*0.025)</f>
        <v/>
      </c>
      <c r="P3821" s="17">
        <f>32</f>
        <v/>
      </c>
      <c r="Q3821" s="17">
        <f>J3821+L3821+N3821+O3821-P3821-M3821</f>
        <v/>
      </c>
    </row>
    <row r="3822">
      <c r="A3822" s="16" t="inlineStr">
        <is>
          <t>5.29-6.4</t>
        </is>
      </c>
      <c r="B3822" s="16" t="inlineStr">
        <is>
          <t>PO-128-21661357056631481</t>
        </is>
      </c>
      <c r="C3822" s="16" t="inlineStr">
        <is>
          <t>Delivered</t>
        </is>
      </c>
      <c r="D3822" s="16" t="inlineStr">
        <is>
          <t>128-21661388513911481</t>
        </is>
      </c>
      <c r="E3822" s="16" t="inlineStr">
        <is>
          <t>Delivered</t>
        </is>
      </c>
      <c r="F3822" s="16" t="inlineStr">
        <is>
          <t>BSC07</t>
        </is>
      </c>
      <c r="G3822" s="16" t="inlineStr">
        <is>
          <t>TIANLAI Báscula Digital BSC04/BSC07, Alta Precisión, Fácil Operación, Ligera y Portátil, Función Tara, Unidad Dual oz/g, Ideal para Cocina, Control de Porciones, Sellos y Objetos Pequeños, Uso en Hogar y Viaje</t>
        </is>
      </c>
      <c r="H3822" s="16" t="inlineStr">
        <is>
          <t>1g/White</t>
        </is>
      </c>
      <c r="I3822" s="16" t="n">
        <v>1</v>
      </c>
      <c r="J3822" s="17" t="n">
        <v>35</v>
      </c>
      <c r="K3822" s="17" t="n">
        <v>47.22</v>
      </c>
      <c r="L3822" s="17" t="n">
        <v>25.86</v>
      </c>
      <c r="M3822" s="17" t="n">
        <v>0</v>
      </c>
      <c r="N3822" s="17">
        <f>K3822*0.08+L3822*0.08</f>
        <v/>
      </c>
      <c r="O3822" s="17">
        <f>-(K3822*0.025+L3822*0.025)</f>
        <v/>
      </c>
      <c r="P3822" s="17">
        <f>32</f>
        <v/>
      </c>
      <c r="Q3822" s="17">
        <f>J3822+L3822+N3822+O3822-P3822-M3822</f>
        <v/>
      </c>
    </row>
    <row r="3823">
      <c r="A3823" s="16" t="inlineStr">
        <is>
          <t>5.29-6.4</t>
        </is>
      </c>
      <c r="B3823" s="16" t="inlineStr">
        <is>
          <t>PO-128-21598101412472880</t>
        </is>
      </c>
      <c r="C3823" s="16" t="inlineStr">
        <is>
          <t>Delivered</t>
        </is>
      </c>
      <c r="D3823" s="16" t="inlineStr">
        <is>
          <t>128-21598080440952880</t>
        </is>
      </c>
      <c r="E3823" s="16" t="inlineStr">
        <is>
          <t>Delivered</t>
        </is>
      </c>
      <c r="F3823" s="16" t="inlineStr">
        <is>
          <t>LV64W25</t>
        </is>
      </c>
      <c r="G382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23" s="16" t="inlineStr">
        <is>
          <t>Blanco</t>
        </is>
      </c>
      <c r="I3823" s="16" t="n">
        <v>2</v>
      </c>
      <c r="J3823" s="17" t="n">
        <v>238</v>
      </c>
      <c r="K3823" s="17" t="n">
        <v>249.49</v>
      </c>
      <c r="L3823" s="17" t="n">
        <v>0</v>
      </c>
      <c r="M3823" s="17" t="n">
        <v>0</v>
      </c>
      <c r="N3823" s="17">
        <f>K3823*0.08+L3823*0.08</f>
        <v/>
      </c>
      <c r="O3823" s="17">
        <f>-(K3823*0.025+L3823*0.025)</f>
        <v/>
      </c>
      <c r="P3823" s="17">
        <f>32</f>
        <v/>
      </c>
      <c r="Q3823" s="17">
        <f>J3823+L3823+N3823+O3823-P3823-M3823</f>
        <v/>
      </c>
    </row>
    <row r="3824">
      <c r="A3824" s="16" t="inlineStr">
        <is>
          <t>5.29-6.4</t>
        </is>
      </c>
      <c r="B3824" s="16" t="inlineStr">
        <is>
          <t>PO-128-21838476375670489</t>
        </is>
      </c>
      <c r="C3824" s="16" t="inlineStr">
        <is>
          <t>Delivered</t>
        </is>
      </c>
      <c r="D3824" s="16" t="inlineStr">
        <is>
          <t>128-21838455404150489</t>
        </is>
      </c>
      <c r="E3824" s="16" t="inlineStr">
        <is>
          <t>Delivered</t>
        </is>
      </c>
      <c r="F3824" s="16" t="inlineStr">
        <is>
          <t>B03W10-10PZS</t>
        </is>
      </c>
      <c r="G382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824" s="16" t="inlineStr">
        <is>
          <t>B03W10</t>
        </is>
      </c>
      <c r="I3824" s="16" t="n">
        <v>1</v>
      </c>
      <c r="J3824" s="17" t="n">
        <v>66</v>
      </c>
      <c r="K3824" s="17" t="n">
        <v>63.16</v>
      </c>
      <c r="L3824" s="17" t="n">
        <v>25.86</v>
      </c>
      <c r="M3824" s="17" t="n">
        <v>0</v>
      </c>
      <c r="N3824" s="17">
        <f>K3824*0.08+L3824*0.08</f>
        <v/>
      </c>
      <c r="O3824" s="17">
        <f>-(K3824*0.025+L3824*0.025)</f>
        <v/>
      </c>
      <c r="P3824" s="17">
        <f>32</f>
        <v/>
      </c>
      <c r="Q3824" s="17">
        <f>J3824+L3824+N3824+O3824-P3824-M3824</f>
        <v/>
      </c>
    </row>
    <row r="3825">
      <c r="A3825" s="16" t="inlineStr">
        <is>
          <t>5.29-6.4</t>
        </is>
      </c>
      <c r="B3825" s="16" t="inlineStr">
        <is>
          <t>PO-128-21510135977592380</t>
        </is>
      </c>
      <c r="C3825" s="16" t="inlineStr">
        <is>
          <t>Delivered</t>
        </is>
      </c>
      <c r="D3825" s="16" t="inlineStr">
        <is>
          <t>128-21510096655992380</t>
        </is>
      </c>
      <c r="E3825" s="16" t="inlineStr">
        <is>
          <t>Delivered</t>
        </is>
      </c>
      <c r="F3825" s="16" t="inlineStr">
        <is>
          <t>KTS-1936</t>
        </is>
      </c>
      <c r="G3825" s="16" t="inlineStr">
        <is>
          <t>Espejo con Luz para Makeup，Espejo con Luz LED y Bocina Bluetooth，Espejo para Maquillaje con Aumentos y Luces LED de Intensidad Ajustable，Lente de Aumento 10X+Reproductor TF+ TWS，espejo de portátil y para estudiantes, oficina, dormitorio, mejor regalo</t>
        </is>
      </c>
      <c r="H3825" s="16" t="inlineStr">
        <is>
          <t>BLANCO</t>
        </is>
      </c>
      <c r="I3825" s="16" t="n">
        <v>1</v>
      </c>
      <c r="J3825" s="17" t="n">
        <v>201</v>
      </c>
      <c r="K3825" s="17" t="n">
        <v>219.18</v>
      </c>
      <c r="L3825" s="17" t="n">
        <v>25.86</v>
      </c>
      <c r="M3825" s="17" t="n">
        <v>0</v>
      </c>
      <c r="N3825" s="17">
        <f>K3825*0.08+L3825*0.08</f>
        <v/>
      </c>
      <c r="O3825" s="17">
        <f>-(K3825*0.025+L3825*0.025)</f>
        <v/>
      </c>
      <c r="P3825" s="17">
        <f>32</f>
        <v/>
      </c>
      <c r="Q3825" s="17">
        <f>J3825+L3825+N3825+O3825-P3825-M3825</f>
        <v/>
      </c>
    </row>
    <row r="3826">
      <c r="A3826" s="16" t="inlineStr">
        <is>
          <t>5.29-6.4</t>
        </is>
      </c>
      <c r="B3826" s="16" t="inlineStr">
        <is>
          <t>PO-128-21764789955191886</t>
        </is>
      </c>
      <c r="C3826" s="16" t="inlineStr">
        <is>
          <t>Delivered</t>
        </is>
      </c>
      <c r="D3826" s="16" t="inlineStr">
        <is>
          <t>128-21764831898231886</t>
        </is>
      </c>
      <c r="E3826" s="16" t="inlineStr">
        <is>
          <t>Delivered</t>
        </is>
      </c>
      <c r="F3826" s="16" t="inlineStr">
        <is>
          <t>LV54W25</t>
        </is>
      </c>
      <c r="G3826" s="16" t="inlineStr">
        <is>
          <t>TIANLAI Lámpara Ventilador E27 2 en 1, Silenciosa, LED Alta Luminosidad 180°, Instalación Rápida, Ahorro Energético para Dormitorio y Interiores Pequeños</t>
        </is>
      </c>
      <c r="H3826" s="16" t="inlineStr">
        <is>
          <t>1 Pieza</t>
        </is>
      </c>
      <c r="I3826" s="16" t="n">
        <v>2</v>
      </c>
      <c r="J3826" s="17" t="n">
        <v>148</v>
      </c>
      <c r="K3826" s="17" t="n">
        <v>154.24</v>
      </c>
      <c r="L3826" s="17" t="n">
        <v>25.86</v>
      </c>
      <c r="M3826" s="17" t="n">
        <v>0</v>
      </c>
      <c r="N3826" s="17">
        <f>K3826*0.08+L3826*0.08</f>
        <v/>
      </c>
      <c r="O3826" s="17">
        <f>-(K3826*0.025+L3826*0.025)</f>
        <v/>
      </c>
      <c r="P3826" s="17">
        <f>32</f>
        <v/>
      </c>
      <c r="Q3826" s="17">
        <f>J3826+L3826+N3826+O3826-P3826-M3826</f>
        <v/>
      </c>
    </row>
    <row r="3827">
      <c r="A3827" s="16" t="inlineStr">
        <is>
          <t>5.29-6.4</t>
        </is>
      </c>
      <c r="B3827" s="16" t="inlineStr">
        <is>
          <t>PO-128-21625856174712586</t>
        </is>
      </c>
      <c r="C3827" s="16" t="inlineStr">
        <is>
          <t>Delivered</t>
        </is>
      </c>
      <c r="D3827" s="16" t="inlineStr">
        <is>
          <t>128-21625961032312586</t>
        </is>
      </c>
      <c r="E3827" s="16" t="inlineStr">
        <is>
          <t>Delivered</t>
        </is>
      </c>
      <c r="F3827" s="16" t="inlineStr">
        <is>
          <t>KTS-2031</t>
        </is>
      </c>
      <c r="G3827" s="16" t="inlineStr">
        <is>
          <t>Bocina inalámbrica de 3 pulgadas con linterna multifuncional y panel solar integrado.Altavoz Portátil con Linterna LED 4 Modos, Radio FM, Bluetooth, Carga Solar, Ideal para Apagones, Emergencias, Campo y Exteriores</t>
        </is>
      </c>
      <c r="H3827" s="16" t="inlineStr">
        <is>
          <t>NEGRO</t>
        </is>
      </c>
      <c r="I3827" s="16" t="n">
        <v>1</v>
      </c>
      <c r="J3827" s="17" t="n">
        <v>88</v>
      </c>
      <c r="K3827" s="17" t="n">
        <v>97.22</v>
      </c>
      <c r="L3827" s="17" t="n">
        <v>25.86</v>
      </c>
      <c r="M3827" s="17" t="n">
        <v>0</v>
      </c>
      <c r="N3827" s="17">
        <f>K3827*0.08+L3827*0.08</f>
        <v/>
      </c>
      <c r="O3827" s="17">
        <f>-(K3827*0.025+L3827*0.025)</f>
        <v/>
      </c>
      <c r="P3827" s="17">
        <f>32</f>
        <v/>
      </c>
      <c r="Q3827" s="17">
        <f>J3827+L3827+N3827+O3827-P3827-M3827</f>
        <v/>
      </c>
    </row>
    <row r="3828">
      <c r="A3828" s="16" t="inlineStr">
        <is>
          <t>5.29-6.4</t>
        </is>
      </c>
      <c r="B3828" s="16" t="inlineStr">
        <is>
          <t>PO-128-21507171564152398</t>
        </is>
      </c>
      <c r="C3828" s="16" t="inlineStr">
        <is>
          <t>Delivered</t>
        </is>
      </c>
      <c r="D3828" s="16" t="inlineStr">
        <is>
          <t>128-21507192535672398</t>
        </is>
      </c>
      <c r="E3828" s="16" t="inlineStr">
        <is>
          <t>Delivered</t>
        </is>
      </c>
      <c r="F3828" s="16" t="inlineStr">
        <is>
          <t>LV54W25</t>
        </is>
      </c>
      <c r="G3828" s="16" t="inlineStr">
        <is>
          <t>TIANLAI Lámpara Ventilador E27 2 en 1, Silenciosa, LED Alta Luminosidad 180°, Instalación Rápida, Ahorro Energético para Dormitorio y Interiores Pequeños</t>
        </is>
      </c>
      <c r="H3828" s="16" t="inlineStr">
        <is>
          <t>1 Pieza</t>
        </is>
      </c>
      <c r="I3828" s="16" t="n">
        <v>3</v>
      </c>
      <c r="J3828" s="17" t="n">
        <v>222</v>
      </c>
      <c r="K3828" s="17" t="n">
        <v>231.36</v>
      </c>
      <c r="L3828" s="17" t="n">
        <v>25.86</v>
      </c>
      <c r="M3828" s="17" t="n">
        <v>0</v>
      </c>
      <c r="N3828" s="17">
        <f>K3828*0.08+L3828*0.08</f>
        <v/>
      </c>
      <c r="O3828" s="17">
        <f>-(K3828*0.025+L3828*0.025)</f>
        <v/>
      </c>
      <c r="P3828" s="17">
        <f>32</f>
        <v/>
      </c>
      <c r="Q3828" s="17">
        <f>J3828+L3828+N3828+O3828-P3828-M3828</f>
        <v/>
      </c>
    </row>
    <row r="3829">
      <c r="A3829" s="16" t="inlineStr">
        <is>
          <t>5.29-6.4</t>
        </is>
      </c>
      <c r="B3829" s="16" t="inlineStr">
        <is>
          <t>PO-128-21428966564473952</t>
        </is>
      </c>
      <c r="C3829" s="16" t="inlineStr">
        <is>
          <t>Delivered</t>
        </is>
      </c>
      <c r="D3829" s="16" t="inlineStr">
        <is>
          <t>128-21429018993273952</t>
        </is>
      </c>
      <c r="E3829" s="16" t="inlineStr">
        <is>
          <t>Delivered</t>
        </is>
      </c>
      <c r="F3829" s="16" t="inlineStr">
        <is>
          <t>LV54W25</t>
        </is>
      </c>
      <c r="G3829" s="16" t="inlineStr">
        <is>
          <t>TIANLAI Lámpara Ventilador E27 2 en 1, Silenciosa, LED Alta Luminosidad 180°, Instalación Rápida, Ahorro Energético para Dormitorio y Interiores Pequeños</t>
        </is>
      </c>
      <c r="H3829" s="16" t="inlineStr">
        <is>
          <t>1 Pieza</t>
        </is>
      </c>
      <c r="I3829" s="16" t="n">
        <v>1</v>
      </c>
      <c r="J3829" s="17" t="n">
        <v>74</v>
      </c>
      <c r="K3829" s="17" t="n">
        <v>85.68000000000001</v>
      </c>
      <c r="L3829" s="17" t="n">
        <v>25.86</v>
      </c>
      <c r="M3829" s="17" t="n">
        <v>0</v>
      </c>
      <c r="N3829" s="17">
        <f>K3829*0.08+L3829*0.08</f>
        <v/>
      </c>
      <c r="O3829" s="17">
        <f>-(K3829*0.025+L3829*0.025)</f>
        <v/>
      </c>
      <c r="P3829" s="17">
        <f>32</f>
        <v/>
      </c>
      <c r="Q3829" s="17">
        <f>J3829+L3829+N3829+O3829-P3829-M3829</f>
        <v/>
      </c>
    </row>
    <row r="3830">
      <c r="A3830" s="16" t="inlineStr">
        <is>
          <t>5.29-6.4</t>
        </is>
      </c>
      <c r="B3830" s="16" t="inlineStr">
        <is>
          <t>PO-128-21861248379510353</t>
        </is>
      </c>
      <c r="C3830" s="16" t="inlineStr">
        <is>
          <t>Delivered</t>
        </is>
      </c>
      <c r="D3830" s="16" t="inlineStr">
        <is>
          <t>128-21861237893750353</t>
        </is>
      </c>
      <c r="E3830" s="16" t="inlineStr">
        <is>
          <t>Delivered</t>
        </is>
      </c>
      <c r="F3830" s="16" t="inlineStr">
        <is>
          <t>KTS-2031</t>
        </is>
      </c>
      <c r="G3830" s="16" t="inlineStr">
        <is>
          <t>Bocina inalámbrica de 3 pulgadas con linterna multifuncional y panel solar integrado.Altavoz Portátil con Linterna LED 4 Modos, Radio FM, Bluetooth, Carga Solar, Ideal para Apagones, Emergencias, Campo y Exteriores</t>
        </is>
      </c>
      <c r="H3830" s="16" t="inlineStr">
        <is>
          <t>NEGRO</t>
        </is>
      </c>
      <c r="I3830" s="16" t="n">
        <v>1</v>
      </c>
      <c r="J3830" s="17" t="n">
        <v>88</v>
      </c>
      <c r="K3830" s="17" t="n">
        <v>97.22</v>
      </c>
      <c r="L3830" s="17" t="n">
        <v>25.86</v>
      </c>
      <c r="M3830" s="17" t="n">
        <v>0</v>
      </c>
      <c r="N3830" s="17">
        <f>K3830*0.08+L3830*0.08</f>
        <v/>
      </c>
      <c r="O3830" s="17">
        <f>-(K3830*0.025+L3830*0.025)</f>
        <v/>
      </c>
      <c r="P3830" s="17">
        <f>32</f>
        <v/>
      </c>
      <c r="Q3830" s="17">
        <f>J3830+L3830+N3830+O3830-P3830-M3830</f>
        <v/>
      </c>
    </row>
    <row r="3831">
      <c r="A3831" s="16" t="inlineStr">
        <is>
          <t>5.29-6.4</t>
        </is>
      </c>
      <c r="B3831" s="16" t="inlineStr">
        <is>
          <t>PO-128-21698921032311193</t>
        </is>
      </c>
      <c r="C3831" s="16" t="inlineStr">
        <is>
          <t>Delivered</t>
        </is>
      </c>
      <c r="D3831" s="16" t="inlineStr">
        <is>
          <t>128-21698892196471193</t>
        </is>
      </c>
      <c r="E3831" s="16" t="inlineStr">
        <is>
          <t>Delivered</t>
        </is>
      </c>
      <c r="F3831" s="16" t="inlineStr">
        <is>
          <t>LV54W25</t>
        </is>
      </c>
      <c r="G3831" s="16" t="inlineStr">
        <is>
          <t>TIANLAI Lámpara Ventilador E27 2 en 1, Silenciosa, LED Alta Luminosidad 180°, Instalación Rápida, Ahorro Energético para Dormitorio y Interiores Pequeños</t>
        </is>
      </c>
      <c r="H3831" s="16" t="inlineStr">
        <is>
          <t>1 Pieza</t>
        </is>
      </c>
      <c r="I3831" s="16" t="n">
        <v>1</v>
      </c>
      <c r="J3831" s="17" t="n">
        <v>74</v>
      </c>
      <c r="K3831" s="17" t="n">
        <v>76.26000000000001</v>
      </c>
      <c r="L3831" s="17" t="n">
        <v>25.86</v>
      </c>
      <c r="M3831" s="17" t="n">
        <v>0</v>
      </c>
      <c r="N3831" s="17">
        <f>K3831*0.08+L3831*0.08</f>
        <v/>
      </c>
      <c r="O3831" s="17">
        <f>-(K3831*0.025+L3831*0.025)</f>
        <v/>
      </c>
      <c r="P3831" s="17">
        <f>32</f>
        <v/>
      </c>
      <c r="Q3831" s="17">
        <f>J3831+L3831+N3831+O3831-P3831-M3831</f>
        <v/>
      </c>
    </row>
    <row r="3832">
      <c r="A3832" s="16" t="inlineStr">
        <is>
          <t>5.29-6.4</t>
        </is>
      </c>
      <c r="B3832" s="16" t="inlineStr">
        <is>
          <t>PO-128-21988937605750614</t>
        </is>
      </c>
      <c r="C3832" s="16" t="inlineStr">
        <is>
          <t>Delivered</t>
        </is>
      </c>
      <c r="D3832" s="16" t="inlineStr">
        <is>
          <t>128-21988900905590614</t>
        </is>
      </c>
      <c r="E3832" s="16" t="inlineStr">
        <is>
          <t>Delivered</t>
        </is>
      </c>
      <c r="F3832" s="16" t="inlineStr">
        <is>
          <t>LV64W25</t>
        </is>
      </c>
      <c r="G38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32" s="16" t="inlineStr">
        <is>
          <t>Blanco</t>
        </is>
      </c>
      <c r="I3832" s="16" t="n">
        <v>1</v>
      </c>
      <c r="J3832" s="17" t="n">
        <v>119</v>
      </c>
      <c r="K3832" s="17" t="n">
        <v>123.54</v>
      </c>
      <c r="L3832" s="17" t="n">
        <v>25.86</v>
      </c>
      <c r="M3832" s="17" t="n">
        <v>0</v>
      </c>
      <c r="N3832" s="17">
        <f>K3832*0.08+L3832*0.08</f>
        <v/>
      </c>
      <c r="O3832" s="17">
        <f>-(K3832*0.025+L3832*0.025)</f>
        <v/>
      </c>
      <c r="P3832" s="17">
        <f>32</f>
        <v/>
      </c>
      <c r="Q3832" s="17">
        <f>J3832+L3832+N3832+O3832-P3832-M3832</f>
        <v/>
      </c>
    </row>
    <row r="3833">
      <c r="A3833" s="16" t="inlineStr">
        <is>
          <t>5.29-6.4</t>
        </is>
      </c>
      <c r="B3833" s="16" t="inlineStr">
        <is>
          <t>PO-128-21901591829110113</t>
        </is>
      </c>
      <c r="C3833" s="16" t="inlineStr">
        <is>
          <t>Delivered</t>
        </is>
      </c>
      <c r="D3833" s="16" t="inlineStr">
        <is>
          <t>128-21901576100470113</t>
        </is>
      </c>
      <c r="E3833" s="16" t="inlineStr">
        <is>
          <t>Delivered</t>
        </is>
      </c>
      <c r="F3833" s="16" t="inlineStr">
        <is>
          <t>LV54W25</t>
        </is>
      </c>
      <c r="G3833" s="16" t="inlineStr">
        <is>
          <t>TIANLAI Lámpara Ventilador E27 2 en 1, Silenciosa, LED Alta Luminosidad 180°, Instalación Rápida, Ahorro Energético para Dormitorio y Interiores Pequeños</t>
        </is>
      </c>
      <c r="H3833" s="16" t="inlineStr">
        <is>
          <t>1 Pieza</t>
        </is>
      </c>
      <c r="I3833" s="16" t="n">
        <v>2</v>
      </c>
      <c r="J3833" s="17" t="n">
        <v>148</v>
      </c>
      <c r="K3833" s="17" t="n">
        <v>137.13</v>
      </c>
      <c r="L3833" s="17" t="n">
        <v>25.86</v>
      </c>
      <c r="M3833" s="17" t="n">
        <v>0</v>
      </c>
      <c r="N3833" s="17">
        <f>K3833*0.08+L3833*0.08</f>
        <v/>
      </c>
      <c r="O3833" s="17">
        <f>-(K3833*0.025+L3833*0.025)</f>
        <v/>
      </c>
      <c r="P3833" s="17">
        <f>32</f>
        <v/>
      </c>
      <c r="Q3833" s="17">
        <f>J3833+L3833+N3833+O3833-P3833-M3833</f>
        <v/>
      </c>
    </row>
    <row r="3834">
      <c r="A3834" s="16" t="inlineStr">
        <is>
          <t>5.29-6.4</t>
        </is>
      </c>
      <c r="B3834" s="16" t="inlineStr">
        <is>
          <t>PO-128-21545810657912105</t>
        </is>
      </c>
      <c r="C3834" s="16" t="inlineStr">
        <is>
          <t>Delivered</t>
        </is>
      </c>
      <c r="D3834" s="16" t="inlineStr">
        <is>
          <t>128-21545836872312105</t>
        </is>
      </c>
      <c r="E3834" s="16" t="inlineStr">
        <is>
          <t>Delivered</t>
        </is>
      </c>
      <c r="F3834" s="16" t="inlineStr">
        <is>
          <t>LV54W25</t>
        </is>
      </c>
      <c r="G3834" s="16" t="inlineStr">
        <is>
          <t>TIANLAI Lámpara Ventilador E27 2 en 1, Silenciosa, LED Alta Luminosidad 180°, Instalación Rápida, Ahorro Energético para Dormitorio y Interiores Pequeños</t>
        </is>
      </c>
      <c r="H3834" s="16" t="inlineStr">
        <is>
          <t>1 Pieza</t>
        </is>
      </c>
      <c r="I3834" s="16" t="n">
        <v>1</v>
      </c>
      <c r="J3834" s="17" t="n">
        <v>74</v>
      </c>
      <c r="K3834" s="17" t="n">
        <v>77.12</v>
      </c>
      <c r="L3834" s="17" t="n">
        <v>25.86</v>
      </c>
      <c r="M3834" s="17" t="n">
        <v>0</v>
      </c>
      <c r="N3834" s="17">
        <f>K3834*0.08+L3834*0.08</f>
        <v/>
      </c>
      <c r="O3834" s="17">
        <f>-(K3834*0.025+L3834*0.025)</f>
        <v/>
      </c>
      <c r="P3834" s="17">
        <f>32</f>
        <v/>
      </c>
      <c r="Q3834" s="17">
        <f>J3834+L3834+N3834+O3834-P3834-M3834</f>
        <v/>
      </c>
    </row>
    <row r="3835">
      <c r="A3835" s="16" t="inlineStr">
        <is>
          <t>5.29-6.4</t>
        </is>
      </c>
      <c r="B3835" s="16" t="inlineStr">
        <is>
          <t>PO-128-21633500529272607</t>
        </is>
      </c>
      <c r="C3835" s="16" t="inlineStr">
        <is>
          <t>Delivered</t>
        </is>
      </c>
      <c r="D3835" s="16" t="inlineStr">
        <is>
          <t>128-21633521500792607</t>
        </is>
      </c>
      <c r="E3835" s="16" t="inlineStr">
        <is>
          <t>Delivered</t>
        </is>
      </c>
      <c r="F3835" s="16" t="inlineStr">
        <is>
          <t>LV54W25</t>
        </is>
      </c>
      <c r="G3835" s="16" t="inlineStr">
        <is>
          <t>TIANLAI Lámpara Ventilador E27 2 en 1, Silenciosa, LED Alta Luminosidad 180°, Instalación Rápida, Ahorro Energético para Dormitorio y Interiores Pequeños</t>
        </is>
      </c>
      <c r="H3835" s="16" t="inlineStr">
        <is>
          <t>1 Pieza</t>
        </is>
      </c>
      <c r="I3835" s="16" t="n">
        <v>1</v>
      </c>
      <c r="J3835" s="17" t="n">
        <v>74</v>
      </c>
      <c r="K3835" s="17" t="n">
        <v>77.12</v>
      </c>
      <c r="L3835" s="17" t="n">
        <v>25.86</v>
      </c>
      <c r="M3835" s="17" t="n">
        <v>0</v>
      </c>
      <c r="N3835" s="17">
        <f>K3835*0.08+L3835*0.08</f>
        <v/>
      </c>
      <c r="O3835" s="17">
        <f>-(K3835*0.025+L3835*0.025)</f>
        <v/>
      </c>
      <c r="P3835" s="17">
        <f>32</f>
        <v/>
      </c>
      <c r="Q3835" s="17">
        <f>J3835+L3835+N3835+O3835-P3835-M3835</f>
        <v/>
      </c>
    </row>
    <row r="3836">
      <c r="A3836" s="16" t="inlineStr">
        <is>
          <t>5.29-6.4</t>
        </is>
      </c>
      <c r="B3836" s="16" t="inlineStr">
        <is>
          <t>PO-128-21886121621110013</t>
        </is>
      </c>
      <c r="C3836" s="16" t="inlineStr">
        <is>
          <t>Delivered</t>
        </is>
      </c>
      <c r="D3836" s="16" t="inlineStr">
        <is>
          <t>128-21886111135350013</t>
        </is>
      </c>
      <c r="E3836" s="16" t="inlineStr">
        <is>
          <t>Delivered</t>
        </is>
      </c>
      <c r="F3836" s="16" t="inlineStr">
        <is>
          <t>KTS-2031</t>
        </is>
      </c>
      <c r="G3836" s="16" t="inlineStr">
        <is>
          <t>Bocina inalámbrica de 3 pulgadas con linterna multifuncional y panel solar integrado.Altavoz Portátil con Linterna LED 4 Modos, Radio FM, Bluetooth, Carga Solar, Ideal para Apagones, Emergencias, Campo y Exteriores</t>
        </is>
      </c>
      <c r="H3836" s="16" t="inlineStr">
        <is>
          <t>NEGRO</t>
        </is>
      </c>
      <c r="I3836" s="16" t="n">
        <v>3</v>
      </c>
      <c r="J3836" s="17" t="n">
        <v>264</v>
      </c>
      <c r="K3836" s="17" t="n">
        <v>291.66</v>
      </c>
      <c r="L3836" s="17" t="n">
        <v>0</v>
      </c>
      <c r="M3836" s="17" t="n">
        <v>0</v>
      </c>
      <c r="N3836" s="17">
        <f>K3836*0.08+L3836*0.08</f>
        <v/>
      </c>
      <c r="O3836" s="17">
        <f>-(K3836*0.025+L3836*0.025)</f>
        <v/>
      </c>
      <c r="P3836" s="17">
        <f>32</f>
        <v/>
      </c>
      <c r="Q3836" s="17">
        <f>J3836+L3836+N3836+O3836-P3836-M3836</f>
        <v/>
      </c>
    </row>
    <row r="3837">
      <c r="A3837" s="16" t="inlineStr">
        <is>
          <t>5.29-6.4</t>
        </is>
      </c>
      <c r="B3837" s="16" t="inlineStr">
        <is>
          <t>PO-128-21568178115192994</t>
        </is>
      </c>
      <c r="C3837" s="16" t="inlineStr">
        <is>
          <t>Delivered</t>
        </is>
      </c>
      <c r="D3837" s="16" t="inlineStr">
        <is>
          <t>128-21568220058232994</t>
        </is>
      </c>
      <c r="E3837" s="16" t="inlineStr">
        <is>
          <t>Delivered</t>
        </is>
      </c>
      <c r="F3837" s="16" t="inlineStr">
        <is>
          <t>KTS-2031</t>
        </is>
      </c>
      <c r="G3837" s="16" t="inlineStr">
        <is>
          <t>Bocina inalámbrica de 3 pulgadas con linterna multifuncional y panel solar integrado.Altavoz Portátil con Linterna LED 4 Modos, Radio FM, Bluetooth, Carga Solar, Ideal para Apagones, Emergencias, Campo y Exteriores</t>
        </is>
      </c>
      <c r="H3837" s="16" t="inlineStr">
        <is>
          <t>NEGRO</t>
        </is>
      </c>
      <c r="I3837" s="16" t="n">
        <v>3</v>
      </c>
      <c r="J3837" s="17" t="n">
        <v>264</v>
      </c>
      <c r="K3837" s="17" t="n">
        <v>291.66</v>
      </c>
      <c r="L3837" s="17" t="n">
        <v>0</v>
      </c>
      <c r="M3837" s="17" t="n">
        <v>0</v>
      </c>
      <c r="N3837" s="17">
        <f>K3837*0.08+L3837*0.08</f>
        <v/>
      </c>
      <c r="O3837" s="17">
        <f>-(K3837*0.025+L3837*0.025)</f>
        <v/>
      </c>
      <c r="P3837" s="17">
        <f>32</f>
        <v/>
      </c>
      <c r="Q3837" s="17">
        <f>J3837+L3837+N3837+O3837-P3837-M3837</f>
        <v/>
      </c>
    </row>
    <row r="3838">
      <c r="A3838" s="16" t="inlineStr">
        <is>
          <t>5.29-6.4</t>
        </is>
      </c>
      <c r="B3838" s="16" t="inlineStr">
        <is>
          <t>PO-128-21918695742070971</t>
        </is>
      </c>
      <c r="C3838" s="16" t="inlineStr">
        <is>
          <t>Delivered</t>
        </is>
      </c>
      <c r="D3838" s="16" t="inlineStr">
        <is>
          <t>128-21918748170870971</t>
        </is>
      </c>
      <c r="E3838" s="16" t="inlineStr">
        <is>
          <t>Delivered</t>
        </is>
      </c>
      <c r="F3838" s="16" t="inlineStr">
        <is>
          <t>LV64W25</t>
        </is>
      </c>
      <c r="G383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38" s="16" t="inlineStr">
        <is>
          <t>Blanco</t>
        </is>
      </c>
      <c r="I3838" s="16" t="n">
        <v>2</v>
      </c>
      <c r="J3838" s="17" t="n">
        <v>238</v>
      </c>
      <c r="K3838" s="17" t="n">
        <v>247.08</v>
      </c>
      <c r="L3838" s="17" t="n">
        <v>0</v>
      </c>
      <c r="M3838" s="17" t="n">
        <v>0</v>
      </c>
      <c r="N3838" s="17">
        <f>K3838*0.08+L3838*0.08</f>
        <v/>
      </c>
      <c r="O3838" s="17">
        <f>-(K3838*0.025+L3838*0.025)</f>
        <v/>
      </c>
      <c r="P3838" s="17">
        <f>32</f>
        <v/>
      </c>
      <c r="Q3838" s="17">
        <f>J3838+L3838+N3838+O3838-P3838-M3838</f>
        <v/>
      </c>
    </row>
    <row r="3839">
      <c r="A3839" s="16" t="inlineStr">
        <is>
          <t>5.29-6.4</t>
        </is>
      </c>
      <c r="B3839" s="16" t="inlineStr">
        <is>
          <t>PO-128-21698561966711195</t>
        </is>
      </c>
      <c r="C3839" s="16" t="inlineStr">
        <is>
          <t>Delivered</t>
        </is>
      </c>
      <c r="D3839" s="16" t="inlineStr">
        <is>
          <t>128-21698641920631195</t>
        </is>
      </c>
      <c r="E3839" s="16" t="inlineStr">
        <is>
          <t>Delivered</t>
        </is>
      </c>
      <c r="F3839" s="16" t="inlineStr">
        <is>
          <t>LV54W25</t>
        </is>
      </c>
      <c r="G3839" s="16" t="inlineStr">
        <is>
          <t>TIANLAI Lámpara Ventilador E27 2 en 1, Silenciosa, LED Alta Luminosidad 180°, Instalación Rápida, Ahorro Energético para Dormitorio y Interiores Pequeños</t>
        </is>
      </c>
      <c r="H3839" s="16" t="inlineStr">
        <is>
          <t>1 Pieza</t>
        </is>
      </c>
      <c r="I3839" s="16" t="n">
        <v>1</v>
      </c>
      <c r="J3839" s="17" t="n">
        <v>74</v>
      </c>
      <c r="K3839" s="17" t="n">
        <v>76.26000000000001</v>
      </c>
      <c r="L3839" s="17" t="n">
        <v>25.86</v>
      </c>
      <c r="M3839" s="17" t="n">
        <v>0</v>
      </c>
      <c r="N3839" s="17">
        <f>K3839*0.08+L3839*0.08</f>
        <v/>
      </c>
      <c r="O3839" s="17">
        <f>-(K3839*0.025+L3839*0.025)</f>
        <v/>
      </c>
      <c r="P3839" s="17">
        <f>32</f>
        <v/>
      </c>
      <c r="Q3839" s="17">
        <f>J3839+L3839+N3839+O3839-P3839-M3839</f>
        <v/>
      </c>
    </row>
    <row r="3840">
      <c r="A3840" s="16" t="inlineStr">
        <is>
          <t>5.29-6.4</t>
        </is>
      </c>
      <c r="B3840" s="16" t="inlineStr">
        <is>
          <t>PO-128-21384162110073197</t>
        </is>
      </c>
      <c r="C3840" s="16" t="inlineStr">
        <is>
          <t>Delivered</t>
        </is>
      </c>
      <c r="D3840" s="16" t="inlineStr">
        <is>
          <t>128-21384135895673197</t>
        </is>
      </c>
      <c r="E3840" s="16" t="inlineStr">
        <is>
          <t>Delivered</t>
        </is>
      </c>
      <c r="F3840" s="16" t="inlineStr">
        <is>
          <t>LV64W25</t>
        </is>
      </c>
      <c r="G38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40" s="16" t="inlineStr">
        <is>
          <t>Blanco</t>
        </is>
      </c>
      <c r="I3840" s="16" t="n">
        <v>6</v>
      </c>
      <c r="J3840" s="17" t="n">
        <v>714</v>
      </c>
      <c r="K3840" s="17" t="n">
        <v>741.24</v>
      </c>
      <c r="L3840" s="17" t="n">
        <v>0</v>
      </c>
      <c r="M3840" s="17" t="n">
        <v>0</v>
      </c>
      <c r="N3840" s="17">
        <f>K3840*0.08+L3840*0.08</f>
        <v/>
      </c>
      <c r="O3840" s="17">
        <f>-(K3840*0.025+L3840*0.025)</f>
        <v/>
      </c>
      <c r="P3840" s="17">
        <f>32</f>
        <v/>
      </c>
      <c r="Q3840" s="17">
        <f>J3840+L3840+N3840+O3840-P3840-M3840</f>
        <v/>
      </c>
    </row>
    <row r="3841">
      <c r="A3841" s="16" t="inlineStr">
        <is>
          <t>5.29-6.4</t>
        </is>
      </c>
      <c r="B3841" s="16" t="inlineStr">
        <is>
          <t>PO-128-21483434742392477</t>
        </is>
      </c>
      <c r="C3841" s="16" t="inlineStr">
        <is>
          <t>Delivered</t>
        </is>
      </c>
      <c r="D3841" s="16" t="inlineStr">
        <is>
          <t>128-21483413770872477</t>
        </is>
      </c>
      <c r="E3841" s="16" t="inlineStr">
        <is>
          <t>Delivered</t>
        </is>
      </c>
      <c r="F3841" s="16" t="inlineStr">
        <is>
          <t>LV54W25</t>
        </is>
      </c>
      <c r="G3841" s="16" t="inlineStr">
        <is>
          <t>TIANLAI Lámpara Ventilador E27 2 en 1, Silenciosa, LED Alta Luminosidad 180°, Instalación Rápida, Ahorro Energético para Dormitorio y Interiores Pequeños</t>
        </is>
      </c>
      <c r="H3841" s="16" t="inlineStr">
        <is>
          <t>1 Pieza</t>
        </is>
      </c>
      <c r="I3841" s="16" t="n">
        <v>1</v>
      </c>
      <c r="J3841" s="17" t="n">
        <v>74</v>
      </c>
      <c r="K3841" s="17" t="n">
        <v>85.68000000000001</v>
      </c>
      <c r="L3841" s="17" t="n">
        <v>25.86</v>
      </c>
      <c r="M3841" s="17" t="n">
        <v>0</v>
      </c>
      <c r="N3841" s="17">
        <f>K3841*0.08+L3841*0.08</f>
        <v/>
      </c>
      <c r="O3841" s="17">
        <f>-(K3841*0.025+L3841*0.025)</f>
        <v/>
      </c>
      <c r="P3841" s="17">
        <f>32</f>
        <v/>
      </c>
      <c r="Q3841" s="17">
        <f>J3841+L3841+N3841+O3841-P3841-M3841</f>
        <v/>
      </c>
    </row>
    <row r="3842">
      <c r="A3842" s="16" t="inlineStr">
        <is>
          <t>5.29-6.4</t>
        </is>
      </c>
      <c r="B3842" s="16" t="inlineStr">
        <is>
          <t>PO-128-21686052091511396</t>
        </is>
      </c>
      <c r="C3842" s="16" t="inlineStr">
        <is>
          <t>Delivered</t>
        </is>
      </c>
      <c r="D3842" s="16" t="inlineStr">
        <is>
          <t>128-21686010148471396</t>
        </is>
      </c>
      <c r="E3842" s="16" t="inlineStr">
        <is>
          <t>Delivered</t>
        </is>
      </c>
      <c r="F3842" s="16" t="inlineStr">
        <is>
          <t>LV64W25</t>
        </is>
      </c>
      <c r="G38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42" s="16" t="inlineStr">
        <is>
          <t>Blanco</t>
        </is>
      </c>
      <c r="I3842" s="16" t="n">
        <v>4</v>
      </c>
      <c r="J3842" s="17" t="n">
        <v>476</v>
      </c>
      <c r="K3842" s="17" t="n">
        <v>549.04</v>
      </c>
      <c r="L3842" s="17" t="n">
        <v>0</v>
      </c>
      <c r="M3842" s="17" t="n">
        <v>0</v>
      </c>
      <c r="N3842" s="17">
        <f>K3842*0.08+L3842*0.08</f>
        <v/>
      </c>
      <c r="O3842" s="17">
        <f>-(K3842*0.025+L3842*0.025)</f>
        <v/>
      </c>
      <c r="P3842" s="17">
        <f>32</f>
        <v/>
      </c>
      <c r="Q3842" s="17">
        <f>J3842+L3842+N3842+O3842-P3842-M3842</f>
        <v/>
      </c>
    </row>
    <row r="3843">
      <c r="A3843" s="16" t="inlineStr">
        <is>
          <t>5.29-6.4</t>
        </is>
      </c>
      <c r="B3843" s="16" t="inlineStr">
        <is>
          <t>PO-128-21566377288313007</t>
        </is>
      </c>
      <c r="C3843" s="16" t="inlineStr">
        <is>
          <t>Delivered</t>
        </is>
      </c>
      <c r="D3843" s="16" t="inlineStr">
        <is>
          <t>128-21566398259833007</t>
        </is>
      </c>
      <c r="E3843" s="16" t="inlineStr">
        <is>
          <t>Delivered</t>
        </is>
      </c>
      <c r="F3843" s="16" t="inlineStr">
        <is>
          <t>KTS-2031</t>
        </is>
      </c>
      <c r="G3843" s="16" t="inlineStr">
        <is>
          <t>Bocina inalámbrica de 3 pulgadas con linterna multifuncional y panel solar integrado.Altavoz Portátil con Linterna LED 4 Modos, Radio FM, Bluetooth, Carga Solar, Ideal para Apagones, Emergencias, Campo y Exteriores</t>
        </is>
      </c>
      <c r="H3843" s="16" t="inlineStr">
        <is>
          <t>NEGRO</t>
        </is>
      </c>
      <c r="I3843" s="16" t="n">
        <v>1</v>
      </c>
      <c r="J3843" s="17" t="n">
        <v>88</v>
      </c>
      <c r="K3843" s="17" t="n">
        <v>97.22</v>
      </c>
      <c r="L3843" s="17" t="n">
        <v>25.86</v>
      </c>
      <c r="M3843" s="17" t="n">
        <v>0</v>
      </c>
      <c r="N3843" s="17">
        <f>K3843*0.08+L3843*0.08</f>
        <v/>
      </c>
      <c r="O3843" s="17">
        <f>-(K3843*0.025+L3843*0.025)</f>
        <v/>
      </c>
      <c r="P3843" s="17">
        <f>32</f>
        <v/>
      </c>
      <c r="Q3843" s="17">
        <f>J3843+L3843+N3843+O3843-P3843-M3843</f>
        <v/>
      </c>
    </row>
    <row r="3844">
      <c r="A3844" s="16" t="inlineStr">
        <is>
          <t>5.29-6.4</t>
        </is>
      </c>
      <c r="B3844" s="16" t="inlineStr">
        <is>
          <t>PO-128-21758296033911799</t>
        </is>
      </c>
      <c r="C3844" s="16" t="inlineStr">
        <is>
          <t>Delivered</t>
        </is>
      </c>
      <c r="D3844" s="16" t="inlineStr">
        <is>
          <t>128-21758364191351799</t>
        </is>
      </c>
      <c r="E3844" s="16" t="inlineStr">
        <is>
          <t>Delivered</t>
        </is>
      </c>
      <c r="F3844" s="16" t="inlineStr">
        <is>
          <t>LV54W25</t>
        </is>
      </c>
      <c r="G3844" s="16" t="inlineStr">
        <is>
          <t>TIANLAI Lámpara Ventilador E27 2 en 1, Silenciosa, LED Alta Luminosidad 180°, Instalación Rápida, Ahorro Energético para Dormitorio y Interiores Pequeños</t>
        </is>
      </c>
      <c r="H3844" s="16" t="inlineStr">
        <is>
          <t>1 Pieza</t>
        </is>
      </c>
      <c r="I3844" s="16" t="n">
        <v>1</v>
      </c>
      <c r="J3844" s="17" t="n">
        <v>74</v>
      </c>
      <c r="K3844" s="17" t="n">
        <v>76.26000000000001</v>
      </c>
      <c r="L3844" s="17" t="n">
        <v>25.86</v>
      </c>
      <c r="M3844" s="17" t="n">
        <v>0</v>
      </c>
      <c r="N3844" s="17">
        <f>K3844*0.08+L3844*0.08</f>
        <v/>
      </c>
      <c r="O3844" s="17">
        <f>-(K3844*0.025+L3844*0.025)</f>
        <v/>
      </c>
      <c r="P3844" s="17">
        <f>32</f>
        <v/>
      </c>
      <c r="Q3844" s="17">
        <f>J3844+L3844+N3844+O3844-P3844-M3844</f>
        <v/>
      </c>
    </row>
    <row r="3845">
      <c r="A3845" s="16" t="inlineStr">
        <is>
          <t>5.29-6.4</t>
        </is>
      </c>
      <c r="B3845" s="16" t="inlineStr">
        <is>
          <t>PO-128-21826740419190431</t>
        </is>
      </c>
      <c r="C3845" s="16" t="inlineStr">
        <is>
          <t>Delivered</t>
        </is>
      </c>
      <c r="D3845" s="16" t="inlineStr">
        <is>
          <t>128-21826820373110431</t>
        </is>
      </c>
      <c r="E3845" s="16" t="inlineStr">
        <is>
          <t>Delivered</t>
        </is>
      </c>
      <c r="F3845" s="16" t="inlineStr">
        <is>
          <t>LV54W25</t>
        </is>
      </c>
      <c r="G3845" s="16" t="inlineStr">
        <is>
          <t>TIANLAI Lámpara Ventilador E27 2 en 1, Silenciosa, LED Alta Luminosidad 180°, Instalación Rápida, Ahorro Energético para Dormitorio y Interiores Pequeños</t>
        </is>
      </c>
      <c r="H3845" s="16" t="inlineStr">
        <is>
          <t>1 Pieza</t>
        </is>
      </c>
      <c r="I3845" s="16" t="n">
        <v>3</v>
      </c>
      <c r="J3845" s="17" t="n">
        <v>222</v>
      </c>
      <c r="K3845" s="17" t="n">
        <v>231.36</v>
      </c>
      <c r="L3845" s="17" t="n">
        <v>25.86</v>
      </c>
      <c r="M3845" s="17" t="n">
        <v>0</v>
      </c>
      <c r="N3845" s="17">
        <f>K3845*0.08+L3845*0.08</f>
        <v/>
      </c>
      <c r="O3845" s="17">
        <f>-(K3845*0.025+L3845*0.025)</f>
        <v/>
      </c>
      <c r="P3845" s="17">
        <f>32</f>
        <v/>
      </c>
      <c r="Q3845" s="17">
        <f>J3845+L3845+N3845+O3845-P3845-M3845</f>
        <v/>
      </c>
    </row>
    <row r="3846">
      <c r="A3846" s="16" t="inlineStr">
        <is>
          <t>5.29-6.4</t>
        </is>
      </c>
      <c r="B3846" s="16" t="inlineStr">
        <is>
          <t>PO-128-21801497605751541</t>
        </is>
      </c>
      <c r="C3846" s="16" t="inlineStr">
        <is>
          <t>Delivered</t>
        </is>
      </c>
      <c r="D3846" s="16" t="inlineStr">
        <is>
          <t>128-21801649649271541</t>
        </is>
      </c>
      <c r="E3846" s="16" t="inlineStr">
        <is>
          <t>Delivered</t>
        </is>
      </c>
      <c r="F3846" s="16" t="inlineStr">
        <is>
          <t>LV64W25</t>
        </is>
      </c>
      <c r="G38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46" s="16" t="inlineStr">
        <is>
          <t>Blanco</t>
        </is>
      </c>
      <c r="I3846" s="16" t="n">
        <v>1</v>
      </c>
      <c r="J3846" s="17" t="n">
        <v>119</v>
      </c>
      <c r="K3846" s="17" t="n">
        <v>123.54</v>
      </c>
      <c r="L3846" s="17" t="n">
        <v>25.86</v>
      </c>
      <c r="M3846" s="17" t="n">
        <v>0</v>
      </c>
      <c r="N3846" s="17">
        <f>K3846*0.08+L3846*0.08</f>
        <v/>
      </c>
      <c r="O3846" s="17">
        <f>-(K3846*0.025+L3846*0.025)</f>
        <v/>
      </c>
      <c r="P3846" s="17">
        <f>32</f>
        <v/>
      </c>
      <c r="Q3846" s="17">
        <f>J3846+L3846+N3846+O3846-P3846-M3846</f>
        <v/>
      </c>
    </row>
    <row r="3847">
      <c r="A3847" s="16" t="inlineStr">
        <is>
          <t>5.29-6.4</t>
        </is>
      </c>
      <c r="B3847" s="16" t="inlineStr">
        <is>
          <t>PO-128-21745491277432003</t>
        </is>
      </c>
      <c r="C3847" s="16" t="inlineStr">
        <is>
          <t>Delivered</t>
        </is>
      </c>
      <c r="D3847" s="16" t="inlineStr">
        <is>
          <t>128-21745596135032003</t>
        </is>
      </c>
      <c r="E3847" s="16" t="inlineStr">
        <is>
          <t>Delivered</t>
        </is>
      </c>
      <c r="F3847" s="16" t="inlineStr">
        <is>
          <t>LV54W25</t>
        </is>
      </c>
      <c r="G3847" s="16" t="inlineStr">
        <is>
          <t>TIANLAI Lámpara Ventilador E27 2 en 1, Silenciosa, LED Alta Luminosidad 180°, Instalación Rápida, Ahorro Energético para Dormitorio y Interiores Pequeños</t>
        </is>
      </c>
      <c r="H3847" s="16" t="inlineStr">
        <is>
          <t>1 Pieza</t>
        </is>
      </c>
      <c r="I3847" s="16" t="n">
        <v>10</v>
      </c>
      <c r="J3847" s="17" t="n">
        <v>740</v>
      </c>
      <c r="K3847" s="17" t="n">
        <v>685</v>
      </c>
      <c r="L3847" s="17" t="n">
        <v>0</v>
      </c>
      <c r="M3847" s="17" t="n">
        <v>0</v>
      </c>
      <c r="N3847" s="17">
        <f>K3847*0.08+L3847*0.08</f>
        <v/>
      </c>
      <c r="O3847" s="17">
        <f>-(K3847*0.025+L3847*0.025)</f>
        <v/>
      </c>
      <c r="P3847" s="17">
        <f>32</f>
        <v/>
      </c>
      <c r="Q3847" s="17">
        <f>J3847+L3847+N3847+O3847-P3847-M3847</f>
        <v/>
      </c>
    </row>
    <row r="3848">
      <c r="A3848" s="16" t="inlineStr">
        <is>
          <t>5.29-6.4</t>
        </is>
      </c>
      <c r="B3848" s="16" t="inlineStr">
        <is>
          <t>PO-128-21331858524793381</t>
        </is>
      </c>
      <c r="C3848" s="16" t="inlineStr">
        <is>
          <t>Delivered</t>
        </is>
      </c>
      <c r="D3848" s="16" t="inlineStr">
        <is>
          <t>128-21331816581753381</t>
        </is>
      </c>
      <c r="E3848" s="16" t="inlineStr">
        <is>
          <t>Delivered</t>
        </is>
      </c>
      <c r="F3848" s="16" t="inlineStr">
        <is>
          <t>SB428T</t>
        </is>
      </c>
      <c r="G3848" s="16" t="inlineStr">
        <is>
          <t>LINK BITS Bocina Portátil con 2 Altavoces de 4" (5W×2), Sonido Potente, Luces LED, Bluetooth, USB/TF/FM - Ideal para Reuniones, Fiestas y Picnics en México</t>
        </is>
      </c>
      <c r="H3848" s="16" t="inlineStr">
        <is>
          <t>SB428T</t>
        </is>
      </c>
      <c r="I3848" s="16" t="n">
        <v>1</v>
      </c>
      <c r="J3848" s="17" t="n">
        <v>92</v>
      </c>
      <c r="K3848" s="17" t="n">
        <v>24.28</v>
      </c>
      <c r="L3848" s="17" t="n">
        <v>25.86</v>
      </c>
      <c r="M3848" s="17" t="n">
        <v>0</v>
      </c>
      <c r="N3848" s="17">
        <f>K3848*0.08+L3848*0.08</f>
        <v/>
      </c>
      <c r="O3848" s="17">
        <f>-(K3848*0.025+L3848*0.025)</f>
        <v/>
      </c>
      <c r="P3848" s="17">
        <f>32</f>
        <v/>
      </c>
      <c r="Q3848" s="17">
        <f>J3848+L3848+N3848+O3848-P3848-M3848</f>
        <v/>
      </c>
    </row>
    <row r="3849">
      <c r="A3849" s="16" t="inlineStr">
        <is>
          <t>5.29-6.4</t>
        </is>
      </c>
      <c r="B3849" s="16" t="inlineStr">
        <is>
          <t>PO-128-21700305848951185</t>
        </is>
      </c>
      <c r="C3849" s="16" t="inlineStr">
        <is>
          <t>Delivered</t>
        </is>
      </c>
      <c r="D3849" s="16" t="inlineStr">
        <is>
          <t>128-21700263905911185</t>
        </is>
      </c>
      <c r="E3849" s="16" t="inlineStr">
        <is>
          <t>Delivered</t>
        </is>
      </c>
      <c r="F3849" s="16" t="inlineStr">
        <is>
          <t>VA371T</t>
        </is>
      </c>
      <c r="G3849" s="16" t="inlineStr">
        <is>
          <t>Linkbits Bocina Bluetooth Portátil 3" de Alta Gama，Hi-Res Audio y Graves Potentes，Luces LED + Soporte USB/TF/FM/TWS，Ideal para Hogar y Aire Libre</t>
        </is>
      </c>
      <c r="H3849" s="16" t="inlineStr">
        <is>
          <t>VA371T</t>
        </is>
      </c>
      <c r="I3849" s="16" t="n">
        <v>1</v>
      </c>
      <c r="J3849" s="17" t="n">
        <v>41.32</v>
      </c>
      <c r="K3849" s="17" t="n">
        <v>6.6</v>
      </c>
      <c r="L3849" s="17" t="n">
        <v>25.86</v>
      </c>
      <c r="M3849" s="17" t="n">
        <v>0</v>
      </c>
      <c r="N3849" s="17">
        <f>K3849*0.08+L3849*0.08</f>
        <v/>
      </c>
      <c r="O3849" s="17">
        <f>-(K3849*0.025+L3849*0.025)</f>
        <v/>
      </c>
      <c r="P3849" s="17">
        <f>32</f>
        <v/>
      </c>
      <c r="Q3849" s="17">
        <f>J3849+L3849+N3849+O3849-P3849-M3849</f>
        <v/>
      </c>
    </row>
    <row r="3850">
      <c r="A3850" s="16" t="inlineStr">
        <is>
          <t>5.29-6.4</t>
        </is>
      </c>
      <c r="B3850" s="16" t="inlineStr">
        <is>
          <t>PO-128-21961231606390717</t>
        </is>
      </c>
      <c r="C3850" s="16" t="inlineStr">
        <is>
          <t>Delivered</t>
        </is>
      </c>
      <c r="D3850" s="16" t="inlineStr">
        <is>
          <t>128-21961252577910717</t>
        </is>
      </c>
      <c r="E3850" s="16" t="inlineStr">
        <is>
          <t>Delivered</t>
        </is>
      </c>
      <c r="F3850" s="16" t="inlineStr">
        <is>
          <t>LV54W25</t>
        </is>
      </c>
      <c r="G3850" s="16" t="inlineStr">
        <is>
          <t>TIANLAI Lámpara Ventilador E27 2 en 1, Silenciosa, LED Alta Luminosidad 180°, Instalación Rápida, Ahorro Energético para Dormitorio y Interiores Pequeños</t>
        </is>
      </c>
      <c r="H3850" s="16" t="inlineStr">
        <is>
          <t>1 Pieza</t>
        </is>
      </c>
      <c r="I3850" s="16" t="n">
        <v>1</v>
      </c>
      <c r="J3850" s="17" t="n">
        <v>74</v>
      </c>
      <c r="K3850" s="17" t="n">
        <v>76.26000000000001</v>
      </c>
      <c r="L3850" s="17" t="n">
        <v>25.86</v>
      </c>
      <c r="M3850" s="17" t="n">
        <v>0</v>
      </c>
      <c r="N3850" s="17">
        <f>K3850*0.08+L3850*0.08</f>
        <v/>
      </c>
      <c r="O3850" s="17">
        <f>-(K3850*0.025+L3850*0.025)</f>
        <v/>
      </c>
      <c r="P3850" s="17">
        <f>32</f>
        <v/>
      </c>
      <c r="Q3850" s="17">
        <f>J3850+L3850+N3850+O3850-P3850-M3850</f>
        <v/>
      </c>
    </row>
    <row r="3851">
      <c r="A3851" s="16" t="inlineStr">
        <is>
          <t>5.29-6.4</t>
        </is>
      </c>
      <c r="B3851" s="16" t="inlineStr">
        <is>
          <t>PO-128-21811216896631610</t>
        </is>
      </c>
      <c r="C3851" s="16" t="inlineStr">
        <is>
          <t>Delivered</t>
        </is>
      </c>
      <c r="D3851" s="16" t="inlineStr">
        <is>
          <t>128-21811174953591610</t>
        </is>
      </c>
      <c r="E3851" s="16" t="inlineStr">
        <is>
          <t>Delivered</t>
        </is>
      </c>
      <c r="F3851" s="16" t="inlineStr">
        <is>
          <t>LV64W25</t>
        </is>
      </c>
      <c r="G38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51" s="16" t="inlineStr">
        <is>
          <t>Blanco</t>
        </is>
      </c>
      <c r="I3851" s="16" t="n">
        <v>1</v>
      </c>
      <c r="J3851" s="17" t="n">
        <v>119</v>
      </c>
      <c r="K3851" s="17" t="n">
        <v>123.54</v>
      </c>
      <c r="L3851" s="17" t="n">
        <v>25.86</v>
      </c>
      <c r="M3851" s="17" t="n">
        <v>0</v>
      </c>
      <c r="N3851" s="17">
        <f>K3851*0.08+L3851*0.08</f>
        <v/>
      </c>
      <c r="O3851" s="17">
        <f>-(K3851*0.025+L3851*0.025)</f>
        <v/>
      </c>
      <c r="P3851" s="17">
        <f>32</f>
        <v/>
      </c>
      <c r="Q3851" s="17">
        <f>J3851+L3851+N3851+O3851-P3851-M3851</f>
        <v/>
      </c>
    </row>
    <row r="3852">
      <c r="A3852" s="16" t="inlineStr">
        <is>
          <t>5.29-6.4</t>
        </is>
      </c>
      <c r="B3852" s="16" t="inlineStr">
        <is>
          <t>PO-128-21629849989752565</t>
        </is>
      </c>
      <c r="C3852" s="16" t="inlineStr">
        <is>
          <t>Delivered</t>
        </is>
      </c>
      <c r="D3852" s="16" t="inlineStr">
        <is>
          <t>128-21629808046712565</t>
        </is>
      </c>
      <c r="E3852" s="16" t="inlineStr">
        <is>
          <t>Delivered</t>
        </is>
      </c>
      <c r="F3852" s="16" t="inlineStr">
        <is>
          <t>KTS-2031</t>
        </is>
      </c>
      <c r="G3852" s="16" t="inlineStr">
        <is>
          <t>Bocina inalámbrica de 3 pulgadas con linterna multifuncional y panel solar integrado.Altavoz Portátil con Linterna LED 4 Modos, Radio FM, Bluetooth, Carga Solar, Ideal para Apagones, Emergencias, Campo y Exteriores</t>
        </is>
      </c>
      <c r="H3852" s="16" t="inlineStr">
        <is>
          <t>NEGRO</t>
        </is>
      </c>
      <c r="I3852" s="16" t="n">
        <v>1</v>
      </c>
      <c r="J3852" s="17" t="n">
        <v>88</v>
      </c>
      <c r="K3852" s="17" t="n">
        <v>97.22</v>
      </c>
      <c r="L3852" s="17" t="n">
        <v>25.86</v>
      </c>
      <c r="M3852" s="17" t="n">
        <v>0</v>
      </c>
      <c r="N3852" s="17">
        <f>K3852*0.08+L3852*0.08</f>
        <v/>
      </c>
      <c r="O3852" s="17">
        <f>-(K3852*0.025+L3852*0.025)</f>
        <v/>
      </c>
      <c r="P3852" s="17">
        <f>32</f>
        <v/>
      </c>
      <c r="Q3852" s="17">
        <f>J3852+L3852+N3852+O3852-P3852-M3852</f>
        <v/>
      </c>
    </row>
    <row r="3853">
      <c r="A3853" s="16" t="inlineStr">
        <is>
          <t>5.29-6.4</t>
        </is>
      </c>
      <c r="B3853" s="16" t="inlineStr">
        <is>
          <t>PO-128-21523351470712239</t>
        </is>
      </c>
      <c r="C3853" s="16" t="inlineStr">
        <is>
          <t>Delivered</t>
        </is>
      </c>
      <c r="D3853" s="16" t="inlineStr">
        <is>
          <t>128-21523372442232239</t>
        </is>
      </c>
      <c r="E3853" s="16" t="inlineStr">
        <is>
          <t>Delivered</t>
        </is>
      </c>
      <c r="F3853" s="16" t="inlineStr">
        <is>
          <t>LV54W25</t>
        </is>
      </c>
      <c r="G3853" s="16" t="inlineStr">
        <is>
          <t>TIANLAI Lámpara Ventilador E27 2 en 1, Silenciosa, LED Alta Luminosidad 180°, Instalación Rápida, Ahorro Energético para Dormitorio y Interiores Pequeños</t>
        </is>
      </c>
      <c r="H3853" s="16" t="inlineStr">
        <is>
          <t>1 Pieza</t>
        </is>
      </c>
      <c r="I3853" s="16" t="n">
        <v>1</v>
      </c>
      <c r="J3853" s="17" t="n">
        <v>74</v>
      </c>
      <c r="K3853" s="17" t="n">
        <v>77.12</v>
      </c>
      <c r="L3853" s="17" t="n">
        <v>25.86</v>
      </c>
      <c r="M3853" s="17" t="n">
        <v>0</v>
      </c>
      <c r="N3853" s="17">
        <f>K3853*0.08+L3853*0.08</f>
        <v/>
      </c>
      <c r="O3853" s="17">
        <f>-(K3853*0.025+L3853*0.025)</f>
        <v/>
      </c>
      <c r="P3853" s="17">
        <f>32</f>
        <v/>
      </c>
      <c r="Q3853" s="17">
        <f>J3853+L3853+N3853+O3853-P3853-M3853</f>
        <v/>
      </c>
    </row>
    <row r="3854">
      <c r="A3854" s="16" t="inlineStr">
        <is>
          <t>5.29-6.4</t>
        </is>
      </c>
      <c r="B3854" s="16" t="inlineStr">
        <is>
          <t>PO-128-21441488681593751</t>
        </is>
      </c>
      <c r="C3854" s="16" t="inlineStr">
        <is>
          <t>Delivered</t>
        </is>
      </c>
      <c r="D3854" s="16" t="inlineStr">
        <is>
          <t>128-21441478195833751</t>
        </is>
      </c>
      <c r="E3854" s="16" t="inlineStr">
        <is>
          <t>Delivered</t>
        </is>
      </c>
      <c r="F3854" s="16" t="inlineStr">
        <is>
          <t>BG-115-B</t>
        </is>
      </c>
      <c r="G3854" s="16" t="inlineStr">
        <is>
          <t>LINK BITS Audífonos Inalámbricos con Luces Multicolor, Recargables y en Adorable Forma de Orejas de Gato - Conecta a Celulares y PCs, Tiene Radio FM, Tarjeta TF y AUX - 7 Horas de Reproducción, Plegables y Perfectos para Trabajo, Juegos y Estudio</t>
        </is>
      </c>
      <c r="H3854" s="16" t="inlineStr">
        <is>
          <t>blanco</t>
        </is>
      </c>
      <c r="I3854" s="16" t="n">
        <v>1</v>
      </c>
      <c r="J3854" s="17" t="n">
        <v>74.25</v>
      </c>
      <c r="K3854" s="17" t="n">
        <v>84.97</v>
      </c>
      <c r="L3854" s="17" t="n">
        <v>25.86</v>
      </c>
      <c r="M3854" s="17" t="n">
        <v>0</v>
      </c>
      <c r="N3854" s="17">
        <f>K3854*0.08+L3854*0.08</f>
        <v/>
      </c>
      <c r="O3854" s="17">
        <f>-(K3854*0.025+L3854*0.025)</f>
        <v/>
      </c>
      <c r="P3854" s="17">
        <f>32</f>
        <v/>
      </c>
      <c r="Q3854" s="17">
        <f>J3854+L3854+N3854+O3854-P3854-M3854</f>
        <v/>
      </c>
    </row>
    <row r="3855">
      <c r="A3855" s="16" t="inlineStr">
        <is>
          <t>5.29-6.4</t>
        </is>
      </c>
      <c r="B3855" s="16" t="inlineStr">
        <is>
          <t>PO-128-21657065462391440</t>
        </is>
      </c>
      <c r="C3855" s="16" t="inlineStr">
        <is>
          <t>Delivered</t>
        </is>
      </c>
      <c r="D3855" s="16" t="inlineStr">
        <is>
          <t>128-21657070705271440</t>
        </is>
      </c>
      <c r="E3855" s="16" t="inlineStr">
        <is>
          <t>Delivered</t>
        </is>
      </c>
      <c r="F3855" s="16" t="inlineStr">
        <is>
          <t>LV64W25</t>
        </is>
      </c>
      <c r="G38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55" s="16" t="inlineStr">
        <is>
          <t>Blanco</t>
        </is>
      </c>
      <c r="I3855" s="16" t="n">
        <v>1</v>
      </c>
      <c r="J3855" s="17" t="n">
        <v>119</v>
      </c>
      <c r="K3855" s="17" t="n">
        <v>123.54</v>
      </c>
      <c r="L3855" s="17" t="n">
        <v>25.86</v>
      </c>
      <c r="M3855" s="17" t="n">
        <v>0</v>
      </c>
      <c r="N3855" s="17">
        <f>K3855*0.08+L3855*0.08</f>
        <v/>
      </c>
      <c r="O3855" s="17">
        <f>-(K3855*0.025+L3855*0.025)</f>
        <v/>
      </c>
      <c r="P3855" s="17">
        <f>32</f>
        <v/>
      </c>
      <c r="Q3855" s="17">
        <f>J3855+L3855+N3855+O3855-P3855-M3855</f>
        <v/>
      </c>
    </row>
    <row r="3856">
      <c r="A3856" s="16" t="inlineStr">
        <is>
          <t>5.29-6.4</t>
        </is>
      </c>
      <c r="B3856" s="16" t="inlineStr">
        <is>
          <t>PO-128-21941684736630832</t>
        </is>
      </c>
      <c r="C3856" s="16" t="inlineStr">
        <is>
          <t>Delivered</t>
        </is>
      </c>
      <c r="D3856" s="16" t="inlineStr">
        <is>
          <t>128-21941705708150832</t>
        </is>
      </c>
      <c r="E3856" s="16" t="inlineStr">
        <is>
          <t>Delivered</t>
        </is>
      </c>
      <c r="F3856" s="16" t="inlineStr">
        <is>
          <t>LV64W25</t>
        </is>
      </c>
      <c r="G385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56" s="16" t="inlineStr">
        <is>
          <t>Blanco</t>
        </is>
      </c>
      <c r="I3856" s="16" t="n">
        <v>2</v>
      </c>
      <c r="J3856" s="17" t="n">
        <v>238</v>
      </c>
      <c r="K3856" s="17" t="n">
        <v>274.52</v>
      </c>
      <c r="L3856" s="17" t="n">
        <v>0</v>
      </c>
      <c r="M3856" s="17" t="n">
        <v>0</v>
      </c>
      <c r="N3856" s="17">
        <f>K3856*0.08+L3856*0.08</f>
        <v/>
      </c>
      <c r="O3856" s="17">
        <f>-(K3856*0.025+L3856*0.025)</f>
        <v/>
      </c>
      <c r="P3856" s="17">
        <f>32</f>
        <v/>
      </c>
      <c r="Q3856" s="17">
        <f>J3856+L3856+N3856+O3856-P3856-M3856</f>
        <v/>
      </c>
    </row>
    <row r="3857">
      <c r="A3857" s="16" t="inlineStr">
        <is>
          <t>5.29-6.4</t>
        </is>
      </c>
      <c r="B3857" s="16" t="inlineStr">
        <is>
          <t>PO-128-21706853791351272</t>
        </is>
      </c>
      <c r="C3857" s="16" t="inlineStr">
        <is>
          <t>Delivered</t>
        </is>
      </c>
      <c r="D3857" s="16" t="inlineStr">
        <is>
          <t>128-21706811848311272</t>
        </is>
      </c>
      <c r="E3857" s="16" t="inlineStr">
        <is>
          <t>Delivered</t>
        </is>
      </c>
      <c r="F3857" s="16" t="inlineStr">
        <is>
          <t>LV54W25</t>
        </is>
      </c>
      <c r="G3857" s="16" t="inlineStr">
        <is>
          <t>TIANLAI Lámpara Ventilador E27 2 en 1, Silenciosa, LED Alta Luminosidad 180°, Instalación Rápida, Ahorro Energético para Dormitorio y Interiores Pequeños</t>
        </is>
      </c>
      <c r="H3857" s="16" t="inlineStr">
        <is>
          <t>1 Pieza</t>
        </is>
      </c>
      <c r="I3857" s="16" t="n">
        <v>1</v>
      </c>
      <c r="J3857" s="17" t="n">
        <v>74</v>
      </c>
      <c r="K3857" s="17" t="n">
        <v>55.91</v>
      </c>
      <c r="L3857" s="17" t="n">
        <v>25.86</v>
      </c>
      <c r="M3857" s="17" t="n">
        <v>0</v>
      </c>
      <c r="N3857" s="17">
        <f>K3857*0.08+L3857*0.08</f>
        <v/>
      </c>
      <c r="O3857" s="17">
        <f>-(K3857*0.025+L3857*0.025)</f>
        <v/>
      </c>
      <c r="P3857" s="17">
        <f>32</f>
        <v/>
      </c>
      <c r="Q3857" s="17">
        <f>J3857+L3857+N3857+O3857-P3857-M3857</f>
        <v/>
      </c>
    </row>
    <row r="3858">
      <c r="A3858" s="16" t="inlineStr">
        <is>
          <t>5.29-6.4</t>
        </is>
      </c>
      <c r="B3858" s="16" t="inlineStr">
        <is>
          <t>PO-128-21765997430391881</t>
        </is>
      </c>
      <c r="C3858" s="16" t="inlineStr">
        <is>
          <t>Delivered</t>
        </is>
      </c>
      <c r="D3858" s="16" t="inlineStr">
        <is>
          <t>128-21765986944631881</t>
        </is>
      </c>
      <c r="E3858" s="16" t="inlineStr">
        <is>
          <t>Delivered</t>
        </is>
      </c>
      <c r="F3858" s="16" t="inlineStr">
        <is>
          <t>LV54W25</t>
        </is>
      </c>
      <c r="G3858" s="16" t="inlineStr">
        <is>
          <t>TIANLAI Lámpara Ventilador E27 2 en 1, Silenciosa, LED Alta Luminosidad 180°, Instalación Rápida, Ahorro Energético para Dormitorio y Interiores Pequeños</t>
        </is>
      </c>
      <c r="H3858" s="16" t="inlineStr">
        <is>
          <t>1 Pieza</t>
        </is>
      </c>
      <c r="I3858" s="16" t="n">
        <v>1</v>
      </c>
      <c r="J3858" s="17" t="n">
        <v>74</v>
      </c>
      <c r="K3858" s="17" t="n">
        <v>76.26000000000001</v>
      </c>
      <c r="L3858" s="17" t="n">
        <v>25.86</v>
      </c>
      <c r="M3858" s="17" t="n">
        <v>0</v>
      </c>
      <c r="N3858" s="17">
        <f>K3858*0.08+L3858*0.08</f>
        <v/>
      </c>
      <c r="O3858" s="17">
        <f>-(K3858*0.025+L3858*0.025)</f>
        <v/>
      </c>
      <c r="P3858" s="17">
        <f>32</f>
        <v/>
      </c>
      <c r="Q3858" s="17">
        <f>J3858+L3858+N3858+O3858-P3858-M3858</f>
        <v/>
      </c>
    </row>
    <row r="3859">
      <c r="A3859" s="16" t="inlineStr">
        <is>
          <t>5.29-6.4</t>
        </is>
      </c>
      <c r="B3859" s="16" t="inlineStr">
        <is>
          <t>PO-128-21903117809270102</t>
        </is>
      </c>
      <c r="C3859" s="16" t="inlineStr">
        <is>
          <t>Delivered</t>
        </is>
      </c>
      <c r="D3859" s="16" t="inlineStr">
        <is>
          <t>128-21903157786230102</t>
        </is>
      </c>
      <c r="E3859" s="16" t="inlineStr">
        <is>
          <t>Delivered</t>
        </is>
      </c>
      <c r="F3859" s="16" t="inlineStr">
        <is>
          <t>LV54W25</t>
        </is>
      </c>
      <c r="G3859" s="16" t="inlineStr">
        <is>
          <t>TIANLAI Lámpara Ventilador E27 2 en 1, Silenciosa, LED Alta Luminosidad 180°, Instalación Rápida, Ahorro Energético para Dormitorio y Interiores Pequeños</t>
        </is>
      </c>
      <c r="H3859" s="16" t="inlineStr">
        <is>
          <t>1 Pieza</t>
        </is>
      </c>
      <c r="I3859" s="16" t="n">
        <v>1</v>
      </c>
      <c r="J3859" s="17" t="n">
        <v>74</v>
      </c>
      <c r="K3859" s="17" t="n">
        <v>85.68000000000001</v>
      </c>
      <c r="L3859" s="17" t="n">
        <v>25.86</v>
      </c>
      <c r="M3859" s="17" t="n">
        <v>0</v>
      </c>
      <c r="N3859" s="17">
        <f>K3859*0.08+L3859*0.08</f>
        <v/>
      </c>
      <c r="O3859" s="17">
        <f>-(K3859*0.025+L3859*0.025)</f>
        <v/>
      </c>
      <c r="P3859" s="17">
        <f>32</f>
        <v/>
      </c>
      <c r="Q3859" s="17">
        <f>J3859+L3859+N3859+O3859-P3859-M3859</f>
        <v/>
      </c>
    </row>
    <row r="3860">
      <c r="A3860" s="16" t="inlineStr">
        <is>
          <t>5.29-6.4</t>
        </is>
      </c>
      <c r="B3860" s="16" t="inlineStr">
        <is>
          <t>PO-128-21409984799354067</t>
        </is>
      </c>
      <c r="C3860" s="16" t="inlineStr">
        <is>
          <t>Delivered</t>
        </is>
      </c>
      <c r="D3860" s="16" t="inlineStr">
        <is>
          <t>128-21409932370554067</t>
        </is>
      </c>
      <c r="E3860" s="16" t="inlineStr">
        <is>
          <t>Delivered</t>
        </is>
      </c>
      <c r="F3860" s="16" t="inlineStr">
        <is>
          <t>SB428T</t>
        </is>
      </c>
      <c r="G3860" s="16" t="inlineStr">
        <is>
          <t>LINK BITS Bocina Portátil con 2 Altavoces de 4" (5W×2), Sonido Potente, Luces LED, Bluetooth, USB/TF/FM - Ideal para Reuniones, Fiestas y Picnics en México</t>
        </is>
      </c>
      <c r="H3860" s="16" t="inlineStr">
        <is>
          <t>SB428T</t>
        </is>
      </c>
      <c r="I3860" s="16" t="n">
        <v>3</v>
      </c>
      <c r="J3860" s="17" t="n">
        <v>276</v>
      </c>
      <c r="K3860" s="17" t="n">
        <v>331.47</v>
      </c>
      <c r="L3860" s="17" t="n">
        <v>0</v>
      </c>
      <c r="M3860" s="17" t="n">
        <v>0</v>
      </c>
      <c r="N3860" s="17">
        <f>K3860*0.08+L3860*0.08</f>
        <v/>
      </c>
      <c r="O3860" s="17">
        <f>-(K3860*0.025+L3860*0.025)</f>
        <v/>
      </c>
      <c r="P3860" s="17">
        <f>32</f>
        <v/>
      </c>
      <c r="Q3860" s="17">
        <f>J3860+L3860+N3860+O3860-P3860-M3860</f>
        <v/>
      </c>
    </row>
    <row r="3861">
      <c r="A3861" s="16" t="inlineStr">
        <is>
          <t>5.29-6.4</t>
        </is>
      </c>
      <c r="B3861" s="16" t="inlineStr">
        <is>
          <t>PO-128-21736986962551924</t>
        </is>
      </c>
      <c r="C3861" s="16" t="inlineStr">
        <is>
          <t>Delivered</t>
        </is>
      </c>
      <c r="D3861" s="16" t="inlineStr">
        <is>
          <t>128-21736971233911924</t>
        </is>
      </c>
      <c r="E3861" s="16" t="inlineStr">
        <is>
          <t>Delivered</t>
        </is>
      </c>
      <c r="F3861" s="16" t="inlineStr">
        <is>
          <t>LV54W25</t>
        </is>
      </c>
      <c r="G3861" s="16" t="inlineStr">
        <is>
          <t>TIANLAI Lámpara Ventilador E27 2 en 1, Silenciosa, LED Alta Luminosidad 180°, Instalación Rápida, Ahorro Energético para Dormitorio y Interiores Pequeños</t>
        </is>
      </c>
      <c r="H3861" s="16" t="inlineStr">
        <is>
          <t>1 Pieza</t>
        </is>
      </c>
      <c r="I3861" s="16" t="n">
        <v>2</v>
      </c>
      <c r="J3861" s="17" t="n">
        <v>148</v>
      </c>
      <c r="K3861" s="17" t="n">
        <v>152.52</v>
      </c>
      <c r="L3861" s="17" t="n">
        <v>25.86</v>
      </c>
      <c r="M3861" s="17" t="n">
        <v>0</v>
      </c>
      <c r="N3861" s="17">
        <f>K3861*0.08+L3861*0.08</f>
        <v/>
      </c>
      <c r="O3861" s="17">
        <f>-(K3861*0.025+L3861*0.025)</f>
        <v/>
      </c>
      <c r="P3861" s="17">
        <f>32</f>
        <v/>
      </c>
      <c r="Q3861" s="17">
        <f>J3861+L3861+N3861+O3861-P3861-M3861</f>
        <v/>
      </c>
    </row>
    <row r="3862">
      <c r="A3862" s="16" t="inlineStr">
        <is>
          <t>5.29-6.4</t>
        </is>
      </c>
      <c r="B3862" s="16" t="inlineStr">
        <is>
          <t>PO-128-21361450650233266</t>
        </is>
      </c>
      <c r="C3862" s="16" t="inlineStr">
        <is>
          <t>Delivered</t>
        </is>
      </c>
      <c r="D3862" s="16" t="inlineStr">
        <is>
          <t>128-21361441475193266</t>
        </is>
      </c>
      <c r="E3862" s="16" t="inlineStr">
        <is>
          <t>Delivered</t>
        </is>
      </c>
      <c r="F3862" s="16" t="inlineStr">
        <is>
          <t>LV54W25</t>
        </is>
      </c>
      <c r="G3862" s="16" t="inlineStr">
        <is>
          <t>TIANLAI Lámpara Ventilador E27 2 en 1, Silenciosa, LED Alta Luminosidad 180°, Instalación Rápida, Ahorro Energético para Dormitorio y Interiores Pequeños</t>
        </is>
      </c>
      <c r="H3862" s="16" t="inlineStr">
        <is>
          <t>1 Pieza</t>
        </is>
      </c>
      <c r="I3862" s="16" t="n">
        <v>2</v>
      </c>
      <c r="J3862" s="17" t="n">
        <v>148</v>
      </c>
      <c r="K3862" s="17" t="n">
        <v>152.52</v>
      </c>
      <c r="L3862" s="17" t="n">
        <v>25.86</v>
      </c>
      <c r="M3862" s="17" t="n">
        <v>0</v>
      </c>
      <c r="N3862" s="17">
        <f>K3862*0.08+L3862*0.08</f>
        <v/>
      </c>
      <c r="O3862" s="17">
        <f>-(K3862*0.025+L3862*0.025)</f>
        <v/>
      </c>
      <c r="P3862" s="17">
        <f>32</f>
        <v/>
      </c>
      <c r="Q3862" s="17">
        <f>J3862+L3862+N3862+O3862-P3862-M3862</f>
        <v/>
      </c>
    </row>
    <row r="3863">
      <c r="A3863" s="16" t="inlineStr">
        <is>
          <t>5.29-6.4</t>
        </is>
      </c>
      <c r="B3863" s="16" t="inlineStr">
        <is>
          <t>PO-128-21766518887031876</t>
        </is>
      </c>
      <c r="C3863" s="16" t="inlineStr">
        <is>
          <t>Delivered</t>
        </is>
      </c>
      <c r="D3863" s="16" t="inlineStr">
        <is>
          <t>128-21766571315831876</t>
        </is>
      </c>
      <c r="E3863" s="16" t="inlineStr">
        <is>
          <t>Delivered</t>
        </is>
      </c>
      <c r="F3863" s="16" t="inlineStr">
        <is>
          <t>LV64W25</t>
        </is>
      </c>
      <c r="G386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63" s="16" t="inlineStr">
        <is>
          <t>Blanco</t>
        </is>
      </c>
      <c r="I3863" s="16" t="n">
        <v>1</v>
      </c>
      <c r="J3863" s="17" t="n">
        <v>119</v>
      </c>
      <c r="K3863" s="17" t="n">
        <v>94.16</v>
      </c>
      <c r="L3863" s="17" t="n">
        <v>25.86</v>
      </c>
      <c r="M3863" s="17" t="n">
        <v>0</v>
      </c>
      <c r="N3863" s="17">
        <f>K3863*0.08+L3863*0.08</f>
        <v/>
      </c>
      <c r="O3863" s="17">
        <f>-(K3863*0.025+L3863*0.025)</f>
        <v/>
      </c>
      <c r="P3863" s="17">
        <f>32</f>
        <v/>
      </c>
      <c r="Q3863" s="17">
        <f>J3863+L3863+N3863+O3863-P3863-M3863</f>
        <v/>
      </c>
    </row>
    <row r="3864">
      <c r="A3864" s="16" t="inlineStr">
        <is>
          <t>5.29-6.4</t>
        </is>
      </c>
      <c r="B3864" s="16" t="inlineStr">
        <is>
          <t>PO-128-21442500613753745</t>
        </is>
      </c>
      <c r="C3864" s="16" t="inlineStr">
        <is>
          <t>Delivered</t>
        </is>
      </c>
      <c r="D3864" s="16" t="inlineStr">
        <is>
          <t>128-21442528138873745</t>
        </is>
      </c>
      <c r="E3864" s="16" t="inlineStr">
        <is>
          <t>Delivered</t>
        </is>
      </c>
      <c r="F3864" s="16" t="inlineStr">
        <is>
          <t>LV64W25</t>
        </is>
      </c>
      <c r="G38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64" s="16" t="inlineStr">
        <is>
          <t>Blanco</t>
        </is>
      </c>
      <c r="I3864" s="16" t="n">
        <v>1</v>
      </c>
      <c r="J3864" s="17" t="n">
        <v>119</v>
      </c>
      <c r="K3864" s="17" t="n">
        <v>123.54</v>
      </c>
      <c r="L3864" s="17" t="n">
        <v>25.86</v>
      </c>
      <c r="M3864" s="17" t="n">
        <v>0</v>
      </c>
      <c r="N3864" s="17">
        <f>K3864*0.08+L3864*0.08</f>
        <v/>
      </c>
      <c r="O3864" s="17">
        <f>-(K3864*0.025+L3864*0.025)</f>
        <v/>
      </c>
      <c r="P3864" s="17">
        <f>32</f>
        <v/>
      </c>
      <c r="Q3864" s="17">
        <f>J3864+L3864+N3864+O3864-P3864-M3864</f>
        <v/>
      </c>
    </row>
    <row r="3865">
      <c r="A3865" s="16" t="inlineStr">
        <is>
          <t>5.29-6.4</t>
        </is>
      </c>
      <c r="B3865" s="16" t="inlineStr">
        <is>
          <t>PO-128-21871593370230162</t>
        </is>
      </c>
      <c r="C3865" s="16" t="inlineStr">
        <is>
          <t>Delivered</t>
        </is>
      </c>
      <c r="D3865" s="16" t="inlineStr">
        <is>
          <t>128-21871551427190162</t>
        </is>
      </c>
      <c r="E3865" s="16" t="inlineStr">
        <is>
          <t>Delivered</t>
        </is>
      </c>
      <c r="F3865" s="16" t="inlineStr">
        <is>
          <t>LV54W25</t>
        </is>
      </c>
      <c r="G3865" s="16" t="inlineStr">
        <is>
          <t>TIANLAI Lámpara Ventilador E27 2 en 1, Silenciosa, LED Alta Luminosidad 180°, Instalación Rápida, Ahorro Energético para Dormitorio y Interiores Pequeños</t>
        </is>
      </c>
      <c r="H3865" s="16" t="inlineStr">
        <is>
          <t>1 Pieza</t>
        </is>
      </c>
      <c r="I3865" s="16" t="n">
        <v>1</v>
      </c>
      <c r="J3865" s="17" t="n">
        <v>74</v>
      </c>
      <c r="K3865" s="17" t="n">
        <v>64.83</v>
      </c>
      <c r="L3865" s="17" t="n">
        <v>25.86</v>
      </c>
      <c r="M3865" s="17" t="n">
        <v>0</v>
      </c>
      <c r="N3865" s="17">
        <f>K3865*0.08+L3865*0.08</f>
        <v/>
      </c>
      <c r="O3865" s="17">
        <f>-(K3865*0.025+L3865*0.025)</f>
        <v/>
      </c>
      <c r="P3865" s="17">
        <f>32</f>
        <v/>
      </c>
      <c r="Q3865" s="17">
        <f>J3865+L3865+N3865+O3865-P3865-M3865</f>
        <v/>
      </c>
    </row>
    <row r="3866">
      <c r="A3866" s="16" t="inlineStr">
        <is>
          <t>5.29-6.4</t>
        </is>
      </c>
      <c r="B3866" s="16" t="inlineStr">
        <is>
          <t>PO-128-21832422390390461</t>
        </is>
      </c>
      <c r="C3866" s="16" t="inlineStr">
        <is>
          <t>Delivered</t>
        </is>
      </c>
      <c r="D3866" s="16" t="inlineStr">
        <is>
          <t>128-21832464333430461</t>
        </is>
      </c>
      <c r="E3866" s="16" t="inlineStr">
        <is>
          <t>Delivered</t>
        </is>
      </c>
      <c r="F3866" s="16" t="inlineStr">
        <is>
          <t>KTS-2031</t>
        </is>
      </c>
      <c r="G3866" s="16" t="inlineStr">
        <is>
          <t>Bocina inalámbrica de 3 pulgadas con linterna multifuncional y panel solar integrado.Altavoz Portátil con Linterna LED 4 Modos, Radio FM, Bluetooth, Carga Solar, Ideal para Apagones, Emergencias, Campo y Exteriores</t>
        </is>
      </c>
      <c r="H3866" s="16" t="inlineStr">
        <is>
          <t>NEGRO</t>
        </is>
      </c>
      <c r="I3866" s="16" t="n">
        <v>1</v>
      </c>
      <c r="J3866" s="17" t="n">
        <v>88</v>
      </c>
      <c r="K3866" s="17" t="n">
        <v>97.22</v>
      </c>
      <c r="L3866" s="17" t="n">
        <v>25.86</v>
      </c>
      <c r="M3866" s="17" t="n">
        <v>0</v>
      </c>
      <c r="N3866" s="17">
        <f>K3866*0.08+L3866*0.08</f>
        <v/>
      </c>
      <c r="O3866" s="17">
        <f>-(K3866*0.025+L3866*0.025)</f>
        <v/>
      </c>
      <c r="P3866" s="17">
        <f>32</f>
        <v/>
      </c>
      <c r="Q3866" s="17">
        <f>J3866+L3866+N3866+O3866-P3866-M3866</f>
        <v/>
      </c>
    </row>
    <row r="3867">
      <c r="A3867" s="16" t="inlineStr">
        <is>
          <t>5.29-6.4</t>
        </is>
      </c>
      <c r="B3867" s="16" t="inlineStr">
        <is>
          <t>PO-128-21702866560631233</t>
        </is>
      </c>
      <c r="C3867" s="16" t="inlineStr">
        <is>
          <t>Delivered</t>
        </is>
      </c>
      <c r="D3867" s="16" t="inlineStr">
        <is>
          <t>128-21702871803511233</t>
        </is>
      </c>
      <c r="E3867" s="16" t="inlineStr">
        <is>
          <t>Delivered</t>
        </is>
      </c>
      <c r="F3867" s="16" t="inlineStr">
        <is>
          <t>LV64W25</t>
        </is>
      </c>
      <c r="G38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67" s="16" t="inlineStr">
        <is>
          <t>Blanco</t>
        </is>
      </c>
      <c r="I3867" s="16" t="n">
        <v>1</v>
      </c>
      <c r="J3867" s="17" t="n">
        <v>119</v>
      </c>
      <c r="K3867" s="17" t="n">
        <v>123.54</v>
      </c>
      <c r="L3867" s="17" t="n">
        <v>25.86</v>
      </c>
      <c r="M3867" s="17" t="n">
        <v>0</v>
      </c>
      <c r="N3867" s="17">
        <f>K3867*0.08+L3867*0.08</f>
        <v/>
      </c>
      <c r="O3867" s="17">
        <f>-(K3867*0.025+L3867*0.025)</f>
        <v/>
      </c>
      <c r="P3867" s="17">
        <f>32</f>
        <v/>
      </c>
      <c r="Q3867" s="17">
        <f>J3867+L3867+N3867+O3867-P3867-M3867</f>
        <v/>
      </c>
    </row>
    <row r="3868">
      <c r="A3868" s="16" t="inlineStr">
        <is>
          <t>5.29-6.4</t>
        </is>
      </c>
      <c r="B3868" s="16" t="inlineStr">
        <is>
          <t>PO-128-21375755515513119</t>
        </is>
      </c>
      <c r="C3868" s="16" t="inlineStr">
        <is>
          <t>Delivered</t>
        </is>
      </c>
      <c r="D3868" s="16" t="inlineStr">
        <is>
          <t>128-21375781729913119</t>
        </is>
      </c>
      <c r="E3868" s="16" t="inlineStr">
        <is>
          <t>Delivered</t>
        </is>
      </c>
      <c r="F3868" s="16" t="inlineStr">
        <is>
          <t>LV54W25</t>
        </is>
      </c>
      <c r="G3868" s="16" t="inlineStr">
        <is>
          <t>TIANLAI Lámpara Ventilador E27 2 en 1, Silenciosa, LED Alta Luminosidad 180°, Instalación Rápida, Ahorro Energético para Dormitorio y Interiores Pequeños</t>
        </is>
      </c>
      <c r="H3868" s="16" t="inlineStr">
        <is>
          <t>1 Pieza</t>
        </is>
      </c>
      <c r="I3868" s="16" t="n">
        <v>2</v>
      </c>
      <c r="J3868" s="17" t="n">
        <v>148</v>
      </c>
      <c r="K3868" s="17" t="n">
        <v>152.52</v>
      </c>
      <c r="L3868" s="17" t="n">
        <v>25.86</v>
      </c>
      <c r="M3868" s="17" t="n">
        <v>0</v>
      </c>
      <c r="N3868" s="17">
        <f>K3868*0.08+L3868*0.08</f>
        <v/>
      </c>
      <c r="O3868" s="17">
        <f>-(K3868*0.025+L3868*0.025)</f>
        <v/>
      </c>
      <c r="P3868" s="17">
        <f>32</f>
        <v/>
      </c>
      <c r="Q3868" s="17">
        <f>J3868+L3868+N3868+O3868-P3868-M3868</f>
        <v/>
      </c>
    </row>
    <row r="3869">
      <c r="A3869" s="16" t="inlineStr">
        <is>
          <t>5.29-6.4</t>
        </is>
      </c>
      <c r="B3869" s="16" t="inlineStr">
        <is>
          <t>PO-128-21440124872313759</t>
        </is>
      </c>
      <c r="C3869" s="16" t="inlineStr">
        <is>
          <t>Delivered</t>
        </is>
      </c>
      <c r="D3869" s="16" t="inlineStr">
        <is>
          <t>128-21440261187193759</t>
        </is>
      </c>
      <c r="E3869" s="16" t="inlineStr">
        <is>
          <t>Delivered</t>
        </is>
      </c>
      <c r="F3869" s="16" t="inlineStr">
        <is>
          <t>LV54W25</t>
        </is>
      </c>
      <c r="G3869" s="16" t="inlineStr">
        <is>
          <t>TIANLAI Lámpara Ventilador E27 2 en 1, Silenciosa, LED Alta Luminosidad 180°, Instalación Rápida, Ahorro Energético para Dormitorio y Interiores Pequeños</t>
        </is>
      </c>
      <c r="H3869" s="16" t="inlineStr">
        <is>
          <t>1 Pieza</t>
        </is>
      </c>
      <c r="I3869" s="16" t="n">
        <v>1</v>
      </c>
      <c r="J3869" s="17" t="n">
        <v>74</v>
      </c>
      <c r="K3869" s="17" t="n">
        <v>76.26000000000001</v>
      </c>
      <c r="L3869" s="17" t="n">
        <v>25.86</v>
      </c>
      <c r="M3869" s="17" t="n">
        <v>0</v>
      </c>
      <c r="N3869" s="17">
        <f>K3869*0.08+L3869*0.08</f>
        <v/>
      </c>
      <c r="O3869" s="17">
        <f>-(K3869*0.025+L3869*0.025)</f>
        <v/>
      </c>
      <c r="P3869" s="17">
        <f>32</f>
        <v/>
      </c>
      <c r="Q3869" s="17">
        <f>J3869+L3869+N3869+O3869-P3869-M3869</f>
        <v/>
      </c>
    </row>
    <row r="3870">
      <c r="A3870" s="16" t="inlineStr">
        <is>
          <t>5.29-6.4</t>
        </is>
      </c>
      <c r="B3870" s="16" t="inlineStr">
        <is>
          <t>PO-128-21684128819831345</t>
        </is>
      </c>
      <c r="C3870" s="16" t="inlineStr">
        <is>
          <t>Delivered</t>
        </is>
      </c>
      <c r="D3870" s="16" t="inlineStr">
        <is>
          <t>128-21684170762871345</t>
        </is>
      </c>
      <c r="E3870" s="16" t="inlineStr">
        <is>
          <t>Delivered</t>
        </is>
      </c>
      <c r="F3870" s="16" t="inlineStr">
        <is>
          <t>KTS-2031</t>
        </is>
      </c>
      <c r="G3870" s="16" t="inlineStr">
        <is>
          <t>Bocina inalámbrica de 3 pulgadas con linterna multifuncional y panel solar integrado.Altavoz Portátil con Linterna LED 4 Modos, Radio FM, Bluetooth, Carga Solar, Ideal para Apagones, Emergencias, Campo y Exteriores</t>
        </is>
      </c>
      <c r="H3870" s="16" t="inlineStr">
        <is>
          <t>NEGRO</t>
        </is>
      </c>
      <c r="I3870" s="16" t="n">
        <v>1</v>
      </c>
      <c r="J3870" s="17" t="n">
        <v>88</v>
      </c>
      <c r="K3870" s="17" t="n">
        <v>97.22</v>
      </c>
      <c r="L3870" s="17" t="n">
        <v>25.86</v>
      </c>
      <c r="M3870" s="17" t="n">
        <v>0</v>
      </c>
      <c r="N3870" s="17">
        <f>K3870*0.08+L3870*0.08</f>
        <v/>
      </c>
      <c r="O3870" s="17">
        <f>-(K3870*0.025+L3870*0.025)</f>
        <v/>
      </c>
      <c r="P3870" s="17">
        <f>32</f>
        <v/>
      </c>
      <c r="Q3870" s="17">
        <f>J3870+L3870+N3870+O3870-P3870-M3870</f>
        <v/>
      </c>
    </row>
    <row r="3871">
      <c r="A3871" s="16" t="inlineStr">
        <is>
          <t>5.29-6.4</t>
        </is>
      </c>
      <c r="B3871" s="16" t="inlineStr">
        <is>
          <t>PO-128-21854162094710330</t>
        </is>
      </c>
      <c r="C3871" s="16" t="inlineStr">
        <is>
          <t>Delivered</t>
        </is>
      </c>
      <c r="D3871" s="16" t="inlineStr">
        <is>
          <t>128-21854120151670330</t>
        </is>
      </c>
      <c r="E3871" s="16" t="inlineStr">
        <is>
          <t>Delivered</t>
        </is>
      </c>
      <c r="F3871" s="16" t="inlineStr">
        <is>
          <t>LV54W25</t>
        </is>
      </c>
      <c r="G3871" s="16" t="inlineStr">
        <is>
          <t>TIANLAI Lámpara Ventilador E27 2 en 1, Silenciosa, LED Alta Luminosidad 180°, Instalación Rápida, Ahorro Energético para Dormitorio y Interiores Pequeños</t>
        </is>
      </c>
      <c r="H3871" s="16" t="inlineStr">
        <is>
          <t>1 Pieza</t>
        </is>
      </c>
      <c r="I3871" s="16" t="n">
        <v>1</v>
      </c>
      <c r="J3871" s="17" t="n">
        <v>74</v>
      </c>
      <c r="K3871" s="17" t="n">
        <v>77.12</v>
      </c>
      <c r="L3871" s="17" t="n">
        <v>25.86</v>
      </c>
      <c r="M3871" s="17" t="n">
        <v>0</v>
      </c>
      <c r="N3871" s="17">
        <f>K3871*0.08+L3871*0.08</f>
        <v/>
      </c>
      <c r="O3871" s="17">
        <f>-(K3871*0.025+L3871*0.025)</f>
        <v/>
      </c>
      <c r="P3871" s="17">
        <f>32</f>
        <v/>
      </c>
      <c r="Q3871" s="17">
        <f>J3871+L3871+N3871+O3871-P3871-M3871</f>
        <v/>
      </c>
    </row>
    <row r="3872">
      <c r="A3872" s="16" t="inlineStr">
        <is>
          <t>5.29-6.4</t>
        </is>
      </c>
      <c r="B3872" s="16" t="inlineStr">
        <is>
          <t>PO-128-21420341607033877</t>
        </is>
      </c>
      <c r="C3872" s="16" t="inlineStr">
        <is>
          <t>Delivered</t>
        </is>
      </c>
      <c r="D3872" s="16" t="inlineStr">
        <is>
          <t>128-21420446464633877</t>
        </is>
      </c>
      <c r="E3872" s="16" t="inlineStr">
        <is>
          <t>Delivered</t>
        </is>
      </c>
      <c r="F3872" s="16" t="inlineStr">
        <is>
          <t>LV54W25</t>
        </is>
      </c>
      <c r="G3872" s="16" t="inlineStr">
        <is>
          <t>TIANLAI Lámpara Ventilador E27 2 en 1, Silenciosa, LED Alta Luminosidad 180°, Instalación Rápida, Ahorro Energético para Dormitorio y Interiores Pequeños</t>
        </is>
      </c>
      <c r="H3872" s="16" t="inlineStr">
        <is>
          <t>1 Pieza</t>
        </is>
      </c>
      <c r="I3872" s="16" t="n">
        <v>1</v>
      </c>
      <c r="J3872" s="17" t="n">
        <v>74</v>
      </c>
      <c r="K3872" s="17" t="n">
        <v>85.68000000000001</v>
      </c>
      <c r="L3872" s="17" t="n">
        <v>25.86</v>
      </c>
      <c r="M3872" s="17" t="n">
        <v>0</v>
      </c>
      <c r="N3872" s="17">
        <f>K3872*0.08+L3872*0.08</f>
        <v/>
      </c>
      <c r="O3872" s="17">
        <f>-(K3872*0.025+L3872*0.025)</f>
        <v/>
      </c>
      <c r="P3872" s="17">
        <f>32</f>
        <v/>
      </c>
      <c r="Q3872" s="17">
        <f>J3872+L3872+N3872+O3872-P3872-M3872</f>
        <v/>
      </c>
    </row>
    <row r="3873">
      <c r="A3873" s="16" t="inlineStr">
        <is>
          <t>5.29-6.4</t>
        </is>
      </c>
      <c r="B3873" s="16" t="inlineStr">
        <is>
          <t>PO-128-21912339190390945</t>
        </is>
      </c>
      <c r="C3873" s="16" t="inlineStr">
        <is>
          <t>Delivered</t>
        </is>
      </c>
      <c r="D3873" s="16" t="inlineStr">
        <is>
          <t>128-21912349676150945</t>
        </is>
      </c>
      <c r="E3873" s="16" t="inlineStr">
        <is>
          <t>Delivered</t>
        </is>
      </c>
      <c r="F3873" s="16" t="inlineStr">
        <is>
          <t>LV64W25</t>
        </is>
      </c>
      <c r="G38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73" s="16" t="inlineStr">
        <is>
          <t>Blanco</t>
        </is>
      </c>
      <c r="I3873" s="16" t="n">
        <v>1</v>
      </c>
      <c r="J3873" s="17" t="n">
        <v>119</v>
      </c>
      <c r="K3873" s="17" t="n">
        <v>120.13</v>
      </c>
      <c r="L3873" s="17" t="n">
        <v>25.86</v>
      </c>
      <c r="M3873" s="17" t="n">
        <v>0</v>
      </c>
      <c r="N3873" s="17">
        <f>K3873*0.08+L3873*0.08</f>
        <v/>
      </c>
      <c r="O3873" s="17">
        <f>-(K3873*0.025+L3873*0.025)</f>
        <v/>
      </c>
      <c r="P3873" s="17">
        <f>32</f>
        <v/>
      </c>
      <c r="Q3873" s="17">
        <f>J3873+L3873+N3873+O3873-P3873-M3873</f>
        <v/>
      </c>
    </row>
    <row r="3874">
      <c r="A3874" s="16" t="inlineStr">
        <is>
          <t>5.29-6.4</t>
        </is>
      </c>
      <c r="B3874" s="16" t="inlineStr">
        <is>
          <t>PO-128-21524764467832231</t>
        </is>
      </c>
      <c r="C3874" s="16" t="inlineStr">
        <is>
          <t>Delivered</t>
        </is>
      </c>
      <c r="D3874" s="16" t="inlineStr">
        <is>
          <t>128-21524816896632231</t>
        </is>
      </c>
      <c r="E3874" s="16" t="inlineStr">
        <is>
          <t>Delivered</t>
        </is>
      </c>
      <c r="F3874" s="16" t="inlineStr">
        <is>
          <t>LV54W25</t>
        </is>
      </c>
      <c r="G3874" s="16" t="inlineStr">
        <is>
          <t>TIANLAI Lámpara Ventilador E27 2 en 1, Silenciosa, LED Alta Luminosidad 180°, Instalación Rápida, Ahorro Energético para Dormitorio y Interiores Pequeños</t>
        </is>
      </c>
      <c r="H3874" s="16" t="inlineStr">
        <is>
          <t>1 Pieza</t>
        </is>
      </c>
      <c r="I3874" s="16" t="n">
        <v>1</v>
      </c>
      <c r="J3874" s="17" t="n">
        <v>74</v>
      </c>
      <c r="K3874" s="17" t="n">
        <v>76.26000000000001</v>
      </c>
      <c r="L3874" s="17" t="n">
        <v>25.86</v>
      </c>
      <c r="M3874" s="17" t="n">
        <v>0</v>
      </c>
      <c r="N3874" s="17">
        <f>K3874*0.08+L3874*0.08</f>
        <v/>
      </c>
      <c r="O3874" s="17">
        <f>-(K3874*0.025+L3874*0.025)</f>
        <v/>
      </c>
      <c r="P3874" s="17">
        <f>32</f>
        <v/>
      </c>
      <c r="Q3874" s="17">
        <f>J3874+L3874+N3874+O3874-P3874-M3874</f>
        <v/>
      </c>
    </row>
    <row r="3875">
      <c r="A3875" s="16" t="inlineStr">
        <is>
          <t>5.29-6.4</t>
        </is>
      </c>
      <c r="B3875" s="16" t="inlineStr">
        <is>
          <t>PO-128-21986184929910633</t>
        </is>
      </c>
      <c r="C3875" s="16" t="inlineStr">
        <is>
          <t>Delivered</t>
        </is>
      </c>
      <c r="D3875" s="16" t="inlineStr">
        <is>
          <t>128-21986195415670633</t>
        </is>
      </c>
      <c r="E3875" s="16" t="inlineStr">
        <is>
          <t>Delivered</t>
        </is>
      </c>
      <c r="F3875" s="16" t="inlineStr">
        <is>
          <t>BG-115-B</t>
        </is>
      </c>
      <c r="G3875" s="16" t="inlineStr">
        <is>
          <t>LINK BITS Audífonos Inalámbricos con Luces Multicolor, Recargables y en Adorable Forma de Orejas de Gato - Conecta a Celulares y PCs, Tiene Radio FM, Tarjeta TF y AUX - 7 Horas de Reproducción, Plegables y Perfectos para Trabajo, Juegos y Estudio</t>
        </is>
      </c>
      <c r="H3875" s="16" t="inlineStr">
        <is>
          <t>blanco</t>
        </is>
      </c>
      <c r="I3875" s="16" t="n">
        <v>1</v>
      </c>
      <c r="J3875" s="17" t="n">
        <v>74.25</v>
      </c>
      <c r="K3875" s="17" t="n">
        <v>84.97</v>
      </c>
      <c r="L3875" s="17" t="n">
        <v>25.86</v>
      </c>
      <c r="M3875" s="17" t="n">
        <v>0</v>
      </c>
      <c r="N3875" s="17">
        <f>K3875*0.08+L3875*0.08</f>
        <v/>
      </c>
      <c r="O3875" s="17">
        <f>-(K3875*0.025+L3875*0.025)</f>
        <v/>
      </c>
      <c r="P3875" s="17">
        <f>32</f>
        <v/>
      </c>
      <c r="Q3875" s="17">
        <f>J3875+L3875+N3875+O3875-P3875-M3875</f>
        <v/>
      </c>
    </row>
    <row r="3876">
      <c r="A3876" s="16" t="inlineStr">
        <is>
          <t>5.29-6.4</t>
        </is>
      </c>
      <c r="B3876" s="16" t="inlineStr">
        <is>
          <t>PO-128-21636862567032651</t>
        </is>
      </c>
      <c r="C3876" s="16" t="inlineStr">
        <is>
          <t>Delivered</t>
        </is>
      </c>
      <c r="D3876" s="16" t="inlineStr">
        <is>
          <t>128-21636820623992651</t>
        </is>
      </c>
      <c r="E3876" s="16" t="inlineStr">
        <is>
          <t>Delivered</t>
        </is>
      </c>
      <c r="F3876" s="16" t="inlineStr">
        <is>
          <t>LV64W25</t>
        </is>
      </c>
      <c r="G38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76" s="16" t="inlineStr">
        <is>
          <t>Blanco</t>
        </is>
      </c>
      <c r="I3876" s="16" t="n">
        <v>4</v>
      </c>
      <c r="J3876" s="17" t="n">
        <v>476</v>
      </c>
      <c r="K3876" s="17" t="n">
        <v>494.16</v>
      </c>
      <c r="L3876" s="17" t="n">
        <v>0</v>
      </c>
      <c r="M3876" s="17" t="n">
        <v>0</v>
      </c>
      <c r="N3876" s="17">
        <f>K3876*0.08+L3876*0.08</f>
        <v/>
      </c>
      <c r="O3876" s="17">
        <f>-(K3876*0.025+L3876*0.025)</f>
        <v/>
      </c>
      <c r="P3876" s="17">
        <f>32</f>
        <v/>
      </c>
      <c r="Q3876" s="17">
        <f>J3876+L3876+N3876+O3876-P3876-M3876</f>
        <v/>
      </c>
    </row>
    <row r="3877">
      <c r="A3877" s="16" t="inlineStr">
        <is>
          <t>5.29-6.4</t>
        </is>
      </c>
      <c r="B3877" s="16" t="inlineStr">
        <is>
          <t>PO-128-21908427131510902</t>
        </is>
      </c>
      <c r="C3877" s="16" t="inlineStr">
        <is>
          <t>Delivered</t>
        </is>
      </c>
      <c r="D3877" s="16" t="inlineStr">
        <is>
          <t>128-21908448103030902</t>
        </is>
      </c>
      <c r="E3877" s="16" t="inlineStr">
        <is>
          <t>Delivered</t>
        </is>
      </c>
      <c r="F3877" s="16" t="inlineStr">
        <is>
          <t>LV54W25</t>
        </is>
      </c>
      <c r="G3877" s="16" t="inlineStr">
        <is>
          <t>TIANLAI Lámpara Ventilador E27 2 en 1, Silenciosa, LED Alta Luminosidad 180°, Instalación Rápida, Ahorro Energético para Dormitorio y Interiores Pequeños</t>
        </is>
      </c>
      <c r="H3877" s="16" t="inlineStr">
        <is>
          <t>1 Pieza</t>
        </is>
      </c>
      <c r="I3877" s="16" t="n">
        <v>1</v>
      </c>
      <c r="J3877" s="17" t="n">
        <v>74</v>
      </c>
      <c r="K3877" s="17" t="n">
        <v>76.26000000000001</v>
      </c>
      <c r="L3877" s="17" t="n">
        <v>25.86</v>
      </c>
      <c r="M3877" s="17" t="n">
        <v>0</v>
      </c>
      <c r="N3877" s="17">
        <f>K3877*0.08+L3877*0.08</f>
        <v/>
      </c>
      <c r="O3877" s="17">
        <f>-(K3877*0.025+L3877*0.025)</f>
        <v/>
      </c>
      <c r="P3877" s="17">
        <f>32</f>
        <v/>
      </c>
      <c r="Q3877" s="17">
        <f>J3877+L3877+N3877+O3877-P3877-M3877</f>
        <v/>
      </c>
    </row>
    <row r="3878">
      <c r="A3878" s="16" t="inlineStr">
        <is>
          <t>5.29-6.4</t>
        </is>
      </c>
      <c r="B3878" s="16" t="inlineStr">
        <is>
          <t>PO-128-21803710403191590</t>
        </is>
      </c>
      <c r="C3878" s="16" t="inlineStr">
        <is>
          <t>Delivered</t>
        </is>
      </c>
      <c r="D3878" s="16" t="inlineStr">
        <is>
          <t>128-21803720888951590</t>
        </is>
      </c>
      <c r="E3878" s="16" t="inlineStr">
        <is>
          <t>Delivered</t>
        </is>
      </c>
      <c r="F3878" s="16" t="inlineStr">
        <is>
          <t>KTS-2031</t>
        </is>
      </c>
      <c r="G3878" s="16" t="inlineStr">
        <is>
          <t>Bocina inalámbrica de 3 pulgadas con linterna multifuncional y panel solar integrado.Altavoz Portátil con Linterna LED 4 Modos, Radio FM, Bluetooth, Carga Solar, Ideal para Apagones, Emergencias, Campo y Exteriores</t>
        </is>
      </c>
      <c r="H3878" s="16" t="inlineStr">
        <is>
          <t>NEGRO</t>
        </is>
      </c>
      <c r="I3878" s="16" t="n">
        <v>1</v>
      </c>
      <c r="J3878" s="17" t="n">
        <v>88</v>
      </c>
      <c r="K3878" s="17" t="n">
        <v>97.22</v>
      </c>
      <c r="L3878" s="17" t="n">
        <v>25.86</v>
      </c>
      <c r="M3878" s="17" t="n">
        <v>0</v>
      </c>
      <c r="N3878" s="17">
        <f>K3878*0.08+L3878*0.08</f>
        <v/>
      </c>
      <c r="O3878" s="17">
        <f>-(K3878*0.025+L3878*0.025)</f>
        <v/>
      </c>
      <c r="P3878" s="17">
        <f>32</f>
        <v/>
      </c>
      <c r="Q3878" s="17">
        <f>J3878+L3878+N3878+O3878-P3878-M3878</f>
        <v/>
      </c>
    </row>
    <row r="3879">
      <c r="A3879" s="16" t="inlineStr">
        <is>
          <t>5.29-6.4</t>
        </is>
      </c>
      <c r="B3879" s="16" t="inlineStr">
        <is>
          <t>PO-128-21323207004793558</t>
        </is>
      </c>
      <c r="C3879" s="16" t="inlineStr">
        <is>
          <t>Delivered</t>
        </is>
      </c>
      <c r="D3879" s="16" t="inlineStr">
        <is>
          <t>128-21323186033273558</t>
        </is>
      </c>
      <c r="E3879" s="16" t="inlineStr">
        <is>
          <t>Delivered</t>
        </is>
      </c>
      <c r="F3879" s="16" t="inlineStr">
        <is>
          <t>LV54W25</t>
        </is>
      </c>
      <c r="G3879" s="16" t="inlineStr">
        <is>
          <t>TIANLAI Lámpara Ventilador E27 2 en 1, Silenciosa, LED Alta Luminosidad 180°, Instalación Rápida, Ahorro Energético para Dormitorio y Interiores Pequeños</t>
        </is>
      </c>
      <c r="H3879" s="16" t="inlineStr">
        <is>
          <t>1 Pieza</t>
        </is>
      </c>
      <c r="I3879" s="16" t="n">
        <v>1</v>
      </c>
      <c r="J3879" s="17" t="n">
        <v>74</v>
      </c>
      <c r="K3879" s="17" t="n">
        <v>76.26000000000001</v>
      </c>
      <c r="L3879" s="17" t="n">
        <v>25.86</v>
      </c>
      <c r="M3879" s="17" t="n">
        <v>0</v>
      </c>
      <c r="N3879" s="17">
        <f>K3879*0.08+L3879*0.08</f>
        <v/>
      </c>
      <c r="O3879" s="17">
        <f>-(K3879*0.025+L3879*0.025)</f>
        <v/>
      </c>
      <c r="P3879" s="17">
        <f>32</f>
        <v/>
      </c>
      <c r="Q3879" s="17">
        <f>J3879+L3879+N3879+O3879-P3879-M3879</f>
        <v/>
      </c>
    </row>
    <row r="3880">
      <c r="A3880" s="16" t="inlineStr">
        <is>
          <t>5.29-6.4</t>
        </is>
      </c>
      <c r="B3880" s="16" t="inlineStr">
        <is>
          <t>PO-128-21571141146232976</t>
        </is>
      </c>
      <c r="C3880" s="16" t="inlineStr">
        <is>
          <t>Delivered</t>
        </is>
      </c>
      <c r="D3880" s="16" t="inlineStr">
        <is>
          <t>128-21571164739192976</t>
        </is>
      </c>
      <c r="E3880" s="16" t="inlineStr">
        <is>
          <t>Delivered</t>
        </is>
      </c>
      <c r="F3880" s="16" t="inlineStr">
        <is>
          <t>LV64W25</t>
        </is>
      </c>
      <c r="G38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80" s="16" t="inlineStr">
        <is>
          <t>Blanco</t>
        </is>
      </c>
      <c r="I3880" s="16" t="n">
        <v>3</v>
      </c>
      <c r="J3880" s="17" t="n">
        <v>357</v>
      </c>
      <c r="K3880" s="17" t="n">
        <v>341.13</v>
      </c>
      <c r="L3880" s="17" t="n">
        <v>0</v>
      </c>
      <c r="M3880" s="17" t="n">
        <v>0</v>
      </c>
      <c r="N3880" s="17">
        <f>K3880*0.08+L3880*0.08</f>
        <v/>
      </c>
      <c r="O3880" s="17">
        <f>-(K3880*0.025+L3880*0.025)</f>
        <v/>
      </c>
      <c r="P3880" s="17">
        <f>32</f>
        <v/>
      </c>
      <c r="Q3880" s="17">
        <f>J3880+L3880+N3880+O3880-P3880-M3880</f>
        <v/>
      </c>
    </row>
    <row r="3881">
      <c r="A3881" s="16" t="inlineStr">
        <is>
          <t>5.29-6.4</t>
        </is>
      </c>
      <c r="B3881" s="16" t="inlineStr">
        <is>
          <t>PO-128-21911236045430951</t>
        </is>
      </c>
      <c r="C3881" s="16" t="inlineStr">
        <is>
          <t>Delivered</t>
        </is>
      </c>
      <c r="D3881" s="16" t="inlineStr">
        <is>
          <t>128-21911340903030951</t>
        </is>
      </c>
      <c r="E3881" s="16" t="inlineStr">
        <is>
          <t>Delivered</t>
        </is>
      </c>
      <c r="F3881" s="16" t="inlineStr">
        <is>
          <t>LV54W25</t>
        </is>
      </c>
      <c r="G3881" s="16" t="inlineStr">
        <is>
          <t>TIANLAI Lámpara Ventilador E27 2 en 1, Silenciosa, LED Alta Luminosidad 180°, Instalación Rápida, Ahorro Energético para Dormitorio y Interiores Pequeños</t>
        </is>
      </c>
      <c r="H3881" s="16" t="inlineStr">
        <is>
          <t>1 Pieza</t>
        </is>
      </c>
      <c r="I3881" s="16" t="n">
        <v>1</v>
      </c>
      <c r="J3881" s="17" t="n">
        <v>74</v>
      </c>
      <c r="K3881" s="17" t="n">
        <v>61.7</v>
      </c>
      <c r="L3881" s="17" t="n">
        <v>25.86</v>
      </c>
      <c r="M3881" s="17" t="n">
        <v>0</v>
      </c>
      <c r="N3881" s="17">
        <f>K3881*0.08+L3881*0.08</f>
        <v/>
      </c>
      <c r="O3881" s="17">
        <f>-(K3881*0.025+L3881*0.025)</f>
        <v/>
      </c>
      <c r="P3881" s="17">
        <f>32</f>
        <v/>
      </c>
      <c r="Q3881" s="17">
        <f>J3881+L3881+N3881+O3881-P3881-M3881</f>
        <v/>
      </c>
    </row>
    <row r="3882">
      <c r="A3882" s="16" t="inlineStr">
        <is>
          <t>5.29-6.4</t>
        </is>
      </c>
      <c r="B3882" s="16" t="inlineStr">
        <is>
          <t>PO-128-21802725095031596</t>
        </is>
      </c>
      <c r="C3882" s="16" t="inlineStr">
        <is>
          <t>Delivered</t>
        </is>
      </c>
      <c r="D3882" s="16" t="inlineStr">
        <is>
          <t>128-21802735580791596</t>
        </is>
      </c>
      <c r="E3882" s="16" t="inlineStr">
        <is>
          <t>Delivered</t>
        </is>
      </c>
      <c r="F3882" s="16" t="inlineStr">
        <is>
          <t>LV54W25</t>
        </is>
      </c>
      <c r="G3882" s="16" t="inlineStr">
        <is>
          <t>TIANLAI Lámpara Ventilador E27 2 en 1, Silenciosa, LED Alta Luminosidad 180°, Instalación Rápida, Ahorro Energético para Dormitorio y Interiores Pequeños</t>
        </is>
      </c>
      <c r="H3882" s="16" t="inlineStr">
        <is>
          <t>1 Pieza</t>
        </is>
      </c>
      <c r="I3882" s="16" t="n">
        <v>1</v>
      </c>
      <c r="J3882" s="17" t="n">
        <v>74</v>
      </c>
      <c r="K3882" s="17" t="n">
        <v>76.26000000000001</v>
      </c>
      <c r="L3882" s="17" t="n">
        <v>25.86</v>
      </c>
      <c r="M3882" s="17" t="n">
        <v>0</v>
      </c>
      <c r="N3882" s="17">
        <f>K3882*0.08+L3882*0.08</f>
        <v/>
      </c>
      <c r="O3882" s="17">
        <f>-(K3882*0.025+L3882*0.025)</f>
        <v/>
      </c>
      <c r="P3882" s="17">
        <f>32</f>
        <v/>
      </c>
      <c r="Q3882" s="17">
        <f>J3882+L3882+N3882+O3882-P3882-M3882</f>
        <v/>
      </c>
    </row>
    <row r="3883">
      <c r="A3883" s="16" t="inlineStr">
        <is>
          <t>5.29-6.4</t>
        </is>
      </c>
      <c r="B3883" s="16" t="inlineStr">
        <is>
          <t>PO-128-21937945272950854</t>
        </is>
      </c>
      <c r="C3883" s="16" t="inlineStr">
        <is>
          <t>Delivered</t>
        </is>
      </c>
      <c r="D3883" s="16" t="inlineStr">
        <is>
          <t>128-21937987215990854</t>
        </is>
      </c>
      <c r="E3883" s="16" t="inlineStr">
        <is>
          <t>Delivered</t>
        </is>
      </c>
      <c r="F3883" s="16" t="inlineStr">
        <is>
          <t>LV54W25</t>
        </is>
      </c>
      <c r="G3883" s="16" t="inlineStr">
        <is>
          <t>TIANLAI Lámpara Ventilador E27 2 en 1, Silenciosa, LED Alta Luminosidad 180°, Instalación Rápida, Ahorro Energético para Dormitorio y Interiores Pequeños</t>
        </is>
      </c>
      <c r="H3883" s="16" t="inlineStr">
        <is>
          <t>1 Pieza</t>
        </is>
      </c>
      <c r="I3883" s="16" t="n">
        <v>1</v>
      </c>
      <c r="J3883" s="17" t="n">
        <v>74</v>
      </c>
      <c r="K3883" s="17" t="n">
        <v>77.12</v>
      </c>
      <c r="L3883" s="17" t="n">
        <v>25.86</v>
      </c>
      <c r="M3883" s="17" t="n">
        <v>0</v>
      </c>
      <c r="N3883" s="17">
        <f>K3883*0.08+L3883*0.08</f>
        <v/>
      </c>
      <c r="O3883" s="17">
        <f>-(K3883*0.025+L3883*0.025)</f>
        <v/>
      </c>
      <c r="P3883" s="17">
        <f>32</f>
        <v/>
      </c>
      <c r="Q3883" s="17">
        <f>J3883+L3883+N3883+O3883-P3883-M3883</f>
        <v/>
      </c>
    </row>
    <row r="3884">
      <c r="A3884" s="16" t="inlineStr">
        <is>
          <t>5.29-6.4</t>
        </is>
      </c>
      <c r="B3884" s="16" t="inlineStr">
        <is>
          <t>PO-128-21473342116473689</t>
        </is>
      </c>
      <c r="C3884" s="16" t="inlineStr">
        <is>
          <t>Delivered</t>
        </is>
      </c>
      <c r="D3884" s="16" t="inlineStr">
        <is>
          <t>128-21473352602233689</t>
        </is>
      </c>
      <c r="E3884" s="16" t="inlineStr">
        <is>
          <t>Delivered</t>
        </is>
      </c>
      <c r="F3884" s="16" t="inlineStr">
        <is>
          <t>LV54W25</t>
        </is>
      </c>
      <c r="G3884" s="16" t="inlineStr">
        <is>
          <t>TIANLAI Lámpara Ventilador E27 2 en 1, Silenciosa, LED Alta Luminosidad 180°, Instalación Rápida, Ahorro Energético para Dormitorio y Interiores Pequeños</t>
        </is>
      </c>
      <c r="H3884" s="16" t="inlineStr">
        <is>
          <t>1 Pieza</t>
        </is>
      </c>
      <c r="I3884" s="16" t="n">
        <v>1</v>
      </c>
      <c r="J3884" s="17" t="n">
        <v>74</v>
      </c>
      <c r="K3884" s="17" t="n">
        <v>76.26000000000001</v>
      </c>
      <c r="L3884" s="17" t="n">
        <v>25.86</v>
      </c>
      <c r="M3884" s="17" t="n">
        <v>0</v>
      </c>
      <c r="N3884" s="17">
        <f>K3884*0.08+L3884*0.08</f>
        <v/>
      </c>
      <c r="O3884" s="17">
        <f>-(K3884*0.025+L3884*0.025)</f>
        <v/>
      </c>
      <c r="P3884" s="17">
        <f>32</f>
        <v/>
      </c>
      <c r="Q3884" s="17">
        <f>J3884+L3884+N3884+O3884-P3884-M3884</f>
        <v/>
      </c>
    </row>
    <row r="3885">
      <c r="A3885" s="16" t="inlineStr">
        <is>
          <t>5.29-6.4</t>
        </is>
      </c>
      <c r="B3885" s="16" t="inlineStr">
        <is>
          <t>PO-128-21380002207353156</t>
        </is>
      </c>
      <c r="C3885" s="16" t="inlineStr">
        <is>
          <t>Delivered</t>
        </is>
      </c>
      <c r="D3885" s="16" t="inlineStr">
        <is>
          <t>128-21379970750073156</t>
        </is>
      </c>
      <c r="E3885" s="16" t="inlineStr">
        <is>
          <t>Delivered</t>
        </is>
      </c>
      <c r="F3885" s="16" t="inlineStr">
        <is>
          <t>LV54W25</t>
        </is>
      </c>
      <c r="G3885" s="16" t="inlineStr">
        <is>
          <t>TIANLAI Lámpara Ventilador E27 2 en 1, Silenciosa, LED Alta Luminosidad 180°, Instalación Rápida, Ahorro Energético para Dormitorio y Interiores Pequeños</t>
        </is>
      </c>
      <c r="H3885" s="16" t="inlineStr">
        <is>
          <t>1 Pieza</t>
        </is>
      </c>
      <c r="I3885" s="16" t="n">
        <v>1</v>
      </c>
      <c r="J3885" s="17" t="n">
        <v>74</v>
      </c>
      <c r="K3885" s="17" t="n">
        <v>76.26000000000001</v>
      </c>
      <c r="L3885" s="17" t="n">
        <v>25.86</v>
      </c>
      <c r="M3885" s="17" t="n">
        <v>0</v>
      </c>
      <c r="N3885" s="17">
        <f>K3885*0.08+L3885*0.08</f>
        <v/>
      </c>
      <c r="O3885" s="17">
        <f>-(K3885*0.025+L3885*0.025)</f>
        <v/>
      </c>
      <c r="P3885" s="17">
        <f>32</f>
        <v/>
      </c>
      <c r="Q3885" s="17">
        <f>J3885+L3885+N3885+O3885-P3885-M3885</f>
        <v/>
      </c>
    </row>
    <row r="3886">
      <c r="A3886" s="16" t="inlineStr">
        <is>
          <t>5.29-6.4</t>
        </is>
      </c>
      <c r="B3886" s="16" t="inlineStr">
        <is>
          <t>PO-128-21567640023672999</t>
        </is>
      </c>
      <c r="C3886" s="16" t="inlineStr">
        <is>
          <t>Delivered</t>
        </is>
      </c>
      <c r="D3886" s="16" t="inlineStr">
        <is>
          <t>128-21567744881272999</t>
        </is>
      </c>
      <c r="E3886" s="16" t="inlineStr">
        <is>
          <t>Delivered</t>
        </is>
      </c>
      <c r="F3886" s="16" t="inlineStr">
        <is>
          <t>KTS-2031</t>
        </is>
      </c>
      <c r="G3886" s="16" t="inlineStr">
        <is>
          <t>Bocina inalámbrica de 3 pulgadas con linterna multifuncional y panel solar integrado.Altavoz Portátil con Linterna LED 4 Modos, Radio FM, Bluetooth, Carga Solar, Ideal para Apagones, Emergencias, Campo y Exteriores</t>
        </is>
      </c>
      <c r="H3886" s="16" t="inlineStr">
        <is>
          <t>NEGRO</t>
        </is>
      </c>
      <c r="I3886" s="16" t="n">
        <v>1</v>
      </c>
      <c r="J3886" s="17" t="n">
        <v>88</v>
      </c>
      <c r="K3886" s="17" t="n">
        <v>97.22</v>
      </c>
      <c r="L3886" s="17" t="n">
        <v>25.86</v>
      </c>
      <c r="M3886" s="17" t="n">
        <v>0</v>
      </c>
      <c r="N3886" s="17">
        <f>K3886*0.08+L3886*0.08</f>
        <v/>
      </c>
      <c r="O3886" s="17">
        <f>-(K3886*0.025+L3886*0.025)</f>
        <v/>
      </c>
      <c r="P3886" s="17">
        <f>32</f>
        <v/>
      </c>
      <c r="Q3886" s="17">
        <f>J3886+L3886+N3886+O3886-P3886-M3886</f>
        <v/>
      </c>
    </row>
    <row r="3887">
      <c r="A3887" s="16" t="inlineStr">
        <is>
          <t>5.29-6.4</t>
        </is>
      </c>
      <c r="B3887" s="16" t="inlineStr">
        <is>
          <t>PO-128-21619764101752753</t>
        </is>
      </c>
      <c r="C3887" s="16" t="inlineStr">
        <is>
          <t>Delivered</t>
        </is>
      </c>
      <c r="D3887" s="16" t="inlineStr">
        <is>
          <t>128-21619722158712753</t>
        </is>
      </c>
      <c r="E3887" s="16" t="inlineStr">
        <is>
          <t>Delivered</t>
        </is>
      </c>
      <c r="F3887" s="16" t="inlineStr">
        <is>
          <t>TLCD02-8P-A</t>
        </is>
      </c>
      <c r="G388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887" s="16" t="inlineStr">
        <is>
          <t>AZUL/pantalla de 8.5 pulgadas</t>
        </is>
      </c>
      <c r="I3887" s="16" t="n">
        <v>1</v>
      </c>
      <c r="J3887" s="17" t="n">
        <v>24</v>
      </c>
      <c r="K3887" s="17" t="n">
        <v>32.98</v>
      </c>
      <c r="L3887" s="17" t="n">
        <v>25.86</v>
      </c>
      <c r="M3887" s="17" t="n">
        <v>0</v>
      </c>
      <c r="N3887" s="17">
        <f>K3887*0.08+L3887*0.08</f>
        <v/>
      </c>
      <c r="O3887" s="17">
        <f>-(K3887*0.025+L3887*0.025)</f>
        <v/>
      </c>
      <c r="P3887" s="17">
        <f>32</f>
        <v/>
      </c>
      <c r="Q3887" s="17">
        <f>J3887+L3887+N3887+O3887-P3887-M3887</f>
        <v/>
      </c>
    </row>
    <row r="3888">
      <c r="A3888" s="16" t="inlineStr">
        <is>
          <t>5.29-6.4</t>
        </is>
      </c>
      <c r="B3888" s="16" t="inlineStr">
        <is>
          <t>PO-128-21333580268153368</t>
        </is>
      </c>
      <c r="C3888" s="16" t="inlineStr">
        <is>
          <t>Delivered</t>
        </is>
      </c>
      <c r="D3888" s="16" t="inlineStr">
        <is>
          <t>128-21333627454073368</t>
        </is>
      </c>
      <c r="E3888" s="16" t="inlineStr">
        <is>
          <t>Delivered</t>
        </is>
      </c>
      <c r="F3888" s="16" t="inlineStr">
        <is>
          <t>LV54W25</t>
        </is>
      </c>
      <c r="G3888" s="16" t="inlineStr">
        <is>
          <t>TIANLAI Lámpara Ventilador E27 2 en 1, Silenciosa, LED Alta Luminosidad 180°, Instalación Rápida, Ahorro Energético para Dormitorio y Interiores Pequeños</t>
        </is>
      </c>
      <c r="H3888" s="16" t="inlineStr">
        <is>
          <t>1 Pieza</t>
        </is>
      </c>
      <c r="I3888" s="16" t="n">
        <v>1</v>
      </c>
      <c r="J3888" s="17" t="n">
        <v>74</v>
      </c>
      <c r="K3888" s="17" t="n">
        <v>76.26000000000001</v>
      </c>
      <c r="L3888" s="17" t="n">
        <v>25.86</v>
      </c>
      <c r="M3888" s="17" t="n">
        <v>0</v>
      </c>
      <c r="N3888" s="17">
        <f>K3888*0.08+L3888*0.08</f>
        <v/>
      </c>
      <c r="O3888" s="17">
        <f>-(K3888*0.025+L3888*0.025)</f>
        <v/>
      </c>
      <c r="P3888" s="17">
        <f>32</f>
        <v/>
      </c>
      <c r="Q3888" s="17">
        <f>J3888+L3888+N3888+O3888-P3888-M3888</f>
        <v/>
      </c>
    </row>
    <row r="3889">
      <c r="A3889" s="16" t="inlineStr">
        <is>
          <t>5.29-6.4</t>
        </is>
      </c>
      <c r="B3889" s="16" t="inlineStr">
        <is>
          <t>PO-128-21850728591990350</t>
        </is>
      </c>
      <c r="C3889" s="16" t="inlineStr">
        <is>
          <t>Delivered</t>
        </is>
      </c>
      <c r="D3889" s="16" t="inlineStr">
        <is>
          <t>128-21850707620470350</t>
        </is>
      </c>
      <c r="E3889" s="16" t="inlineStr">
        <is>
          <t>Delivered</t>
        </is>
      </c>
      <c r="F3889" s="16" t="inlineStr">
        <is>
          <t>LV54W25</t>
        </is>
      </c>
      <c r="G3889" s="16" t="inlineStr">
        <is>
          <t>TIANLAI Lámpara Ventilador E27 2 en 1, Silenciosa, LED Alta Luminosidad 180°, Instalación Rápida, Ahorro Energético para Dormitorio y Interiores Pequeños</t>
        </is>
      </c>
      <c r="H3889" s="16" t="inlineStr">
        <is>
          <t>1 Pieza</t>
        </is>
      </c>
      <c r="I3889" s="16" t="n">
        <v>1</v>
      </c>
      <c r="J3889" s="17" t="n">
        <v>74</v>
      </c>
      <c r="K3889" s="17" t="n">
        <v>76.26000000000001</v>
      </c>
      <c r="L3889" s="17" t="n">
        <v>25.86</v>
      </c>
      <c r="M3889" s="17" t="n">
        <v>0</v>
      </c>
      <c r="N3889" s="17">
        <f>K3889*0.08+L3889*0.08</f>
        <v/>
      </c>
      <c r="O3889" s="17">
        <f>-(K3889*0.025+L3889*0.025)</f>
        <v/>
      </c>
      <c r="P3889" s="17">
        <f>32</f>
        <v/>
      </c>
      <c r="Q3889" s="17">
        <f>J3889+L3889+N3889+O3889-P3889-M3889</f>
        <v/>
      </c>
    </row>
    <row r="3890">
      <c r="A3890" s="16" t="inlineStr">
        <is>
          <t>5.29-6.4</t>
        </is>
      </c>
      <c r="B3890" s="16" t="inlineStr">
        <is>
          <t>PO-128-21436874035833715</t>
        </is>
      </c>
      <c r="C3890" s="16" t="inlineStr">
        <is>
          <t>Delivered</t>
        </is>
      </c>
      <c r="D3890" s="16" t="inlineStr">
        <is>
          <t>128-21436895007353715</t>
        </is>
      </c>
      <c r="E3890" s="16" t="inlineStr">
        <is>
          <t>Delivered</t>
        </is>
      </c>
      <c r="F3890" s="16" t="inlineStr">
        <is>
          <t>LV64W25</t>
        </is>
      </c>
      <c r="G389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90" s="16" t="inlineStr">
        <is>
          <t>Blanco</t>
        </is>
      </c>
      <c r="I3890" s="16" t="n">
        <v>3</v>
      </c>
      <c r="J3890" s="17" t="n">
        <v>357</v>
      </c>
      <c r="K3890" s="17" t="n">
        <v>370.62</v>
      </c>
      <c r="L3890" s="17" t="n">
        <v>0</v>
      </c>
      <c r="M3890" s="17" t="n">
        <v>0</v>
      </c>
      <c r="N3890" s="17">
        <f>K3890*0.08+L3890*0.08</f>
        <v/>
      </c>
      <c r="O3890" s="17">
        <f>-(K3890*0.025+L3890*0.025)</f>
        <v/>
      </c>
      <c r="P3890" s="17">
        <f>32</f>
        <v/>
      </c>
      <c r="Q3890" s="17">
        <f>J3890+L3890+N3890+O3890-P3890-M3890</f>
        <v/>
      </c>
    </row>
    <row r="3891">
      <c r="A3891" s="16" t="inlineStr">
        <is>
          <t>5.29-6.4</t>
        </is>
      </c>
      <c r="B3891" s="16" t="inlineStr">
        <is>
          <t>PO-128-21534103306872303</t>
        </is>
      </c>
      <c r="C3891" s="16" t="inlineStr">
        <is>
          <t>Delivered</t>
        </is>
      </c>
      <c r="D3891" s="16" t="inlineStr">
        <is>
          <t>128-21534099374712303</t>
        </is>
      </c>
      <c r="E3891" s="16" t="inlineStr">
        <is>
          <t>Delivered</t>
        </is>
      </c>
      <c r="F3891" s="16" t="inlineStr">
        <is>
          <t>KTS-1936</t>
        </is>
      </c>
      <c r="G3891" s="16" t="inlineStr">
        <is>
          <t>Espejo con Luz para Makeup，Espejo con Luz LED y Bocina Bluetooth，Espejo para Maquillaje con Aumentos y Luces LED de Intensidad Ajustable，Lente de Aumento 10X+Reproductor TF+ TWS，espejo de portátil y para estudiantes, oficina, dormitorio, mejor regalo</t>
        </is>
      </c>
      <c r="H3891" s="16" t="inlineStr">
        <is>
          <t>BLANCO</t>
        </is>
      </c>
      <c r="I3891" s="16" t="n">
        <v>1</v>
      </c>
      <c r="J3891" s="17" t="n">
        <v>201</v>
      </c>
      <c r="K3891" s="17" t="n">
        <v>215.12</v>
      </c>
      <c r="L3891" s="17" t="n">
        <v>25.86</v>
      </c>
      <c r="M3891" s="17" t="n">
        <v>0</v>
      </c>
      <c r="N3891" s="17">
        <f>K3891*0.08+L3891*0.08</f>
        <v/>
      </c>
      <c r="O3891" s="17">
        <f>-(K3891*0.025+L3891*0.025)</f>
        <v/>
      </c>
      <c r="P3891" s="17">
        <f>32</f>
        <v/>
      </c>
      <c r="Q3891" s="17">
        <f>J3891+L3891+N3891+O3891-P3891-M3891</f>
        <v/>
      </c>
    </row>
    <row r="3892">
      <c r="A3892" s="16" t="inlineStr">
        <is>
          <t>5.29-6.4</t>
        </is>
      </c>
      <c r="B3892" s="16" t="inlineStr">
        <is>
          <t>PO-128-21821748967030397</t>
        </is>
      </c>
      <c r="C3892" s="16" t="inlineStr">
        <is>
          <t>Delivered</t>
        </is>
      </c>
      <c r="D3892" s="16" t="inlineStr">
        <is>
          <t>128-21821707023990397</t>
        </is>
      </c>
      <c r="E3892" s="16" t="inlineStr">
        <is>
          <t>Delivered</t>
        </is>
      </c>
      <c r="F3892" s="16" t="inlineStr">
        <is>
          <t>KTS-2031</t>
        </is>
      </c>
      <c r="G3892" s="16" t="inlineStr">
        <is>
          <t>Bocina inalámbrica de 3 pulgadas con linterna multifuncional y panel solar integrado.Altavoz Portátil con Linterna LED 4 Modos, Radio FM, Bluetooth, Carga Solar, Ideal para Apagones, Emergencias, Campo y Exteriores</t>
        </is>
      </c>
      <c r="H3892" s="16" t="inlineStr">
        <is>
          <t>NEGRO</t>
        </is>
      </c>
      <c r="I3892" s="16" t="n">
        <v>3</v>
      </c>
      <c r="J3892" s="17" t="n">
        <v>264</v>
      </c>
      <c r="K3892" s="17" t="n">
        <v>291.66</v>
      </c>
      <c r="L3892" s="17" t="n">
        <v>0</v>
      </c>
      <c r="M3892" s="17" t="n">
        <v>0</v>
      </c>
      <c r="N3892" s="17">
        <f>K3892*0.08+L3892*0.08</f>
        <v/>
      </c>
      <c r="O3892" s="17">
        <f>-(K3892*0.025+L3892*0.025)</f>
        <v/>
      </c>
      <c r="P3892" s="17">
        <f>32</f>
        <v/>
      </c>
      <c r="Q3892" s="17">
        <f>J3892+L3892+N3892+O3892-P3892-M3892</f>
        <v/>
      </c>
    </row>
    <row r="3893">
      <c r="A3893" s="16" t="inlineStr">
        <is>
          <t>5.29-6.4</t>
        </is>
      </c>
      <c r="B3893" s="16" t="inlineStr">
        <is>
          <t>PO-128-21624341386872789</t>
        </is>
      </c>
      <c r="C3893" s="16" t="inlineStr">
        <is>
          <t>Delivered</t>
        </is>
      </c>
      <c r="D3893" s="16" t="inlineStr">
        <is>
          <t>128-21624477701752789</t>
        </is>
      </c>
      <c r="E3893" s="16" t="inlineStr">
        <is>
          <t>Delivered</t>
        </is>
      </c>
      <c r="F3893" s="16" t="inlineStr">
        <is>
          <t>TLCD06-12P-N</t>
        </is>
      </c>
      <c r="G389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893" s="16" t="inlineStr">
        <is>
          <t>NEGRO/pantalla de 12 pulgadas</t>
        </is>
      </c>
      <c r="I3893" s="16" t="n">
        <v>1</v>
      </c>
      <c r="J3893" s="17" t="n">
        <v>32</v>
      </c>
      <c r="K3893" s="17" t="n">
        <v>44.01</v>
      </c>
      <c r="L3893" s="17" t="n">
        <v>25.86</v>
      </c>
      <c r="M3893" s="17" t="n">
        <v>0</v>
      </c>
      <c r="N3893" s="17">
        <f>K3893*0.08+L3893*0.08</f>
        <v/>
      </c>
      <c r="O3893" s="17">
        <f>-(K3893*0.025+L3893*0.025)</f>
        <v/>
      </c>
      <c r="P3893" s="17">
        <f>32</f>
        <v/>
      </c>
      <c r="Q3893" s="17">
        <f>J3893+L3893+N3893+O3893-P3893-M3893</f>
        <v/>
      </c>
    </row>
    <row r="3894">
      <c r="A3894" s="16" t="inlineStr">
        <is>
          <t>5.29-6.4</t>
        </is>
      </c>
      <c r="B3894" s="16" t="inlineStr">
        <is>
          <t>PO-128-21660640799351485</t>
        </is>
      </c>
      <c r="C3894" s="16" t="inlineStr">
        <is>
          <t>Delivered</t>
        </is>
      </c>
      <c r="D3894" s="16" t="inlineStr">
        <is>
          <t>128-21660577884791485</t>
        </is>
      </c>
      <c r="E3894" s="16" t="inlineStr">
        <is>
          <t>Delivered</t>
        </is>
      </c>
      <c r="F3894" s="16" t="inlineStr">
        <is>
          <t>LV64W25</t>
        </is>
      </c>
      <c r="G38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894" s="16" t="inlineStr">
        <is>
          <t>Blanco</t>
        </is>
      </c>
      <c r="I3894" s="16" t="n">
        <v>2</v>
      </c>
      <c r="J3894" s="17" t="n">
        <v>238</v>
      </c>
      <c r="K3894" s="17" t="n">
        <v>251.84</v>
      </c>
      <c r="L3894" s="17" t="n">
        <v>0</v>
      </c>
      <c r="M3894" s="17" t="n">
        <v>0</v>
      </c>
      <c r="N3894" s="17">
        <f>K3894*0.08+L3894*0.08</f>
        <v/>
      </c>
      <c r="O3894" s="17">
        <f>-(K3894*0.025+L3894*0.025)</f>
        <v/>
      </c>
      <c r="P3894" s="17">
        <f>32</f>
        <v/>
      </c>
      <c r="Q3894" s="17">
        <f>J3894+L3894+N3894+O3894-P3894-M3894</f>
        <v/>
      </c>
    </row>
    <row r="3895">
      <c r="A3895" s="16" t="inlineStr">
        <is>
          <t>5.29-6.4</t>
        </is>
      </c>
      <c r="B3895" s="16" t="inlineStr">
        <is>
          <t>PO-128-21489266197112504</t>
        </is>
      </c>
      <c r="C3895" s="16" t="inlineStr">
        <is>
          <t>Delivered</t>
        </is>
      </c>
      <c r="D3895" s="16" t="inlineStr">
        <is>
          <t>128-21489346151032504</t>
        </is>
      </c>
      <c r="E3895" s="16" t="inlineStr">
        <is>
          <t>Delivered</t>
        </is>
      </c>
      <c r="F3895" s="16" t="inlineStr">
        <is>
          <t>BSC07</t>
        </is>
      </c>
      <c r="G3895" s="16" t="inlineStr">
        <is>
          <t>TIANLAI Báscula Digital BSC04/BSC07, Alta Precisión, Fácil Operación, Ligera y Portátil, Función Tara, Unidad Dual oz/g, Ideal para Cocina, Control de Porciones, Sellos y Objetos Pequeños, Uso en Hogar y Viaje</t>
        </is>
      </c>
      <c r="H3895" s="16" t="inlineStr">
        <is>
          <t>1g/White</t>
        </is>
      </c>
      <c r="I3895" s="16" t="n">
        <v>1</v>
      </c>
      <c r="J3895" s="17" t="n">
        <v>35</v>
      </c>
      <c r="K3895" s="17" t="n">
        <v>37.78</v>
      </c>
      <c r="L3895" s="17" t="n">
        <v>25.86</v>
      </c>
      <c r="M3895" s="17" t="n">
        <v>0</v>
      </c>
      <c r="N3895" s="17">
        <f>K3895*0.08+L3895*0.08</f>
        <v/>
      </c>
      <c r="O3895" s="17">
        <f>-(K3895*0.025+L3895*0.025)</f>
        <v/>
      </c>
      <c r="P3895" s="17">
        <f>32</f>
        <v/>
      </c>
      <c r="Q3895" s="17">
        <f>J3895+L3895+N3895+O3895-P3895-M3895</f>
        <v/>
      </c>
    </row>
    <row r="3896">
      <c r="A3896" s="16" t="inlineStr">
        <is>
          <t>5.29-6.4</t>
        </is>
      </c>
      <c r="B3896" s="16" t="inlineStr">
        <is>
          <t>PO-128-21804251751031589</t>
        </is>
      </c>
      <c r="C3896" s="16" t="inlineStr">
        <is>
          <t>Delivered</t>
        </is>
      </c>
      <c r="D3896" s="16" t="inlineStr">
        <is>
          <t>128-21804199322231589</t>
        </is>
      </c>
      <c r="E3896" s="16" t="inlineStr">
        <is>
          <t>Delivered</t>
        </is>
      </c>
      <c r="F3896" s="16" t="inlineStr">
        <is>
          <t>LV54W25</t>
        </is>
      </c>
      <c r="G3896" s="16" t="inlineStr">
        <is>
          <t>TIANLAI Lámpara Ventilador E27 2 en 1, Silenciosa, LED Alta Luminosidad 180°, Instalación Rápida, Ahorro Energético para Dormitorio y Interiores Pequeños</t>
        </is>
      </c>
      <c r="H3896" s="16" t="inlineStr">
        <is>
          <t>1 Pieza</t>
        </is>
      </c>
      <c r="I3896" s="16" t="n">
        <v>1</v>
      </c>
      <c r="J3896" s="17" t="n">
        <v>74</v>
      </c>
      <c r="K3896" s="17" t="n">
        <v>68.31</v>
      </c>
      <c r="L3896" s="17" t="n">
        <v>25.86</v>
      </c>
      <c r="M3896" s="17" t="n">
        <v>0</v>
      </c>
      <c r="N3896" s="17">
        <f>K3896*0.08+L3896*0.08</f>
        <v/>
      </c>
      <c r="O3896" s="17">
        <f>-(K3896*0.025+L3896*0.025)</f>
        <v/>
      </c>
      <c r="P3896" s="17">
        <f>32</f>
        <v/>
      </c>
      <c r="Q3896" s="17">
        <f>J3896+L3896+N3896+O3896-P3896-M3896</f>
        <v/>
      </c>
    </row>
    <row r="3897">
      <c r="A3897" s="16" t="inlineStr">
        <is>
          <t>5.29-6.4</t>
        </is>
      </c>
      <c r="B3897" s="16" t="inlineStr">
        <is>
          <t>PO-128-21496655975032332</t>
        </is>
      </c>
      <c r="C3897" s="16" t="inlineStr">
        <is>
          <t>Delivered</t>
        </is>
      </c>
      <c r="D3897" s="16" t="inlineStr">
        <is>
          <t>128-21496682189432332</t>
        </is>
      </c>
      <c r="E3897" s="16" t="inlineStr">
        <is>
          <t>Delivered</t>
        </is>
      </c>
      <c r="F3897" s="16" t="inlineStr">
        <is>
          <t>VB349T</t>
        </is>
      </c>
      <c r="G3897" s="16" t="inlineStr">
        <is>
          <t>LINKBITS Altavoz Portátil de Doble Altavoz - 3 Pulgadas, Sonido HD, Emparejamiento Rápido de Bluetooth, Conectividad TWS, Reproducción Multimodo (Micro SD/USB/Radio FM) - Perfecto para Oficina, Viajes y Espacios Pequeños</t>
        </is>
      </c>
      <c r="H3897" s="16" t="inlineStr">
        <is>
          <t>NEGRO</t>
        </is>
      </c>
      <c r="I3897" s="16" t="n">
        <v>1</v>
      </c>
      <c r="J3897" s="17" t="n">
        <v>78</v>
      </c>
      <c r="K3897" s="17" t="n">
        <v>91.26000000000001</v>
      </c>
      <c r="L3897" s="17" t="n">
        <v>25.86</v>
      </c>
      <c r="M3897" s="17" t="n">
        <v>0</v>
      </c>
      <c r="N3897" s="17">
        <f>K3897*0.08+L3897*0.08</f>
        <v/>
      </c>
      <c r="O3897" s="17">
        <f>-(K3897*0.025+L3897*0.025)</f>
        <v/>
      </c>
      <c r="P3897" s="17">
        <f>32</f>
        <v/>
      </c>
      <c r="Q3897" s="17">
        <f>J3897+L3897+N3897+O3897-P3897-M3897</f>
        <v/>
      </c>
    </row>
    <row r="3898">
      <c r="A3898" s="16" t="inlineStr">
        <is>
          <t>5.29-6.4</t>
        </is>
      </c>
      <c r="B3898" s="16" t="inlineStr">
        <is>
          <t>PO-128-21757651359351803</t>
        </is>
      </c>
      <c r="C3898" s="16" t="inlineStr">
        <is>
          <t>Delivered</t>
        </is>
      </c>
      <c r="D3898" s="16" t="inlineStr">
        <is>
          <t>128-21757672330871803</t>
        </is>
      </c>
      <c r="E3898" s="16" t="inlineStr">
        <is>
          <t>Delivered</t>
        </is>
      </c>
      <c r="F3898" s="16" t="inlineStr">
        <is>
          <t>LV54W25</t>
        </is>
      </c>
      <c r="G3898" s="16" t="inlineStr">
        <is>
          <t>TIANLAI Lámpara Ventilador E27 2 en 1, Silenciosa, LED Alta Luminosidad 180°, Instalación Rápida, Ahorro Energético para Dormitorio y Interiores Pequeños</t>
        </is>
      </c>
      <c r="H3898" s="16" t="inlineStr">
        <is>
          <t>1 Pieza</t>
        </is>
      </c>
      <c r="I3898" s="16" t="n">
        <v>1</v>
      </c>
      <c r="J3898" s="17" t="n">
        <v>74</v>
      </c>
      <c r="K3898" s="17" t="n">
        <v>76.26000000000001</v>
      </c>
      <c r="L3898" s="17" t="n">
        <v>25.86</v>
      </c>
      <c r="M3898" s="17" t="n">
        <v>0</v>
      </c>
      <c r="N3898" s="17">
        <f>K3898*0.08+L3898*0.08</f>
        <v/>
      </c>
      <c r="O3898" s="17">
        <f>-(K3898*0.025+L3898*0.025)</f>
        <v/>
      </c>
      <c r="P3898" s="17">
        <f>32</f>
        <v/>
      </c>
      <c r="Q3898" s="17">
        <f>J3898+L3898+N3898+O3898-P3898-M3898</f>
        <v/>
      </c>
    </row>
    <row r="3899">
      <c r="A3899" s="16" t="inlineStr">
        <is>
          <t>5.29-6.4</t>
        </is>
      </c>
      <c r="B3899" s="16" t="inlineStr">
        <is>
          <t>PO-128-21632296474232612</t>
        </is>
      </c>
      <c r="C3899" s="16" t="inlineStr">
        <is>
          <t>Delivered</t>
        </is>
      </c>
      <c r="D3899" s="16" t="inlineStr">
        <is>
          <t>128-21632243062392612</t>
        </is>
      </c>
      <c r="E3899" s="16" t="inlineStr">
        <is>
          <t>Delivered</t>
        </is>
      </c>
      <c r="F3899" s="16" t="inlineStr">
        <is>
          <t>LV54W25</t>
        </is>
      </c>
      <c r="G3899" s="16" t="inlineStr">
        <is>
          <t>TIANLAI Lámpara Ventilador E27 2 en 1, Silenciosa, LED Alta Luminosidad 180°, Instalación Rápida, Ahorro Energético para Dormitorio y Interiores Pequeños</t>
        </is>
      </c>
      <c r="H3899" s="16" t="inlineStr">
        <is>
          <t>1 Pieza</t>
        </is>
      </c>
      <c r="I3899" s="16" t="n">
        <v>1</v>
      </c>
      <c r="J3899" s="17" t="n">
        <v>74</v>
      </c>
      <c r="K3899" s="17" t="n">
        <v>72.40000000000001</v>
      </c>
      <c r="L3899" s="17" t="n">
        <v>25.86</v>
      </c>
      <c r="M3899" s="17" t="n">
        <v>0</v>
      </c>
      <c r="N3899" s="17">
        <f>K3899*0.08+L3899*0.08</f>
        <v/>
      </c>
      <c r="O3899" s="17">
        <f>-(K3899*0.025+L3899*0.025)</f>
        <v/>
      </c>
      <c r="P3899" s="17">
        <f>32</f>
        <v/>
      </c>
      <c r="Q3899" s="17">
        <f>J3899+L3899+N3899+O3899-P3899-M3899</f>
        <v/>
      </c>
    </row>
    <row r="3900">
      <c r="A3900" s="16" t="inlineStr">
        <is>
          <t>5.29-6.4</t>
        </is>
      </c>
      <c r="B3900" s="16" t="inlineStr">
        <is>
          <t>PO-128-21822642442870391</t>
        </is>
      </c>
      <c r="C3900" s="16" t="inlineStr">
        <is>
          <t>Delivered</t>
        </is>
      </c>
      <c r="D3900" s="16" t="inlineStr">
        <is>
          <t>128-21822652928630391</t>
        </is>
      </c>
      <c r="E3900" s="16" t="inlineStr">
        <is>
          <t>Delivered</t>
        </is>
      </c>
      <c r="F3900" s="16" t="inlineStr">
        <is>
          <t>LV54W25</t>
        </is>
      </c>
      <c r="G3900" s="16" t="inlineStr">
        <is>
          <t>TIANLAI Lámpara Ventilador E27 2 en 1, Silenciosa, LED Alta Luminosidad 180°, Instalación Rápida, Ahorro Energético para Dormitorio y Interiores Pequeños</t>
        </is>
      </c>
      <c r="H3900" s="16" t="inlineStr">
        <is>
          <t>1 Pieza</t>
        </is>
      </c>
      <c r="I3900" s="16" t="n">
        <v>1</v>
      </c>
      <c r="J3900" s="17" t="n">
        <v>74</v>
      </c>
      <c r="K3900" s="17" t="n">
        <v>77.12</v>
      </c>
      <c r="L3900" s="17" t="n">
        <v>25.86</v>
      </c>
      <c r="M3900" s="17" t="n">
        <v>0</v>
      </c>
      <c r="N3900" s="17">
        <f>K3900*0.08+L3900*0.08</f>
        <v/>
      </c>
      <c r="O3900" s="17">
        <f>-(K3900*0.025+L3900*0.025)</f>
        <v/>
      </c>
      <c r="P3900" s="17">
        <f>32</f>
        <v/>
      </c>
      <c r="Q3900" s="17">
        <f>J3900+L3900+N3900+O3900-P3900-M3900</f>
        <v/>
      </c>
    </row>
    <row r="3901">
      <c r="A3901" s="16" t="inlineStr">
        <is>
          <t>5.29-6.4</t>
        </is>
      </c>
      <c r="B3901" s="16" t="inlineStr">
        <is>
          <t>PO-128-21581159342713047</t>
        </is>
      </c>
      <c r="C3901" s="16" t="inlineStr">
        <is>
          <t>Delivered</t>
        </is>
      </c>
      <c r="D3901" s="16" t="inlineStr">
        <is>
          <t>128-21581096428153047</t>
        </is>
      </c>
      <c r="E3901" s="16" t="inlineStr">
        <is>
          <t>Delivered</t>
        </is>
      </c>
      <c r="F3901" s="16" t="inlineStr">
        <is>
          <t>LV54W25</t>
        </is>
      </c>
      <c r="G3901" s="16" t="inlineStr">
        <is>
          <t>TIANLAI Lámpara Ventilador E27 2 en 1, Silenciosa, LED Alta Luminosidad 180°, Instalación Rápida, Ahorro Energético para Dormitorio y Interiores Pequeños</t>
        </is>
      </c>
      <c r="H3901" s="16" t="inlineStr">
        <is>
          <t>1 Pieza</t>
        </is>
      </c>
      <c r="I3901" s="16" t="n">
        <v>2</v>
      </c>
      <c r="J3901" s="17" t="n">
        <v>148</v>
      </c>
      <c r="K3901" s="17" t="n">
        <v>171.36</v>
      </c>
      <c r="L3901" s="17" t="n">
        <v>0</v>
      </c>
      <c r="M3901" s="17" t="n">
        <v>171.36</v>
      </c>
      <c r="N3901" s="17">
        <f>K3901*0.08+L3901*0.08</f>
        <v/>
      </c>
      <c r="O3901" s="17">
        <f>-(K3901*0.025+L3901*0.025)</f>
        <v/>
      </c>
      <c r="P3901" s="17">
        <f>32</f>
        <v/>
      </c>
      <c r="Q3901" s="17">
        <f>J3901+L3901+N3901+O3901-P3901-M3901</f>
        <v/>
      </c>
    </row>
    <row r="3902">
      <c r="A3902" s="16" t="inlineStr">
        <is>
          <t>5.29-6.4</t>
        </is>
      </c>
      <c r="B3902" s="16" t="inlineStr">
        <is>
          <t>PO-128-21714499615351034</t>
        </is>
      </c>
      <c r="C3902" s="16" t="inlineStr">
        <is>
          <t>Delivered</t>
        </is>
      </c>
      <c r="D3902" s="16" t="inlineStr">
        <is>
          <t>128-21714519603831034</t>
        </is>
      </c>
      <c r="E3902" s="16" t="inlineStr">
        <is>
          <t>Delivered</t>
        </is>
      </c>
      <c r="F3902" s="16" t="inlineStr">
        <is>
          <t>LV64W25</t>
        </is>
      </c>
      <c r="G390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02" s="16" t="inlineStr">
        <is>
          <t>Blanco</t>
        </is>
      </c>
      <c r="I3902" s="16" t="n">
        <v>1</v>
      </c>
      <c r="J3902" s="17" t="n">
        <v>119</v>
      </c>
      <c r="K3902" s="17" t="n">
        <v>123.54</v>
      </c>
      <c r="L3902" s="17" t="n">
        <v>25.86</v>
      </c>
      <c r="M3902" s="17" t="n">
        <v>0</v>
      </c>
      <c r="N3902" s="17">
        <f>K3902*0.08+L3902*0.08</f>
        <v/>
      </c>
      <c r="O3902" s="17">
        <f>-(K3902*0.025+L3902*0.025)</f>
        <v/>
      </c>
      <c r="P3902" s="17">
        <f>32</f>
        <v/>
      </c>
      <c r="Q3902" s="17">
        <f>J3902+L3902+N3902+O3902-P3902-M3902</f>
        <v/>
      </c>
    </row>
    <row r="3903">
      <c r="A3903" s="16" t="inlineStr">
        <is>
          <t>5.29-6.4</t>
        </is>
      </c>
      <c r="B3903" s="16" t="inlineStr">
        <is>
          <t>PO-128-21566731331193005</t>
        </is>
      </c>
      <c r="C3903" s="16" t="inlineStr">
        <is>
          <t>Delivered</t>
        </is>
      </c>
      <c r="D3903" s="16" t="inlineStr">
        <is>
          <t>128-21566752302713005</t>
        </is>
      </c>
      <c r="E3903" s="16" t="inlineStr">
        <is>
          <t>Delivered</t>
        </is>
      </c>
      <c r="F3903" s="16" t="inlineStr">
        <is>
          <t>VA371T</t>
        </is>
      </c>
      <c r="G3903" s="16" t="inlineStr">
        <is>
          <t>Linkbits Bocina Bluetooth Portátil 3" de Alta Gama，Hi-Res Audio y Graves Potentes，Luces LED + Soporte USB/TF/FM/TWS，Ideal para Hogar y Aire Libre</t>
        </is>
      </c>
      <c r="H3903" s="16" t="inlineStr">
        <is>
          <t>VA371T</t>
        </is>
      </c>
      <c r="I3903" s="16" t="n">
        <v>1</v>
      </c>
      <c r="J3903" s="17" t="n">
        <v>41.32</v>
      </c>
      <c r="K3903" s="17" t="n">
        <v>6.6</v>
      </c>
      <c r="L3903" s="17" t="n">
        <v>25.86</v>
      </c>
      <c r="M3903" s="17" t="n">
        <v>0</v>
      </c>
      <c r="N3903" s="17">
        <f>K3903*0.08+L3903*0.08</f>
        <v/>
      </c>
      <c r="O3903" s="17">
        <f>-(K3903*0.025+L3903*0.025)</f>
        <v/>
      </c>
      <c r="P3903" s="17">
        <f>32</f>
        <v/>
      </c>
      <c r="Q3903" s="17">
        <f>J3903+L3903+N3903+O3903-P3903-M3903</f>
        <v/>
      </c>
    </row>
    <row r="3904">
      <c r="A3904" s="16" t="inlineStr">
        <is>
          <t>5.29-6.4</t>
        </is>
      </c>
      <c r="B3904" s="16" t="inlineStr">
        <is>
          <t>PO-128-21771438930551913</t>
        </is>
      </c>
      <c r="C3904" s="16" t="inlineStr">
        <is>
          <t>Delivered</t>
        </is>
      </c>
      <c r="D3904" s="16" t="inlineStr">
        <is>
          <t>128-21771417959031913</t>
        </is>
      </c>
      <c r="E3904" s="16" t="inlineStr">
        <is>
          <t>Delivered</t>
        </is>
      </c>
      <c r="F3904" s="16" t="inlineStr">
        <is>
          <t>LV54W25</t>
        </is>
      </c>
      <c r="G3904" s="16" t="inlineStr">
        <is>
          <t>TIANLAI Lámpara Ventilador E27 2 en 1, Silenciosa, LED Alta Luminosidad 180°, Instalación Rápida, Ahorro Energético para Dormitorio y Interiores Pequeños</t>
        </is>
      </c>
      <c r="H3904" s="16" t="inlineStr">
        <is>
          <t>1 Pieza</t>
        </is>
      </c>
      <c r="I3904" s="16" t="n">
        <v>1</v>
      </c>
      <c r="J3904" s="17" t="n">
        <v>74</v>
      </c>
      <c r="K3904" s="17" t="n">
        <v>77.12</v>
      </c>
      <c r="L3904" s="17" t="n">
        <v>25.86</v>
      </c>
      <c r="M3904" s="17" t="n">
        <v>0</v>
      </c>
      <c r="N3904" s="17">
        <f>K3904*0.08+L3904*0.08</f>
        <v/>
      </c>
      <c r="O3904" s="17">
        <f>-(K3904*0.025+L3904*0.025)</f>
        <v/>
      </c>
      <c r="P3904" s="17">
        <f>32</f>
        <v/>
      </c>
      <c r="Q3904" s="17">
        <f>J3904+L3904+N3904+O3904-P3904-M3904</f>
        <v/>
      </c>
    </row>
    <row r="3905">
      <c r="A3905" s="16" t="inlineStr">
        <is>
          <t>5.29-6.4</t>
        </is>
      </c>
      <c r="B3905" s="16" t="inlineStr">
        <is>
          <t>PO-128-21955004544630688</t>
        </is>
      </c>
      <c r="C3905" s="16" t="inlineStr">
        <is>
          <t>Delivered</t>
        </is>
      </c>
      <c r="D3905" s="16" t="inlineStr">
        <is>
          <t>128-21955038623350688</t>
        </is>
      </c>
      <c r="E3905" s="16" t="inlineStr">
        <is>
          <t>Delivered</t>
        </is>
      </c>
      <c r="F3905" s="16" t="inlineStr">
        <is>
          <t>LV64W25</t>
        </is>
      </c>
      <c r="G39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05" s="16" t="inlineStr">
        <is>
          <t>Blanco</t>
        </is>
      </c>
      <c r="I3905" s="16" t="n">
        <v>1</v>
      </c>
      <c r="J3905" s="17" t="n">
        <v>119</v>
      </c>
      <c r="K3905" s="17" t="n">
        <v>137.26</v>
      </c>
      <c r="L3905" s="17" t="n">
        <v>25.86</v>
      </c>
      <c r="M3905" s="17" t="n">
        <v>0</v>
      </c>
      <c r="N3905" s="17">
        <f>K3905*0.08+L3905*0.08</f>
        <v/>
      </c>
      <c r="O3905" s="17">
        <f>-(K3905*0.025+L3905*0.025)</f>
        <v/>
      </c>
      <c r="P3905" s="17">
        <f>32</f>
        <v/>
      </c>
      <c r="Q3905" s="17">
        <f>J3905+L3905+N3905+O3905-P3905-M3905</f>
        <v/>
      </c>
    </row>
    <row r="3906">
      <c r="A3906" s="16" t="inlineStr">
        <is>
          <t>5.29-6.4</t>
        </is>
      </c>
      <c r="B3906" s="16" t="inlineStr">
        <is>
          <t>PO-128-21707077376631270</t>
        </is>
      </c>
      <c r="C3906" s="16" t="inlineStr">
        <is>
          <t>Delivered</t>
        </is>
      </c>
      <c r="D3906" s="16" t="inlineStr">
        <is>
          <t>128-21707104901751270</t>
        </is>
      </c>
      <c r="E3906" s="16" t="inlineStr">
        <is>
          <t>Delivered</t>
        </is>
      </c>
      <c r="F3906" s="16" t="inlineStr">
        <is>
          <t>LV54W25</t>
        </is>
      </c>
      <c r="G3906" s="16" t="inlineStr">
        <is>
          <t>TIANLAI Lámpara Ventilador E27 2 en 1, Silenciosa, LED Alta Luminosidad 180°, Instalación Rápida, Ahorro Energético para Dormitorio y Interiores Pequeños</t>
        </is>
      </c>
      <c r="H3906" s="16" t="inlineStr">
        <is>
          <t>1 Pieza</t>
        </is>
      </c>
      <c r="I3906" s="16" t="n">
        <v>1</v>
      </c>
      <c r="J3906" s="17" t="n">
        <v>74</v>
      </c>
      <c r="K3906" s="17" t="n">
        <v>77.12</v>
      </c>
      <c r="L3906" s="17" t="n">
        <v>25.86</v>
      </c>
      <c r="M3906" s="17" t="n">
        <v>0</v>
      </c>
      <c r="N3906" s="17">
        <f>K3906*0.08+L3906*0.08</f>
        <v/>
      </c>
      <c r="O3906" s="17">
        <f>-(K3906*0.025+L3906*0.025)</f>
        <v/>
      </c>
      <c r="P3906" s="17">
        <f>32</f>
        <v/>
      </c>
      <c r="Q3906" s="17">
        <f>J3906+L3906+N3906+O3906-P3906-M3906</f>
        <v/>
      </c>
    </row>
    <row r="3907">
      <c r="A3907" s="16" t="inlineStr">
        <is>
          <t>5.29-6.4</t>
        </is>
      </c>
      <c r="B3907" s="16" t="inlineStr">
        <is>
          <t>PO-128-21491064361592558</t>
        </is>
      </c>
      <c r="C3907" s="16" t="inlineStr">
        <is>
          <t>Delivered</t>
        </is>
      </c>
      <c r="D3907" s="16" t="inlineStr">
        <is>
          <t>128-21491085333112558</t>
        </is>
      </c>
      <c r="E3907" s="16" t="inlineStr">
        <is>
          <t>Delivered</t>
        </is>
      </c>
      <c r="F3907" s="16" t="inlineStr">
        <is>
          <t>LV64W25</t>
        </is>
      </c>
      <c r="G39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07" s="16" t="inlineStr">
        <is>
          <t>Blanco</t>
        </is>
      </c>
      <c r="I3907" s="16" t="n">
        <v>2</v>
      </c>
      <c r="J3907" s="17" t="n">
        <v>238</v>
      </c>
      <c r="K3907" s="17" t="n">
        <v>247.08</v>
      </c>
      <c r="L3907" s="17" t="n">
        <v>0</v>
      </c>
      <c r="M3907" s="17" t="n">
        <v>0</v>
      </c>
      <c r="N3907" s="17">
        <f>K3907*0.08+L3907*0.08</f>
        <v/>
      </c>
      <c r="O3907" s="17">
        <f>-(K3907*0.025+L3907*0.025)</f>
        <v/>
      </c>
      <c r="P3907" s="17">
        <f>32</f>
        <v/>
      </c>
      <c r="Q3907" s="17">
        <f>J3907+L3907+N3907+O3907-P3907-M3907</f>
        <v/>
      </c>
    </row>
    <row r="3908">
      <c r="A3908" s="16" t="inlineStr">
        <is>
          <t>5.29-6.4</t>
        </is>
      </c>
      <c r="B3908" s="16" t="inlineStr">
        <is>
          <t>PO-128-21717843210871078</t>
        </is>
      </c>
      <c r="C3908" s="16" t="inlineStr">
        <is>
          <t>Delivered</t>
        </is>
      </c>
      <c r="D3908" s="16" t="inlineStr">
        <is>
          <t>128-21717885153911078</t>
        </is>
      </c>
      <c r="E3908" s="16" t="inlineStr">
        <is>
          <t>Delivered</t>
        </is>
      </c>
      <c r="F3908" s="16" t="inlineStr">
        <is>
          <t>LV64W25</t>
        </is>
      </c>
      <c r="G39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08" s="16" t="inlineStr">
        <is>
          <t>Blanco</t>
        </is>
      </c>
      <c r="I3908" s="16" t="n">
        <v>6</v>
      </c>
      <c r="J3908" s="17" t="n">
        <v>714</v>
      </c>
      <c r="K3908" s="17" t="n">
        <v>741.24</v>
      </c>
      <c r="L3908" s="17" t="n">
        <v>0</v>
      </c>
      <c r="M3908" s="17" t="n">
        <v>37.05</v>
      </c>
      <c r="N3908" s="17">
        <f>K3908*0.08+L3908*0.08</f>
        <v/>
      </c>
      <c r="O3908" s="17">
        <f>-(K3908*0.025+L3908*0.025)</f>
        <v/>
      </c>
      <c r="P3908" s="17">
        <f>32</f>
        <v/>
      </c>
      <c r="Q3908" s="17">
        <f>J3908+L3908+N3908+O3908-P3908-M3908</f>
        <v/>
      </c>
    </row>
    <row r="3909">
      <c r="A3909" s="16" t="inlineStr">
        <is>
          <t>5.29-6.4</t>
        </is>
      </c>
      <c r="B3909" s="16" t="inlineStr">
        <is>
          <t>PO-128-21742539535991957</t>
        </is>
      </c>
      <c r="C3909" s="16" t="inlineStr">
        <is>
          <t>Delivered</t>
        </is>
      </c>
      <c r="D3909" s="16" t="inlineStr">
        <is>
          <t>128-21742598518391957</t>
        </is>
      </c>
      <c r="E3909" s="16" t="inlineStr">
        <is>
          <t>Delivered</t>
        </is>
      </c>
      <c r="F3909" s="16" t="inlineStr">
        <is>
          <t>LV64W25</t>
        </is>
      </c>
      <c r="G39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09" s="16" t="inlineStr">
        <is>
          <t>Blanco</t>
        </is>
      </c>
      <c r="I3909" s="16" t="n">
        <v>2</v>
      </c>
      <c r="J3909" s="17" t="n">
        <v>250</v>
      </c>
      <c r="K3909" s="17" t="n">
        <v>257.88</v>
      </c>
      <c r="L3909" s="17" t="n">
        <v>0</v>
      </c>
      <c r="M3909" s="17" t="n">
        <v>0</v>
      </c>
      <c r="N3909" s="17">
        <f>K3909*0.08+L3909*0.08</f>
        <v/>
      </c>
      <c r="O3909" s="17">
        <f>-(K3909*0.025+L3909*0.025)</f>
        <v/>
      </c>
      <c r="P3909" s="17">
        <f>32</f>
        <v/>
      </c>
      <c r="Q3909" s="17">
        <f>J3909+L3909+N3909+O3909-P3909-M3909</f>
        <v/>
      </c>
    </row>
    <row r="3910">
      <c r="A3910" s="16" t="inlineStr">
        <is>
          <t>5.29-6.4</t>
        </is>
      </c>
      <c r="B3910" s="16" t="inlineStr">
        <is>
          <t>PO-128-21537335752312282</t>
        </is>
      </c>
      <c r="C3910" s="16" t="inlineStr">
        <is>
          <t>Delivered</t>
        </is>
      </c>
      <c r="D3910" s="16" t="inlineStr">
        <is>
          <t>128-21537411774072282</t>
        </is>
      </c>
      <c r="E3910" s="16" t="inlineStr">
        <is>
          <t>Delivered</t>
        </is>
      </c>
      <c r="F3910" s="16" t="inlineStr">
        <is>
          <t>LV54W25</t>
        </is>
      </c>
      <c r="G3910" s="16" t="inlineStr">
        <is>
          <t>TIANLAI Lámpara Ventilador E27 2 en 1, Silenciosa, LED Alta Luminosidad 180°, Instalación Rápida, Ahorro Energético para Dormitorio y Interiores Pequeños</t>
        </is>
      </c>
      <c r="H3910" s="16" t="inlineStr">
        <is>
          <t>1 Pieza</t>
        </is>
      </c>
      <c r="I3910" s="16" t="n">
        <v>1</v>
      </c>
      <c r="J3910" s="17" t="n">
        <v>74</v>
      </c>
      <c r="K3910" s="17" t="n">
        <v>76.26000000000001</v>
      </c>
      <c r="L3910" s="17" t="n">
        <v>25.86</v>
      </c>
      <c r="M3910" s="17" t="n">
        <v>0</v>
      </c>
      <c r="N3910" s="17">
        <f>K3910*0.08+L3910*0.08</f>
        <v/>
      </c>
      <c r="O3910" s="17">
        <f>-(K3910*0.025+L3910*0.025)</f>
        <v/>
      </c>
      <c r="P3910" s="17">
        <f>32</f>
        <v/>
      </c>
      <c r="Q3910" s="17">
        <f>J3910+L3910+N3910+O3910-P3910-M3910</f>
        <v/>
      </c>
    </row>
    <row r="3911">
      <c r="A3911" s="16" t="inlineStr">
        <is>
          <t>5.29-6.4</t>
        </is>
      </c>
      <c r="B3911" s="16" t="inlineStr">
        <is>
          <t>PO-128-21394111181433968</t>
        </is>
      </c>
      <c r="C3911" s="16" t="inlineStr">
        <is>
          <t>Delivered</t>
        </is>
      </c>
      <c r="D3911" s="16" t="inlineStr">
        <is>
          <t>128-21394069238393968</t>
        </is>
      </c>
      <c r="E3911" s="16" t="inlineStr">
        <is>
          <t>Delivered</t>
        </is>
      </c>
      <c r="F3911" s="16" t="inlineStr">
        <is>
          <t>TL2663N18C</t>
        </is>
      </c>
      <c r="G3911" s="16" t="inlineStr">
        <is>
          <t>Linkbits，Soporte de pared fijo para televisores de 26"-63", Ultra-Delgado Compatible con VESA 400x400mm, Capacidad de Peso Fuerte de 25KG, Instalación Fácil Sin Electricidad</t>
        </is>
      </c>
      <c r="H3911" s="16" t="inlineStr">
        <is>
          <t>NEGRO</t>
        </is>
      </c>
      <c r="I3911" s="16" t="n">
        <v>1</v>
      </c>
      <c r="J3911" s="17" t="n">
        <v>47</v>
      </c>
      <c r="K3911" s="17" t="n">
        <v>61.97</v>
      </c>
      <c r="L3911" s="17" t="n">
        <v>25.86</v>
      </c>
      <c r="M3911" s="17" t="n">
        <v>0</v>
      </c>
      <c r="N3911" s="17">
        <f>K3911*0.08+L3911*0.08</f>
        <v/>
      </c>
      <c r="O3911" s="17">
        <f>-(K3911*0.025+L3911*0.025)</f>
        <v/>
      </c>
      <c r="P3911" s="17">
        <f>32</f>
        <v/>
      </c>
      <c r="Q3911" s="17">
        <f>J3911+L3911+N3911+O3911-P3911-M3911</f>
        <v/>
      </c>
    </row>
    <row r="3912">
      <c r="A3912" s="16" t="inlineStr">
        <is>
          <t>5.29-6.4</t>
        </is>
      </c>
      <c r="B3912" s="16" t="inlineStr">
        <is>
          <t>PO-128-21809280768631623</t>
        </is>
      </c>
      <c r="C3912" s="16" t="inlineStr">
        <is>
          <t>Delivered</t>
        </is>
      </c>
      <c r="D3912" s="16" t="inlineStr">
        <is>
          <t>128-21809322711671623</t>
        </is>
      </c>
      <c r="E3912" s="16" t="inlineStr">
        <is>
          <t>Delivered</t>
        </is>
      </c>
      <c r="F3912" s="16" t="inlineStr">
        <is>
          <t>KTS-2031</t>
        </is>
      </c>
      <c r="G3912" s="16" t="inlineStr">
        <is>
          <t>Bocina inalámbrica de 3 pulgadas con linterna multifuncional y panel solar integrado.Altavoz Portátil con Linterna LED 4 Modos, Radio FM, Bluetooth, Carga Solar, Ideal para Apagones, Emergencias, Campo y Exteriores</t>
        </is>
      </c>
      <c r="H3912" s="16" t="inlineStr">
        <is>
          <t>NEGRO</t>
        </is>
      </c>
      <c r="I3912" s="16" t="n">
        <v>1</v>
      </c>
      <c r="J3912" s="17" t="n">
        <v>90</v>
      </c>
      <c r="K3912" s="17" t="n">
        <v>99.22</v>
      </c>
      <c r="L3912" s="17" t="n">
        <v>25.86</v>
      </c>
      <c r="M3912" s="17" t="n">
        <v>0</v>
      </c>
      <c r="N3912" s="17">
        <f>K3912*0.08+L3912*0.08</f>
        <v/>
      </c>
      <c r="O3912" s="17">
        <f>-(K3912*0.025+L3912*0.025)</f>
        <v/>
      </c>
      <c r="P3912" s="17">
        <f>32</f>
        <v/>
      </c>
      <c r="Q3912" s="17">
        <f>J3912+L3912+N3912+O3912-P3912-M3912</f>
        <v/>
      </c>
    </row>
    <row r="3913">
      <c r="A3913" s="16" t="inlineStr">
        <is>
          <t>5.29-6.4</t>
        </is>
      </c>
      <c r="B3913" s="16" t="inlineStr">
        <is>
          <t>PO-128-21723258844791110</t>
        </is>
      </c>
      <c r="C3913" s="16" t="inlineStr">
        <is>
          <t>Delivered</t>
        </is>
      </c>
      <c r="D3913" s="16" t="inlineStr">
        <is>
          <t>128-21723185444471110</t>
        </is>
      </c>
      <c r="E3913" s="16" t="inlineStr">
        <is>
          <t>Delivered</t>
        </is>
      </c>
      <c r="F3913" s="16" t="inlineStr">
        <is>
          <t>LV54W25</t>
        </is>
      </c>
      <c r="G3913" s="16" t="inlineStr">
        <is>
          <t>TIANLAI Lámpara Ventilador E27 2 en 1, Silenciosa, LED Alta Luminosidad 180°, Instalación Rápida, Ahorro Energético para Dormitorio y Interiores Pequeños</t>
        </is>
      </c>
      <c r="H3913" s="16" t="inlineStr">
        <is>
          <t>1 Pieza</t>
        </is>
      </c>
      <c r="I3913" s="16" t="n">
        <v>1</v>
      </c>
      <c r="J3913" s="17" t="n">
        <v>74</v>
      </c>
      <c r="K3913" s="17" t="n">
        <v>76.26000000000001</v>
      </c>
      <c r="L3913" s="17" t="n">
        <v>25.86</v>
      </c>
      <c r="M3913" s="17" t="n">
        <v>0</v>
      </c>
      <c r="N3913" s="17">
        <f>K3913*0.08+L3913*0.08</f>
        <v/>
      </c>
      <c r="O3913" s="17">
        <f>-(K3913*0.025+L3913*0.025)</f>
        <v/>
      </c>
      <c r="P3913" s="17">
        <f>32</f>
        <v/>
      </c>
      <c r="Q3913" s="17">
        <f>J3913+L3913+N3913+O3913-P3913-M3913</f>
        <v/>
      </c>
    </row>
    <row r="3914">
      <c r="A3914" s="16" t="inlineStr">
        <is>
          <t>5.29-6.4</t>
        </is>
      </c>
      <c r="B3914" s="16" t="inlineStr">
        <is>
          <t>PO-128-21357117420153292</t>
        </is>
      </c>
      <c r="C3914" s="16" t="inlineStr">
        <is>
          <t>Delivered</t>
        </is>
      </c>
      <c r="D3914" s="16" t="inlineStr">
        <is>
          <t>128-21357127905913292</t>
        </is>
      </c>
      <c r="E3914" s="16" t="inlineStr">
        <is>
          <t>Delivered</t>
        </is>
      </c>
      <c r="F3914" s="16" t="inlineStr">
        <is>
          <t>LV54W25</t>
        </is>
      </c>
      <c r="G3914" s="16" t="inlineStr">
        <is>
          <t>TIANLAI Lámpara Ventilador E27 2 en 1, Silenciosa, LED Alta Luminosidad 180°, Instalación Rápida, Ahorro Energético para Dormitorio y Interiores Pequeños</t>
        </is>
      </c>
      <c r="H3914" s="16" t="inlineStr">
        <is>
          <t>1 Pieza</t>
        </is>
      </c>
      <c r="I3914" s="16" t="n">
        <v>1</v>
      </c>
      <c r="J3914" s="17" t="n">
        <v>74</v>
      </c>
      <c r="K3914" s="17" t="n">
        <v>65.75</v>
      </c>
      <c r="L3914" s="17" t="n">
        <v>25.86</v>
      </c>
      <c r="M3914" s="17" t="n">
        <v>0</v>
      </c>
      <c r="N3914" s="17">
        <f>K3914*0.08+L3914*0.08</f>
        <v/>
      </c>
      <c r="O3914" s="17">
        <f>-(K3914*0.025+L3914*0.025)</f>
        <v/>
      </c>
      <c r="P3914" s="17">
        <f>32</f>
        <v/>
      </c>
      <c r="Q3914" s="17">
        <f>J3914+L3914+N3914+O3914-P3914-M3914</f>
        <v/>
      </c>
    </row>
    <row r="3915">
      <c r="A3915" s="16" t="inlineStr">
        <is>
          <t>5.29-6.4</t>
        </is>
      </c>
      <c r="B3915" s="16" t="inlineStr">
        <is>
          <t>PO-128-21577192766073068</t>
        </is>
      </c>
      <c r="C3915" s="16" t="inlineStr">
        <is>
          <t>Delivered</t>
        </is>
      </c>
      <c r="D3915" s="16" t="inlineStr">
        <is>
          <t>128-21577195387513068</t>
        </is>
      </c>
      <c r="E3915" s="16" t="inlineStr">
        <is>
          <t>Delivered</t>
        </is>
      </c>
      <c r="F3915" s="16" t="inlineStr">
        <is>
          <t>KTS-2031</t>
        </is>
      </c>
      <c r="G3915" s="16" t="inlineStr">
        <is>
          <t>Bocina inalámbrica de 3 pulgadas con linterna multifuncional y panel solar integrado.Altavoz Portátil con Linterna LED 4 Modos, Radio FM, Bluetooth, Carga Solar, Ideal para Apagones, Emergencias, Campo y Exteriores</t>
        </is>
      </c>
      <c r="H3915" s="16" t="inlineStr">
        <is>
          <t>NEGRO</t>
        </is>
      </c>
      <c r="I3915" s="16" t="n">
        <v>1</v>
      </c>
      <c r="J3915" s="17" t="n">
        <v>90</v>
      </c>
      <c r="K3915" s="17" t="n">
        <v>99.22</v>
      </c>
      <c r="L3915" s="17" t="n">
        <v>25.86</v>
      </c>
      <c r="M3915" s="17" t="n">
        <v>0</v>
      </c>
      <c r="N3915" s="17">
        <f>K3915*0.08+L3915*0.08</f>
        <v/>
      </c>
      <c r="O3915" s="17">
        <f>-(K3915*0.025+L3915*0.025)</f>
        <v/>
      </c>
      <c r="P3915" s="17">
        <f>32</f>
        <v/>
      </c>
      <c r="Q3915" s="17">
        <f>J3915+L3915+N3915+O3915-P3915-M3915</f>
        <v/>
      </c>
    </row>
    <row r="3916">
      <c r="A3916" s="16" t="inlineStr">
        <is>
          <t>5.29-6.4</t>
        </is>
      </c>
      <c r="B3916" s="16" t="inlineStr">
        <is>
          <t>PO-128-21689361336951376</t>
        </is>
      </c>
      <c r="C3916" s="16" t="inlineStr">
        <is>
          <t>Delivered</t>
        </is>
      </c>
      <c r="D3916" s="16" t="inlineStr">
        <is>
          <t>128-21689382308471376</t>
        </is>
      </c>
      <c r="E3916" s="16" t="inlineStr">
        <is>
          <t>Delivered</t>
        </is>
      </c>
      <c r="F3916" s="16" t="inlineStr">
        <is>
          <t>TL1412N17C</t>
        </is>
      </c>
      <c r="G3916" s="16" t="inlineStr">
        <is>
          <t>Linkbits, Soporte de Pared Fijo para TV y Monitor de 14"-43", Ultra Delgado 2.3cm, Fuerte Capacidad de Peso de 25KG, Fácil Instalación con Accesorios Completos</t>
        </is>
      </c>
      <c r="H3916" s="16" t="inlineStr">
        <is>
          <t>NEGRO</t>
        </is>
      </c>
      <c r="I3916" s="16" t="n">
        <v>1</v>
      </c>
      <c r="J3916" s="17" t="n">
        <v>36.5</v>
      </c>
      <c r="K3916" s="17" t="n">
        <v>55.72</v>
      </c>
      <c r="L3916" s="17" t="n">
        <v>0</v>
      </c>
      <c r="M3916" s="17" t="n">
        <v>55.72</v>
      </c>
      <c r="N3916" s="17">
        <f>K3916*0.08+L3916*0.08</f>
        <v/>
      </c>
      <c r="O3916" s="17">
        <f>-(K3916*0.025+L3916*0.025)</f>
        <v/>
      </c>
      <c r="P3916" s="17">
        <f>32</f>
        <v/>
      </c>
      <c r="Q3916" s="17">
        <f>J3916+L3916+N3916+O3916-P3916-M3916</f>
        <v/>
      </c>
    </row>
    <row r="3917">
      <c r="A3917" s="16" t="inlineStr">
        <is>
          <t>5.29-6.4</t>
        </is>
      </c>
      <c r="B3917" s="16" t="inlineStr">
        <is>
          <t>PO-128-21450454047353824</t>
        </is>
      </c>
      <c r="C3917" s="16" t="inlineStr">
        <is>
          <t>Delivered</t>
        </is>
      </c>
      <c r="D3917" s="16" t="inlineStr">
        <is>
          <t>128-21450475018873824</t>
        </is>
      </c>
      <c r="E3917" s="16" t="inlineStr">
        <is>
          <t>Delivered</t>
        </is>
      </c>
      <c r="F3917" s="16" t="inlineStr">
        <is>
          <t>KTS-2031</t>
        </is>
      </c>
      <c r="G3917" s="16" t="inlineStr">
        <is>
          <t>Bocina inalámbrica de 3 pulgadas con linterna multifuncional y panel solar integrado.Altavoz Portátil con Linterna LED 4 Modos, Radio FM, Bluetooth, Carga Solar, Ideal para Apagones, Emergencias, Campo y Exteriores</t>
        </is>
      </c>
      <c r="H3917" s="16" t="inlineStr">
        <is>
          <t>NEGRO</t>
        </is>
      </c>
      <c r="I3917" s="16" t="n">
        <v>1</v>
      </c>
      <c r="J3917" s="17" t="n">
        <v>90</v>
      </c>
      <c r="K3917" s="17" t="n">
        <v>99.22</v>
      </c>
      <c r="L3917" s="17" t="n">
        <v>25.86</v>
      </c>
      <c r="M3917" s="17" t="n">
        <v>0</v>
      </c>
      <c r="N3917" s="17">
        <f>K3917*0.08+L3917*0.08</f>
        <v/>
      </c>
      <c r="O3917" s="17">
        <f>-(K3917*0.025+L3917*0.025)</f>
        <v/>
      </c>
      <c r="P3917" s="17">
        <f>32</f>
        <v/>
      </c>
      <c r="Q3917" s="17">
        <f>J3917+L3917+N3917+O3917-P3917-M3917</f>
        <v/>
      </c>
    </row>
    <row r="3918">
      <c r="A3918" s="16" t="inlineStr">
        <is>
          <t>5.29-6.4</t>
        </is>
      </c>
      <c r="B3918" s="16" t="inlineStr">
        <is>
          <t>PO-128-21897671711350070</t>
        </is>
      </c>
      <c r="C3918" s="16" t="inlineStr">
        <is>
          <t>Delivered</t>
        </is>
      </c>
      <c r="D3918" s="16" t="inlineStr">
        <is>
          <t>128-21897713654390070</t>
        </is>
      </c>
      <c r="E3918" s="16" t="inlineStr">
        <is>
          <t>Delivered</t>
        </is>
      </c>
      <c r="F3918" s="16" t="inlineStr">
        <is>
          <t>LV64W25</t>
        </is>
      </c>
      <c r="G39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18" s="16" t="inlineStr">
        <is>
          <t>Blanco</t>
        </is>
      </c>
      <c r="I3918" s="16" t="n">
        <v>1</v>
      </c>
      <c r="J3918" s="17" t="n">
        <v>125</v>
      </c>
      <c r="K3918" s="17" t="n">
        <v>128.94</v>
      </c>
      <c r="L3918" s="17" t="n">
        <v>25.86</v>
      </c>
      <c r="M3918" s="17" t="n">
        <v>0</v>
      </c>
      <c r="N3918" s="17">
        <f>K3918*0.08+L3918*0.08</f>
        <v/>
      </c>
      <c r="O3918" s="17">
        <f>-(K3918*0.025+L3918*0.025)</f>
        <v/>
      </c>
      <c r="P3918" s="17">
        <f>32</f>
        <v/>
      </c>
      <c r="Q3918" s="17">
        <f>J3918+L3918+N3918+O3918-P3918-M3918</f>
        <v/>
      </c>
    </row>
    <row r="3919">
      <c r="A3919" s="16" t="inlineStr">
        <is>
          <t>5.29-6.4</t>
        </is>
      </c>
      <c r="B3919" s="16" t="inlineStr">
        <is>
          <t>PO-128-21962862392950706</t>
        </is>
      </c>
      <c r="C3919" s="16" t="inlineStr">
        <is>
          <t>Delivered</t>
        </is>
      </c>
      <c r="D3919" s="16" t="inlineStr">
        <is>
          <t>128-21962820449910706</t>
        </is>
      </c>
      <c r="E3919" s="16" t="inlineStr">
        <is>
          <t>Delivered</t>
        </is>
      </c>
      <c r="F3919" s="16" t="inlineStr">
        <is>
          <t>LV64W25</t>
        </is>
      </c>
      <c r="G39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19" s="16" t="inlineStr">
        <is>
          <t>Blanco</t>
        </is>
      </c>
      <c r="I3919" s="16" t="n">
        <v>2</v>
      </c>
      <c r="J3919" s="17" t="n">
        <v>250</v>
      </c>
      <c r="K3919" s="17" t="n">
        <v>206.16</v>
      </c>
      <c r="L3919" s="17" t="n">
        <v>0</v>
      </c>
      <c r="M3919" s="17" t="n">
        <v>9.74</v>
      </c>
      <c r="N3919" s="17">
        <f>K3919*0.08+L3919*0.08</f>
        <v/>
      </c>
      <c r="O3919" s="17">
        <f>-(K3919*0.025+L3919*0.025)</f>
        <v/>
      </c>
      <c r="P3919" s="17">
        <f>32</f>
        <v/>
      </c>
      <c r="Q3919" s="17">
        <f>J3919+L3919+N3919+O3919-P3919-M3919</f>
        <v/>
      </c>
    </row>
    <row r="3920">
      <c r="A3920" s="16" t="inlineStr">
        <is>
          <t>5.29-6.4</t>
        </is>
      </c>
      <c r="B3920" s="16" t="inlineStr">
        <is>
          <t>PO-128-21828702336630419</t>
        </is>
      </c>
      <c r="C3920" s="16" t="inlineStr">
        <is>
          <t>Delivered</t>
        </is>
      </c>
      <c r="D3920" s="16" t="inlineStr">
        <is>
          <t>128-21828807194230419</t>
        </is>
      </c>
      <c r="E3920" s="16" t="inlineStr">
        <is>
          <t>Delivered</t>
        </is>
      </c>
      <c r="F3920" s="16" t="inlineStr">
        <is>
          <t>LV64W25</t>
        </is>
      </c>
      <c r="G39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20" s="16" t="inlineStr">
        <is>
          <t>Blanco</t>
        </is>
      </c>
      <c r="I3920" s="16" t="n">
        <v>2</v>
      </c>
      <c r="J3920" s="17" t="n">
        <v>250</v>
      </c>
      <c r="K3920" s="17" t="n">
        <v>214.78</v>
      </c>
      <c r="L3920" s="17" t="n">
        <v>0</v>
      </c>
      <c r="M3920" s="17" t="n">
        <v>9</v>
      </c>
      <c r="N3920" s="17">
        <f>K3920*0.08+L3920*0.08</f>
        <v/>
      </c>
      <c r="O3920" s="17">
        <f>-(K3920*0.025+L3920*0.025)</f>
        <v/>
      </c>
      <c r="P3920" s="17">
        <f>32</f>
        <v/>
      </c>
      <c r="Q3920" s="17">
        <f>J3920+L3920+N3920+O3920-P3920-M3920</f>
        <v/>
      </c>
    </row>
    <row r="3921">
      <c r="A3921" s="16" t="inlineStr">
        <is>
          <t>5.29-6.4</t>
        </is>
      </c>
      <c r="B3921" s="16" t="inlineStr">
        <is>
          <t>PO-128-21522844856952176</t>
        </is>
      </c>
      <c r="C3921" s="16" t="inlineStr">
        <is>
          <t>Delivered</t>
        </is>
      </c>
      <c r="D3921" s="16" t="inlineStr">
        <is>
          <t>128-21522865828472176</t>
        </is>
      </c>
      <c r="E3921" s="16" t="inlineStr">
        <is>
          <t>Delivered</t>
        </is>
      </c>
      <c r="F3921" s="16" t="inlineStr">
        <is>
          <t>LV54W25</t>
        </is>
      </c>
      <c r="G3921" s="16" t="inlineStr">
        <is>
          <t>TIANLAI Lámpara Ventilador E27 2 en 1, Silenciosa, LED Alta Luminosidad 180°, Instalación Rápida, Ahorro Energético para Dormitorio y Interiores Pequeños</t>
        </is>
      </c>
      <c r="H3921" s="16" t="inlineStr">
        <is>
          <t>1 Pieza</t>
        </is>
      </c>
      <c r="I3921" s="16" t="n">
        <v>1</v>
      </c>
      <c r="J3921" s="17" t="n">
        <v>74</v>
      </c>
      <c r="K3921" s="17" t="n">
        <v>85.68000000000001</v>
      </c>
      <c r="L3921" s="17" t="n">
        <v>25.86</v>
      </c>
      <c r="M3921" s="17" t="n">
        <v>0</v>
      </c>
      <c r="N3921" s="17">
        <f>K3921*0.08+L3921*0.08</f>
        <v/>
      </c>
      <c r="O3921" s="17">
        <f>-(K3921*0.025+L3921*0.025)</f>
        <v/>
      </c>
      <c r="P3921" s="17">
        <f>32</f>
        <v/>
      </c>
      <c r="Q3921" s="17">
        <f>J3921+L3921+N3921+O3921-P3921-M3921</f>
        <v/>
      </c>
    </row>
    <row r="3922">
      <c r="A3922" s="16" t="inlineStr">
        <is>
          <t>5.29-6.4</t>
        </is>
      </c>
      <c r="B3922" s="16" t="inlineStr">
        <is>
          <t>PO-128-21558251607672159</t>
        </is>
      </c>
      <c r="C3922" s="16" t="inlineStr">
        <is>
          <t>Delivered</t>
        </is>
      </c>
      <c r="D3922" s="16" t="inlineStr">
        <is>
          <t>128-21558241121912159</t>
        </is>
      </c>
      <c r="E3922" s="16" t="inlineStr">
        <is>
          <t>Delivered</t>
        </is>
      </c>
      <c r="F3922" s="16" t="inlineStr">
        <is>
          <t>LV64W25</t>
        </is>
      </c>
      <c r="G39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22" s="16" t="inlineStr">
        <is>
          <t>Blanco</t>
        </is>
      </c>
      <c r="I3922" s="16" t="n">
        <v>1</v>
      </c>
      <c r="J3922" s="17" t="n">
        <v>125</v>
      </c>
      <c r="K3922" s="17" t="n">
        <v>143.26</v>
      </c>
      <c r="L3922" s="17" t="n">
        <v>25.86</v>
      </c>
      <c r="M3922" s="17" t="n">
        <v>0</v>
      </c>
      <c r="N3922" s="17">
        <f>K3922*0.08+L3922*0.08</f>
        <v/>
      </c>
      <c r="O3922" s="17">
        <f>-(K3922*0.025+L3922*0.025)</f>
        <v/>
      </c>
      <c r="P3922" s="17">
        <f>32</f>
        <v/>
      </c>
      <c r="Q3922" s="17">
        <f>J3922+L3922+N3922+O3922-P3922-M3922</f>
        <v/>
      </c>
    </row>
    <row r="3923">
      <c r="A3923" s="16" t="inlineStr">
        <is>
          <t>5.29-6.4</t>
        </is>
      </c>
      <c r="B3923" s="16" t="inlineStr">
        <is>
          <t>PO-128-21659076106871492</t>
        </is>
      </c>
      <c r="C3923" s="16" t="inlineStr">
        <is>
          <t>Delivered</t>
        </is>
      </c>
      <c r="D3923" s="16" t="inlineStr">
        <is>
          <t>128-21659068242551492</t>
        </is>
      </c>
      <c r="E3923" s="16" t="inlineStr">
        <is>
          <t>Delivered</t>
        </is>
      </c>
      <c r="F3923" s="16" t="inlineStr">
        <is>
          <t>LV54W25</t>
        </is>
      </c>
      <c r="G3923" s="16" t="inlineStr">
        <is>
          <t>TIANLAI Lámpara Ventilador E27 2 en 1, Silenciosa, LED Alta Luminosidad 180°, Instalación Rápida, Ahorro Energético para Dormitorio y Interiores Pequeños</t>
        </is>
      </c>
      <c r="H3923" s="16" t="inlineStr">
        <is>
          <t>1 Pieza</t>
        </is>
      </c>
      <c r="I3923" s="16" t="n">
        <v>5</v>
      </c>
      <c r="J3923" s="17" t="n">
        <v>370</v>
      </c>
      <c r="K3923" s="17" t="n">
        <v>314.81</v>
      </c>
      <c r="L3923" s="17" t="n">
        <v>0</v>
      </c>
      <c r="M3923" s="17" t="n">
        <v>0</v>
      </c>
      <c r="N3923" s="17">
        <f>K3923*0.08+L3923*0.08</f>
        <v/>
      </c>
      <c r="O3923" s="17">
        <f>-(K3923*0.025+L3923*0.025)</f>
        <v/>
      </c>
      <c r="P3923" s="17">
        <f>32</f>
        <v/>
      </c>
      <c r="Q3923" s="17">
        <f>J3923+L3923+N3923+O3923-P3923-M3923</f>
        <v/>
      </c>
    </row>
    <row r="3924">
      <c r="A3924" s="16" t="inlineStr">
        <is>
          <t>5.29-6.4</t>
        </is>
      </c>
      <c r="B3924" s="16" t="inlineStr">
        <is>
          <t>PO-128-21419356063353883</t>
        </is>
      </c>
      <c r="C3924" s="16" t="inlineStr">
        <is>
          <t>Delivered</t>
        </is>
      </c>
      <c r="D3924" s="16" t="inlineStr">
        <is>
          <t>128-21419398006393883</t>
        </is>
      </c>
      <c r="E3924" s="16" t="inlineStr">
        <is>
          <t>Delivered</t>
        </is>
      </c>
      <c r="F3924" s="16" t="inlineStr">
        <is>
          <t>TLCD01-4P-nN</t>
        </is>
      </c>
      <c r="G392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24" s="16" t="inlineStr">
        <is>
          <t>NEGRO/pantalla de 4.5 pulgadas</t>
        </is>
      </c>
      <c r="I3924" s="16" t="n">
        <v>1</v>
      </c>
      <c r="J3924" s="17" t="n">
        <v>20</v>
      </c>
      <c r="K3924" s="17" t="n">
        <v>23.63</v>
      </c>
      <c r="L3924" s="17" t="n">
        <v>25.86</v>
      </c>
      <c r="M3924" s="17" t="n">
        <v>0</v>
      </c>
      <c r="N3924" s="17">
        <f>K3924*0.08+L3924*0.08</f>
        <v/>
      </c>
      <c r="O3924" s="17">
        <f>-(K3924*0.025+L3924*0.025)</f>
        <v/>
      </c>
      <c r="P3924" s="17">
        <f>32</f>
        <v/>
      </c>
      <c r="Q3924" s="17">
        <f>J3924+L3924+N3924+O3924-P3924-M3924</f>
        <v/>
      </c>
    </row>
    <row r="3925">
      <c r="A3925" s="16" t="inlineStr">
        <is>
          <t>5.29-6.4</t>
        </is>
      </c>
      <c r="B3925" s="16" t="inlineStr">
        <is>
          <t>PO-128-21518178350712204</t>
        </is>
      </c>
      <c r="C3925" s="16" t="inlineStr">
        <is>
          <t>Delivered</t>
        </is>
      </c>
      <c r="D3925" s="16" t="inlineStr">
        <is>
          <t>128-21518136407672204</t>
        </is>
      </c>
      <c r="E3925" s="16" t="inlineStr">
        <is>
          <t>Delivered</t>
        </is>
      </c>
      <c r="F3925" s="16" t="inlineStr">
        <is>
          <t>LV64W25</t>
        </is>
      </c>
      <c r="G39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25" s="16" t="inlineStr">
        <is>
          <t>Blanco</t>
        </is>
      </c>
      <c r="I3925" s="16" t="n">
        <v>2</v>
      </c>
      <c r="J3925" s="17" t="n">
        <v>250</v>
      </c>
      <c r="K3925" s="17" t="n">
        <v>286.52</v>
      </c>
      <c r="L3925" s="17" t="n">
        <v>0</v>
      </c>
      <c r="M3925" s="17" t="n">
        <v>0</v>
      </c>
      <c r="N3925" s="17">
        <f>K3925*0.08+L3925*0.08</f>
        <v/>
      </c>
      <c r="O3925" s="17">
        <f>-(K3925*0.025+L3925*0.025)</f>
        <v/>
      </c>
      <c r="P3925" s="17">
        <f>32</f>
        <v/>
      </c>
      <c r="Q3925" s="17">
        <f>J3925+L3925+N3925+O3925-P3925-M3925</f>
        <v/>
      </c>
    </row>
    <row r="3926">
      <c r="A3926" s="16" t="inlineStr">
        <is>
          <t>5.29-6.4</t>
        </is>
      </c>
      <c r="B3926" s="16" t="inlineStr">
        <is>
          <t>PO-128-21620068045432815</t>
        </is>
      </c>
      <c r="C3926" s="16" t="inlineStr">
        <is>
          <t>Delivered</t>
        </is>
      </c>
      <c r="D3926" s="16" t="inlineStr">
        <is>
          <t>128-21620123095672815</t>
        </is>
      </c>
      <c r="E3926" s="16" t="inlineStr">
        <is>
          <t>Delivered</t>
        </is>
      </c>
      <c r="F3926" s="16" t="inlineStr">
        <is>
          <t>TL2663N18C</t>
        </is>
      </c>
      <c r="G3926" s="16" t="inlineStr">
        <is>
          <t>Linkbits，Soporte de pared fijo para televisores de 26"-63", Ultra-Delgado Compatible con VESA 400x400mm, Capacidad de Peso Fuerte de 25KG, Instalación Fácil Sin Electricidad</t>
        </is>
      </c>
      <c r="H3926" s="16" t="inlineStr">
        <is>
          <t>NEGRO</t>
        </is>
      </c>
      <c r="I3926" s="16" t="n">
        <v>1</v>
      </c>
      <c r="J3926" s="17" t="n">
        <v>47</v>
      </c>
      <c r="K3926" s="17" t="n">
        <v>61.97</v>
      </c>
      <c r="L3926" s="17" t="n">
        <v>0</v>
      </c>
      <c r="M3926" s="17" t="n">
        <v>61.97</v>
      </c>
      <c r="N3926" s="17">
        <f>K3926*0.08+L3926*0.08</f>
        <v/>
      </c>
      <c r="O3926" s="17">
        <f>-(K3926*0.025+L3926*0.025)</f>
        <v/>
      </c>
      <c r="P3926" s="17">
        <f>32</f>
        <v/>
      </c>
      <c r="Q3926" s="17">
        <f>J3926+L3926+N3926+O3926-P3926-M3926</f>
        <v/>
      </c>
    </row>
    <row r="3927">
      <c r="A3927" s="16" t="inlineStr">
        <is>
          <t>5.29-6.4</t>
        </is>
      </c>
      <c r="B3927" s="16" t="inlineStr">
        <is>
          <t>PO-128-21514480809592418</t>
        </is>
      </c>
      <c r="C3927" s="16" t="inlineStr">
        <is>
          <t>Delivered</t>
        </is>
      </c>
      <c r="D3927" s="16" t="inlineStr">
        <is>
          <t>128-21514507023992418</t>
        </is>
      </c>
      <c r="E3927" s="16" t="inlineStr">
        <is>
          <t>Delivered</t>
        </is>
      </c>
      <c r="F3927" s="16" t="inlineStr">
        <is>
          <t>LV54W25</t>
        </is>
      </c>
      <c r="G3927" s="16" t="inlineStr">
        <is>
          <t>TIANLAI Lámpara Ventilador E27 2 en 1, Silenciosa, LED Alta Luminosidad 180°, Instalación Rápida, Ahorro Energético para Dormitorio y Interiores Pequeños</t>
        </is>
      </c>
      <c r="H3927" s="16" t="inlineStr">
        <is>
          <t>1 Pieza</t>
        </is>
      </c>
      <c r="I3927" s="16" t="n">
        <v>1</v>
      </c>
      <c r="J3927" s="17" t="n">
        <v>74</v>
      </c>
      <c r="K3927" s="17" t="n">
        <v>76.26000000000001</v>
      </c>
      <c r="L3927" s="17" t="n">
        <v>25.86</v>
      </c>
      <c r="M3927" s="17" t="n">
        <v>0</v>
      </c>
      <c r="N3927" s="17">
        <f>K3927*0.08+L3927*0.08</f>
        <v/>
      </c>
      <c r="O3927" s="17">
        <f>-(K3927*0.025+L3927*0.025)</f>
        <v/>
      </c>
      <c r="P3927" s="17">
        <f>32</f>
        <v/>
      </c>
      <c r="Q3927" s="17">
        <f>J3927+L3927+N3927+O3927-P3927-M3927</f>
        <v/>
      </c>
    </row>
    <row r="3928">
      <c r="A3928" s="16" t="inlineStr">
        <is>
          <t>5.29-6.4</t>
        </is>
      </c>
      <c r="B3928" s="16" t="inlineStr">
        <is>
          <t>PO-128-21573856425593024</t>
        </is>
      </c>
      <c r="C3928" s="16" t="inlineStr">
        <is>
          <t>Delivered</t>
        </is>
      </c>
      <c r="D3928" s="16" t="inlineStr">
        <is>
          <t>128-21573961283193024</t>
        </is>
      </c>
      <c r="E3928" s="16" t="inlineStr">
        <is>
          <t>Delivered</t>
        </is>
      </c>
      <c r="F3928" s="16" t="inlineStr">
        <is>
          <t>KTS-2031</t>
        </is>
      </c>
      <c r="G3928" s="16" t="inlineStr">
        <is>
          <t>Bocina inalámbrica de 3 pulgadas con linterna multifuncional y panel solar integrado.Altavoz Portátil con Linterna LED 4 Modos, Radio FM, Bluetooth, Carga Solar, Ideal para Apagones, Emergencias, Campo y Exteriores</t>
        </is>
      </c>
      <c r="H3928" s="16" t="inlineStr">
        <is>
          <t>NEGRO</t>
        </is>
      </c>
      <c r="I3928" s="16" t="n">
        <v>1</v>
      </c>
      <c r="J3928" s="17" t="n">
        <v>90</v>
      </c>
      <c r="K3928" s="17" t="n">
        <v>99.22</v>
      </c>
      <c r="L3928" s="17" t="n">
        <v>25.86</v>
      </c>
      <c r="M3928" s="17" t="n">
        <v>0</v>
      </c>
      <c r="N3928" s="17">
        <f>K3928*0.08+L3928*0.08</f>
        <v/>
      </c>
      <c r="O3928" s="17">
        <f>-(K3928*0.025+L3928*0.025)</f>
        <v/>
      </c>
      <c r="P3928" s="17">
        <f>32</f>
        <v/>
      </c>
      <c r="Q3928" s="17">
        <f>J3928+L3928+N3928+O3928-P3928-M3928</f>
        <v/>
      </c>
    </row>
    <row r="3929">
      <c r="A3929" s="16" t="inlineStr">
        <is>
          <t>5.29-6.4</t>
        </is>
      </c>
      <c r="B3929" s="16" t="inlineStr">
        <is>
          <t>PO-128-21332804429433375</t>
        </is>
      </c>
      <c r="C3929" s="16" t="inlineStr">
        <is>
          <t>Delivered</t>
        </is>
      </c>
      <c r="D3929" s="16" t="inlineStr">
        <is>
          <t>128-21332762486393375</t>
        </is>
      </c>
      <c r="E3929" s="16" t="inlineStr">
        <is>
          <t>Delivered</t>
        </is>
      </c>
      <c r="F3929" s="16" t="inlineStr">
        <is>
          <t>KTS-2031</t>
        </is>
      </c>
      <c r="G3929" s="16" t="inlineStr">
        <is>
          <t>Bocina inalámbrica de 3 pulgadas con linterna multifuncional y panel solar integrado.Altavoz Portátil con Linterna LED 4 Modos, Radio FM, Bluetooth, Carga Solar, Ideal para Apagones, Emergencias, Campo y Exteriores</t>
        </is>
      </c>
      <c r="H3929" s="16" t="inlineStr">
        <is>
          <t>NEGRO</t>
        </is>
      </c>
      <c r="I3929" s="16" t="n">
        <v>1</v>
      </c>
      <c r="J3929" s="17" t="n">
        <v>90</v>
      </c>
      <c r="K3929" s="17" t="n">
        <v>99.22</v>
      </c>
      <c r="L3929" s="17" t="n">
        <v>25.86</v>
      </c>
      <c r="M3929" s="17" t="n">
        <v>0</v>
      </c>
      <c r="N3929" s="17">
        <f>K3929*0.08+L3929*0.08</f>
        <v/>
      </c>
      <c r="O3929" s="17">
        <f>-(K3929*0.025+L3929*0.025)</f>
        <v/>
      </c>
      <c r="P3929" s="17">
        <f>32</f>
        <v/>
      </c>
      <c r="Q3929" s="17">
        <f>J3929+L3929+N3929+O3929-P3929-M3929</f>
        <v/>
      </c>
    </row>
    <row r="3930">
      <c r="A3930" s="16" t="inlineStr">
        <is>
          <t>5.29-6.4</t>
        </is>
      </c>
      <c r="B3930" s="16" t="inlineStr">
        <is>
          <t>PO-128-21904512676470927</t>
        </is>
      </c>
      <c r="C3930" s="16" t="inlineStr">
        <is>
          <t>Delivered</t>
        </is>
      </c>
      <c r="D3930" s="16" t="inlineStr">
        <is>
          <t>128-21904521196150927</t>
        </is>
      </c>
      <c r="E3930" s="16" t="inlineStr">
        <is>
          <t>Delivered</t>
        </is>
      </c>
      <c r="F3930" s="16" t="inlineStr">
        <is>
          <t>LV54W25</t>
        </is>
      </c>
      <c r="G3930" s="16" t="inlineStr">
        <is>
          <t>TIANLAI Lámpara Ventilador E27 2 en 1, Silenciosa, LED Alta Luminosidad 180°, Instalación Rápida, Ahorro Energético para Dormitorio y Interiores Pequeños</t>
        </is>
      </c>
      <c r="H3930" s="16" t="inlineStr">
        <is>
          <t>1 Pieza</t>
        </is>
      </c>
      <c r="I3930" s="16" t="n">
        <v>1</v>
      </c>
      <c r="J3930" s="17" t="n">
        <v>74</v>
      </c>
      <c r="K3930" s="17" t="n">
        <v>77.12</v>
      </c>
      <c r="L3930" s="17" t="n">
        <v>25.86</v>
      </c>
      <c r="M3930" s="17" t="n">
        <v>0</v>
      </c>
      <c r="N3930" s="17">
        <f>K3930*0.08+L3930*0.08</f>
        <v/>
      </c>
      <c r="O3930" s="17">
        <f>-(K3930*0.025+L3930*0.025)</f>
        <v/>
      </c>
      <c r="P3930" s="17">
        <f>32</f>
        <v/>
      </c>
      <c r="Q3930" s="17">
        <f>J3930+L3930+N3930+O3930-P3930-M3930</f>
        <v/>
      </c>
    </row>
    <row r="3931">
      <c r="A3931" s="16" t="inlineStr">
        <is>
          <t>5.29-6.4</t>
        </is>
      </c>
      <c r="B3931" s="16" t="inlineStr">
        <is>
          <t>PO-128-21719040169591073</t>
        </is>
      </c>
      <c r="C3931" s="16" t="inlineStr">
        <is>
          <t>Delivered</t>
        </is>
      </c>
      <c r="D3931" s="16" t="inlineStr">
        <is>
          <t>128-21719092598391073</t>
        </is>
      </c>
      <c r="E3931" s="16" t="inlineStr">
        <is>
          <t>Delivered</t>
        </is>
      </c>
      <c r="F3931" s="16" t="inlineStr">
        <is>
          <t>TL2663N18C</t>
        </is>
      </c>
      <c r="G3931" s="16" t="inlineStr">
        <is>
          <t>Linkbits，Soporte de pared fijo para televisores de 26"-63", Ultra-Delgado Compatible con VESA 400x400mm, Capacidad de Peso Fuerte de 25KG, Instalación Fácil Sin Electricidad</t>
        </is>
      </c>
      <c r="H3931" s="16" t="inlineStr">
        <is>
          <t>NEGRO</t>
        </is>
      </c>
      <c r="I3931" s="16" t="n">
        <v>5</v>
      </c>
      <c r="J3931" s="17" t="n">
        <v>235</v>
      </c>
      <c r="K3931" s="17" t="n">
        <v>309.85</v>
      </c>
      <c r="L3931" s="17" t="n">
        <v>0</v>
      </c>
      <c r="M3931" s="17" t="n">
        <v>0</v>
      </c>
      <c r="N3931" s="17">
        <f>K3931*0.08+L3931*0.08</f>
        <v/>
      </c>
      <c r="O3931" s="17">
        <f>-(K3931*0.025+L3931*0.025)</f>
        <v/>
      </c>
      <c r="P3931" s="17">
        <f>32</f>
        <v/>
      </c>
      <c r="Q3931" s="17">
        <f>J3931+L3931+N3931+O3931-P3931-M3931</f>
        <v/>
      </c>
    </row>
    <row r="3932">
      <c r="A3932" s="16" t="inlineStr">
        <is>
          <t>5.29-6.4</t>
        </is>
      </c>
      <c r="B3932" s="16" t="inlineStr">
        <is>
          <t>PO-128-21555230341752113</t>
        </is>
      </c>
      <c r="C3932" s="16" t="inlineStr">
        <is>
          <t>Delivered</t>
        </is>
      </c>
      <c r="D3932" s="16" t="inlineStr">
        <is>
          <t>128-21555235584632113</t>
        </is>
      </c>
      <c r="E3932" s="16" t="inlineStr">
        <is>
          <t>Delivered</t>
        </is>
      </c>
      <c r="F3932" s="16" t="inlineStr">
        <is>
          <t>TLCD06-12P-V</t>
        </is>
      </c>
      <c r="G3932"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32" s="16" t="inlineStr">
        <is>
          <t>VERDE/pantalla de 12 pulgadas</t>
        </is>
      </c>
      <c r="I3932" s="16" t="n">
        <v>1</v>
      </c>
      <c r="J3932" s="17" t="n">
        <v>32</v>
      </c>
      <c r="K3932" s="17" t="n">
        <v>44.02</v>
      </c>
      <c r="L3932" s="17" t="n">
        <v>12.94</v>
      </c>
      <c r="M3932" s="17" t="n">
        <v>0</v>
      </c>
      <c r="N3932" s="17">
        <f>K3932*0.08+L3932*0.08</f>
        <v/>
      </c>
      <c r="O3932" s="17">
        <f>-(K3932*0.025+L3932*0.025)</f>
        <v/>
      </c>
      <c r="P3932" s="17">
        <f>32</f>
        <v/>
      </c>
      <c r="Q3932" s="17">
        <f>J3932+L3932+N3932+O3932-P3932-M3932</f>
        <v/>
      </c>
    </row>
    <row r="3933">
      <c r="A3933" s="16" t="inlineStr">
        <is>
          <t>5.29-6.4</t>
        </is>
      </c>
      <c r="B3933" s="16" t="inlineStr">
        <is>
          <t>PO-128-21555230341752113</t>
        </is>
      </c>
      <c r="C3933" s="16" t="inlineStr">
        <is>
          <t>Delivered</t>
        </is>
      </c>
      <c r="D3933" s="16" t="inlineStr">
        <is>
          <t>128-21555251313272113</t>
        </is>
      </c>
      <c r="E3933" s="16" t="inlineStr">
        <is>
          <t>Delivered</t>
        </is>
      </c>
      <c r="F3933" s="16" t="inlineStr">
        <is>
          <t>TLCD06-12P-N</t>
        </is>
      </c>
      <c r="G393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33" s="16" t="inlineStr">
        <is>
          <t>NEGRO/pantalla de 12 pulgadas</t>
        </is>
      </c>
      <c r="I3933" s="16" t="n">
        <v>1</v>
      </c>
      <c r="J3933" s="17" t="n">
        <v>32</v>
      </c>
      <c r="K3933" s="17" t="n">
        <v>44.01</v>
      </c>
      <c r="L3933" s="17" t="n">
        <v>12.92</v>
      </c>
      <c r="M3933" s="17" t="n">
        <v>0</v>
      </c>
      <c r="N3933" s="17">
        <f>K3933*0.08+L3933*0.08</f>
        <v/>
      </c>
      <c r="O3933" s="17">
        <f>-(K3933*0.025+L3933*0.025)</f>
        <v/>
      </c>
      <c r="P3933" s="17">
        <f>32</f>
        <v/>
      </c>
      <c r="Q3933" s="17">
        <f>J3933+L3933+N3933+O3933-P3933-M3933</f>
        <v/>
      </c>
    </row>
    <row r="3934">
      <c r="A3934" s="16" t="inlineStr">
        <is>
          <t>5.29-6.4</t>
        </is>
      </c>
      <c r="B3934" s="16" t="inlineStr">
        <is>
          <t>PO-128-21918065480310975</t>
        </is>
      </c>
      <c r="C3934" s="16" t="inlineStr">
        <is>
          <t>Delivered</t>
        </is>
      </c>
      <c r="D3934" s="16" t="inlineStr">
        <is>
          <t>128-21918023537270975</t>
        </is>
      </c>
      <c r="E3934" s="16" t="inlineStr">
        <is>
          <t>Delivered</t>
        </is>
      </c>
      <c r="F3934" s="16" t="inlineStr">
        <is>
          <t>TL1412N17C</t>
        </is>
      </c>
      <c r="G3934" s="16" t="inlineStr">
        <is>
          <t>Linkbits, Soporte de Pared Fijo para TV y Monitor de 14"-43", Ultra Delgado 2.3cm, Fuerte Capacidad de Peso de 25KG, Fácil Instalación con Accesorios Completos</t>
        </is>
      </c>
      <c r="H3934" s="16" t="inlineStr">
        <is>
          <t>NEGRO</t>
        </is>
      </c>
      <c r="I3934" s="16" t="n">
        <v>1</v>
      </c>
      <c r="J3934" s="17" t="n">
        <v>36.5</v>
      </c>
      <c r="K3934" s="17" t="n">
        <v>55.72</v>
      </c>
      <c r="L3934" s="17" t="n">
        <v>25.86</v>
      </c>
      <c r="M3934" s="17" t="n">
        <v>0</v>
      </c>
      <c r="N3934" s="17">
        <f>K3934*0.08+L3934*0.08</f>
        <v/>
      </c>
      <c r="O3934" s="17">
        <f>-(K3934*0.025+L3934*0.025)</f>
        <v/>
      </c>
      <c r="P3934" s="17">
        <f>32</f>
        <v/>
      </c>
      <c r="Q3934" s="17">
        <f>J3934+L3934+N3934+O3934-P3934-M3934</f>
        <v/>
      </c>
    </row>
    <row r="3935">
      <c r="A3935" s="16" t="inlineStr">
        <is>
          <t>5.29-6.4</t>
        </is>
      </c>
      <c r="B3935" s="16" t="inlineStr">
        <is>
          <t>PO-128-21747255808631993</t>
        </is>
      </c>
      <c r="C3935" s="16" t="inlineStr">
        <is>
          <t>Delivered</t>
        </is>
      </c>
      <c r="D3935" s="16" t="inlineStr">
        <is>
          <t>128-21747276780151993</t>
        </is>
      </c>
      <c r="E3935" s="16" t="inlineStr">
        <is>
          <t>Delivered</t>
        </is>
      </c>
      <c r="F3935" s="16" t="inlineStr">
        <is>
          <t>LV54W25</t>
        </is>
      </c>
      <c r="G3935" s="16" t="inlineStr">
        <is>
          <t>TIANLAI Lámpara Ventilador E27 2 en 1, Silenciosa, LED Alta Luminosidad 180°, Instalación Rápida, Ahorro Energético para Dormitorio y Interiores Pequeños</t>
        </is>
      </c>
      <c r="H3935" s="16" t="inlineStr">
        <is>
          <t>1 Pieza</t>
        </is>
      </c>
      <c r="I3935" s="16" t="n">
        <v>1</v>
      </c>
      <c r="J3935" s="17" t="n">
        <v>74</v>
      </c>
      <c r="K3935" s="17" t="n">
        <v>76.26000000000001</v>
      </c>
      <c r="L3935" s="17" t="n">
        <v>25.86</v>
      </c>
      <c r="M3935" s="17" t="n">
        <v>0</v>
      </c>
      <c r="N3935" s="17">
        <f>K3935*0.08+L3935*0.08</f>
        <v/>
      </c>
      <c r="O3935" s="17">
        <f>-(K3935*0.025+L3935*0.025)</f>
        <v/>
      </c>
      <c r="P3935" s="17">
        <f>32</f>
        <v/>
      </c>
      <c r="Q3935" s="17">
        <f>J3935+L3935+N3935+O3935-P3935-M3935</f>
        <v/>
      </c>
    </row>
    <row r="3936">
      <c r="A3936" s="16" t="inlineStr">
        <is>
          <t>5.29-6.4</t>
        </is>
      </c>
      <c r="B3936" s="16" t="inlineStr">
        <is>
          <t>PO-128-21951999145590642</t>
        </is>
      </c>
      <c r="C3936" s="16" t="inlineStr">
        <is>
          <t>Delivered</t>
        </is>
      </c>
      <c r="D3936" s="16" t="inlineStr">
        <is>
          <t>128-21952135460470642</t>
        </is>
      </c>
      <c r="E3936" s="16" t="inlineStr">
        <is>
          <t>Delivered</t>
        </is>
      </c>
      <c r="F3936" s="16" t="inlineStr">
        <is>
          <t>LV54W25</t>
        </is>
      </c>
      <c r="G3936" s="16" t="inlineStr">
        <is>
          <t>TIANLAI Lámpara Ventilador E27 2 en 1, Silenciosa, LED Alta Luminosidad 180°, Instalación Rápida, Ahorro Energético para Dormitorio y Interiores Pequeños</t>
        </is>
      </c>
      <c r="H3936" s="16" t="inlineStr">
        <is>
          <t>1 Pieza</t>
        </is>
      </c>
      <c r="I3936" s="16" t="n">
        <v>2</v>
      </c>
      <c r="J3936" s="17" t="n">
        <v>148</v>
      </c>
      <c r="K3936" s="17" t="n">
        <v>154.24</v>
      </c>
      <c r="L3936" s="17" t="n">
        <v>25.86</v>
      </c>
      <c r="M3936" s="17" t="n">
        <v>0</v>
      </c>
      <c r="N3936" s="17">
        <f>K3936*0.08+L3936*0.08</f>
        <v/>
      </c>
      <c r="O3936" s="17">
        <f>-(K3936*0.025+L3936*0.025)</f>
        <v/>
      </c>
      <c r="P3936" s="17">
        <f>32</f>
        <v/>
      </c>
      <c r="Q3936" s="17">
        <f>J3936+L3936+N3936+O3936-P3936-M3936</f>
        <v/>
      </c>
    </row>
    <row r="3937">
      <c r="A3937" s="16" t="inlineStr">
        <is>
          <t>5.29-6.4</t>
        </is>
      </c>
      <c r="B3937" s="16" t="inlineStr">
        <is>
          <t>PO-128-21489492828792505</t>
        </is>
      </c>
      <c r="C3937" s="16" t="inlineStr">
        <is>
          <t>Delivered</t>
        </is>
      </c>
      <c r="D3937" s="16" t="inlineStr">
        <is>
          <t>128-21489534771832505</t>
        </is>
      </c>
      <c r="E3937" s="16" t="inlineStr">
        <is>
          <t>Delivered</t>
        </is>
      </c>
      <c r="F3937" s="16" t="inlineStr">
        <is>
          <t>TLCD06-12P-N</t>
        </is>
      </c>
      <c r="G393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37" s="16" t="inlineStr">
        <is>
          <t>NEGRO/pantalla de 12 pulgadas</t>
        </is>
      </c>
      <c r="I3937" s="16" t="n">
        <v>1</v>
      </c>
      <c r="J3937" s="17" t="n">
        <v>32</v>
      </c>
      <c r="K3937" s="17" t="n">
        <v>44.01</v>
      </c>
      <c r="L3937" s="17" t="n">
        <v>25.86</v>
      </c>
      <c r="M3937" s="17" t="n">
        <v>0</v>
      </c>
      <c r="N3937" s="17">
        <f>K3937*0.08+L3937*0.08</f>
        <v/>
      </c>
      <c r="O3937" s="17">
        <f>-(K3937*0.025+L3937*0.025)</f>
        <v/>
      </c>
      <c r="P3937" s="17">
        <f>32</f>
        <v/>
      </c>
      <c r="Q3937" s="17">
        <f>J3937+L3937+N3937+O3937-P3937-M3937</f>
        <v/>
      </c>
    </row>
    <row r="3938">
      <c r="A3938" s="16" t="inlineStr">
        <is>
          <t>5.29-6.4</t>
        </is>
      </c>
      <c r="B3938" s="16" t="inlineStr">
        <is>
          <t>PO-128-21822110935670395</t>
        </is>
      </c>
      <c r="C3938" s="16" t="inlineStr">
        <is>
          <t>Delivered</t>
        </is>
      </c>
      <c r="D3938" s="16" t="inlineStr">
        <is>
          <t>128-21822068992630395</t>
        </is>
      </c>
      <c r="E3938" s="16" t="inlineStr">
        <is>
          <t>Delivered</t>
        </is>
      </c>
      <c r="F3938" s="16" t="inlineStr">
        <is>
          <t>LV54W25</t>
        </is>
      </c>
      <c r="G3938" s="16" t="inlineStr">
        <is>
          <t>TIANLAI Lámpara Ventilador E27 2 en 1, Silenciosa, LED Alta Luminosidad 180°, Instalación Rápida, Ahorro Energético para Dormitorio y Interiores Pequeños</t>
        </is>
      </c>
      <c r="H3938" s="16" t="inlineStr">
        <is>
          <t>1 Pieza</t>
        </is>
      </c>
      <c r="I3938" s="16" t="n">
        <v>1</v>
      </c>
      <c r="J3938" s="17" t="n">
        <v>74</v>
      </c>
      <c r="K3938" s="17" t="n">
        <v>76.26000000000001</v>
      </c>
      <c r="L3938" s="17" t="n">
        <v>25.86</v>
      </c>
      <c r="M3938" s="17" t="n">
        <v>0</v>
      </c>
      <c r="N3938" s="17">
        <f>K3938*0.08+L3938*0.08</f>
        <v/>
      </c>
      <c r="O3938" s="17">
        <f>-(K3938*0.025+L3938*0.025)</f>
        <v/>
      </c>
      <c r="P3938" s="17">
        <f>32</f>
        <v/>
      </c>
      <c r="Q3938" s="17">
        <f>J3938+L3938+N3938+O3938-P3938-M3938</f>
        <v/>
      </c>
    </row>
    <row r="3939">
      <c r="A3939" s="16" t="inlineStr">
        <is>
          <t>5.29-6.4</t>
        </is>
      </c>
      <c r="B3939" s="16" t="inlineStr">
        <is>
          <t>PO-128-21910233052790957</t>
        </is>
      </c>
      <c r="C3939" s="16" t="inlineStr">
        <is>
          <t>Delivered</t>
        </is>
      </c>
      <c r="D3939" s="16" t="inlineStr">
        <is>
          <t>128-21910238295670957</t>
        </is>
      </c>
      <c r="E3939" s="16" t="inlineStr">
        <is>
          <t>Delivered</t>
        </is>
      </c>
      <c r="F3939" s="16" t="inlineStr">
        <is>
          <t>LV54W25</t>
        </is>
      </c>
      <c r="G3939" s="16" t="inlineStr">
        <is>
          <t>TIANLAI Lámpara Ventilador E27 2 en 1, Silenciosa, LED Alta Luminosidad 180°, Instalación Rápida, Ahorro Energético para Dormitorio y Interiores Pequeños</t>
        </is>
      </c>
      <c r="H3939" s="16" t="inlineStr">
        <is>
          <t>1 Pieza</t>
        </is>
      </c>
      <c r="I3939" s="16" t="n">
        <v>3</v>
      </c>
      <c r="J3939" s="17" t="n">
        <v>222</v>
      </c>
      <c r="K3939" s="17" t="n">
        <v>204.68</v>
      </c>
      <c r="L3939" s="17" t="n">
        <v>25.86</v>
      </c>
      <c r="M3939" s="17" t="n">
        <v>0</v>
      </c>
      <c r="N3939" s="17">
        <f>K3939*0.08+L3939*0.08</f>
        <v/>
      </c>
      <c r="O3939" s="17">
        <f>-(K3939*0.025+L3939*0.025)</f>
        <v/>
      </c>
      <c r="P3939" s="17">
        <f>32</f>
        <v/>
      </c>
      <c r="Q3939" s="17">
        <f>J3939+L3939+N3939+O3939-P3939-M3939</f>
        <v/>
      </c>
    </row>
    <row r="3940">
      <c r="A3940" s="16" t="inlineStr">
        <is>
          <t>5.29-6.4</t>
        </is>
      </c>
      <c r="B3940" s="16" t="inlineStr">
        <is>
          <t>PO-128-21813321933431663</t>
        </is>
      </c>
      <c r="C3940" s="16" t="inlineStr">
        <is>
          <t>Delivered</t>
        </is>
      </c>
      <c r="D3940" s="16" t="inlineStr">
        <is>
          <t>128-21813397955191663</t>
        </is>
      </c>
      <c r="E3940" s="16" t="inlineStr">
        <is>
          <t>Delivered</t>
        </is>
      </c>
      <c r="F3940" s="16" t="inlineStr">
        <is>
          <t>LV64W25</t>
        </is>
      </c>
      <c r="G394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40" s="16" t="inlineStr">
        <is>
          <t>Blanco</t>
        </is>
      </c>
      <c r="I3940" s="16" t="n">
        <v>2</v>
      </c>
      <c r="J3940" s="17" t="n">
        <v>250</v>
      </c>
      <c r="K3940" s="17" t="n">
        <v>206.32</v>
      </c>
      <c r="L3940" s="17" t="n">
        <v>0</v>
      </c>
      <c r="M3940" s="17" t="n">
        <v>0</v>
      </c>
      <c r="N3940" s="17">
        <f>K3940*0.08+L3940*0.08</f>
        <v/>
      </c>
      <c r="O3940" s="17">
        <f>-(K3940*0.025+L3940*0.025)</f>
        <v/>
      </c>
      <c r="P3940" s="17">
        <f>32</f>
        <v/>
      </c>
      <c r="Q3940" s="17">
        <f>J3940+L3940+N3940+O3940-P3940-M3940</f>
        <v/>
      </c>
    </row>
    <row r="3941">
      <c r="A3941" s="16" t="inlineStr">
        <is>
          <t>5.29-6.4</t>
        </is>
      </c>
      <c r="B3941" s="16" t="inlineStr">
        <is>
          <t>PO-128-21734191145591943</t>
        </is>
      </c>
      <c r="C3941" s="16" t="inlineStr">
        <is>
          <t>Delivered</t>
        </is>
      </c>
      <c r="D3941" s="16" t="inlineStr">
        <is>
          <t>128-21734196388471943</t>
        </is>
      </c>
      <c r="E3941" s="16" t="inlineStr">
        <is>
          <t>Delivered</t>
        </is>
      </c>
      <c r="F3941" s="16" t="inlineStr">
        <is>
          <t>LV54W25</t>
        </is>
      </c>
      <c r="G3941" s="16" t="inlineStr">
        <is>
          <t>TIANLAI Lámpara Ventilador E27 2 en 1, Silenciosa, LED Alta Luminosidad 180°, Instalación Rápida, Ahorro Energético para Dormitorio y Interiores Pequeños</t>
        </is>
      </c>
      <c r="H3941" s="16" t="inlineStr">
        <is>
          <t>1 Pieza</t>
        </is>
      </c>
      <c r="I3941" s="16" t="n">
        <v>2</v>
      </c>
      <c r="J3941" s="17" t="n">
        <v>148</v>
      </c>
      <c r="K3941" s="17" t="n">
        <v>150.2</v>
      </c>
      <c r="L3941" s="17" t="n">
        <v>25.86</v>
      </c>
      <c r="M3941" s="17" t="n">
        <v>0</v>
      </c>
      <c r="N3941" s="17">
        <f>K3941*0.08+L3941*0.08</f>
        <v/>
      </c>
      <c r="O3941" s="17">
        <f>-(K3941*0.025+L3941*0.025)</f>
        <v/>
      </c>
      <c r="P3941" s="17">
        <f>32</f>
        <v/>
      </c>
      <c r="Q3941" s="17">
        <f>J3941+L3941+N3941+O3941-P3941-M3941</f>
        <v/>
      </c>
    </row>
    <row r="3942">
      <c r="A3942" s="16" t="inlineStr">
        <is>
          <t>5.29-6.4</t>
        </is>
      </c>
      <c r="B3942" s="16" t="inlineStr">
        <is>
          <t>PO-128-21331437368953383</t>
        </is>
      </c>
      <c r="C3942" s="16" t="inlineStr">
        <is>
          <t>Delivered</t>
        </is>
      </c>
      <c r="D3942" s="16" t="inlineStr">
        <is>
          <t>128-21331429504633383</t>
        </is>
      </c>
      <c r="E3942" s="16" t="inlineStr">
        <is>
          <t>Delivered</t>
        </is>
      </c>
      <c r="F3942" s="16" t="inlineStr">
        <is>
          <t>LV54W25</t>
        </is>
      </c>
      <c r="G3942" s="16" t="inlineStr">
        <is>
          <t>TIANLAI Lámpara Ventilador E27 2 en 1, Silenciosa, LED Alta Luminosidad 180°, Instalación Rápida, Ahorro Energético para Dormitorio y Interiores Pequeños</t>
        </is>
      </c>
      <c r="H3942" s="16" t="inlineStr">
        <is>
          <t>1 Pieza</t>
        </is>
      </c>
      <c r="I3942" s="16" t="n">
        <v>1</v>
      </c>
      <c r="J3942" s="17" t="n">
        <v>74</v>
      </c>
      <c r="K3942" s="17" t="n">
        <v>65.55</v>
      </c>
      <c r="L3942" s="17" t="n">
        <v>25.86</v>
      </c>
      <c r="M3942" s="17" t="n">
        <v>0</v>
      </c>
      <c r="N3942" s="17">
        <f>K3942*0.08+L3942*0.08</f>
        <v/>
      </c>
      <c r="O3942" s="17">
        <f>-(K3942*0.025+L3942*0.025)</f>
        <v/>
      </c>
      <c r="P3942" s="17">
        <f>32</f>
        <v/>
      </c>
      <c r="Q3942" s="17">
        <f>J3942+L3942+N3942+O3942-P3942-M3942</f>
        <v/>
      </c>
    </row>
    <row r="3943">
      <c r="A3943" s="16" t="inlineStr">
        <is>
          <t>5.29-6.4</t>
        </is>
      </c>
      <c r="B3943" s="16" t="inlineStr">
        <is>
          <t>PO-128-21859038515830364</t>
        </is>
      </c>
      <c r="C3943" s="16" t="inlineStr">
        <is>
          <t>Delivered</t>
        </is>
      </c>
      <c r="D3943" s="16" t="inlineStr">
        <is>
          <t>128-21859198423670364</t>
        </is>
      </c>
      <c r="E3943" s="16" t="inlineStr">
        <is>
          <t>Delivered</t>
        </is>
      </c>
      <c r="F3943" s="16" t="inlineStr">
        <is>
          <t>LV54W25</t>
        </is>
      </c>
      <c r="G3943" s="16" t="inlineStr">
        <is>
          <t>TIANLAI Lámpara Ventilador E27 2 en 1, Silenciosa, LED Alta Luminosidad 180°, Instalación Rápida, Ahorro Energético para Dormitorio y Interiores Pequeños</t>
        </is>
      </c>
      <c r="H3943" s="16" t="inlineStr">
        <is>
          <t>1 Pieza</t>
        </is>
      </c>
      <c r="I3943" s="16" t="n">
        <v>1</v>
      </c>
      <c r="J3943" s="17" t="n">
        <v>74</v>
      </c>
      <c r="K3943" s="17" t="n">
        <v>76.26000000000001</v>
      </c>
      <c r="L3943" s="17" t="n">
        <v>25.86</v>
      </c>
      <c r="M3943" s="17" t="n">
        <v>0</v>
      </c>
      <c r="N3943" s="17">
        <f>K3943*0.08+L3943*0.08</f>
        <v/>
      </c>
      <c r="O3943" s="17">
        <f>-(K3943*0.025+L3943*0.025)</f>
        <v/>
      </c>
      <c r="P3943" s="17">
        <f>32</f>
        <v/>
      </c>
      <c r="Q3943" s="17">
        <f>J3943+L3943+N3943+O3943-P3943-M3943</f>
        <v/>
      </c>
    </row>
    <row r="3944">
      <c r="A3944" s="16" t="inlineStr">
        <is>
          <t>5.29-6.4</t>
        </is>
      </c>
      <c r="B3944" s="16" t="inlineStr">
        <is>
          <t>PO-128-21616652391032771</t>
        </is>
      </c>
      <c r="C3944" s="16" t="inlineStr">
        <is>
          <t>Delivered</t>
        </is>
      </c>
      <c r="D3944" s="16" t="inlineStr">
        <is>
          <t>128-21616636662392771</t>
        </is>
      </c>
      <c r="E3944" s="16" t="inlineStr">
        <is>
          <t>Delivered</t>
        </is>
      </c>
      <c r="F3944" s="16" t="inlineStr">
        <is>
          <t>B03W10-10PZS</t>
        </is>
      </c>
      <c r="G394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944" s="16" t="inlineStr">
        <is>
          <t>B03W10</t>
        </is>
      </c>
      <c r="I3944" s="16" t="n">
        <v>1</v>
      </c>
      <c r="J3944" s="17" t="n">
        <v>76</v>
      </c>
      <c r="K3944" s="17" t="n">
        <v>80.05</v>
      </c>
      <c r="L3944" s="17" t="n">
        <v>25.86</v>
      </c>
      <c r="M3944" s="17" t="n">
        <v>0</v>
      </c>
      <c r="N3944" s="17">
        <f>K3944*0.08+L3944*0.08</f>
        <v/>
      </c>
      <c r="O3944" s="17">
        <f>-(K3944*0.025+L3944*0.025)</f>
        <v/>
      </c>
      <c r="P3944" s="17">
        <f>32</f>
        <v/>
      </c>
      <c r="Q3944" s="17">
        <f>J3944+L3944+N3944+O3944-P3944-M3944</f>
        <v/>
      </c>
    </row>
    <row r="3945">
      <c r="A3945" s="16" t="inlineStr">
        <is>
          <t>5.29-6.4</t>
        </is>
      </c>
      <c r="B3945" s="16" t="inlineStr">
        <is>
          <t>PO-128-21858591893110369</t>
        </is>
      </c>
      <c r="C3945" s="16" t="inlineStr">
        <is>
          <t>Delivered</t>
        </is>
      </c>
      <c r="D3945" s="16" t="inlineStr">
        <is>
          <t>128-21858539464310369</t>
        </is>
      </c>
      <c r="E3945" s="16" t="inlineStr">
        <is>
          <t>Delivered</t>
        </is>
      </c>
      <c r="F3945" s="16" t="inlineStr">
        <is>
          <t>B03W10-10PZS</t>
        </is>
      </c>
      <c r="G394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945" s="16" t="inlineStr">
        <is>
          <t>B03W10</t>
        </is>
      </c>
      <c r="I3945" s="16" t="n">
        <v>1</v>
      </c>
      <c r="J3945" s="17" t="n">
        <v>76</v>
      </c>
      <c r="K3945" s="17" t="n">
        <v>80.05</v>
      </c>
      <c r="L3945" s="17" t="n">
        <v>25.86</v>
      </c>
      <c r="M3945" s="17" t="n">
        <v>0</v>
      </c>
      <c r="N3945" s="17">
        <f>K3945*0.08+L3945*0.08</f>
        <v/>
      </c>
      <c r="O3945" s="17">
        <f>-(K3945*0.025+L3945*0.025)</f>
        <v/>
      </c>
      <c r="P3945" s="17">
        <f>32</f>
        <v/>
      </c>
      <c r="Q3945" s="17">
        <f>J3945+L3945+N3945+O3945-P3945-M3945</f>
        <v/>
      </c>
    </row>
    <row r="3946">
      <c r="A3946" s="16" t="inlineStr">
        <is>
          <t>5.29-6.4</t>
        </is>
      </c>
      <c r="B3946" s="16" t="inlineStr">
        <is>
          <t>PO-128-21588166354552877</t>
        </is>
      </c>
      <c r="C3946" s="16" t="inlineStr">
        <is>
          <t>Delivered</t>
        </is>
      </c>
      <c r="D3946" s="16" t="inlineStr">
        <is>
          <t>128-21588208297592877</t>
        </is>
      </c>
      <c r="E3946" s="16" t="inlineStr">
        <is>
          <t>Delivered</t>
        </is>
      </c>
      <c r="F3946" s="16" t="inlineStr">
        <is>
          <t>LV54W25</t>
        </is>
      </c>
      <c r="G3946" s="16" t="inlineStr">
        <is>
          <t>TIANLAI Lámpara Ventilador E27 2 en 1, Silenciosa, LED Alta Luminosidad 180°, Instalación Rápida, Ahorro Energético para Dormitorio y Interiores Pequeños</t>
        </is>
      </c>
      <c r="H3946" s="16" t="inlineStr">
        <is>
          <t>1 Pieza</t>
        </is>
      </c>
      <c r="I3946" s="16" t="n">
        <v>2</v>
      </c>
      <c r="J3946" s="17" t="n">
        <v>148</v>
      </c>
      <c r="K3946" s="17" t="n">
        <v>152.52</v>
      </c>
      <c r="L3946" s="17" t="n">
        <v>25.86</v>
      </c>
      <c r="M3946" s="17" t="n">
        <v>0</v>
      </c>
      <c r="N3946" s="17">
        <f>K3946*0.08+L3946*0.08</f>
        <v/>
      </c>
      <c r="O3946" s="17">
        <f>-(K3946*0.025+L3946*0.025)</f>
        <v/>
      </c>
      <c r="P3946" s="17">
        <f>32</f>
        <v/>
      </c>
      <c r="Q3946" s="17">
        <f>J3946+L3946+N3946+O3946-P3946-M3946</f>
        <v/>
      </c>
    </row>
    <row r="3947">
      <c r="A3947" s="16" t="inlineStr">
        <is>
          <t>5.29-6.4</t>
        </is>
      </c>
      <c r="B3947" s="16" t="inlineStr">
        <is>
          <t>PO-128-21895940250230083</t>
        </is>
      </c>
      <c r="C3947" s="16" t="inlineStr">
        <is>
          <t>Delivered</t>
        </is>
      </c>
      <c r="D3947" s="16" t="inlineStr">
        <is>
          <t>128-21895898307190083</t>
        </is>
      </c>
      <c r="E3947" s="16" t="inlineStr">
        <is>
          <t>Delivered</t>
        </is>
      </c>
      <c r="F3947" s="16" t="inlineStr">
        <is>
          <t>VB349T</t>
        </is>
      </c>
      <c r="G3947" s="16" t="inlineStr">
        <is>
          <t>LINKBITS Altavoz Portátil de Doble Altavoz - 3 Pulgadas, Sonido HD, Emparejamiento Rápido de Bluetooth, Conectividad TWS, Reproducción Multimodo (Micro SD/USB/Radio FM) - Perfecto para Oficina, Viajes y Espacios Pequeños</t>
        </is>
      </c>
      <c r="H3947" s="16" t="inlineStr">
        <is>
          <t>NEGRO</t>
        </is>
      </c>
      <c r="I3947" s="16" t="n">
        <v>1</v>
      </c>
      <c r="J3947" s="17" t="n">
        <v>80</v>
      </c>
      <c r="K3947" s="17" t="n">
        <v>10.5</v>
      </c>
      <c r="L3947" s="17" t="n">
        <v>25.86</v>
      </c>
      <c r="M3947" s="17" t="n">
        <v>0</v>
      </c>
      <c r="N3947" s="17">
        <f>K3947*0.08+L3947*0.08</f>
        <v/>
      </c>
      <c r="O3947" s="17">
        <f>-(K3947*0.025+L3947*0.025)</f>
        <v/>
      </c>
      <c r="P3947" s="17">
        <f>32</f>
        <v/>
      </c>
      <c r="Q3947" s="17">
        <f>J3947+L3947+N3947+O3947-P3947-M3947</f>
        <v/>
      </c>
    </row>
    <row r="3948">
      <c r="A3948" s="16" t="inlineStr">
        <is>
          <t>5.29-6.4</t>
        </is>
      </c>
      <c r="B3948" s="16" t="inlineStr">
        <is>
          <t>PO-128-21663549870711530</t>
        </is>
      </c>
      <c r="C3948" s="16" t="inlineStr">
        <is>
          <t>Delivered</t>
        </is>
      </c>
      <c r="D3948" s="16" t="inlineStr">
        <is>
          <t>128-21663507927671530</t>
        </is>
      </c>
      <c r="E3948" s="16" t="inlineStr">
        <is>
          <t>Delivered</t>
        </is>
      </c>
      <c r="F3948" s="16" t="inlineStr">
        <is>
          <t>LV54W25</t>
        </is>
      </c>
      <c r="G3948" s="16" t="inlineStr">
        <is>
          <t>TIANLAI Lámpara Ventilador E27 2 en 1, Silenciosa, LED Alta Luminosidad 180°, Instalación Rápida, Ahorro Energético para Dormitorio y Interiores Pequeños</t>
        </is>
      </c>
      <c r="H3948" s="16" t="inlineStr">
        <is>
          <t>1 Pieza</t>
        </is>
      </c>
      <c r="I3948" s="16" t="n">
        <v>2</v>
      </c>
      <c r="J3948" s="17" t="n">
        <v>148</v>
      </c>
      <c r="K3948" s="17" t="n">
        <v>152.52</v>
      </c>
      <c r="L3948" s="17" t="n">
        <v>25.86</v>
      </c>
      <c r="M3948" s="17" t="n">
        <v>0</v>
      </c>
      <c r="N3948" s="17">
        <f>K3948*0.08+L3948*0.08</f>
        <v/>
      </c>
      <c r="O3948" s="17">
        <f>-(K3948*0.025+L3948*0.025)</f>
        <v/>
      </c>
      <c r="P3948" s="17">
        <f>32</f>
        <v/>
      </c>
      <c r="Q3948" s="17">
        <f>J3948+L3948+N3948+O3948-P3948-M3948</f>
        <v/>
      </c>
    </row>
    <row r="3949">
      <c r="A3949" s="16" t="inlineStr">
        <is>
          <t>5.29-6.4</t>
        </is>
      </c>
      <c r="B3949" s="16" t="inlineStr">
        <is>
          <t>PO-128-21451063911033820</t>
        </is>
      </c>
      <c r="C3949" s="16" t="inlineStr">
        <is>
          <t>Delivered</t>
        </is>
      </c>
      <c r="D3949" s="16" t="inlineStr">
        <is>
          <t>128-21451048182393820</t>
        </is>
      </c>
      <c r="E3949" s="16" t="inlineStr">
        <is>
          <t>Delivered</t>
        </is>
      </c>
      <c r="F3949" s="16" t="inlineStr">
        <is>
          <t>KTS-2031</t>
        </is>
      </c>
      <c r="G3949" s="16" t="inlineStr">
        <is>
          <t>Bocina inalámbrica de 3 pulgadas con linterna multifuncional y panel solar integrado.Altavoz Portátil con Linterna LED 4 Modos, Radio FM, Bluetooth, Carga Solar, Ideal para Apagones, Emergencias, Campo y Exteriores</t>
        </is>
      </c>
      <c r="H3949" s="16" t="inlineStr">
        <is>
          <t>NEGRO</t>
        </is>
      </c>
      <c r="I3949" s="16" t="n">
        <v>1</v>
      </c>
      <c r="J3949" s="17" t="n">
        <v>90</v>
      </c>
      <c r="K3949" s="17" t="n">
        <v>80.26000000000001</v>
      </c>
      <c r="L3949" s="17" t="n">
        <v>25.86</v>
      </c>
      <c r="M3949" s="17" t="n">
        <v>0</v>
      </c>
      <c r="N3949" s="17">
        <f>K3949*0.08+L3949*0.08</f>
        <v/>
      </c>
      <c r="O3949" s="17">
        <f>-(K3949*0.025+L3949*0.025)</f>
        <v/>
      </c>
      <c r="P3949" s="17">
        <f>32</f>
        <v/>
      </c>
      <c r="Q3949" s="17">
        <f>J3949+L3949+N3949+O3949-P3949-M3949</f>
        <v/>
      </c>
    </row>
    <row r="3950">
      <c r="A3950" s="16" t="inlineStr">
        <is>
          <t>5.29-6.4</t>
        </is>
      </c>
      <c r="B3950" s="16" t="inlineStr">
        <is>
          <t>PO-128-21776927503991686</t>
        </is>
      </c>
      <c r="C3950" s="16" t="inlineStr">
        <is>
          <t>Delivered</t>
        </is>
      </c>
      <c r="D3950" s="16" t="inlineStr">
        <is>
          <t>128-21776917018231686</t>
        </is>
      </c>
      <c r="E3950" s="16" t="inlineStr">
        <is>
          <t>Delivered</t>
        </is>
      </c>
      <c r="F3950" s="16" t="inlineStr">
        <is>
          <t>KTS-2031</t>
        </is>
      </c>
      <c r="G3950" s="16" t="inlineStr">
        <is>
          <t>Bocina inalámbrica de 3 pulgadas con linterna multifuncional y panel solar integrado.Altavoz Portátil con Linterna LED 4 Modos, Radio FM, Bluetooth, Carga Solar, Ideal para Apagones, Emergencias, Campo y Exteriores</t>
        </is>
      </c>
      <c r="H3950" s="16" t="inlineStr">
        <is>
          <t>NEGRO</t>
        </is>
      </c>
      <c r="I3950" s="16" t="n">
        <v>1</v>
      </c>
      <c r="J3950" s="17" t="n">
        <v>90</v>
      </c>
      <c r="K3950" s="17" t="n">
        <v>99.22</v>
      </c>
      <c r="L3950" s="17" t="n">
        <v>25.86</v>
      </c>
      <c r="M3950" s="17" t="n">
        <v>0</v>
      </c>
      <c r="N3950" s="17">
        <f>K3950*0.08+L3950*0.08</f>
        <v/>
      </c>
      <c r="O3950" s="17">
        <f>-(K3950*0.025+L3950*0.025)</f>
        <v/>
      </c>
      <c r="P3950" s="17">
        <f>32</f>
        <v/>
      </c>
      <c r="Q3950" s="17">
        <f>J3950+L3950+N3950+O3950-P3950-M3950</f>
        <v/>
      </c>
    </row>
    <row r="3951">
      <c r="A3951" s="16" t="inlineStr">
        <is>
          <t>5.29-6.4</t>
        </is>
      </c>
      <c r="B3951" s="16" t="inlineStr">
        <is>
          <t>PO-128-21494740398712536</t>
        </is>
      </c>
      <c r="C3951" s="16" t="inlineStr">
        <is>
          <t>Delivered</t>
        </is>
      </c>
      <c r="D3951" s="16" t="inlineStr">
        <is>
          <t>128-21494761370232536</t>
        </is>
      </c>
      <c r="E3951" s="16" t="inlineStr">
        <is>
          <t>Delivered</t>
        </is>
      </c>
      <c r="F3951" s="16" t="inlineStr">
        <is>
          <t>LV54W25</t>
        </is>
      </c>
      <c r="G3951" s="16" t="inlineStr">
        <is>
          <t>TIANLAI Lámpara Ventilador E27 2 en 1, Silenciosa, LED Alta Luminosidad 180°, Instalación Rápida, Ahorro Energético para Dormitorio y Interiores Pequeños</t>
        </is>
      </c>
      <c r="H3951" s="16" t="inlineStr">
        <is>
          <t>1 Pieza</t>
        </is>
      </c>
      <c r="I3951" s="16" t="n">
        <v>1</v>
      </c>
      <c r="J3951" s="17" t="n">
        <v>74</v>
      </c>
      <c r="K3951" s="17" t="n">
        <v>76.26000000000001</v>
      </c>
      <c r="L3951" s="17" t="n">
        <v>25.86</v>
      </c>
      <c r="M3951" s="17" t="n">
        <v>0</v>
      </c>
      <c r="N3951" s="17">
        <f>K3951*0.08+L3951*0.08</f>
        <v/>
      </c>
      <c r="O3951" s="17">
        <f>-(K3951*0.025+L3951*0.025)</f>
        <v/>
      </c>
      <c r="P3951" s="17">
        <f>32</f>
        <v/>
      </c>
      <c r="Q3951" s="17">
        <f>J3951+L3951+N3951+O3951-P3951-M3951</f>
        <v/>
      </c>
    </row>
    <row r="3952">
      <c r="A3952" s="16" t="inlineStr">
        <is>
          <t>5.29-6.4</t>
        </is>
      </c>
      <c r="B3952" s="16" t="inlineStr">
        <is>
          <t>PO-128-21834366218870448</t>
        </is>
      </c>
      <c r="C3952" s="16" t="inlineStr">
        <is>
          <t>Delivered</t>
        </is>
      </c>
      <c r="D3952" s="16" t="inlineStr">
        <is>
          <t>128-21834355733110448</t>
        </is>
      </c>
      <c r="E3952" s="16" t="inlineStr">
        <is>
          <t>Delivered</t>
        </is>
      </c>
      <c r="F3952" s="16" t="inlineStr">
        <is>
          <t>LV54W25</t>
        </is>
      </c>
      <c r="G3952" s="16" t="inlineStr">
        <is>
          <t>TIANLAI Lámpara Ventilador E27 2 en 1, Silenciosa, LED Alta Luminosidad 180°, Instalación Rápida, Ahorro Energético para Dormitorio y Interiores Pequeños</t>
        </is>
      </c>
      <c r="H3952" s="16" t="inlineStr">
        <is>
          <t>1 Pieza</t>
        </is>
      </c>
      <c r="I3952" s="16" t="n">
        <v>2</v>
      </c>
      <c r="J3952" s="17" t="n">
        <v>148</v>
      </c>
      <c r="K3952" s="17" t="n">
        <v>171.36</v>
      </c>
      <c r="L3952" s="17" t="n">
        <v>25.86</v>
      </c>
      <c r="M3952" s="17" t="n">
        <v>0</v>
      </c>
      <c r="N3952" s="17">
        <f>K3952*0.08+L3952*0.08</f>
        <v/>
      </c>
      <c r="O3952" s="17">
        <f>-(K3952*0.025+L3952*0.025)</f>
        <v/>
      </c>
      <c r="P3952" s="17">
        <f>32</f>
        <v/>
      </c>
      <c r="Q3952" s="17">
        <f>J3952+L3952+N3952+O3952-P3952-M3952</f>
        <v/>
      </c>
    </row>
    <row r="3953">
      <c r="A3953" s="16" t="inlineStr">
        <is>
          <t>5.29-6.4</t>
        </is>
      </c>
      <c r="B3953" s="16" t="inlineStr">
        <is>
          <t>PO-128-21813195469431662</t>
        </is>
      </c>
      <c r="C3953" s="16" t="inlineStr">
        <is>
          <t>Delivered</t>
        </is>
      </c>
      <c r="D3953" s="16" t="inlineStr">
        <is>
          <t>128-21813229548151662</t>
        </is>
      </c>
      <c r="E3953" s="16" t="inlineStr">
        <is>
          <t>Delivered</t>
        </is>
      </c>
      <c r="F3953" s="16" t="inlineStr">
        <is>
          <t>LV64W25</t>
        </is>
      </c>
      <c r="G395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53" s="16" t="inlineStr">
        <is>
          <t>Blanco</t>
        </is>
      </c>
      <c r="I3953" s="16" t="n">
        <v>2</v>
      </c>
      <c r="J3953" s="17" t="n">
        <v>250</v>
      </c>
      <c r="K3953" s="17" t="n">
        <v>266.85</v>
      </c>
      <c r="L3953" s="17" t="n">
        <v>0</v>
      </c>
      <c r="M3953" s="17" t="n">
        <v>0</v>
      </c>
      <c r="N3953" s="17">
        <f>K3953*0.08+L3953*0.08</f>
        <v/>
      </c>
      <c r="O3953" s="17">
        <f>-(K3953*0.025+L3953*0.025)</f>
        <v/>
      </c>
      <c r="P3953" s="17">
        <f>32</f>
        <v/>
      </c>
      <c r="Q3953" s="17">
        <f>J3953+L3953+N3953+O3953-P3953-M3953</f>
        <v/>
      </c>
    </row>
    <row r="3954">
      <c r="A3954" s="16" t="inlineStr">
        <is>
          <t>5.29-6.4</t>
        </is>
      </c>
      <c r="B3954" s="16" t="inlineStr">
        <is>
          <t>PO-128-21452863652473811</t>
        </is>
      </c>
      <c r="C3954" s="16" t="inlineStr">
        <is>
          <t>Delivered</t>
        </is>
      </c>
      <c r="D3954" s="16" t="inlineStr">
        <is>
          <t>128-21452868895353811</t>
        </is>
      </c>
      <c r="E3954" s="16" t="inlineStr">
        <is>
          <t>Delivered</t>
        </is>
      </c>
      <c r="F3954" s="16" t="inlineStr">
        <is>
          <t>LV64W25</t>
        </is>
      </c>
      <c r="G39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54" s="16" t="inlineStr">
        <is>
          <t>Blanco</t>
        </is>
      </c>
      <c r="I3954" s="16" t="n">
        <v>4</v>
      </c>
      <c r="J3954" s="17" t="n">
        <v>500</v>
      </c>
      <c r="K3954" s="17" t="n">
        <v>515.76</v>
      </c>
      <c r="L3954" s="17" t="n">
        <v>0</v>
      </c>
      <c r="M3954" s="17" t="n">
        <v>0</v>
      </c>
      <c r="N3954" s="17">
        <f>K3954*0.08+L3954*0.08</f>
        <v/>
      </c>
      <c r="O3954" s="17">
        <f>-(K3954*0.025+L3954*0.025)</f>
        <v/>
      </c>
      <c r="P3954" s="17">
        <f>32</f>
        <v/>
      </c>
      <c r="Q3954" s="17">
        <f>J3954+L3954+N3954+O3954-P3954-M3954</f>
        <v/>
      </c>
    </row>
    <row r="3955">
      <c r="A3955" s="16" t="inlineStr">
        <is>
          <t>5.29-6.4</t>
        </is>
      </c>
      <c r="B3955" s="16" t="inlineStr">
        <is>
          <t>PO-128-21604655621752715</t>
        </is>
      </c>
      <c r="C3955" s="16" t="inlineStr">
        <is>
          <t>Delivered</t>
        </is>
      </c>
      <c r="D3955" s="16" t="inlineStr">
        <is>
          <t>128-21604613678712715</t>
        </is>
      </c>
      <c r="E3955" s="16" t="inlineStr">
        <is>
          <t>Delivered</t>
        </is>
      </c>
      <c r="F3955" s="16" t="inlineStr">
        <is>
          <t>LV54W25</t>
        </is>
      </c>
      <c r="G3955" s="16" t="inlineStr">
        <is>
          <t>TIANLAI Lámpara Ventilador E27 2 en 1, Silenciosa, LED Alta Luminosidad 180°, Instalación Rápida, Ahorro Energético para Dormitorio y Interiores Pequeños</t>
        </is>
      </c>
      <c r="H3955" s="16" t="inlineStr">
        <is>
          <t>1 Pieza</t>
        </is>
      </c>
      <c r="I3955" s="16" t="n">
        <v>4</v>
      </c>
      <c r="J3955" s="17" t="n">
        <v>296</v>
      </c>
      <c r="K3955" s="17" t="n">
        <v>305.04</v>
      </c>
      <c r="L3955" s="17" t="n">
        <v>0</v>
      </c>
      <c r="M3955" s="17" t="n">
        <v>0</v>
      </c>
      <c r="N3955" s="17">
        <f>K3955*0.08+L3955*0.08</f>
        <v/>
      </c>
      <c r="O3955" s="17">
        <f>-(K3955*0.025+L3955*0.025)</f>
        <v/>
      </c>
      <c r="P3955" s="17">
        <f>32</f>
        <v/>
      </c>
      <c r="Q3955" s="17">
        <f>J3955+L3955+N3955+O3955-P3955-M3955</f>
        <v/>
      </c>
    </row>
    <row r="3956">
      <c r="A3956" s="16" t="inlineStr">
        <is>
          <t>5.29-6.4</t>
        </is>
      </c>
      <c r="B3956" s="16" t="inlineStr">
        <is>
          <t>PO-128-21373709107833131</t>
        </is>
      </c>
      <c r="C3956" s="16" t="inlineStr">
        <is>
          <t>Delivered</t>
        </is>
      </c>
      <c r="D3956" s="16" t="inlineStr">
        <is>
          <t>128-21373813965433131</t>
        </is>
      </c>
      <c r="E3956" s="16" t="inlineStr">
        <is>
          <t>Delivered</t>
        </is>
      </c>
      <c r="F3956" s="16" t="inlineStr">
        <is>
          <t>LV54W25</t>
        </is>
      </c>
      <c r="G3956" s="16" t="inlineStr">
        <is>
          <t>TIANLAI Lámpara Ventilador E27 2 en 1, Silenciosa, LED Alta Luminosidad 180°, Instalación Rápida, Ahorro Energético para Dormitorio y Interiores Pequeños</t>
        </is>
      </c>
      <c r="H3956" s="16" t="inlineStr">
        <is>
          <t>1 Pieza</t>
        </is>
      </c>
      <c r="I3956" s="16" t="n">
        <v>1</v>
      </c>
      <c r="J3956" s="17" t="n">
        <v>74</v>
      </c>
      <c r="K3956" s="17" t="n">
        <v>77.12</v>
      </c>
      <c r="L3956" s="17" t="n">
        <v>25.86</v>
      </c>
      <c r="M3956" s="17" t="n">
        <v>0</v>
      </c>
      <c r="N3956" s="17">
        <f>K3956*0.08+L3956*0.08</f>
        <v/>
      </c>
      <c r="O3956" s="17">
        <f>-(K3956*0.025+L3956*0.025)</f>
        <v/>
      </c>
      <c r="P3956" s="17">
        <f>32</f>
        <v/>
      </c>
      <c r="Q3956" s="17">
        <f>J3956+L3956+N3956+O3956-P3956-M3956</f>
        <v/>
      </c>
    </row>
    <row r="3957">
      <c r="A3957" s="16" t="inlineStr">
        <is>
          <t>5.29-6.4</t>
        </is>
      </c>
      <c r="B3957" s="16" t="inlineStr">
        <is>
          <t>PO-128-21462614866553625</t>
        </is>
      </c>
      <c r="C3957" s="16" t="inlineStr">
        <is>
          <t>Delivered</t>
        </is>
      </c>
      <c r="D3957" s="16" t="inlineStr">
        <is>
          <t>128-21462607002233625</t>
        </is>
      </c>
      <c r="E3957" s="16" t="inlineStr">
        <is>
          <t>Delivered</t>
        </is>
      </c>
      <c r="F3957" s="16" t="inlineStr">
        <is>
          <t>KTS-2031</t>
        </is>
      </c>
      <c r="G3957" s="16" t="inlineStr">
        <is>
          <t>Bocina inalámbrica de 3 pulgadas con linterna multifuncional y panel solar integrado.Altavoz Portátil con Linterna LED 4 Modos, Radio FM, Bluetooth, Carga Solar, Ideal para Apagones, Emergencias, Campo y Exteriores</t>
        </is>
      </c>
      <c r="H3957" s="16" t="inlineStr">
        <is>
          <t>NEGRO</t>
        </is>
      </c>
      <c r="I3957" s="16" t="n">
        <v>1</v>
      </c>
      <c r="J3957" s="17" t="n">
        <v>90</v>
      </c>
      <c r="K3957" s="17" t="n">
        <v>99.22</v>
      </c>
      <c r="L3957" s="17" t="n">
        <v>25.86</v>
      </c>
      <c r="M3957" s="17" t="n">
        <v>0</v>
      </c>
      <c r="N3957" s="17">
        <f>K3957*0.08+L3957*0.08</f>
        <v/>
      </c>
      <c r="O3957" s="17">
        <f>-(K3957*0.025+L3957*0.025)</f>
        <v/>
      </c>
      <c r="P3957" s="17">
        <f>32</f>
        <v/>
      </c>
      <c r="Q3957" s="17">
        <f>J3957+L3957+N3957+O3957-P3957-M3957</f>
        <v/>
      </c>
    </row>
    <row r="3958">
      <c r="A3958" s="16" t="inlineStr">
        <is>
          <t>5.29-6.4</t>
        </is>
      </c>
      <c r="B3958" s="16" t="inlineStr">
        <is>
          <t>PO-128-21811778319991606</t>
        </is>
      </c>
      <c r="C3958" s="16" t="inlineStr">
        <is>
          <t>Delivered</t>
        </is>
      </c>
      <c r="D3958" s="16" t="inlineStr">
        <is>
          <t>128-21811820263031606</t>
        </is>
      </c>
      <c r="E3958" s="16" t="inlineStr">
        <is>
          <t>Delivered</t>
        </is>
      </c>
      <c r="F3958" s="16" t="inlineStr">
        <is>
          <t>KTS-2031</t>
        </is>
      </c>
      <c r="G3958" s="16" t="inlineStr">
        <is>
          <t>Bocina inalámbrica de 3 pulgadas con linterna multifuncional y panel solar integrado.Altavoz Portátil con Linterna LED 4 Modos, Radio FM, Bluetooth, Carga Solar, Ideal para Apagones, Emergencias, Campo y Exteriores</t>
        </is>
      </c>
      <c r="H3958" s="16" t="inlineStr">
        <is>
          <t>NEGRO</t>
        </is>
      </c>
      <c r="I3958" s="16" t="n">
        <v>1</v>
      </c>
      <c r="J3958" s="17" t="n">
        <v>90</v>
      </c>
      <c r="K3958" s="17" t="n">
        <v>99.22</v>
      </c>
      <c r="L3958" s="17" t="n">
        <v>25.86</v>
      </c>
      <c r="M3958" s="17" t="n">
        <v>0</v>
      </c>
      <c r="N3958" s="17">
        <f>K3958*0.08+L3958*0.08</f>
        <v/>
      </c>
      <c r="O3958" s="17">
        <f>-(K3958*0.025+L3958*0.025)</f>
        <v/>
      </c>
      <c r="P3958" s="17">
        <f>32</f>
        <v/>
      </c>
      <c r="Q3958" s="17">
        <f>J3958+L3958+N3958+O3958-P3958-M3958</f>
        <v/>
      </c>
    </row>
    <row r="3959">
      <c r="A3959" s="16" t="inlineStr">
        <is>
          <t>5.29-6.4</t>
        </is>
      </c>
      <c r="B3959" s="16" t="inlineStr">
        <is>
          <t>PO-128-21389186381433999</t>
        </is>
      </c>
      <c r="C3959" s="16" t="inlineStr">
        <is>
          <t>Delivered</t>
        </is>
      </c>
      <c r="D3959" s="16" t="inlineStr">
        <is>
          <t>128-21389165409913999</t>
        </is>
      </c>
      <c r="E3959" s="16" t="inlineStr">
        <is>
          <t>Delivered</t>
        </is>
      </c>
      <c r="F3959" s="16" t="inlineStr">
        <is>
          <t>LV54W25</t>
        </is>
      </c>
      <c r="G3959" s="16" t="inlineStr">
        <is>
          <t>TIANLAI Lámpara Ventilador E27 2 en 1, Silenciosa, LED Alta Luminosidad 180°, Instalación Rápida, Ahorro Energético para Dormitorio y Interiores Pequeños</t>
        </is>
      </c>
      <c r="H3959" s="16" t="inlineStr">
        <is>
          <t>1 Pieza</t>
        </is>
      </c>
      <c r="I3959" s="16" t="n">
        <v>1</v>
      </c>
      <c r="J3959" s="17" t="n">
        <v>74</v>
      </c>
      <c r="K3959" s="17" t="n">
        <v>85.68000000000001</v>
      </c>
      <c r="L3959" s="17" t="n">
        <v>25.86</v>
      </c>
      <c r="M3959" s="17" t="n">
        <v>0</v>
      </c>
      <c r="N3959" s="17">
        <f>K3959*0.08+L3959*0.08</f>
        <v/>
      </c>
      <c r="O3959" s="17">
        <f>-(K3959*0.025+L3959*0.025)</f>
        <v/>
      </c>
      <c r="P3959" s="17">
        <f>32</f>
        <v/>
      </c>
      <c r="Q3959" s="17">
        <f>J3959+L3959+N3959+O3959-P3959-M3959</f>
        <v/>
      </c>
    </row>
    <row r="3960">
      <c r="A3960" s="16" t="inlineStr">
        <is>
          <t>5.29-6.4</t>
        </is>
      </c>
      <c r="B3960" s="16" t="inlineStr">
        <is>
          <t>PO-128-21852138988150342</t>
        </is>
      </c>
      <c r="C3960" s="16" t="inlineStr">
        <is>
          <t>Delivered</t>
        </is>
      </c>
      <c r="D3960" s="16" t="inlineStr">
        <is>
          <t>128-21852097045110342</t>
        </is>
      </c>
      <c r="E3960" s="16" t="inlineStr">
        <is>
          <t>Delivered</t>
        </is>
      </c>
      <c r="F3960" s="16" t="inlineStr">
        <is>
          <t>LV54W25</t>
        </is>
      </c>
      <c r="G3960" s="16" t="inlineStr">
        <is>
          <t>TIANLAI Lámpara Ventilador E27 2 en 1, Silenciosa, LED Alta Luminosidad 180°, Instalación Rápida, Ahorro Energético para Dormitorio y Interiores Pequeños</t>
        </is>
      </c>
      <c r="H3960" s="16" t="inlineStr">
        <is>
          <t>1 Pieza</t>
        </is>
      </c>
      <c r="I3960" s="16" t="n">
        <v>1</v>
      </c>
      <c r="J3960" s="17" t="n">
        <v>74</v>
      </c>
      <c r="K3960" s="17" t="n">
        <v>77.12</v>
      </c>
      <c r="L3960" s="17" t="n">
        <v>25.86</v>
      </c>
      <c r="M3960" s="17" t="n">
        <v>0</v>
      </c>
      <c r="N3960" s="17">
        <f>K3960*0.08+L3960*0.08</f>
        <v/>
      </c>
      <c r="O3960" s="17">
        <f>-(K3960*0.025+L3960*0.025)</f>
        <v/>
      </c>
      <c r="P3960" s="17">
        <f>32</f>
        <v/>
      </c>
      <c r="Q3960" s="17">
        <f>J3960+L3960+N3960+O3960-P3960-M3960</f>
        <v/>
      </c>
    </row>
    <row r="3961">
      <c r="A3961" s="16" t="inlineStr">
        <is>
          <t>5.29-6.4</t>
        </is>
      </c>
      <c r="B3961" s="16" t="inlineStr">
        <is>
          <t>PO-128-21811370947191611</t>
        </is>
      </c>
      <c r="C3961" s="16" t="inlineStr">
        <is>
          <t>Delivered</t>
        </is>
      </c>
      <c r="D3961" s="16" t="inlineStr">
        <is>
          <t>128-21811384054391611</t>
        </is>
      </c>
      <c r="E3961" s="16" t="inlineStr">
        <is>
          <t>Delivered</t>
        </is>
      </c>
      <c r="F3961" s="16" t="inlineStr">
        <is>
          <t>LV54W25</t>
        </is>
      </c>
      <c r="G3961" s="16" t="inlineStr">
        <is>
          <t>TIANLAI Lámpara Ventilador E27 2 en 1, Silenciosa, LED Alta Luminosidad 180°, Instalación Rápida, Ahorro Energético para Dormitorio y Interiores Pequeños</t>
        </is>
      </c>
      <c r="H3961" s="16" t="inlineStr">
        <is>
          <t>1 Pieza</t>
        </is>
      </c>
      <c r="I3961" s="16" t="n">
        <v>1</v>
      </c>
      <c r="J3961" s="17" t="n">
        <v>74</v>
      </c>
      <c r="K3961" s="17" t="n">
        <v>66.44</v>
      </c>
      <c r="L3961" s="17" t="n">
        <v>25.86</v>
      </c>
      <c r="M3961" s="17" t="n">
        <v>0</v>
      </c>
      <c r="N3961" s="17">
        <f>K3961*0.08+L3961*0.08</f>
        <v/>
      </c>
      <c r="O3961" s="17">
        <f>-(K3961*0.025+L3961*0.025)</f>
        <v/>
      </c>
      <c r="P3961" s="17">
        <f>32</f>
        <v/>
      </c>
      <c r="Q3961" s="17">
        <f>J3961+L3961+N3961+O3961-P3961-M3961</f>
        <v/>
      </c>
    </row>
    <row r="3962">
      <c r="A3962" s="16" t="inlineStr">
        <is>
          <t>5.29-6.4</t>
        </is>
      </c>
      <c r="B3962" s="16" t="inlineStr">
        <is>
          <t>PO-128-21589202545272871</t>
        </is>
      </c>
      <c r="C3962" s="16" t="inlineStr">
        <is>
          <t>Delivered</t>
        </is>
      </c>
      <c r="D3962" s="16" t="inlineStr">
        <is>
          <t>128-21589223516792871</t>
        </is>
      </c>
      <c r="E3962" s="16" t="inlineStr">
        <is>
          <t>Delivered</t>
        </is>
      </c>
      <c r="F3962" s="16" t="inlineStr">
        <is>
          <t>LV54W25</t>
        </is>
      </c>
      <c r="G3962" s="16" t="inlineStr">
        <is>
          <t>TIANLAI Lámpara Ventilador E27 2 en 1, Silenciosa, LED Alta Luminosidad 180°, Instalación Rápida, Ahorro Energético para Dormitorio y Interiores Pequeños</t>
        </is>
      </c>
      <c r="H3962" s="16" t="inlineStr">
        <is>
          <t>1 Pieza</t>
        </is>
      </c>
      <c r="I3962" s="16" t="n">
        <v>1</v>
      </c>
      <c r="J3962" s="17" t="n">
        <v>74</v>
      </c>
      <c r="K3962" s="17" t="n">
        <v>64.83</v>
      </c>
      <c r="L3962" s="17" t="n">
        <v>25.86</v>
      </c>
      <c r="M3962" s="17" t="n">
        <v>0</v>
      </c>
      <c r="N3962" s="17">
        <f>K3962*0.08+L3962*0.08</f>
        <v/>
      </c>
      <c r="O3962" s="17">
        <f>-(K3962*0.025+L3962*0.025)</f>
        <v/>
      </c>
      <c r="P3962" s="17">
        <f>32</f>
        <v/>
      </c>
      <c r="Q3962" s="17">
        <f>J3962+L3962+N3962+O3962-P3962-M3962</f>
        <v/>
      </c>
    </row>
    <row r="3963">
      <c r="A3963" s="16" t="inlineStr">
        <is>
          <t>5.29-6.4</t>
        </is>
      </c>
      <c r="B3963" s="16" t="inlineStr">
        <is>
          <t>PO-128-21780822610551665</t>
        </is>
      </c>
      <c r="C3963" s="16" t="inlineStr">
        <is>
          <t>Delivered</t>
        </is>
      </c>
      <c r="D3963" s="16" t="inlineStr">
        <is>
          <t>128-21780780667511665</t>
        </is>
      </c>
      <c r="E3963" s="16" t="inlineStr">
        <is>
          <t>Delivered</t>
        </is>
      </c>
      <c r="F3963" s="16" t="inlineStr">
        <is>
          <t>TL1455N20B</t>
        </is>
      </c>
      <c r="G3963" s="16" t="inlineStr">
        <is>
          <t>LINK BITS Soporte para TV 14 A 55 Pulgadas, Base para TV Pantalla Articulado Inclinable y Giratorio, MAX VESA 400×400 mm, Soporta hasta 18kg, adaptarse a la mayoría de los televisores de 14 Pulgadas/20 Pulgadas/32 Pulgadas/42 Pulgadas/55 pulgadas</t>
        </is>
      </c>
      <c r="H3963" s="16" t="inlineStr">
        <is>
          <t>TL1455N20B</t>
        </is>
      </c>
      <c r="I3963" s="16" t="n">
        <v>2</v>
      </c>
      <c r="J3963" s="17" t="n">
        <v>150</v>
      </c>
      <c r="K3963" s="17" t="n">
        <v>250.68</v>
      </c>
      <c r="L3963" s="17" t="n">
        <v>25.86</v>
      </c>
      <c r="M3963" s="17" t="n">
        <v>0</v>
      </c>
      <c r="N3963" s="17">
        <f>K3963*0.08+L3963*0.08</f>
        <v/>
      </c>
      <c r="O3963" s="17">
        <f>-(K3963*0.025+L3963*0.025)</f>
        <v/>
      </c>
      <c r="P3963" s="17">
        <f>32</f>
        <v/>
      </c>
      <c r="Q3963" s="17">
        <f>J3963+L3963+N3963+O3963-P3963-M3963</f>
        <v/>
      </c>
    </row>
    <row r="3964">
      <c r="A3964" s="16" t="inlineStr">
        <is>
          <t>5.29-6.4</t>
        </is>
      </c>
      <c r="B3964" s="16" t="inlineStr">
        <is>
          <t>PO-128-21943567544950887</t>
        </is>
      </c>
      <c r="C3964" s="16" t="inlineStr">
        <is>
          <t>Delivered</t>
        </is>
      </c>
      <c r="D3964" s="16" t="inlineStr">
        <is>
          <t>128-21943525601910887</t>
        </is>
      </c>
      <c r="E3964" s="16" t="inlineStr">
        <is>
          <t>Delivered</t>
        </is>
      </c>
      <c r="F3964" s="16" t="inlineStr">
        <is>
          <t>LV54W25</t>
        </is>
      </c>
      <c r="G3964" s="16" t="inlineStr">
        <is>
          <t>TIANLAI Lámpara Ventilador E27 2 en 1, Silenciosa, LED Alta Luminosidad 180°, Instalación Rápida, Ahorro Energético para Dormitorio y Interiores Pequeños</t>
        </is>
      </c>
      <c r="H3964" s="16" t="inlineStr">
        <is>
          <t>1 Pieza</t>
        </is>
      </c>
      <c r="I3964" s="16" t="n">
        <v>1</v>
      </c>
      <c r="J3964" s="17" t="n">
        <v>74</v>
      </c>
      <c r="K3964" s="17" t="n">
        <v>76.26000000000001</v>
      </c>
      <c r="L3964" s="17" t="n">
        <v>25.86</v>
      </c>
      <c r="M3964" s="17" t="n">
        <v>0</v>
      </c>
      <c r="N3964" s="17">
        <f>K3964*0.08+L3964*0.08</f>
        <v/>
      </c>
      <c r="O3964" s="17">
        <f>-(K3964*0.025+L3964*0.025)</f>
        <v/>
      </c>
      <c r="P3964" s="17">
        <f>32</f>
        <v/>
      </c>
      <c r="Q3964" s="17">
        <f>J3964+L3964+N3964+O3964-P3964-M3964</f>
        <v/>
      </c>
    </row>
    <row r="3965">
      <c r="A3965" s="16" t="inlineStr">
        <is>
          <t>5.29-6.4</t>
        </is>
      </c>
      <c r="B3965" s="16" t="inlineStr">
        <is>
          <t>PO-128-21756655657591809</t>
        </is>
      </c>
      <c r="C3965" s="16" t="inlineStr">
        <is>
          <t>Delivered</t>
        </is>
      </c>
      <c r="D3965" s="16" t="inlineStr">
        <is>
          <t>128-21756613714551809</t>
        </is>
      </c>
      <c r="E3965" s="16" t="inlineStr">
        <is>
          <t>Delivered</t>
        </is>
      </c>
      <c r="F3965" s="16" t="inlineStr">
        <is>
          <t>LV54W25</t>
        </is>
      </c>
      <c r="G3965" s="16" t="inlineStr">
        <is>
          <t>TIANLAI Lámpara Ventilador E27 2 en 1, Silenciosa, LED Alta Luminosidad 180°, Instalación Rápida, Ahorro Energético para Dormitorio y Interiores Pequeños</t>
        </is>
      </c>
      <c r="H3965" s="16" t="inlineStr">
        <is>
          <t>1 Pieza</t>
        </is>
      </c>
      <c r="I3965" s="16" t="n">
        <v>1</v>
      </c>
      <c r="J3965" s="17" t="n">
        <v>74</v>
      </c>
      <c r="K3965" s="17" t="n">
        <v>76.26000000000001</v>
      </c>
      <c r="L3965" s="17" t="n">
        <v>25.86</v>
      </c>
      <c r="M3965" s="17" t="n">
        <v>0</v>
      </c>
      <c r="N3965" s="17">
        <f>K3965*0.08+L3965*0.08</f>
        <v/>
      </c>
      <c r="O3965" s="17">
        <f>-(K3965*0.025+L3965*0.025)</f>
        <v/>
      </c>
      <c r="P3965" s="17">
        <f>32</f>
        <v/>
      </c>
      <c r="Q3965" s="17">
        <f>J3965+L3965+N3965+O3965-P3965-M3965</f>
        <v/>
      </c>
    </row>
    <row r="3966">
      <c r="A3966" s="16" t="inlineStr">
        <is>
          <t>5.29-6.4</t>
        </is>
      </c>
      <c r="B3966" s="16" t="inlineStr">
        <is>
          <t>PO-128-21889969664630052</t>
        </is>
      </c>
      <c r="C3966" s="16" t="inlineStr">
        <is>
          <t>Delivered</t>
        </is>
      </c>
      <c r="D3966" s="16" t="inlineStr">
        <is>
          <t>128-21889948693110052</t>
        </is>
      </c>
      <c r="E3966" s="16" t="inlineStr">
        <is>
          <t>Delivered</t>
        </is>
      </c>
      <c r="F3966" s="16" t="inlineStr">
        <is>
          <t>LV54W25</t>
        </is>
      </c>
      <c r="G3966" s="16" t="inlineStr">
        <is>
          <t>TIANLAI Lámpara Ventilador E27 2 en 1, Silenciosa, LED Alta Luminosidad 180°, Instalación Rápida, Ahorro Energético para Dormitorio y Interiores Pequeños</t>
        </is>
      </c>
      <c r="H3966" s="16" t="inlineStr">
        <is>
          <t>1 Pieza</t>
        </is>
      </c>
      <c r="I3966" s="16" t="n">
        <v>1</v>
      </c>
      <c r="J3966" s="17" t="n">
        <v>74</v>
      </c>
      <c r="K3966" s="17" t="n">
        <v>77.12</v>
      </c>
      <c r="L3966" s="17" t="n">
        <v>25.86</v>
      </c>
      <c r="M3966" s="17" t="n">
        <v>0</v>
      </c>
      <c r="N3966" s="17">
        <f>K3966*0.08+L3966*0.08</f>
        <v/>
      </c>
      <c r="O3966" s="17">
        <f>-(K3966*0.025+L3966*0.025)</f>
        <v/>
      </c>
      <c r="P3966" s="17">
        <f>32</f>
        <v/>
      </c>
      <c r="Q3966" s="17">
        <f>J3966+L3966+N3966+O3966-P3966-M3966</f>
        <v/>
      </c>
    </row>
    <row r="3967">
      <c r="A3967" s="16" t="inlineStr">
        <is>
          <t>5.29-6.4</t>
        </is>
      </c>
      <c r="B3967" s="16" t="inlineStr">
        <is>
          <t>PO-128-21965875303030752</t>
        </is>
      </c>
      <c r="C3967" s="16" t="inlineStr">
        <is>
          <t>Delivered</t>
        </is>
      </c>
      <c r="D3967" s="16" t="inlineStr">
        <is>
          <t>128-21965833359990752</t>
        </is>
      </c>
      <c r="E3967" s="16" t="inlineStr">
        <is>
          <t>Delivered</t>
        </is>
      </c>
      <c r="F3967" s="16" t="inlineStr">
        <is>
          <t>LV54W25</t>
        </is>
      </c>
      <c r="G3967" s="16" t="inlineStr">
        <is>
          <t>TIANLAI Lámpara Ventilador E27 2 en 1, Silenciosa, LED Alta Luminosidad 180°, Instalación Rápida, Ahorro Energético para Dormitorio y Interiores Pequeños</t>
        </is>
      </c>
      <c r="H3967" s="16" t="inlineStr">
        <is>
          <t>1 Pieza</t>
        </is>
      </c>
      <c r="I3967" s="16" t="n">
        <v>5</v>
      </c>
      <c r="J3967" s="17" t="n">
        <v>370</v>
      </c>
      <c r="K3967" s="17" t="n">
        <v>316.65</v>
      </c>
      <c r="L3967" s="17" t="n">
        <v>0</v>
      </c>
      <c r="M3967" s="17" t="n">
        <v>0</v>
      </c>
      <c r="N3967" s="17">
        <f>K3967*0.08+L3967*0.08</f>
        <v/>
      </c>
      <c r="O3967" s="17">
        <f>-(K3967*0.025+L3967*0.025)</f>
        <v/>
      </c>
      <c r="P3967" s="17">
        <f>32</f>
        <v/>
      </c>
      <c r="Q3967" s="17">
        <f>J3967+L3967+N3967+O3967-P3967-M3967</f>
        <v/>
      </c>
    </row>
    <row r="3968">
      <c r="A3968" s="16" t="inlineStr">
        <is>
          <t>5.29-6.4</t>
        </is>
      </c>
      <c r="B3968" s="16" t="inlineStr">
        <is>
          <t>PO-128-10973891123830543</t>
        </is>
      </c>
      <c r="C3968" s="16" t="inlineStr">
        <is>
          <t>Delivered</t>
        </is>
      </c>
      <c r="D3968" s="16" t="inlineStr">
        <is>
          <t>128-10973870152310543</t>
        </is>
      </c>
      <c r="E3968" s="16" t="inlineStr">
        <is>
          <t>Delivered</t>
        </is>
      </c>
      <c r="F3968" s="16" t="inlineStr">
        <is>
          <t>LV54W25</t>
        </is>
      </c>
      <c r="G3968" s="16" t="inlineStr">
        <is>
          <t>TIANLAI Lámpara Ventilador E27 2 en 1, Silenciosa, LED Alta Luminosidad 180°, Instalación Rápida, Ahorro Energético para Dormitorio y Interiores Pequeños</t>
        </is>
      </c>
      <c r="H3968" s="16" t="inlineStr">
        <is>
          <t>1 Pieza</t>
        </is>
      </c>
      <c r="I3968" s="16" t="n">
        <v>2</v>
      </c>
      <c r="J3968" s="17" t="n">
        <v>148</v>
      </c>
      <c r="K3968" s="17" t="n">
        <v>152.52</v>
      </c>
      <c r="L3968" s="17" t="n">
        <v>25.86</v>
      </c>
      <c r="M3968" s="17" t="n">
        <v>0</v>
      </c>
      <c r="N3968" s="17">
        <f>K3968*0.08+L3968*0.08</f>
        <v/>
      </c>
      <c r="O3968" s="17">
        <f>-(K3968*0.025+L3968*0.025)</f>
        <v/>
      </c>
      <c r="P3968" s="17">
        <f>32</f>
        <v/>
      </c>
      <c r="Q3968" s="17">
        <f>J3968+L3968+N3968+O3968-P3968-M3968</f>
        <v/>
      </c>
    </row>
    <row r="3969">
      <c r="A3969" s="16" t="inlineStr">
        <is>
          <t>5.29-6.4</t>
        </is>
      </c>
      <c r="B3969" s="16" t="inlineStr">
        <is>
          <t>PO-128-10626412677752804</t>
        </is>
      </c>
      <c r="C3969" s="16" t="inlineStr">
        <is>
          <t>Delivered</t>
        </is>
      </c>
      <c r="D3969" s="16" t="inlineStr">
        <is>
          <t>128-10626454620792804</t>
        </is>
      </c>
      <c r="E3969" s="16" t="inlineStr">
        <is>
          <t>Delivered</t>
        </is>
      </c>
      <c r="F3969" s="16" t="inlineStr">
        <is>
          <t>LV54W25</t>
        </is>
      </c>
      <c r="G3969" s="16" t="inlineStr">
        <is>
          <t>TIANLAI Lámpara Ventilador E27 2 en 1, Silenciosa, LED Alta Luminosidad 180°, Instalación Rápida, Ahorro Energético para Dormitorio y Interiores Pequeños</t>
        </is>
      </c>
      <c r="H3969" s="16" t="inlineStr">
        <is>
          <t>1 Pieza</t>
        </is>
      </c>
      <c r="I3969" s="16" t="n">
        <v>2</v>
      </c>
      <c r="J3969" s="17" t="n">
        <v>148</v>
      </c>
      <c r="K3969" s="17" t="n">
        <v>152.52</v>
      </c>
      <c r="L3969" s="17" t="n">
        <v>25.86</v>
      </c>
      <c r="M3969" s="17" t="n">
        <v>0</v>
      </c>
      <c r="N3969" s="17">
        <f>K3969*0.08+L3969*0.08</f>
        <v/>
      </c>
      <c r="O3969" s="17">
        <f>-(K3969*0.025+L3969*0.025)</f>
        <v/>
      </c>
      <c r="P3969" s="17">
        <f>32</f>
        <v/>
      </c>
      <c r="Q3969" s="17">
        <f>J3969+L3969+N3969+O3969-P3969-M3969</f>
        <v/>
      </c>
    </row>
    <row r="3970">
      <c r="A3970" s="16" t="inlineStr">
        <is>
          <t>5.29-6.4</t>
        </is>
      </c>
      <c r="B3970" s="16" t="inlineStr">
        <is>
          <t>PO-128-10550934938232102</t>
        </is>
      </c>
      <c r="C3970" s="16" t="inlineStr">
        <is>
          <t>Delivered</t>
        </is>
      </c>
      <c r="D3970" s="16" t="inlineStr">
        <is>
          <t>128-10550882509432102</t>
        </is>
      </c>
      <c r="E3970" s="16" t="inlineStr">
        <is>
          <t>Delivered</t>
        </is>
      </c>
      <c r="F3970" s="16" t="inlineStr">
        <is>
          <t>LV54W25</t>
        </is>
      </c>
      <c r="G3970" s="16" t="inlineStr">
        <is>
          <t>TIANLAI Lámpara Ventilador E27 2 en 1, Silenciosa, LED Alta Luminosidad 180°, Instalación Rápida, Ahorro Energético para Dormitorio y Interiores Pequeños</t>
        </is>
      </c>
      <c r="H3970" s="16" t="inlineStr">
        <is>
          <t>1 Pieza</t>
        </is>
      </c>
      <c r="I3970" s="16" t="n">
        <v>1</v>
      </c>
      <c r="J3970" s="17" t="n">
        <v>74</v>
      </c>
      <c r="K3970" s="17" t="n">
        <v>76.26000000000001</v>
      </c>
      <c r="L3970" s="17" t="n">
        <v>25.86</v>
      </c>
      <c r="M3970" s="17" t="n">
        <v>0</v>
      </c>
      <c r="N3970" s="17">
        <f>K3970*0.08+L3970*0.08</f>
        <v/>
      </c>
      <c r="O3970" s="17">
        <f>-(K3970*0.025+L3970*0.025)</f>
        <v/>
      </c>
      <c r="P3970" s="17">
        <f>32</f>
        <v/>
      </c>
      <c r="Q3970" s="17">
        <f>J3970+L3970+N3970+O3970-P3970-M3970</f>
        <v/>
      </c>
    </row>
    <row r="3971">
      <c r="A3971" s="16" t="inlineStr">
        <is>
          <t>5.29-6.4</t>
        </is>
      </c>
      <c r="B3971" s="16" t="inlineStr">
        <is>
          <t>PO-128-10745730724471967</t>
        </is>
      </c>
      <c r="C3971" s="16" t="inlineStr">
        <is>
          <t>Delivered</t>
        </is>
      </c>
      <c r="D3971" s="16" t="inlineStr">
        <is>
          <t>128-10745798881911967</t>
        </is>
      </c>
      <c r="E3971" s="16" t="inlineStr">
        <is>
          <t>Delivered</t>
        </is>
      </c>
      <c r="F3971" s="16" t="inlineStr">
        <is>
          <t>LV54W25</t>
        </is>
      </c>
      <c r="G3971" s="16" t="inlineStr">
        <is>
          <t>TIANLAI Lámpara Ventilador E27 2 en 1, Silenciosa, LED Alta Luminosidad 180°, Instalación Rápida, Ahorro Energético para Dormitorio y Interiores Pequeños</t>
        </is>
      </c>
      <c r="H3971" s="16" t="inlineStr">
        <is>
          <t>1 Pieza</t>
        </is>
      </c>
      <c r="I3971" s="16" t="n">
        <v>1</v>
      </c>
      <c r="J3971" s="17" t="n">
        <v>74</v>
      </c>
      <c r="K3971" s="17" t="n">
        <v>77.12</v>
      </c>
      <c r="L3971" s="17" t="n">
        <v>25.86</v>
      </c>
      <c r="M3971" s="17" t="n">
        <v>0</v>
      </c>
      <c r="N3971" s="17">
        <f>K3971*0.08+L3971*0.08</f>
        <v/>
      </c>
      <c r="O3971" s="17">
        <f>-(K3971*0.025+L3971*0.025)</f>
        <v/>
      </c>
      <c r="P3971" s="17">
        <f>32</f>
        <v/>
      </c>
      <c r="Q3971" s="17">
        <f>J3971+L3971+N3971+O3971-P3971-M3971</f>
        <v/>
      </c>
    </row>
    <row r="3972">
      <c r="A3972" s="16" t="inlineStr">
        <is>
          <t>5.29-6.4</t>
        </is>
      </c>
      <c r="B3972" s="16" t="inlineStr">
        <is>
          <t>PO-128-10420134144633842</t>
        </is>
      </c>
      <c r="C3972" s="16" t="inlineStr">
        <is>
          <t>Delivered</t>
        </is>
      </c>
      <c r="D3972" s="16" t="inlineStr">
        <is>
          <t>128-10420144630393842</t>
        </is>
      </c>
      <c r="E3972" s="16" t="inlineStr">
        <is>
          <t>Delivered</t>
        </is>
      </c>
      <c r="F3972" s="16" t="inlineStr">
        <is>
          <t>LV54W25</t>
        </is>
      </c>
      <c r="G3972" s="16" t="inlineStr">
        <is>
          <t>TIANLAI Lámpara Ventilador E27 2 en 1, Silenciosa, LED Alta Luminosidad 180°, Instalación Rápida, Ahorro Energético para Dormitorio y Interiores Pequeños</t>
        </is>
      </c>
      <c r="H3972" s="16" t="inlineStr">
        <is>
          <t>1 Pieza</t>
        </is>
      </c>
      <c r="I3972" s="16" t="n">
        <v>1</v>
      </c>
      <c r="J3972" s="17" t="n">
        <v>74</v>
      </c>
      <c r="K3972" s="17" t="n">
        <v>76.26000000000001</v>
      </c>
      <c r="L3972" s="17" t="n">
        <v>25.86</v>
      </c>
      <c r="M3972" s="17" t="n">
        <v>0</v>
      </c>
      <c r="N3972" s="17">
        <f>K3972*0.08+L3972*0.08</f>
        <v/>
      </c>
      <c r="O3972" s="17">
        <f>-(K3972*0.025+L3972*0.025)</f>
        <v/>
      </c>
      <c r="P3972" s="17">
        <f>32</f>
        <v/>
      </c>
      <c r="Q3972" s="17">
        <f>J3972+L3972+N3972+O3972-P3972-M3972</f>
        <v/>
      </c>
    </row>
    <row r="3973">
      <c r="A3973" s="16" t="inlineStr">
        <is>
          <t>5.29-6.4</t>
        </is>
      </c>
      <c r="B3973" s="16" t="inlineStr">
        <is>
          <t>PO-128-10834575765110477</t>
        </is>
      </c>
      <c r="C3973" s="16" t="inlineStr">
        <is>
          <t>Delivered</t>
        </is>
      </c>
      <c r="D3973" s="16" t="inlineStr">
        <is>
          <t>128-10834607222390477</t>
        </is>
      </c>
      <c r="E3973" s="16" t="inlineStr">
        <is>
          <t>Delivered</t>
        </is>
      </c>
      <c r="F3973" s="16" t="inlineStr">
        <is>
          <t>KTS-2031</t>
        </is>
      </c>
      <c r="G3973" s="16" t="inlineStr">
        <is>
          <t>Bocina inalámbrica de 3 pulgadas con linterna multifuncional y panel solar integrado.Altavoz Portátil con Linterna LED 4 Modos, Radio FM, Bluetooth, Carga Solar, Ideal para Apagones, Emergencias, Campo y Exteriores</t>
        </is>
      </c>
      <c r="H3973" s="16" t="inlineStr">
        <is>
          <t>NEGRO</t>
        </is>
      </c>
      <c r="I3973" s="16" t="n">
        <v>1</v>
      </c>
      <c r="J3973" s="17" t="n">
        <v>90</v>
      </c>
      <c r="K3973" s="17" t="n">
        <v>99.22</v>
      </c>
      <c r="L3973" s="17" t="n">
        <v>25.86</v>
      </c>
      <c r="M3973" s="17" t="n">
        <v>2</v>
      </c>
      <c r="N3973" s="17">
        <f>K3973*0.08+L3973*0.08</f>
        <v/>
      </c>
      <c r="O3973" s="17">
        <f>-(K3973*0.025+L3973*0.025)</f>
        <v/>
      </c>
      <c r="P3973" s="17">
        <f>32</f>
        <v/>
      </c>
      <c r="Q3973" s="17">
        <f>J3973+L3973+N3973+O3973-P3973-M3973</f>
        <v/>
      </c>
    </row>
    <row r="3974">
      <c r="A3974" s="16" t="inlineStr">
        <is>
          <t>5.29-6.4</t>
        </is>
      </c>
      <c r="B3974" s="16" t="inlineStr">
        <is>
          <t>PO-128-10710748314231279</t>
        </is>
      </c>
      <c r="C3974" s="16" t="inlineStr">
        <is>
          <t>Delivered</t>
        </is>
      </c>
      <c r="D3974" s="16" t="inlineStr">
        <is>
          <t>128-10710900357751279</t>
        </is>
      </c>
      <c r="E3974" s="16" t="inlineStr">
        <is>
          <t>Delivered</t>
        </is>
      </c>
      <c r="F3974" s="16" t="inlineStr">
        <is>
          <t>LV64W25</t>
        </is>
      </c>
      <c r="G397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74" s="16" t="inlineStr">
        <is>
          <t>Blanco</t>
        </is>
      </c>
      <c r="I3974" s="16" t="n">
        <v>1</v>
      </c>
      <c r="J3974" s="17" t="n">
        <v>125</v>
      </c>
      <c r="K3974" s="17" t="n">
        <v>128.94</v>
      </c>
      <c r="L3974" s="17" t="n">
        <v>25.86</v>
      </c>
      <c r="M3974" s="17" t="n">
        <v>0</v>
      </c>
      <c r="N3974" s="17">
        <f>K3974*0.08+L3974*0.08</f>
        <v/>
      </c>
      <c r="O3974" s="17">
        <f>-(K3974*0.025+L3974*0.025)</f>
        <v/>
      </c>
      <c r="P3974" s="17">
        <f>32</f>
        <v/>
      </c>
      <c r="Q3974" s="17">
        <f>J3974+L3974+N3974+O3974-P3974-M3974</f>
        <v/>
      </c>
    </row>
    <row r="3975">
      <c r="A3975" s="16" t="inlineStr">
        <is>
          <t>5.29-6.4</t>
        </is>
      </c>
      <c r="B3975" s="16" t="inlineStr">
        <is>
          <t>PO-128-10387170304633142</t>
        </is>
      </c>
      <c r="C3975" s="16" t="inlineStr">
        <is>
          <t>Delivered</t>
        </is>
      </c>
      <c r="D3975" s="16" t="inlineStr">
        <is>
          <t>128-10387222733433142</t>
        </is>
      </c>
      <c r="E3975" s="16" t="inlineStr">
        <is>
          <t>Delivered</t>
        </is>
      </c>
      <c r="F3975" s="16" t="inlineStr">
        <is>
          <t>LV54W25</t>
        </is>
      </c>
      <c r="G3975" s="16" t="inlineStr">
        <is>
          <t>TIANLAI Lámpara Ventilador E27 2 en 1, Silenciosa, LED Alta Luminosidad 180°, Instalación Rápida, Ahorro Energético para Dormitorio y Interiores Pequeños</t>
        </is>
      </c>
      <c r="H3975" s="16" t="inlineStr">
        <is>
          <t>1 Pieza</t>
        </is>
      </c>
      <c r="I3975" s="16" t="n">
        <v>1</v>
      </c>
      <c r="J3975" s="17" t="n">
        <v>74</v>
      </c>
      <c r="K3975" s="17" t="n">
        <v>76.26000000000001</v>
      </c>
      <c r="L3975" s="17" t="n">
        <v>25.86</v>
      </c>
      <c r="M3975" s="17" t="n">
        <v>0</v>
      </c>
      <c r="N3975" s="17">
        <f>K3975*0.08+L3975*0.08</f>
        <v/>
      </c>
      <c r="O3975" s="17">
        <f>-(K3975*0.025+L3975*0.025)</f>
        <v/>
      </c>
      <c r="P3975" s="17">
        <f>32</f>
        <v/>
      </c>
      <c r="Q3975" s="17">
        <f>J3975+L3975+N3975+O3975-P3975-M3975</f>
        <v/>
      </c>
    </row>
    <row r="3976">
      <c r="A3976" s="16" t="inlineStr">
        <is>
          <t>5.29-6.4</t>
        </is>
      </c>
      <c r="B3976" s="16" t="inlineStr">
        <is>
          <t>PO-128-10785317100151667</t>
        </is>
      </c>
      <c r="C3976" s="16" t="inlineStr">
        <is>
          <t>Delivered</t>
        </is>
      </c>
      <c r="D3976" s="16" t="inlineStr">
        <is>
          <t>128-10785296128631667</t>
        </is>
      </c>
      <c r="E3976" s="16" t="inlineStr">
        <is>
          <t>Delivered</t>
        </is>
      </c>
      <c r="F3976" s="16" t="inlineStr">
        <is>
          <t>TLCD02-8P-V</t>
        </is>
      </c>
      <c r="G397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76" s="16" t="inlineStr">
        <is>
          <t>VERDE/pantalla de 8.5 pulgadas</t>
        </is>
      </c>
      <c r="I3976" s="16" t="n">
        <v>10</v>
      </c>
      <c r="J3976" s="17" t="n">
        <v>250</v>
      </c>
      <c r="K3976" s="17" t="n">
        <v>294.7</v>
      </c>
      <c r="L3976" s="17" t="n">
        <v>0</v>
      </c>
      <c r="M3976" s="17" t="n">
        <v>0</v>
      </c>
      <c r="N3976" s="17">
        <f>K3976*0.08+L3976*0.08</f>
        <v/>
      </c>
      <c r="O3976" s="17">
        <f>-(K3976*0.025+L3976*0.025)</f>
        <v/>
      </c>
      <c r="P3976" s="17">
        <f>32</f>
        <v/>
      </c>
      <c r="Q3976" s="17">
        <f>J3976+L3976+N3976+O3976-P3976-M3976</f>
        <v/>
      </c>
    </row>
    <row r="3977">
      <c r="A3977" s="16" t="inlineStr">
        <is>
          <t>5.29-6.4</t>
        </is>
      </c>
      <c r="B3977" s="16" t="inlineStr">
        <is>
          <t>PO-128-10785317100151667</t>
        </is>
      </c>
      <c r="C3977" s="16" t="inlineStr">
        <is>
          <t>Delivered</t>
        </is>
      </c>
      <c r="D3977" s="16" t="inlineStr">
        <is>
          <t>128-10785275157111667</t>
        </is>
      </c>
      <c r="E3977" s="16" t="inlineStr">
        <is>
          <t>Delivered</t>
        </is>
      </c>
      <c r="F3977" s="16" t="inlineStr">
        <is>
          <t>TLCD02-8P-A</t>
        </is>
      </c>
      <c r="G3977"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77" s="16" t="inlineStr">
        <is>
          <t>AZUL/pantalla de 8.5 pulgadas</t>
        </is>
      </c>
      <c r="I3977" s="16" t="n">
        <v>10</v>
      </c>
      <c r="J3977" s="17" t="n">
        <v>250</v>
      </c>
      <c r="K3977" s="17" t="n">
        <v>339.8</v>
      </c>
      <c r="L3977" s="17" t="n">
        <v>0</v>
      </c>
      <c r="M3977" s="17" t="n">
        <v>0</v>
      </c>
      <c r="N3977" s="17">
        <f>K3977*0.08+L3977*0.08</f>
        <v/>
      </c>
      <c r="O3977" s="17">
        <f>-(K3977*0.025+L3977*0.025)</f>
        <v/>
      </c>
      <c r="P3977" s="17">
        <f>32</f>
        <v/>
      </c>
      <c r="Q3977" s="17">
        <f>J3977+L3977+N3977+O3977-P3977-M3977</f>
        <v/>
      </c>
    </row>
    <row r="3978">
      <c r="A3978" s="16" t="inlineStr">
        <is>
          <t>5.29-6.4</t>
        </is>
      </c>
      <c r="B3978" s="16" t="inlineStr">
        <is>
          <t>PO-128-10857145595510343</t>
        </is>
      </c>
      <c r="C3978" s="16" t="inlineStr">
        <is>
          <t>Delivered</t>
        </is>
      </c>
      <c r="D3978" s="16" t="inlineStr">
        <is>
          <t>128-10857166567030343</t>
        </is>
      </c>
      <c r="E3978" s="16" t="inlineStr">
        <is>
          <t>Delivered</t>
        </is>
      </c>
      <c r="F3978" s="16" t="inlineStr">
        <is>
          <t>LV64W25</t>
        </is>
      </c>
      <c r="G39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78" s="16" t="inlineStr">
        <is>
          <t>Blanco</t>
        </is>
      </c>
      <c r="I3978" s="16" t="n">
        <v>2</v>
      </c>
      <c r="J3978" s="17" t="n">
        <v>250</v>
      </c>
      <c r="K3978" s="17" t="n">
        <v>257.88</v>
      </c>
      <c r="L3978" s="17" t="n">
        <v>0</v>
      </c>
      <c r="M3978" s="17" t="n">
        <v>0</v>
      </c>
      <c r="N3978" s="17">
        <f>K3978*0.08+L3978*0.08</f>
        <v/>
      </c>
      <c r="O3978" s="17">
        <f>-(K3978*0.025+L3978*0.025)</f>
        <v/>
      </c>
      <c r="P3978" s="17">
        <f>32</f>
        <v/>
      </c>
      <c r="Q3978" s="17">
        <f>J3978+L3978+N3978+O3978-P3978-M3978</f>
        <v/>
      </c>
    </row>
    <row r="3979">
      <c r="A3979" s="16" t="inlineStr">
        <is>
          <t>5.29-6.4</t>
        </is>
      </c>
      <c r="B3979" s="16" t="inlineStr">
        <is>
          <t>PO-128-10889792625270018</t>
        </is>
      </c>
      <c r="C3979" s="16" t="inlineStr">
        <is>
          <t>Delivered</t>
        </is>
      </c>
      <c r="D3979" s="16" t="inlineStr">
        <is>
          <t>128-10889771653750018</t>
        </is>
      </c>
      <c r="E3979" s="16" t="inlineStr">
        <is>
          <t>Delivered</t>
        </is>
      </c>
      <c r="F3979" s="16" t="inlineStr">
        <is>
          <t>KTS-2031</t>
        </is>
      </c>
      <c r="G3979" s="16" t="inlineStr">
        <is>
          <t>Bocina inalámbrica de 3 pulgadas con linterna multifuncional y panel solar integrado.Altavoz Portátil con Linterna LED 4 Modos, Radio FM, Bluetooth, Carga Solar, Ideal para Apagones, Emergencias, Campo y Exteriores</t>
        </is>
      </c>
      <c r="H3979" s="16" t="inlineStr">
        <is>
          <t>NEGRO</t>
        </is>
      </c>
      <c r="I3979" s="16" t="n">
        <v>1</v>
      </c>
      <c r="J3979" s="17" t="n">
        <v>90</v>
      </c>
      <c r="K3979" s="17" t="n">
        <v>99.22</v>
      </c>
      <c r="L3979" s="17" t="n">
        <v>25.86</v>
      </c>
      <c r="M3979" s="17" t="n">
        <v>0</v>
      </c>
      <c r="N3979" s="17">
        <f>K3979*0.08+L3979*0.08</f>
        <v/>
      </c>
      <c r="O3979" s="17">
        <f>-(K3979*0.025+L3979*0.025)</f>
        <v/>
      </c>
      <c r="P3979" s="17">
        <f>32</f>
        <v/>
      </c>
      <c r="Q3979" s="17">
        <f>J3979+L3979+N3979+O3979-P3979-M3979</f>
        <v/>
      </c>
    </row>
    <row r="3980">
      <c r="A3980" s="16" t="inlineStr">
        <is>
          <t>5.29-6.4</t>
        </is>
      </c>
      <c r="B3980" s="16" t="inlineStr">
        <is>
          <t>PO-128-10825336658550402</t>
        </is>
      </c>
      <c r="C3980" s="16" t="inlineStr">
        <is>
          <t>Delivered</t>
        </is>
      </c>
      <c r="D3980" s="16" t="inlineStr">
        <is>
          <t>128-10825341901430402</t>
        </is>
      </c>
      <c r="E3980" s="16" t="inlineStr">
        <is>
          <t>Delivered</t>
        </is>
      </c>
      <c r="F3980" s="16" t="inlineStr">
        <is>
          <t>KTS-2031</t>
        </is>
      </c>
      <c r="G3980" s="16" t="inlineStr">
        <is>
          <t>Bocina inalámbrica de 3 pulgadas con linterna multifuncional y panel solar integrado.Altavoz Portátil con Linterna LED 4 Modos, Radio FM, Bluetooth, Carga Solar, Ideal para Apagones, Emergencias, Campo y Exteriores</t>
        </is>
      </c>
      <c r="H3980" s="16" t="inlineStr">
        <is>
          <t>NEGRO</t>
        </is>
      </c>
      <c r="I3980" s="16" t="n">
        <v>1</v>
      </c>
      <c r="J3980" s="17" t="n">
        <v>90</v>
      </c>
      <c r="K3980" s="17" t="n">
        <v>99.22</v>
      </c>
      <c r="L3980" s="17" t="n">
        <v>25.86</v>
      </c>
      <c r="M3980" s="17" t="n">
        <v>0</v>
      </c>
      <c r="N3980" s="17">
        <f>K3980*0.08+L3980*0.08</f>
        <v/>
      </c>
      <c r="O3980" s="17">
        <f>-(K3980*0.025+L3980*0.025)</f>
        <v/>
      </c>
      <c r="P3980" s="17">
        <f>32</f>
        <v/>
      </c>
      <c r="Q3980" s="17">
        <f>J3980+L3980+N3980+O3980-P3980-M3980</f>
        <v/>
      </c>
    </row>
    <row r="3981">
      <c r="A3981" s="16" t="inlineStr">
        <is>
          <t>5.29-6.4</t>
        </is>
      </c>
      <c r="B3981" s="16" t="inlineStr">
        <is>
          <t>PO-128-10343033180793407</t>
        </is>
      </c>
      <c r="C3981" s="16" t="inlineStr">
        <is>
          <t>Delivered</t>
        </is>
      </c>
      <c r="D3981" s="16" t="inlineStr">
        <is>
          <t>128-10343075123833407</t>
        </is>
      </c>
      <c r="E3981" s="16" t="inlineStr">
        <is>
          <t>Delivered</t>
        </is>
      </c>
      <c r="F3981" s="16" t="inlineStr">
        <is>
          <t>LV54W25</t>
        </is>
      </c>
      <c r="G3981" s="16" t="inlineStr">
        <is>
          <t>TIANLAI Lámpara Ventilador E27 2 en 1, Silenciosa, LED Alta Luminosidad 180°, Instalación Rápida, Ahorro Energético para Dormitorio y Interiores Pequeños</t>
        </is>
      </c>
      <c r="H3981" s="16" t="inlineStr">
        <is>
          <t>1 Pieza</t>
        </is>
      </c>
      <c r="I3981" s="16" t="n">
        <v>1</v>
      </c>
      <c r="J3981" s="17" t="n">
        <v>74</v>
      </c>
      <c r="K3981" s="17" t="n">
        <v>76.26000000000001</v>
      </c>
      <c r="L3981" s="17" t="n">
        <v>25.86</v>
      </c>
      <c r="M3981" s="17" t="n">
        <v>0</v>
      </c>
      <c r="N3981" s="17">
        <f>K3981*0.08+L3981*0.08</f>
        <v/>
      </c>
      <c r="O3981" s="17">
        <f>-(K3981*0.025+L3981*0.025)</f>
        <v/>
      </c>
      <c r="P3981" s="17">
        <f>32</f>
        <v/>
      </c>
      <c r="Q3981" s="17">
        <f>J3981+L3981+N3981+O3981-P3981-M3981</f>
        <v/>
      </c>
    </row>
    <row r="3982">
      <c r="A3982" s="16" t="inlineStr">
        <is>
          <t>5.29-6.4</t>
        </is>
      </c>
      <c r="B3982" s="16" t="inlineStr">
        <is>
          <t>PO-128-10785847327351726</t>
        </is>
      </c>
      <c r="C3982" s="16" t="inlineStr">
        <is>
          <t>Delivered</t>
        </is>
      </c>
      <c r="D3982" s="16" t="inlineStr">
        <is>
          <t>128-10785868298871726</t>
        </is>
      </c>
      <c r="E3982" s="16" t="inlineStr">
        <is>
          <t>Delivered</t>
        </is>
      </c>
      <c r="F3982" s="16" t="inlineStr">
        <is>
          <t>LV54W25</t>
        </is>
      </c>
      <c r="G3982" s="16" t="inlineStr">
        <is>
          <t>TIANLAI Lámpara Ventilador E27 2 en 1, Silenciosa, LED Alta Luminosidad 180°, Instalación Rápida, Ahorro Energético para Dormitorio y Interiores Pequeños</t>
        </is>
      </c>
      <c r="H3982" s="16" t="inlineStr">
        <is>
          <t>1 Pieza</t>
        </is>
      </c>
      <c r="I3982" s="16" t="n">
        <v>1</v>
      </c>
      <c r="J3982" s="17" t="n">
        <v>74</v>
      </c>
      <c r="K3982" s="17" t="n">
        <v>24.54</v>
      </c>
      <c r="L3982" s="17" t="n">
        <v>25.86</v>
      </c>
      <c r="M3982" s="17" t="n">
        <v>0</v>
      </c>
      <c r="N3982" s="17">
        <f>K3982*0.08+L3982*0.08</f>
        <v/>
      </c>
      <c r="O3982" s="17">
        <f>-(K3982*0.025+L3982*0.025)</f>
        <v/>
      </c>
      <c r="P3982" s="17">
        <f>32</f>
        <v/>
      </c>
      <c r="Q3982" s="17">
        <f>J3982+L3982+N3982+O3982-P3982-M3982</f>
        <v/>
      </c>
    </row>
    <row r="3983">
      <c r="A3983" s="16" t="inlineStr">
        <is>
          <t>5.29-6.4</t>
        </is>
      </c>
      <c r="B3983" s="16" t="inlineStr">
        <is>
          <t>PO-128-10906606843510110</t>
        </is>
      </c>
      <c r="C3983" s="16" t="inlineStr">
        <is>
          <t>Delivered</t>
        </is>
      </c>
      <c r="D3983" s="16" t="inlineStr">
        <is>
          <t>128-10906585871990110</t>
        </is>
      </c>
      <c r="E3983" s="16" t="inlineStr">
        <is>
          <t>Delivered</t>
        </is>
      </c>
      <c r="F3983" s="16" t="inlineStr">
        <is>
          <t>LV54W25</t>
        </is>
      </c>
      <c r="G3983" s="16" t="inlineStr">
        <is>
          <t>TIANLAI Lámpara Ventilador E27 2 en 1, Silenciosa, LED Alta Luminosidad 180°, Instalación Rápida, Ahorro Energético para Dormitorio y Interiores Pequeños</t>
        </is>
      </c>
      <c r="H3983" s="16" t="inlineStr">
        <is>
          <t>1 Pieza</t>
        </is>
      </c>
      <c r="I3983" s="16" t="n">
        <v>2</v>
      </c>
      <c r="J3983" s="17" t="n">
        <v>148</v>
      </c>
      <c r="K3983" s="17" t="n">
        <v>171.36</v>
      </c>
      <c r="L3983" s="17" t="n">
        <v>25.86</v>
      </c>
      <c r="M3983" s="17" t="n">
        <v>0</v>
      </c>
      <c r="N3983" s="17">
        <f>K3983*0.08+L3983*0.08</f>
        <v/>
      </c>
      <c r="O3983" s="17">
        <f>-(K3983*0.025+L3983*0.025)</f>
        <v/>
      </c>
      <c r="P3983" s="17">
        <f>32</f>
        <v/>
      </c>
      <c r="Q3983" s="17">
        <f>J3983+L3983+N3983+O3983-P3983-M3983</f>
        <v/>
      </c>
    </row>
    <row r="3984">
      <c r="A3984" s="16" t="inlineStr">
        <is>
          <t>5.29-6.4</t>
        </is>
      </c>
      <c r="B3984" s="16" t="inlineStr">
        <is>
          <t>PO-128-10574198697592989</t>
        </is>
      </c>
      <c r="C3984" s="16" t="inlineStr">
        <is>
          <t>Delivered</t>
        </is>
      </c>
      <c r="D3984" s="16" t="inlineStr">
        <is>
          <t>128-10574219669112989</t>
        </is>
      </c>
      <c r="E3984" s="16" t="inlineStr">
        <is>
          <t>Delivered</t>
        </is>
      </c>
      <c r="F3984" s="16" t="inlineStr">
        <is>
          <t>LV54W25</t>
        </is>
      </c>
      <c r="G3984" s="16" t="inlineStr">
        <is>
          <t>TIANLAI Lámpara Ventilador E27 2 en 1, Silenciosa, LED Alta Luminosidad 180°, Instalación Rápida, Ahorro Energético para Dormitorio y Interiores Pequeños</t>
        </is>
      </c>
      <c r="H3984" s="16" t="inlineStr">
        <is>
          <t>1 Pieza</t>
        </is>
      </c>
      <c r="I3984" s="16" t="n">
        <v>1</v>
      </c>
      <c r="J3984" s="17" t="n">
        <v>74</v>
      </c>
      <c r="K3984" s="17" t="n">
        <v>85.68000000000001</v>
      </c>
      <c r="L3984" s="17" t="n">
        <v>25.86</v>
      </c>
      <c r="M3984" s="17" t="n">
        <v>0</v>
      </c>
      <c r="N3984" s="17">
        <f>K3984*0.08+L3984*0.08</f>
        <v/>
      </c>
      <c r="O3984" s="17">
        <f>-(K3984*0.025+L3984*0.025)</f>
        <v/>
      </c>
      <c r="P3984" s="17">
        <f>32</f>
        <v/>
      </c>
      <c r="Q3984" s="17">
        <f>J3984+L3984+N3984+O3984-P3984-M3984</f>
        <v/>
      </c>
    </row>
    <row r="3985">
      <c r="A3985" s="16" t="inlineStr">
        <is>
          <t>5.29-6.4</t>
        </is>
      </c>
      <c r="B3985" s="16" t="inlineStr">
        <is>
          <t>PO-128-10958727498870697</t>
        </is>
      </c>
      <c r="C3985" s="16" t="inlineStr">
        <is>
          <t>Delivered</t>
        </is>
      </c>
      <c r="D3985" s="16" t="inlineStr">
        <is>
          <t>128-10958758956150697</t>
        </is>
      </c>
      <c r="E3985" s="16" t="inlineStr">
        <is>
          <t>Delivered</t>
        </is>
      </c>
      <c r="F3985" s="16" t="inlineStr">
        <is>
          <t>KTS-1369</t>
        </is>
      </c>
      <c r="G3985" s="16" t="inlineStr">
        <is>
          <t>Bocina 3 Pulgadas Portátil Bluetooth con Luces LED, Sonido Claro y Batería Larga Duración, TWS TF USB FM, Ideal para Hogar Oficina y Exterior</t>
        </is>
      </c>
      <c r="H3985" s="16" t="inlineStr">
        <is>
          <t>NEGRO</t>
        </is>
      </c>
      <c r="I3985" s="16" t="n">
        <v>1</v>
      </c>
      <c r="J3985" s="17" t="n">
        <v>55</v>
      </c>
      <c r="K3985" s="17" t="n">
        <v>73.73999999999999</v>
      </c>
      <c r="L3985" s="17" t="n">
        <v>25.86</v>
      </c>
      <c r="M3985" s="17" t="n">
        <v>0</v>
      </c>
      <c r="N3985" s="17">
        <f>K3985*0.08+L3985*0.08</f>
        <v/>
      </c>
      <c r="O3985" s="17">
        <f>-(K3985*0.025+L3985*0.025)</f>
        <v/>
      </c>
      <c r="P3985" s="17">
        <f>32</f>
        <v/>
      </c>
      <c r="Q3985" s="17">
        <f>J3985+L3985+N3985+O3985-P3985-M3985</f>
        <v/>
      </c>
    </row>
    <row r="3986">
      <c r="A3986" s="16" t="inlineStr">
        <is>
          <t>5.29-6.4</t>
        </is>
      </c>
      <c r="B3986" s="16" t="inlineStr">
        <is>
          <t>PO-128-10871535934070129</t>
        </is>
      </c>
      <c r="C3986" s="16" t="inlineStr">
        <is>
          <t>Delivered</t>
        </is>
      </c>
      <c r="D3986" s="16" t="inlineStr">
        <is>
          <t>128-10871507098230129</t>
        </is>
      </c>
      <c r="E3986" s="16" t="inlineStr">
        <is>
          <t>Delivered</t>
        </is>
      </c>
      <c r="F3986" s="16" t="inlineStr">
        <is>
          <t>B03W10-10PZS</t>
        </is>
      </c>
      <c r="G398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3986" s="16" t="inlineStr">
        <is>
          <t>B03W10</t>
        </is>
      </c>
      <c r="I3986" s="16" t="n">
        <v>1</v>
      </c>
      <c r="J3986" s="17" t="n">
        <v>76</v>
      </c>
      <c r="K3986" s="17" t="n">
        <v>80.05</v>
      </c>
      <c r="L3986" s="17" t="n">
        <v>25.86</v>
      </c>
      <c r="M3986" s="17" t="n">
        <v>0</v>
      </c>
      <c r="N3986" s="17">
        <f>K3986*0.08+L3986*0.08</f>
        <v/>
      </c>
      <c r="O3986" s="17">
        <f>-(K3986*0.025+L3986*0.025)</f>
        <v/>
      </c>
      <c r="P3986" s="17">
        <f>32</f>
        <v/>
      </c>
      <c r="Q3986" s="17">
        <f>J3986+L3986+N3986+O3986-P3986-M3986</f>
        <v/>
      </c>
    </row>
    <row r="3987">
      <c r="A3987" s="16" t="inlineStr">
        <is>
          <t>5.29-6.4</t>
        </is>
      </c>
      <c r="B3987" s="16" t="inlineStr">
        <is>
          <t>PO-128-10742509681271920</t>
        </is>
      </c>
      <c r="C3987" s="16" t="inlineStr">
        <is>
          <t>Delivered</t>
        </is>
      </c>
      <c r="D3987" s="16" t="inlineStr">
        <is>
          <t>128-10742562110071920</t>
        </is>
      </c>
      <c r="E3987" s="16" t="inlineStr">
        <is>
          <t>Delivered</t>
        </is>
      </c>
      <c r="F3987" s="16" t="inlineStr">
        <is>
          <t>LV54W25</t>
        </is>
      </c>
      <c r="G3987" s="16" t="inlineStr">
        <is>
          <t>TIANLAI Lámpara Ventilador E27 2 en 1, Silenciosa, LED Alta Luminosidad 180°, Instalación Rápida, Ahorro Energético para Dormitorio y Interiores Pequeños</t>
        </is>
      </c>
      <c r="H3987" s="16" t="inlineStr">
        <is>
          <t>1 Pieza</t>
        </is>
      </c>
      <c r="I3987" s="16" t="n">
        <v>1</v>
      </c>
      <c r="J3987" s="17" t="n">
        <v>74</v>
      </c>
      <c r="K3987" s="17" t="n">
        <v>76.26000000000001</v>
      </c>
      <c r="L3987" s="17" t="n">
        <v>25.86</v>
      </c>
      <c r="M3987" s="17" t="n">
        <v>0</v>
      </c>
      <c r="N3987" s="17">
        <f>K3987*0.08+L3987*0.08</f>
        <v/>
      </c>
      <c r="O3987" s="17">
        <f>-(K3987*0.025+L3987*0.025)</f>
        <v/>
      </c>
      <c r="P3987" s="17">
        <f>32</f>
        <v/>
      </c>
      <c r="Q3987" s="17">
        <f>J3987+L3987+N3987+O3987-P3987-M3987</f>
        <v/>
      </c>
    </row>
    <row r="3988">
      <c r="A3988" s="16" t="inlineStr">
        <is>
          <t>5.29-6.4</t>
        </is>
      </c>
      <c r="B3988" s="16" t="inlineStr">
        <is>
          <t>PO-128-10521883566712405</t>
        </is>
      </c>
      <c r="C3988" s="16" t="inlineStr">
        <is>
          <t>Delivered</t>
        </is>
      </c>
      <c r="D3988" s="16" t="inlineStr">
        <is>
          <t>128-10521852109432405</t>
        </is>
      </c>
      <c r="E3988" s="16" t="inlineStr">
        <is>
          <t>Delivered</t>
        </is>
      </c>
      <c r="F3988" s="16" t="inlineStr">
        <is>
          <t>LV54W25</t>
        </is>
      </c>
      <c r="G3988" s="16" t="inlineStr">
        <is>
          <t>TIANLAI Lámpara Ventilador E27 2 en 1, Silenciosa, LED Alta Luminosidad 180°, Instalación Rápida, Ahorro Energético para Dormitorio y Interiores Pequeños</t>
        </is>
      </c>
      <c r="H3988" s="16" t="inlineStr">
        <is>
          <t>1 Pieza</t>
        </is>
      </c>
      <c r="I3988" s="16" t="n">
        <v>2</v>
      </c>
      <c r="J3988" s="17" t="n">
        <v>148</v>
      </c>
      <c r="K3988" s="17" t="n">
        <v>133.59</v>
      </c>
      <c r="L3988" s="17" t="n">
        <v>25.86</v>
      </c>
      <c r="M3988" s="17" t="n">
        <v>0</v>
      </c>
      <c r="N3988" s="17">
        <f>K3988*0.08+L3988*0.08</f>
        <v/>
      </c>
      <c r="O3988" s="17">
        <f>-(K3988*0.025+L3988*0.025)</f>
        <v/>
      </c>
      <c r="P3988" s="17">
        <f>32</f>
        <v/>
      </c>
      <c r="Q3988" s="17">
        <f>J3988+L3988+N3988+O3988-P3988-M3988</f>
        <v/>
      </c>
    </row>
    <row r="3989">
      <c r="A3989" s="16" t="inlineStr">
        <is>
          <t>5.29-6.4</t>
        </is>
      </c>
      <c r="B3989" s="16" t="inlineStr">
        <is>
          <t>PO-128-10568080510072960</t>
        </is>
      </c>
      <c r="C3989" s="16" t="inlineStr">
        <is>
          <t>Delivered</t>
        </is>
      </c>
      <c r="D3989" s="16" t="inlineStr">
        <is>
          <t>128-10568101481592960</t>
        </is>
      </c>
      <c r="E3989" s="16" t="inlineStr">
        <is>
          <t>Delivered</t>
        </is>
      </c>
      <c r="F3989" s="16" t="inlineStr">
        <is>
          <t>LV54W25</t>
        </is>
      </c>
      <c r="G3989" s="16" t="inlineStr">
        <is>
          <t>TIANLAI Lámpara Ventilador E27 2 en 1, Silenciosa, LED Alta Luminosidad 180°, Instalación Rápida, Ahorro Energético para Dormitorio y Interiores Pequeños</t>
        </is>
      </c>
      <c r="H3989" s="16" t="inlineStr">
        <is>
          <t>1 Pieza</t>
        </is>
      </c>
      <c r="I3989" s="16" t="n">
        <v>3</v>
      </c>
      <c r="J3989" s="17" t="n">
        <v>222</v>
      </c>
      <c r="K3989" s="17" t="n">
        <v>228.78</v>
      </c>
      <c r="L3989" s="17" t="n">
        <v>25.86</v>
      </c>
      <c r="M3989" s="17" t="n">
        <v>0</v>
      </c>
      <c r="N3989" s="17">
        <f>K3989*0.08+L3989*0.08</f>
        <v/>
      </c>
      <c r="O3989" s="17">
        <f>-(K3989*0.025+L3989*0.025)</f>
        <v/>
      </c>
      <c r="P3989" s="17">
        <f>32</f>
        <v/>
      </c>
      <c r="Q3989" s="17">
        <f>J3989+L3989+N3989+O3989-P3989-M3989</f>
        <v/>
      </c>
    </row>
    <row r="3990">
      <c r="A3990" s="16" t="inlineStr">
        <is>
          <t>5.29-6.4</t>
        </is>
      </c>
      <c r="B3990" s="16" t="inlineStr">
        <is>
          <t>PO-128-10626877921912803</t>
        </is>
      </c>
      <c r="C3990" s="16" t="inlineStr">
        <is>
          <t>Delivered</t>
        </is>
      </c>
      <c r="D3990" s="16" t="inlineStr">
        <is>
          <t>128-10626897910392803</t>
        </is>
      </c>
      <c r="E3990" s="16" t="inlineStr">
        <is>
          <t>Delivered</t>
        </is>
      </c>
      <c r="F3990" s="16" t="inlineStr">
        <is>
          <t>TL2663N18C</t>
        </is>
      </c>
      <c r="G3990" s="16" t="inlineStr">
        <is>
          <t>Linkbits，Soporte de pared fijo para televisores de 26"-63", Ultra-Delgado Compatible con VESA 400x400mm, Capacidad de Peso Fuerte de 25KG, Instalación Fácil Sin Electricidad</t>
        </is>
      </c>
      <c r="H3990" s="16" t="inlineStr">
        <is>
          <t>NEGRO</t>
        </is>
      </c>
      <c r="I3990" s="16" t="n">
        <v>1</v>
      </c>
      <c r="J3990" s="17" t="n">
        <v>47</v>
      </c>
      <c r="K3990" s="17" t="n">
        <v>61.97</v>
      </c>
      <c r="L3990" s="17" t="n">
        <v>25.86</v>
      </c>
      <c r="M3990" s="17" t="n">
        <v>0</v>
      </c>
      <c r="N3990" s="17">
        <f>K3990*0.08+L3990*0.08</f>
        <v/>
      </c>
      <c r="O3990" s="17">
        <f>-(K3990*0.025+L3990*0.025)</f>
        <v/>
      </c>
      <c r="P3990" s="17">
        <f>32</f>
        <v/>
      </c>
      <c r="Q3990" s="17">
        <f>J3990+L3990+N3990+O3990-P3990-M3990</f>
        <v/>
      </c>
    </row>
    <row r="3991">
      <c r="A3991" s="16" t="inlineStr">
        <is>
          <t>5.29-6.4</t>
        </is>
      </c>
      <c r="B3991" s="16" t="inlineStr">
        <is>
          <t>PO-128-10553277665912088</t>
        </is>
      </c>
      <c r="C3991" s="16" t="inlineStr">
        <is>
          <t>Delivered</t>
        </is>
      </c>
      <c r="D3991" s="16" t="inlineStr">
        <is>
          <t>128-10553319608952088</t>
        </is>
      </c>
      <c r="E3991" s="16" t="inlineStr">
        <is>
          <t>Delivered</t>
        </is>
      </c>
      <c r="F3991" s="16" t="inlineStr">
        <is>
          <t>TLCD02-8P-A</t>
        </is>
      </c>
      <c r="G399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3991" s="16" t="inlineStr">
        <is>
          <t>AZUL/pantalla de 8.5 pulgadas</t>
        </is>
      </c>
      <c r="I3991" s="16" t="n">
        <v>1</v>
      </c>
      <c r="J3991" s="17" t="n">
        <v>25</v>
      </c>
      <c r="K3991" s="17" t="n">
        <v>33.98</v>
      </c>
      <c r="L3991" s="17" t="n">
        <v>25.86</v>
      </c>
      <c r="M3991" s="17" t="n">
        <v>4.51</v>
      </c>
      <c r="N3991" s="17">
        <f>K3991*0.08+L3991*0.08</f>
        <v/>
      </c>
      <c r="O3991" s="17">
        <f>-(K3991*0.025+L3991*0.025)</f>
        <v/>
      </c>
      <c r="P3991" s="17">
        <f>32</f>
        <v/>
      </c>
      <c r="Q3991" s="17">
        <f>J3991+L3991+N3991+O3991-P3991-M3991</f>
        <v/>
      </c>
    </row>
    <row r="3992">
      <c r="A3992" s="16" t="inlineStr">
        <is>
          <t>5.29-6.4</t>
        </is>
      </c>
      <c r="B3992" s="16" t="inlineStr">
        <is>
          <t>PO-128-10693248015991382</t>
        </is>
      </c>
      <c r="C3992" s="16" t="inlineStr">
        <is>
          <t>Delivered</t>
        </is>
      </c>
      <c r="D3992" s="16" t="inlineStr">
        <is>
          <t>128-10693268987511382</t>
        </is>
      </c>
      <c r="E3992" s="16" t="inlineStr">
        <is>
          <t>Delivered</t>
        </is>
      </c>
      <c r="F3992" s="16" t="inlineStr">
        <is>
          <t>LV54W25</t>
        </is>
      </c>
      <c r="G3992" s="16" t="inlineStr">
        <is>
          <t>TIANLAI Lámpara Ventilador E27 2 en 1, Silenciosa, LED Alta Luminosidad 180°, Instalación Rápida, Ahorro Energético para Dormitorio y Interiores Pequeños</t>
        </is>
      </c>
      <c r="H3992" s="16" t="inlineStr">
        <is>
          <t>1 Pieza</t>
        </is>
      </c>
      <c r="I3992" s="16" t="n">
        <v>1</v>
      </c>
      <c r="J3992" s="17" t="n">
        <v>74</v>
      </c>
      <c r="K3992" s="17" t="n">
        <v>77.12</v>
      </c>
      <c r="L3992" s="17" t="n">
        <v>25.86</v>
      </c>
      <c r="M3992" s="17" t="n">
        <v>0</v>
      </c>
      <c r="N3992" s="17">
        <f>K3992*0.08+L3992*0.08</f>
        <v/>
      </c>
      <c r="O3992" s="17">
        <f>-(K3992*0.025+L3992*0.025)</f>
        <v/>
      </c>
      <c r="P3992" s="17">
        <f>32</f>
        <v/>
      </c>
      <c r="Q3992" s="17">
        <f>J3992+L3992+N3992+O3992-P3992-M3992</f>
        <v/>
      </c>
    </row>
    <row r="3993">
      <c r="A3993" s="16" t="inlineStr">
        <is>
          <t>5.29-6.4</t>
        </is>
      </c>
      <c r="B3993" s="16" t="inlineStr">
        <is>
          <t>PO-128-10603712256632941</t>
        </is>
      </c>
      <c r="C3993" s="16" t="inlineStr">
        <is>
          <t>Delivered</t>
        </is>
      </c>
      <c r="D3993" s="16" t="inlineStr">
        <is>
          <t>128-10603864300152941</t>
        </is>
      </c>
      <c r="E3993" s="16" t="inlineStr">
        <is>
          <t>Delivered</t>
        </is>
      </c>
      <c r="F3993" s="16" t="inlineStr">
        <is>
          <t>LV54W25</t>
        </is>
      </c>
      <c r="G3993" s="16" t="inlineStr">
        <is>
          <t>TIANLAI Lámpara Ventilador E27 2 en 1, Silenciosa, LED Alta Luminosidad 180°, Instalación Rápida, Ahorro Energético para Dormitorio y Interiores Pequeños</t>
        </is>
      </c>
      <c r="H3993" s="16" t="inlineStr">
        <is>
          <t>1 Pieza</t>
        </is>
      </c>
      <c r="I3993" s="16" t="n">
        <v>3</v>
      </c>
      <c r="J3993" s="17" t="n">
        <v>222</v>
      </c>
      <c r="K3993" s="17" t="n">
        <v>228.78</v>
      </c>
      <c r="L3993" s="17" t="n">
        <v>25.86</v>
      </c>
      <c r="M3993" s="17" t="n">
        <v>0</v>
      </c>
      <c r="N3993" s="17">
        <f>K3993*0.08+L3993*0.08</f>
        <v/>
      </c>
      <c r="O3993" s="17">
        <f>-(K3993*0.025+L3993*0.025)</f>
        <v/>
      </c>
      <c r="P3993" s="17">
        <f>32</f>
        <v/>
      </c>
      <c r="Q3993" s="17">
        <f>J3993+L3993+N3993+O3993-P3993-M3993</f>
        <v/>
      </c>
    </row>
    <row r="3994">
      <c r="A3994" s="16" t="inlineStr">
        <is>
          <t>5.29-6.4</t>
        </is>
      </c>
      <c r="B3994" s="16" t="inlineStr">
        <is>
          <t>PO-128-10480607268472459</t>
        </is>
      </c>
      <c r="C3994" s="16" t="inlineStr">
        <is>
          <t>Delivered</t>
        </is>
      </c>
      <c r="D3994" s="16" t="inlineStr">
        <is>
          <t>128-10480602025592459</t>
        </is>
      </c>
      <c r="E3994" s="16" t="inlineStr">
        <is>
          <t>Delivered</t>
        </is>
      </c>
      <c r="F3994" s="16" t="inlineStr">
        <is>
          <t>LV54W25</t>
        </is>
      </c>
      <c r="G3994" s="16" t="inlineStr">
        <is>
          <t>TIANLAI Lámpara Ventilador E27 2 en 1, Silenciosa, LED Alta Luminosidad 180°, Instalación Rápida, Ahorro Energético para Dormitorio y Interiores Pequeños</t>
        </is>
      </c>
      <c r="H3994" s="16" t="inlineStr">
        <is>
          <t>1 Pieza</t>
        </is>
      </c>
      <c r="I3994" s="16" t="n">
        <v>1</v>
      </c>
      <c r="J3994" s="17" t="n">
        <v>74</v>
      </c>
      <c r="K3994" s="17" t="n">
        <v>77.12</v>
      </c>
      <c r="L3994" s="17" t="n">
        <v>25.86</v>
      </c>
      <c r="M3994" s="17" t="n">
        <v>0</v>
      </c>
      <c r="N3994" s="17">
        <f>K3994*0.08+L3994*0.08</f>
        <v/>
      </c>
      <c r="O3994" s="17">
        <f>-(K3994*0.025+L3994*0.025)</f>
        <v/>
      </c>
      <c r="P3994" s="17">
        <f>32</f>
        <v/>
      </c>
      <c r="Q3994" s="17">
        <f>J3994+L3994+N3994+O3994-P3994-M3994</f>
        <v/>
      </c>
    </row>
    <row r="3995">
      <c r="A3995" s="16" t="inlineStr">
        <is>
          <t>5.29-6.4</t>
        </is>
      </c>
      <c r="B3995" s="16" t="inlineStr">
        <is>
          <t>PO-128-10749242056312008</t>
        </is>
      </c>
      <c r="C3995" s="16" t="inlineStr">
        <is>
          <t>Delivered</t>
        </is>
      </c>
      <c r="D3995" s="16" t="inlineStr">
        <is>
          <t>128-10749221084792008</t>
        </is>
      </c>
      <c r="E3995" s="16" t="inlineStr">
        <is>
          <t>Delivered</t>
        </is>
      </c>
      <c r="F3995" s="16" t="inlineStr">
        <is>
          <t>LV54W25</t>
        </is>
      </c>
      <c r="G3995" s="16" t="inlineStr">
        <is>
          <t>TIANLAI Lámpara Ventilador E27 2 en 1, Silenciosa, LED Alta Luminosidad 180°, Instalación Rápida, Ahorro Energético para Dormitorio y Interiores Pequeños</t>
        </is>
      </c>
      <c r="H3995" s="16" t="inlineStr">
        <is>
          <t>1 Pieza</t>
        </is>
      </c>
      <c r="I3995" s="16" t="n">
        <v>1</v>
      </c>
      <c r="J3995" s="17" t="n">
        <v>74</v>
      </c>
      <c r="K3995" s="17" t="n">
        <v>77.12</v>
      </c>
      <c r="L3995" s="17" t="n">
        <v>25.86</v>
      </c>
      <c r="M3995" s="17" t="n">
        <v>0</v>
      </c>
      <c r="N3995" s="17">
        <f>K3995*0.08+L3995*0.08</f>
        <v/>
      </c>
      <c r="O3995" s="17">
        <f>-(K3995*0.025+L3995*0.025)</f>
        <v/>
      </c>
      <c r="P3995" s="17">
        <f>32</f>
        <v/>
      </c>
      <c r="Q3995" s="17">
        <f>J3995+L3995+N3995+O3995-P3995-M3995</f>
        <v/>
      </c>
    </row>
    <row r="3996">
      <c r="A3996" s="16" t="inlineStr">
        <is>
          <t>5.29-6.4</t>
        </is>
      </c>
      <c r="B3996" s="16" t="inlineStr">
        <is>
          <t>PO-128-10744760750711973</t>
        </is>
      </c>
      <c r="C3996" s="16" t="inlineStr">
        <is>
          <t>Delivered</t>
        </is>
      </c>
      <c r="D3996" s="16" t="inlineStr">
        <is>
          <t>128-10744718807671973</t>
        </is>
      </c>
      <c r="E3996" s="16" t="inlineStr">
        <is>
          <t>Delivered</t>
        </is>
      </c>
      <c r="F3996" s="16" t="inlineStr">
        <is>
          <t>VB349T</t>
        </is>
      </c>
      <c r="G3996" s="16" t="inlineStr">
        <is>
          <t>LINKBITS Altavoz Portátil de Doble Altavoz - 3 Pulgadas, Sonido HD, Emparejamiento Rápido de Bluetooth, Conectividad TWS, Reproducción Multimodo (Micro SD/USB/Radio FM) - Perfecto para Oficina, Viajes y Espacios Pequeños</t>
        </is>
      </c>
      <c r="H3996" s="16" t="inlineStr">
        <is>
          <t>NEGRO</t>
        </is>
      </c>
      <c r="I3996" s="16" t="n">
        <v>1</v>
      </c>
      <c r="J3996" s="17" t="n">
        <v>80</v>
      </c>
      <c r="K3996" s="17" t="n">
        <v>74.61</v>
      </c>
      <c r="L3996" s="17" t="n">
        <v>25.86</v>
      </c>
      <c r="M3996" s="17" t="n">
        <v>0</v>
      </c>
      <c r="N3996" s="17">
        <f>K3996*0.08+L3996*0.08</f>
        <v/>
      </c>
      <c r="O3996" s="17">
        <f>-(K3996*0.025+L3996*0.025)</f>
        <v/>
      </c>
      <c r="P3996" s="17">
        <f>32</f>
        <v/>
      </c>
      <c r="Q3996" s="17">
        <f>J3996+L3996+N3996+O3996-P3996-M3996</f>
        <v/>
      </c>
    </row>
    <row r="3997">
      <c r="A3997" s="16" t="inlineStr">
        <is>
          <t>5.29-6.4</t>
        </is>
      </c>
      <c r="B3997" s="16" t="inlineStr">
        <is>
          <t>PO-128-10538573581432240</t>
        </is>
      </c>
      <c r="C3997" s="16" t="inlineStr">
        <is>
          <t>Delivered</t>
        </is>
      </c>
      <c r="D3997" s="16" t="inlineStr">
        <is>
          <t>128-10538531638392240</t>
        </is>
      </c>
      <c r="E3997" s="16" t="inlineStr">
        <is>
          <t>Delivered</t>
        </is>
      </c>
      <c r="F3997" s="16" t="inlineStr">
        <is>
          <t>LV64W25</t>
        </is>
      </c>
      <c r="G399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97" s="16" t="inlineStr">
        <is>
          <t>Blanco</t>
        </is>
      </c>
      <c r="I3997" s="16" t="n">
        <v>4</v>
      </c>
      <c r="J3997" s="17" t="n">
        <v>500</v>
      </c>
      <c r="K3997" s="17" t="n">
        <v>573.04</v>
      </c>
      <c r="L3997" s="17" t="n">
        <v>0</v>
      </c>
      <c r="M3997" s="17" t="n">
        <v>0</v>
      </c>
      <c r="N3997" s="17">
        <f>K3997*0.08+L3997*0.08</f>
        <v/>
      </c>
      <c r="O3997" s="17">
        <f>-(K3997*0.025+L3997*0.025)</f>
        <v/>
      </c>
      <c r="P3997" s="17">
        <f>32</f>
        <v/>
      </c>
      <c r="Q3997" s="17">
        <f>J3997+L3997+N3997+O3997-P3997-M3997</f>
        <v/>
      </c>
    </row>
    <row r="3998">
      <c r="A3998" s="16" t="inlineStr">
        <is>
          <t>5.29-6.4</t>
        </is>
      </c>
      <c r="B3998" s="16" t="inlineStr">
        <is>
          <t>PO-128-10700246784631212</t>
        </is>
      </c>
      <c r="C3998" s="16" t="inlineStr">
        <is>
          <t>Delivered</t>
        </is>
      </c>
      <c r="D3998" s="16" t="inlineStr">
        <is>
          <t>128-10700309699191212</t>
        </is>
      </c>
      <c r="E3998" s="16" t="inlineStr">
        <is>
          <t>Delivered</t>
        </is>
      </c>
      <c r="F3998" s="16" t="inlineStr">
        <is>
          <t>LV64W25</t>
        </is>
      </c>
      <c r="G399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3998" s="16" t="inlineStr">
        <is>
          <t>Blanco</t>
        </is>
      </c>
      <c r="I3998" s="16" t="n">
        <v>1</v>
      </c>
      <c r="J3998" s="17" t="n">
        <v>125</v>
      </c>
      <c r="K3998" s="17" t="n">
        <v>116.29</v>
      </c>
      <c r="L3998" s="17" t="n">
        <v>16.19</v>
      </c>
      <c r="M3998" s="17" t="n">
        <v>0</v>
      </c>
      <c r="N3998" s="17">
        <f>K3998*0.08+L3998*0.08</f>
        <v/>
      </c>
      <c r="O3998" s="17">
        <f>-(K3998*0.025+L3998*0.025)</f>
        <v/>
      </c>
      <c r="P3998" s="17">
        <f>32</f>
        <v/>
      </c>
      <c r="Q3998" s="17">
        <f>J3998+L3998+N3998+O3998-P3998-M3998</f>
        <v/>
      </c>
    </row>
    <row r="3999">
      <c r="A3999" s="16" t="inlineStr">
        <is>
          <t>5.29-6.4</t>
        </is>
      </c>
      <c r="B3999" s="16" t="inlineStr">
        <is>
          <t>PO-128-10700246784631212</t>
        </is>
      </c>
      <c r="C3999" s="16" t="inlineStr">
        <is>
          <t>Delivered</t>
        </is>
      </c>
      <c r="D3999" s="16" t="inlineStr">
        <is>
          <t>128-10700288727671212</t>
        </is>
      </c>
      <c r="E3999" s="16" t="inlineStr">
        <is>
          <t>Delivered</t>
        </is>
      </c>
      <c r="F3999" s="16" t="inlineStr">
        <is>
          <t>LV54W25</t>
        </is>
      </c>
      <c r="G3999" s="16" t="inlineStr">
        <is>
          <t>TIANLAI Lámpara Ventilador E27 2 en 1, Silenciosa, LED Alta Luminosidad 180°, Instalación Rápida, Ahorro Energético para Dormitorio y Interiores Pequeños</t>
        </is>
      </c>
      <c r="H3999" s="16" t="inlineStr">
        <is>
          <t>1 Pieza</t>
        </is>
      </c>
      <c r="I3999" s="16" t="n">
        <v>1</v>
      </c>
      <c r="J3999" s="17" t="n">
        <v>74</v>
      </c>
      <c r="K3999" s="17" t="n">
        <v>69.54000000000001</v>
      </c>
      <c r="L3999" s="17" t="n">
        <v>9.67</v>
      </c>
      <c r="M3999" s="17" t="n">
        <v>0</v>
      </c>
      <c r="N3999" s="17">
        <f>K3999*0.08+L3999*0.08</f>
        <v/>
      </c>
      <c r="O3999" s="17">
        <f>-(K3999*0.025+L3999*0.025)</f>
        <v/>
      </c>
      <c r="P3999" s="17">
        <f>32</f>
        <v/>
      </c>
      <c r="Q3999" s="17">
        <f>J3999+L3999+N3999+O3999-P3999-M3999</f>
        <v/>
      </c>
    </row>
    <row r="4000">
      <c r="A4000" s="16" t="inlineStr">
        <is>
          <t>5.29-6.4</t>
        </is>
      </c>
      <c r="B4000" s="16" t="inlineStr">
        <is>
          <t>PO-128-10436323303033939</t>
        </is>
      </c>
      <c r="C4000" s="16" t="inlineStr">
        <is>
          <t>Delivered</t>
        </is>
      </c>
      <c r="D4000" s="16" t="inlineStr">
        <is>
          <t>128-10436291845753939</t>
        </is>
      </c>
      <c r="E4000" s="16" t="inlineStr">
        <is>
          <t>Delivered</t>
        </is>
      </c>
      <c r="F4000" s="16" t="inlineStr">
        <is>
          <t>EM12W12</t>
        </is>
      </c>
      <c r="G4000" s="16" t="inlineStr">
        <is>
          <t>TIANLAI Lámpara Solar de Emergencia, 1pc 960lm IP4 5 Modos con SOS, Recargable USB+Solar con Gancho, Linterna Portátil para Camping Hogar Senderismo Pesca</t>
        </is>
      </c>
      <c r="H4000" s="16" t="inlineStr">
        <is>
          <t>BLANCO</t>
        </is>
      </c>
      <c r="I4000" s="16" t="n">
        <v>1</v>
      </c>
      <c r="J4000" s="17" t="n">
        <v>75.2</v>
      </c>
      <c r="K4000" s="17" t="n">
        <v>99.78</v>
      </c>
      <c r="L4000" s="17" t="n">
        <v>25.86</v>
      </c>
      <c r="M4000" s="17" t="n">
        <v>0</v>
      </c>
      <c r="N4000" s="17">
        <f>K4000*0.08+L4000*0.08</f>
        <v/>
      </c>
      <c r="O4000" s="17">
        <f>-(K4000*0.025+L4000*0.025)</f>
        <v/>
      </c>
      <c r="P4000" s="17">
        <f>32</f>
        <v/>
      </c>
      <c r="Q4000" s="17">
        <f>J4000+L4000+N4000+O4000-P4000-M4000</f>
        <v/>
      </c>
    </row>
    <row r="4001">
      <c r="A4001" s="16" t="inlineStr">
        <is>
          <t>5.29-6.4</t>
        </is>
      </c>
      <c r="B4001" s="16" t="inlineStr">
        <is>
          <t>PO-128-10350165445753429</t>
        </is>
      </c>
      <c r="C4001" s="16" t="inlineStr">
        <is>
          <t>Delivered</t>
        </is>
      </c>
      <c r="D4001" s="16" t="inlineStr">
        <is>
          <t>128-10350123502713429</t>
        </is>
      </c>
      <c r="E4001" s="16" t="inlineStr">
        <is>
          <t>Delivered</t>
        </is>
      </c>
      <c r="F4001" s="16" t="inlineStr">
        <is>
          <t>LV64W25</t>
        </is>
      </c>
      <c r="G400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01" s="16" t="inlineStr">
        <is>
          <t>Blanco</t>
        </is>
      </c>
      <c r="I4001" s="16" t="n">
        <v>1</v>
      </c>
      <c r="J4001" s="17" t="n">
        <v>125</v>
      </c>
      <c r="K4001" s="17" t="n">
        <v>103.16</v>
      </c>
      <c r="L4001" s="17" t="n">
        <v>25.86</v>
      </c>
      <c r="M4001" s="17" t="n">
        <v>0</v>
      </c>
      <c r="N4001" s="17">
        <f>K4001*0.08+L4001*0.08</f>
        <v/>
      </c>
      <c r="O4001" s="17">
        <f>-(K4001*0.025+L4001*0.025)</f>
        <v/>
      </c>
      <c r="P4001" s="17">
        <f>32</f>
        <v/>
      </c>
      <c r="Q4001" s="17">
        <f>J4001+L4001+N4001+O4001-P4001-M4001</f>
        <v/>
      </c>
    </row>
    <row r="4002">
      <c r="A4002" s="16" t="inlineStr">
        <is>
          <t>5.29-6.4</t>
        </is>
      </c>
      <c r="B4002" s="16" t="inlineStr">
        <is>
          <t>PO-128-10659112382071459</t>
        </is>
      </c>
      <c r="C4002" s="16" t="inlineStr">
        <is>
          <t>Delivered</t>
        </is>
      </c>
      <c r="D4002" s="16" t="inlineStr">
        <is>
          <t>128-10659097964151459</t>
        </is>
      </c>
      <c r="E4002" s="16" t="inlineStr">
        <is>
          <t>Delivered</t>
        </is>
      </c>
      <c r="F4002" s="16" t="inlineStr">
        <is>
          <t>KTS-2031</t>
        </is>
      </c>
      <c r="G4002" s="16" t="inlineStr">
        <is>
          <t>Bocina inalámbrica de 3 pulgadas con linterna multifuncional y panel solar integrado.Altavoz Portátil con Linterna LED 4 Modos, Radio FM, Bluetooth, Carga Solar, Ideal para Apagones, Emergencias, Campo y Exteriores</t>
        </is>
      </c>
      <c r="H4002" s="16" t="inlineStr">
        <is>
          <t>NEGRO</t>
        </is>
      </c>
      <c r="I4002" s="16" t="n">
        <v>1</v>
      </c>
      <c r="J4002" s="17" t="n">
        <v>90</v>
      </c>
      <c r="K4002" s="17" t="n">
        <v>95.33</v>
      </c>
      <c r="L4002" s="17" t="n">
        <v>25.86</v>
      </c>
      <c r="M4002" s="17" t="n">
        <v>0</v>
      </c>
      <c r="N4002" s="17">
        <f>K4002*0.08+L4002*0.08</f>
        <v/>
      </c>
      <c r="O4002" s="17">
        <f>-(K4002*0.025+L4002*0.025)</f>
        <v/>
      </c>
      <c r="P4002" s="17">
        <f>32</f>
        <v/>
      </c>
      <c r="Q4002" s="17">
        <f>J4002+L4002+N4002+O4002-P4002-M4002</f>
        <v/>
      </c>
    </row>
    <row r="4003">
      <c r="A4003" s="16" t="inlineStr">
        <is>
          <t>5.29-6.4</t>
        </is>
      </c>
      <c r="B4003" s="16" t="inlineStr">
        <is>
          <t>PO-128-10507400392312362</t>
        </is>
      </c>
      <c r="C4003" s="16" t="inlineStr">
        <is>
          <t>Delivered</t>
        </is>
      </c>
      <c r="D4003" s="16" t="inlineStr">
        <is>
          <t>128-10507389906552362</t>
        </is>
      </c>
      <c r="E4003" s="16" t="inlineStr">
        <is>
          <t>Delivered</t>
        </is>
      </c>
      <c r="F4003" s="16" t="inlineStr">
        <is>
          <t>TLCD02-8P-N</t>
        </is>
      </c>
      <c r="G400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03" s="16" t="inlineStr">
        <is>
          <t>NEGRO/pantalla de 8.5 pulgadas</t>
        </is>
      </c>
      <c r="I4003" s="16" t="n">
        <v>4</v>
      </c>
      <c r="J4003" s="17" t="n">
        <v>100</v>
      </c>
      <c r="K4003" s="17" t="n">
        <v>120.68</v>
      </c>
      <c r="L4003" s="17" t="n">
        <v>25.88</v>
      </c>
      <c r="M4003" s="17" t="n">
        <v>0</v>
      </c>
      <c r="N4003" s="17">
        <f>K4003*0.08+L4003*0.08</f>
        <v/>
      </c>
      <c r="O4003" s="17">
        <f>-(K4003*0.025+L4003*0.025)</f>
        <v/>
      </c>
      <c r="P4003" s="17">
        <f>32</f>
        <v/>
      </c>
      <c r="Q4003" s="17">
        <f>J4003+L4003+N4003+O4003-P4003-M4003</f>
        <v/>
      </c>
    </row>
    <row r="4004">
      <c r="A4004" s="16" t="inlineStr">
        <is>
          <t>5.29-6.4</t>
        </is>
      </c>
      <c r="B4004" s="16" t="inlineStr">
        <is>
          <t>PO-128-10506539584632305</t>
        </is>
      </c>
      <c r="C4004" s="16" t="inlineStr">
        <is>
          <t>Delivered</t>
        </is>
      </c>
      <c r="D4004" s="16" t="inlineStr">
        <is>
          <t>128-10506550070392305</t>
        </is>
      </c>
      <c r="E4004" s="16" t="inlineStr">
        <is>
          <t>Delivered</t>
        </is>
      </c>
      <c r="F4004" s="16" t="inlineStr">
        <is>
          <t>LV64W25</t>
        </is>
      </c>
      <c r="G400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04" s="16" t="inlineStr">
        <is>
          <t>Blanco</t>
        </is>
      </c>
      <c r="I4004" s="16" t="n">
        <v>2</v>
      </c>
      <c r="J4004" s="17" t="n">
        <v>250</v>
      </c>
      <c r="K4004" s="17" t="n">
        <v>257.88</v>
      </c>
      <c r="L4004" s="17" t="n">
        <v>0</v>
      </c>
      <c r="M4004" s="17" t="n">
        <v>0</v>
      </c>
      <c r="N4004" s="17">
        <f>K4004*0.08+L4004*0.08</f>
        <v/>
      </c>
      <c r="O4004" s="17">
        <f>-(K4004*0.025+L4004*0.025)</f>
        <v/>
      </c>
      <c r="P4004" s="17">
        <f>32</f>
        <v/>
      </c>
      <c r="Q4004" s="17">
        <f>J4004+L4004+N4004+O4004-P4004-M4004</f>
        <v/>
      </c>
    </row>
    <row r="4005">
      <c r="A4005" s="16" t="inlineStr">
        <is>
          <t>5.29-6.4</t>
        </is>
      </c>
      <c r="B4005" s="16" t="inlineStr">
        <is>
          <t>PO-128-10383789645433162</t>
        </is>
      </c>
      <c r="C4005" s="16" t="inlineStr">
        <is>
          <t>Delivered</t>
        </is>
      </c>
      <c r="D4005" s="16" t="inlineStr">
        <is>
          <t>128-10383768673913162</t>
        </is>
      </c>
      <c r="E4005" s="16" t="inlineStr">
        <is>
          <t>Delivered</t>
        </is>
      </c>
      <c r="F4005" s="16" t="inlineStr">
        <is>
          <t>i12-B</t>
        </is>
      </c>
      <c r="G4005" s="16" t="inlineStr">
        <is>
          <t>Auriculares Inalámbricos TWS - Ideales para Usuarios Android e iPhone, Entusiastas del Deporte &amp; Música, Controles Táctiles, Audífonos Para Correr y Jugar</t>
        </is>
      </c>
      <c r="H4005" s="16" t="inlineStr">
        <is>
          <t>Blanco</t>
        </is>
      </c>
      <c r="I4005" s="16" t="n">
        <v>1</v>
      </c>
      <c r="J4005" s="17" t="n">
        <v>45.8</v>
      </c>
      <c r="K4005" s="17" t="n">
        <v>61.03</v>
      </c>
      <c r="L4005" s="17" t="n">
        <v>0</v>
      </c>
      <c r="M4005" s="17" t="n">
        <v>61.03</v>
      </c>
      <c r="N4005" s="17">
        <f>K4005*0.08+L4005*0.08</f>
        <v/>
      </c>
      <c r="O4005" s="17">
        <f>-(K4005*0.025+L4005*0.025)</f>
        <v/>
      </c>
      <c r="P4005" s="17">
        <f>32</f>
        <v/>
      </c>
      <c r="Q4005" s="17">
        <f>J4005+L4005+N4005+O4005-P4005-M4005</f>
        <v/>
      </c>
    </row>
    <row r="4006">
      <c r="A4006" s="16" t="inlineStr">
        <is>
          <t>5.29-6.4</t>
        </is>
      </c>
      <c r="B4006" s="16" t="inlineStr">
        <is>
          <t>PO-128-10852084616310309</t>
        </is>
      </c>
      <c r="C4006" s="16" t="inlineStr">
        <is>
          <t>Delivered</t>
        </is>
      </c>
      <c r="D4006" s="16" t="inlineStr">
        <is>
          <t>128-10852063644790309</t>
        </is>
      </c>
      <c r="E4006" s="16" t="inlineStr">
        <is>
          <t>Delivered</t>
        </is>
      </c>
      <c r="F4006" s="16" t="inlineStr">
        <is>
          <t>LV64W25</t>
        </is>
      </c>
      <c r="G40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06" s="16" t="inlineStr">
        <is>
          <t>Blanco</t>
        </is>
      </c>
      <c r="I4006" s="16" t="n">
        <v>1</v>
      </c>
      <c r="J4006" s="17" t="n">
        <v>125</v>
      </c>
      <c r="K4006" s="17" t="n">
        <v>103.16</v>
      </c>
      <c r="L4006" s="17" t="n">
        <v>25.86</v>
      </c>
      <c r="M4006" s="17" t="n">
        <v>0</v>
      </c>
      <c r="N4006" s="17">
        <f>K4006*0.08+L4006*0.08</f>
        <v/>
      </c>
      <c r="O4006" s="17">
        <f>-(K4006*0.025+L4006*0.025)</f>
        <v/>
      </c>
      <c r="P4006" s="17">
        <f>32</f>
        <v/>
      </c>
      <c r="Q4006" s="17">
        <f>J4006+L4006+N4006+O4006-P4006-M4006</f>
        <v/>
      </c>
    </row>
    <row r="4007">
      <c r="A4007" s="16" t="inlineStr">
        <is>
          <t>5.29-6.4</t>
        </is>
      </c>
      <c r="B4007" s="16" t="inlineStr">
        <is>
          <t>PO-128-10801669694071760</t>
        </is>
      </c>
      <c r="C4007" s="16" t="inlineStr">
        <is>
          <t>Delivered</t>
        </is>
      </c>
      <c r="D4007" s="16" t="inlineStr">
        <is>
          <t>128-10801627751031760</t>
        </is>
      </c>
      <c r="E4007" s="16" t="inlineStr">
        <is>
          <t>Delivered</t>
        </is>
      </c>
      <c r="F4007" s="16" t="inlineStr">
        <is>
          <t>LV64W25</t>
        </is>
      </c>
      <c r="G40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07" s="16" t="inlineStr">
        <is>
          <t>Blanco</t>
        </is>
      </c>
      <c r="I4007" s="16" t="n">
        <v>4</v>
      </c>
      <c r="J4007" s="17" t="n">
        <v>500</v>
      </c>
      <c r="K4007" s="17" t="n">
        <v>515.76</v>
      </c>
      <c r="L4007" s="17" t="n">
        <v>0</v>
      </c>
      <c r="M4007" s="17" t="n">
        <v>21.64</v>
      </c>
      <c r="N4007" s="17">
        <f>K4007*0.08+L4007*0.08</f>
        <v/>
      </c>
      <c r="O4007" s="17">
        <f>-(K4007*0.025+L4007*0.025)</f>
        <v/>
      </c>
      <c r="P4007" s="17">
        <f>32</f>
        <v/>
      </c>
      <c r="Q4007" s="17">
        <f>J4007+L4007+N4007+O4007-P4007-M4007</f>
        <v/>
      </c>
    </row>
    <row r="4008">
      <c r="A4008" s="16" t="inlineStr">
        <is>
          <t>5.29-6.4</t>
        </is>
      </c>
      <c r="B4008" s="16" t="inlineStr">
        <is>
          <t>PO-128-10564165054072153</t>
        </is>
      </c>
      <c r="C4008" s="16" t="inlineStr">
        <is>
          <t>Delivered</t>
        </is>
      </c>
      <c r="D4008" s="16" t="inlineStr">
        <is>
          <t>128-10564175539832153</t>
        </is>
      </c>
      <c r="E4008" s="16" t="inlineStr">
        <is>
          <t>Delivered</t>
        </is>
      </c>
      <c r="F4008" s="16" t="inlineStr">
        <is>
          <t>LV54W25</t>
        </is>
      </c>
      <c r="G4008" s="16" t="inlineStr">
        <is>
          <t>TIANLAI Lámpara Ventilador E27 2 en 1, Silenciosa, LED Alta Luminosidad 180°, Instalación Rápida, Ahorro Energético para Dormitorio y Interiores Pequeños</t>
        </is>
      </c>
      <c r="H4008" s="16" t="inlineStr">
        <is>
          <t>1 Pieza</t>
        </is>
      </c>
      <c r="I4008" s="16" t="n">
        <v>1</v>
      </c>
      <c r="J4008" s="17" t="n">
        <v>74</v>
      </c>
      <c r="K4008" s="17" t="n">
        <v>85.68000000000001</v>
      </c>
      <c r="L4008" s="17" t="n">
        <v>25.86</v>
      </c>
      <c r="M4008" s="17" t="n">
        <v>0</v>
      </c>
      <c r="N4008" s="17">
        <f>K4008*0.08+L4008*0.08</f>
        <v/>
      </c>
      <c r="O4008" s="17">
        <f>-(K4008*0.025+L4008*0.025)</f>
        <v/>
      </c>
      <c r="P4008" s="17">
        <f>32</f>
        <v/>
      </c>
      <c r="Q4008" s="17">
        <f>J4008+L4008+N4008+O4008-P4008-M4008</f>
        <v/>
      </c>
    </row>
    <row r="4009">
      <c r="A4009" s="16" t="inlineStr">
        <is>
          <t>5.29-6.4</t>
        </is>
      </c>
      <c r="B4009" s="16" t="inlineStr">
        <is>
          <t>PO-128-10451010253433786</t>
        </is>
      </c>
      <c r="C4009" s="16" t="inlineStr">
        <is>
          <t>Delivered</t>
        </is>
      </c>
      <c r="D4009" s="16" t="inlineStr">
        <is>
          <t>128-10450989281913786</t>
        </is>
      </c>
      <c r="E4009" s="16" t="inlineStr">
        <is>
          <t>Delivered</t>
        </is>
      </c>
      <c r="F4009" s="16" t="inlineStr">
        <is>
          <t>TLCD01-4P-nN</t>
        </is>
      </c>
      <c r="G400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09" s="16" t="inlineStr">
        <is>
          <t>NEGRO/pantalla de 4.5 pulgadas</t>
        </is>
      </c>
      <c r="I4009" s="16" t="n">
        <v>1</v>
      </c>
      <c r="J4009" s="17" t="n">
        <v>20</v>
      </c>
      <c r="K4009" s="17" t="n">
        <v>4.1</v>
      </c>
      <c r="L4009" s="17" t="n">
        <v>25.86</v>
      </c>
      <c r="M4009" s="17" t="n">
        <v>0</v>
      </c>
      <c r="N4009" s="17">
        <f>K4009*0.08+L4009*0.08</f>
        <v/>
      </c>
      <c r="O4009" s="17">
        <f>-(K4009*0.025+L4009*0.025)</f>
        <v/>
      </c>
      <c r="P4009" s="17">
        <f>32</f>
        <v/>
      </c>
      <c r="Q4009" s="17">
        <f>J4009+L4009+N4009+O4009-P4009-M4009</f>
        <v/>
      </c>
    </row>
    <row r="4010">
      <c r="A4010" s="16" t="inlineStr">
        <is>
          <t>5.29-6.4</t>
        </is>
      </c>
      <c r="B4010" s="16" t="inlineStr">
        <is>
          <t>PO-128-10513680471672388</t>
        </is>
      </c>
      <c r="C4010" s="16" t="inlineStr">
        <is>
          <t>Delivered</t>
        </is>
      </c>
      <c r="D4010" s="16" t="inlineStr">
        <is>
          <t>128-10513722414712388</t>
        </is>
      </c>
      <c r="E4010" s="16" t="inlineStr">
        <is>
          <t>Delivered</t>
        </is>
      </c>
      <c r="F4010" s="16" t="inlineStr">
        <is>
          <t>KTS-2031</t>
        </is>
      </c>
      <c r="G4010" s="16" t="inlineStr">
        <is>
          <t>Bocina inalámbrica de 3 pulgadas con linterna multifuncional y panel solar integrado.Altavoz Portátil con Linterna LED 4 Modos, Radio FM, Bluetooth, Carga Solar, Ideal para Apagones, Emergencias, Campo y Exteriores</t>
        </is>
      </c>
      <c r="H4010" s="16" t="inlineStr">
        <is>
          <t>NEGRO</t>
        </is>
      </c>
      <c r="I4010" s="16" t="n">
        <v>1</v>
      </c>
      <c r="J4010" s="17" t="n">
        <v>90</v>
      </c>
      <c r="K4010" s="17" t="n">
        <v>99.22</v>
      </c>
      <c r="L4010" s="17" t="n">
        <v>25.86</v>
      </c>
      <c r="M4010" s="17" t="n">
        <v>2</v>
      </c>
      <c r="N4010" s="17">
        <f>K4010*0.08+L4010*0.08</f>
        <v/>
      </c>
      <c r="O4010" s="17">
        <f>-(K4010*0.025+L4010*0.025)</f>
        <v/>
      </c>
      <c r="P4010" s="17">
        <f>32</f>
        <v/>
      </c>
      <c r="Q4010" s="17">
        <f>J4010+L4010+N4010+O4010-P4010-M4010</f>
        <v/>
      </c>
    </row>
    <row r="4011">
      <c r="A4011" s="16" t="inlineStr">
        <is>
          <t>5.29-6.4</t>
        </is>
      </c>
      <c r="B4011" s="16" t="inlineStr">
        <is>
          <t>PO-128-10629645619832787</t>
        </is>
      </c>
      <c r="C4011" s="16" t="inlineStr">
        <is>
          <t>Delivered</t>
        </is>
      </c>
      <c r="D4011" s="16" t="inlineStr">
        <is>
          <t>128-10629666591352787</t>
        </is>
      </c>
      <c r="E4011" s="16" t="inlineStr">
        <is>
          <t>Delivered</t>
        </is>
      </c>
      <c r="F4011" s="16" t="inlineStr">
        <is>
          <t>TLCD06-12P-N</t>
        </is>
      </c>
      <c r="G401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11" s="16" t="inlineStr">
        <is>
          <t>NEGRO/pantalla de 12 pulgadas</t>
        </is>
      </c>
      <c r="I4011" s="16" t="n">
        <v>1</v>
      </c>
      <c r="J4011" s="17" t="n">
        <v>32</v>
      </c>
      <c r="K4011" s="17" t="n">
        <v>44.01</v>
      </c>
      <c r="L4011" s="17" t="n">
        <v>25.86</v>
      </c>
      <c r="M4011" s="17" t="n">
        <v>0</v>
      </c>
      <c r="N4011" s="17">
        <f>K4011*0.08+L4011*0.08</f>
        <v/>
      </c>
      <c r="O4011" s="17">
        <f>-(K4011*0.025+L4011*0.025)</f>
        <v/>
      </c>
      <c r="P4011" s="17">
        <f>32</f>
        <v/>
      </c>
      <c r="Q4011" s="17">
        <f>J4011+L4011+N4011+O4011-P4011-M4011</f>
        <v/>
      </c>
    </row>
    <row r="4012">
      <c r="A4012" s="16" t="inlineStr">
        <is>
          <t>5.29-6.4</t>
        </is>
      </c>
      <c r="B4012" s="16" t="inlineStr">
        <is>
          <t>PO-128-10965774080630719</t>
        </is>
      </c>
      <c r="C4012" s="16" t="inlineStr">
        <is>
          <t>Delivered</t>
        </is>
      </c>
      <c r="D4012" s="16" t="inlineStr">
        <is>
          <t>128-10965784566390719</t>
        </is>
      </c>
      <c r="E4012" s="16" t="inlineStr">
        <is>
          <t>Delivered</t>
        </is>
      </c>
      <c r="F4012" s="16" t="inlineStr">
        <is>
          <t>LV54W25</t>
        </is>
      </c>
      <c r="G4012" s="16" t="inlineStr">
        <is>
          <t>TIANLAI Lámpara Ventilador E27 2 en 1, Silenciosa, LED Alta Luminosidad 180°, Instalación Rápida, Ahorro Energético para Dormitorio y Interiores Pequeños</t>
        </is>
      </c>
      <c r="H4012" s="16" t="inlineStr">
        <is>
          <t>1 Pieza</t>
        </is>
      </c>
      <c r="I4012" s="16" t="n">
        <v>4</v>
      </c>
      <c r="J4012" s="17" t="n">
        <v>296</v>
      </c>
      <c r="K4012" s="17" t="n">
        <v>308.48</v>
      </c>
      <c r="L4012" s="17" t="n">
        <v>0</v>
      </c>
      <c r="M4012" s="17" t="n">
        <v>0</v>
      </c>
      <c r="N4012" s="17">
        <f>K4012*0.08+L4012*0.08</f>
        <v/>
      </c>
      <c r="O4012" s="17">
        <f>-(K4012*0.025+L4012*0.025)</f>
        <v/>
      </c>
      <c r="P4012" s="17">
        <f>32</f>
        <v/>
      </c>
      <c r="Q4012" s="17">
        <f>J4012+L4012+N4012+O4012-P4012-M4012</f>
        <v/>
      </c>
    </row>
    <row r="4013">
      <c r="A4013" s="16" t="inlineStr">
        <is>
          <t>5.29-6.4</t>
        </is>
      </c>
      <c r="B4013" s="16" t="inlineStr">
        <is>
          <t>PO-128-10925832141431021</t>
        </is>
      </c>
      <c r="C4013" s="16" t="inlineStr">
        <is>
          <t>Delivered</t>
        </is>
      </c>
      <c r="D4013" s="16" t="inlineStr">
        <is>
          <t>128-10925984184951021</t>
        </is>
      </c>
      <c r="E4013" s="16" t="inlineStr">
        <is>
          <t>Delivered</t>
        </is>
      </c>
      <c r="F4013" s="16" t="inlineStr">
        <is>
          <t>KTS-2031</t>
        </is>
      </c>
      <c r="G4013" s="16" t="inlineStr">
        <is>
          <t>Bocina inalámbrica de 3 pulgadas con linterna multifuncional y panel solar integrado.Altavoz Portátil con Linterna LED 4 Modos, Radio FM, Bluetooth, Carga Solar, Ideal para Apagones, Emergencias, Campo y Exteriores</t>
        </is>
      </c>
      <c r="H4013" s="16" t="inlineStr">
        <is>
          <t>NEGRO</t>
        </is>
      </c>
      <c r="I4013" s="16" t="n">
        <v>1</v>
      </c>
      <c r="J4013" s="17" t="n">
        <v>90</v>
      </c>
      <c r="K4013" s="17" t="n">
        <v>16.46</v>
      </c>
      <c r="L4013" s="17" t="n">
        <v>25.86</v>
      </c>
      <c r="M4013" s="17" t="n">
        <v>0</v>
      </c>
      <c r="N4013" s="17">
        <f>K4013*0.08+L4013*0.08</f>
        <v/>
      </c>
      <c r="O4013" s="17">
        <f>-(K4013*0.025+L4013*0.025)</f>
        <v/>
      </c>
      <c r="P4013" s="17">
        <f>32</f>
        <v/>
      </c>
      <c r="Q4013" s="17">
        <f>J4013+L4013+N4013+O4013-P4013-M4013</f>
        <v/>
      </c>
    </row>
    <row r="4014">
      <c r="A4014" s="16" t="inlineStr">
        <is>
          <t>5.29-6.4</t>
        </is>
      </c>
      <c r="B4014" s="16" t="inlineStr">
        <is>
          <t>PO-128-10727099305591116</t>
        </is>
      </c>
      <c r="C4014" s="16" t="inlineStr">
        <is>
          <t>Delivered</t>
        </is>
      </c>
      <c r="D4014" s="16" t="inlineStr">
        <is>
          <t>128-10727078334071116</t>
        </is>
      </c>
      <c r="E4014" s="16" t="inlineStr">
        <is>
          <t>Delivered</t>
        </is>
      </c>
      <c r="F4014" s="16" t="inlineStr">
        <is>
          <t>LV54W25</t>
        </is>
      </c>
      <c r="G4014" s="16" t="inlineStr">
        <is>
          <t>TIANLAI Lámpara Ventilador E27 2 en 1, Silenciosa, LED Alta Luminosidad 180°, Instalación Rápida, Ahorro Energético para Dormitorio y Interiores Pequeños</t>
        </is>
      </c>
      <c r="H4014" s="16" t="inlineStr">
        <is>
          <t>1 Pieza</t>
        </is>
      </c>
      <c r="I4014" s="16" t="n">
        <v>2</v>
      </c>
      <c r="J4014" s="17" t="n">
        <v>148</v>
      </c>
      <c r="K4014" s="17" t="n">
        <v>152.52</v>
      </c>
      <c r="L4014" s="17" t="n">
        <v>25.86</v>
      </c>
      <c r="M4014" s="17" t="n">
        <v>0</v>
      </c>
      <c r="N4014" s="17">
        <f>K4014*0.08+L4014*0.08</f>
        <v/>
      </c>
      <c r="O4014" s="17">
        <f>-(K4014*0.025+L4014*0.025)</f>
        <v/>
      </c>
      <c r="P4014" s="17">
        <f>32</f>
        <v/>
      </c>
      <c r="Q4014" s="17">
        <f>J4014+L4014+N4014+O4014-P4014-M4014</f>
        <v/>
      </c>
    </row>
    <row r="4015">
      <c r="A4015" s="16" t="inlineStr">
        <is>
          <t>5.29-6.4</t>
        </is>
      </c>
      <c r="B4015" s="16" t="inlineStr">
        <is>
          <t>PO-128-10382641623673107</t>
        </is>
      </c>
      <c r="C4015" s="16" t="inlineStr">
        <is>
          <t>Delivered</t>
        </is>
      </c>
      <c r="D4015" s="16" t="inlineStr">
        <is>
          <t>128-10382610166393107</t>
        </is>
      </c>
      <c r="E4015" s="16" t="inlineStr">
        <is>
          <t>Delivered</t>
        </is>
      </c>
      <c r="F4015" s="16" t="inlineStr">
        <is>
          <t>LV54W25</t>
        </is>
      </c>
      <c r="G4015" s="16" t="inlineStr">
        <is>
          <t>TIANLAI Lámpara Ventilador E27 2 en 1, Silenciosa, LED Alta Luminosidad 180°, Instalación Rápida, Ahorro Energético para Dormitorio y Interiores Pequeños</t>
        </is>
      </c>
      <c r="H4015" s="16" t="inlineStr">
        <is>
          <t>1 Pieza</t>
        </is>
      </c>
      <c r="I4015" s="16" t="n">
        <v>2</v>
      </c>
      <c r="J4015" s="17" t="n">
        <v>148</v>
      </c>
      <c r="K4015" s="17" t="n">
        <v>152.52</v>
      </c>
      <c r="L4015" s="17" t="n">
        <v>25.86</v>
      </c>
      <c r="M4015" s="17" t="n">
        <v>0</v>
      </c>
      <c r="N4015" s="17">
        <f>K4015*0.08+L4015*0.08</f>
        <v/>
      </c>
      <c r="O4015" s="17">
        <f>-(K4015*0.025+L4015*0.025)</f>
        <v/>
      </c>
      <c r="P4015" s="17">
        <f>32</f>
        <v/>
      </c>
      <c r="Q4015" s="17">
        <f>J4015+L4015+N4015+O4015-P4015-M4015</f>
        <v/>
      </c>
    </row>
    <row r="4016">
      <c r="A4016" s="16" t="inlineStr">
        <is>
          <t>5.29-6.4</t>
        </is>
      </c>
      <c r="B4016" s="16" t="inlineStr">
        <is>
          <t>PO-128-10699950863991214</t>
        </is>
      </c>
      <c r="C4016" s="16" t="inlineStr">
        <is>
          <t>Delivered</t>
        </is>
      </c>
      <c r="D4016" s="16" t="inlineStr">
        <is>
          <t>128-10699971835511214</t>
        </is>
      </c>
      <c r="E4016" s="16" t="inlineStr">
        <is>
          <t>Delivered</t>
        </is>
      </c>
      <c r="F4016" s="16" t="inlineStr">
        <is>
          <t>TL2663N18C</t>
        </is>
      </c>
      <c r="G4016" s="16" t="inlineStr">
        <is>
          <t>Linkbits，Soporte de pared fijo para televisores de 26"-63", Ultra-Delgado Compatible con VESA 400x400mm, Capacidad de Peso Fuerte de 25KG, Instalación Fácil Sin Electricidad</t>
        </is>
      </c>
      <c r="H4016" s="16" t="inlineStr">
        <is>
          <t>NEGRO</t>
        </is>
      </c>
      <c r="I4016" s="16" t="n">
        <v>1</v>
      </c>
      <c r="J4016" s="17" t="n">
        <v>47</v>
      </c>
      <c r="K4016" s="17" t="n">
        <v>49.58</v>
      </c>
      <c r="L4016" s="17" t="n">
        <v>25.86</v>
      </c>
      <c r="M4016" s="17" t="n">
        <v>0</v>
      </c>
      <c r="N4016" s="17">
        <f>K4016*0.08+L4016*0.08</f>
        <v/>
      </c>
      <c r="O4016" s="17">
        <f>-(K4016*0.025+L4016*0.025)</f>
        <v/>
      </c>
      <c r="P4016" s="17">
        <f>32</f>
        <v/>
      </c>
      <c r="Q4016" s="17">
        <f>J4016+L4016+N4016+O4016-P4016-M4016</f>
        <v/>
      </c>
    </row>
    <row r="4017">
      <c r="A4017" s="16" t="inlineStr">
        <is>
          <t>5.29-6.4</t>
        </is>
      </c>
      <c r="B4017" s="16" t="inlineStr">
        <is>
          <t>PO-128-10753982700152044</t>
        </is>
      </c>
      <c r="C4017" s="16" t="inlineStr">
        <is>
          <t>Delivered</t>
        </is>
      </c>
      <c r="D4017" s="16" t="inlineStr">
        <is>
          <t>128-10754003671672044</t>
        </is>
      </c>
      <c r="E4017" s="16" t="inlineStr">
        <is>
          <t>Delivered</t>
        </is>
      </c>
      <c r="F4017" s="16" t="inlineStr">
        <is>
          <t>TL2663N18C</t>
        </is>
      </c>
      <c r="G4017" s="16" t="inlineStr">
        <is>
          <t>Linkbits，Soporte de pared fijo para televisores de 26"-63", Ultra-Delgado Compatible con VESA 400x400mm, Capacidad de Peso Fuerte de 25KG, Instalación Fácil Sin Electricidad</t>
        </is>
      </c>
      <c r="H4017" s="16" t="inlineStr">
        <is>
          <t>NEGRO</t>
        </is>
      </c>
      <c r="I4017" s="16" t="n">
        <v>1</v>
      </c>
      <c r="J4017" s="17" t="n">
        <v>47</v>
      </c>
      <c r="K4017" s="17" t="n">
        <v>61.97</v>
      </c>
      <c r="L4017" s="17" t="n">
        <v>25.86</v>
      </c>
      <c r="M4017" s="17" t="n">
        <v>0</v>
      </c>
      <c r="N4017" s="17">
        <f>K4017*0.08+L4017*0.08</f>
        <v/>
      </c>
      <c r="O4017" s="17">
        <f>-(K4017*0.025+L4017*0.025)</f>
        <v/>
      </c>
      <c r="P4017" s="17">
        <f>32</f>
        <v/>
      </c>
      <c r="Q4017" s="17">
        <f>J4017+L4017+N4017+O4017-P4017-M4017</f>
        <v/>
      </c>
    </row>
    <row r="4018">
      <c r="A4018" s="16" t="inlineStr">
        <is>
          <t>5.29-6.4</t>
        </is>
      </c>
      <c r="B4018" s="16" t="inlineStr">
        <is>
          <t>PO-128-10691017651831397</t>
        </is>
      </c>
      <c r="C4018" s="16" t="inlineStr">
        <is>
          <t>Delivered</t>
        </is>
      </c>
      <c r="D4018" s="16" t="inlineStr">
        <is>
          <t>128-10691059594871397</t>
        </is>
      </c>
      <c r="E4018" s="16" t="inlineStr">
        <is>
          <t>Delivered</t>
        </is>
      </c>
      <c r="F4018" s="16" t="inlineStr">
        <is>
          <t>LV54W25</t>
        </is>
      </c>
      <c r="G4018" s="16" t="inlineStr">
        <is>
          <t>TIANLAI Lámpara Ventilador E27 2 en 1, Silenciosa, LED Alta Luminosidad 180°, Instalación Rápida, Ahorro Energético para Dormitorio y Interiores Pequeños</t>
        </is>
      </c>
      <c r="H4018" s="16" t="inlineStr">
        <is>
          <t>1 Pieza</t>
        </is>
      </c>
      <c r="I4018" s="16" t="n">
        <v>2</v>
      </c>
      <c r="J4018" s="17" t="n">
        <v>148</v>
      </c>
      <c r="K4018" s="17" t="n">
        <v>129.65</v>
      </c>
      <c r="L4018" s="17" t="n">
        <v>25.86</v>
      </c>
      <c r="M4018" s="17" t="n">
        <v>0</v>
      </c>
      <c r="N4018" s="17">
        <f>K4018*0.08+L4018*0.08</f>
        <v/>
      </c>
      <c r="O4018" s="17">
        <f>-(K4018*0.025+L4018*0.025)</f>
        <v/>
      </c>
      <c r="P4018" s="17">
        <f>32</f>
        <v/>
      </c>
      <c r="Q4018" s="17">
        <f>J4018+L4018+N4018+O4018-P4018-M4018</f>
        <v/>
      </c>
    </row>
    <row r="4019">
      <c r="A4019" s="16" t="inlineStr">
        <is>
          <t>5.29-6.4</t>
        </is>
      </c>
      <c r="B4019" s="16" t="inlineStr">
        <is>
          <t>PO-128-10505411180152311</t>
        </is>
      </c>
      <c r="C4019" s="16" t="inlineStr">
        <is>
          <t>Delivered</t>
        </is>
      </c>
      <c r="D4019" s="16" t="inlineStr">
        <is>
          <t>128-10505432151672311</t>
        </is>
      </c>
      <c r="E4019" s="16" t="inlineStr">
        <is>
          <t>Delivered</t>
        </is>
      </c>
      <c r="F4019" s="16" t="inlineStr">
        <is>
          <t>LV64W25</t>
        </is>
      </c>
      <c r="G40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19" s="16" t="inlineStr">
        <is>
          <t>Blanco</t>
        </is>
      </c>
      <c r="I4019" s="16" t="n">
        <v>1</v>
      </c>
      <c r="J4019" s="17" t="n">
        <v>125</v>
      </c>
      <c r="K4019" s="17" t="n">
        <v>121.78</v>
      </c>
      <c r="L4019" s="17" t="n">
        <v>25.86</v>
      </c>
      <c r="M4019" s="17" t="n">
        <v>0</v>
      </c>
      <c r="N4019" s="17">
        <f>K4019*0.08+L4019*0.08</f>
        <v/>
      </c>
      <c r="O4019" s="17">
        <f>-(K4019*0.025+L4019*0.025)</f>
        <v/>
      </c>
      <c r="P4019" s="17">
        <f>32</f>
        <v/>
      </c>
      <c r="Q4019" s="17">
        <f>J4019+L4019+N4019+O4019-P4019-M4019</f>
        <v/>
      </c>
    </row>
    <row r="4020">
      <c r="A4020" s="16" t="inlineStr">
        <is>
          <t>5.29-6.4</t>
        </is>
      </c>
      <c r="B4020" s="16" t="inlineStr">
        <is>
          <t>PO-128-10519168236152421</t>
        </is>
      </c>
      <c r="C4020" s="16" t="inlineStr">
        <is>
          <t>Delivered</t>
        </is>
      </c>
      <c r="D4020" s="16" t="inlineStr">
        <is>
          <t>128-10519167253112421</t>
        </is>
      </c>
      <c r="E4020" s="16" t="inlineStr">
        <is>
          <t>Delivered</t>
        </is>
      </c>
      <c r="F4020" s="16" t="inlineStr">
        <is>
          <t>KTS-2031</t>
        </is>
      </c>
      <c r="G4020" s="16" t="inlineStr">
        <is>
          <t>Bocina inalámbrica de 3 pulgadas con linterna multifuncional y panel solar integrado.Altavoz Portátil con Linterna LED 4 Modos, Radio FM, Bluetooth, Carga Solar, Ideal para Apagones, Emergencias, Campo y Exteriores</t>
        </is>
      </c>
      <c r="H4020" s="16" t="inlineStr">
        <is>
          <t>NEGRO</t>
        </is>
      </c>
      <c r="I4020" s="16" t="n">
        <v>1</v>
      </c>
      <c r="J4020" s="17" t="n">
        <v>90</v>
      </c>
      <c r="K4020" s="17" t="n">
        <v>99.22</v>
      </c>
      <c r="L4020" s="17" t="n">
        <v>25.86</v>
      </c>
      <c r="M4020" s="17" t="n">
        <v>0</v>
      </c>
      <c r="N4020" s="17">
        <f>K4020*0.08+L4020*0.08</f>
        <v/>
      </c>
      <c r="O4020" s="17">
        <f>-(K4020*0.025+L4020*0.025)</f>
        <v/>
      </c>
      <c r="P4020" s="17">
        <f>32</f>
        <v/>
      </c>
      <c r="Q4020" s="17">
        <f>J4020+L4020+N4020+O4020-P4020-M4020</f>
        <v/>
      </c>
    </row>
    <row r="4021">
      <c r="A4021" s="16" t="inlineStr">
        <is>
          <t>5.29-6.4</t>
        </is>
      </c>
      <c r="B4021" s="16" t="inlineStr">
        <is>
          <t>PO-128-10630053735032590</t>
        </is>
      </c>
      <c r="C4021" s="16" t="inlineStr">
        <is>
          <t>Delivered</t>
        </is>
      </c>
      <c r="D4021" s="16" t="inlineStr">
        <is>
          <t>128-10630205778552590</t>
        </is>
      </c>
      <c r="E4021" s="16" t="inlineStr">
        <is>
          <t>Delivered</t>
        </is>
      </c>
      <c r="F4021" s="16" t="inlineStr">
        <is>
          <t>BSC07</t>
        </is>
      </c>
      <c r="G4021" s="16" t="inlineStr">
        <is>
          <t>TIANLAI Báscula Digital BSC04/BSC07, Alta Precisión, Fácil Operación, Ligera y Portátil, Función Tara, Unidad Dual oz/g, Ideal para Cocina, Control de Porciones, Sellos y Objetos Pequeños, Uso en Hogar y Viaje</t>
        </is>
      </c>
      <c r="H4021" s="16" t="inlineStr">
        <is>
          <t>1g/White</t>
        </is>
      </c>
      <c r="I4021" s="16" t="n">
        <v>1</v>
      </c>
      <c r="J4021" s="17" t="n">
        <v>37</v>
      </c>
      <c r="K4021" s="17" t="n">
        <v>41.84</v>
      </c>
      <c r="L4021" s="17" t="n">
        <v>25.86</v>
      </c>
      <c r="M4021" s="17" t="n">
        <v>0</v>
      </c>
      <c r="N4021" s="17">
        <f>K4021*0.08+L4021*0.08</f>
        <v/>
      </c>
      <c r="O4021" s="17">
        <f>-(K4021*0.025+L4021*0.025)</f>
        <v/>
      </c>
      <c r="P4021" s="17">
        <f>32</f>
        <v/>
      </c>
      <c r="Q4021" s="17">
        <f>J4021+L4021+N4021+O4021-P4021-M4021</f>
        <v/>
      </c>
    </row>
    <row r="4022">
      <c r="A4022" s="16" t="inlineStr">
        <is>
          <t>5.29-6.4</t>
        </is>
      </c>
      <c r="B4022" s="16" t="inlineStr">
        <is>
          <t>PO-128-10855492721270289</t>
        </is>
      </c>
      <c r="C4022" s="16" t="inlineStr">
        <is>
          <t>Delivered</t>
        </is>
      </c>
      <c r="D4022" s="16" t="inlineStr">
        <is>
          <t>128-10855450778230289</t>
        </is>
      </c>
      <c r="E4022" s="16" t="inlineStr">
        <is>
          <t>Delivered</t>
        </is>
      </c>
      <c r="F4022" s="16" t="inlineStr">
        <is>
          <t>LV54W25</t>
        </is>
      </c>
      <c r="G4022" s="16" t="inlineStr">
        <is>
          <t>TIANLAI Lámpara Ventilador E27 2 en 1, Silenciosa, LED Alta Luminosidad 180°, Instalación Rápida, Ahorro Energético para Dormitorio y Interiores Pequeños</t>
        </is>
      </c>
      <c r="H4022" s="16" t="inlineStr">
        <is>
          <t>1 Pieza</t>
        </is>
      </c>
      <c r="I4022" s="16" t="n">
        <v>1</v>
      </c>
      <c r="J4022" s="17" t="n">
        <v>74</v>
      </c>
      <c r="K4022" s="17" t="n">
        <v>68.55</v>
      </c>
      <c r="L4022" s="17" t="n">
        <v>25.86</v>
      </c>
      <c r="M4022" s="17" t="n">
        <v>0</v>
      </c>
      <c r="N4022" s="17">
        <f>K4022*0.08+L4022*0.08</f>
        <v/>
      </c>
      <c r="O4022" s="17">
        <f>-(K4022*0.025+L4022*0.025)</f>
        <v/>
      </c>
      <c r="P4022" s="17">
        <f>32</f>
        <v/>
      </c>
      <c r="Q4022" s="17">
        <f>J4022+L4022+N4022+O4022-P4022-M4022</f>
        <v/>
      </c>
    </row>
    <row r="4023">
      <c r="A4023" s="16" t="inlineStr">
        <is>
          <t>5.29-6.4</t>
        </is>
      </c>
      <c r="B4023" s="16" t="inlineStr">
        <is>
          <t>PO-128-10615739940472740</t>
        </is>
      </c>
      <c r="C4023" s="16" t="inlineStr">
        <is>
          <t>Delivered</t>
        </is>
      </c>
      <c r="D4023" s="16" t="inlineStr">
        <is>
          <t>128-10615760911992740</t>
        </is>
      </c>
      <c r="E4023" s="16" t="inlineStr">
        <is>
          <t>Delivered</t>
        </is>
      </c>
      <c r="F4023" s="16" t="inlineStr">
        <is>
          <t>KTS-1369</t>
        </is>
      </c>
      <c r="G4023" s="16" t="inlineStr">
        <is>
          <t>Bocina 3 Pulgadas Portátil Bluetooth con Luces LED, Sonido Claro y Batería Larga Duración, TWS TF USB FM, Ideal para Hogar Oficina y Exterior</t>
        </is>
      </c>
      <c r="H4023" s="16" t="inlineStr">
        <is>
          <t>NEGRO</t>
        </is>
      </c>
      <c r="I4023" s="16" t="n">
        <v>1</v>
      </c>
      <c r="J4023" s="17" t="n">
        <v>55</v>
      </c>
      <c r="K4023" s="17" t="n">
        <v>66.28</v>
      </c>
      <c r="L4023" s="17" t="n">
        <v>25.86</v>
      </c>
      <c r="M4023" s="17" t="n">
        <v>0</v>
      </c>
      <c r="N4023" s="17">
        <f>K4023*0.08+L4023*0.08</f>
        <v/>
      </c>
      <c r="O4023" s="17">
        <f>-(K4023*0.025+L4023*0.025)</f>
        <v/>
      </c>
      <c r="P4023" s="17">
        <f>32</f>
        <v/>
      </c>
      <c r="Q4023" s="17">
        <f>J4023+L4023+N4023+O4023-P4023-M4023</f>
        <v/>
      </c>
    </row>
    <row r="4024">
      <c r="A4024" s="16" t="inlineStr">
        <is>
          <t>5.29-6.4</t>
        </is>
      </c>
      <c r="B4024" s="16" t="inlineStr">
        <is>
          <t>PO-128-10656247593591410</t>
        </is>
      </c>
      <c r="C4024" s="16" t="inlineStr">
        <is>
          <t>Delivered</t>
        </is>
      </c>
      <c r="D4024" s="16" t="inlineStr">
        <is>
          <t>128-10656268565111410</t>
        </is>
      </c>
      <c r="E4024" s="16" t="inlineStr">
        <is>
          <t>Delivered</t>
        </is>
      </c>
      <c r="F4024" s="16" t="inlineStr">
        <is>
          <t>BSC07</t>
        </is>
      </c>
      <c r="G4024" s="16" t="inlineStr">
        <is>
          <t>TIANLAI Báscula Digital BSC04/BSC07, Alta Precisión, Fácil Operación, Ligera y Portátil, Función Tara, Unidad Dual oz/g, Ideal para Cocina, Control de Porciones, Sellos y Objetos Pequeños, Uso en Hogar y Viaje</t>
        </is>
      </c>
      <c r="H4024" s="16" t="inlineStr">
        <is>
          <t>1g/White</t>
        </is>
      </c>
      <c r="I4024" s="16" t="n">
        <v>1</v>
      </c>
      <c r="J4024" s="17" t="n">
        <v>37</v>
      </c>
      <c r="K4024" s="17" t="n">
        <v>49.22</v>
      </c>
      <c r="L4024" s="17" t="n">
        <v>25.86</v>
      </c>
      <c r="M4024" s="17" t="n">
        <v>0</v>
      </c>
      <c r="N4024" s="17">
        <f>K4024*0.08+L4024*0.08</f>
        <v/>
      </c>
      <c r="O4024" s="17">
        <f>-(K4024*0.025+L4024*0.025)</f>
        <v/>
      </c>
      <c r="P4024" s="17">
        <f>32</f>
        <v/>
      </c>
      <c r="Q4024" s="17">
        <f>J4024+L4024+N4024+O4024-P4024-M4024</f>
        <v/>
      </c>
    </row>
    <row r="4025">
      <c r="A4025" s="16" t="inlineStr">
        <is>
          <t>5.29-6.4</t>
        </is>
      </c>
      <c r="B4025" s="16" t="inlineStr">
        <is>
          <t>PO-128-10428345262713923</t>
        </is>
      </c>
      <c r="C4025" s="16" t="inlineStr">
        <is>
          <t>Delivered</t>
        </is>
      </c>
      <c r="D4025" s="16" t="inlineStr">
        <is>
          <t>128-10428371477113923</t>
        </is>
      </c>
      <c r="E4025" s="16" t="inlineStr">
        <is>
          <t>Delivered</t>
        </is>
      </c>
      <c r="F4025" s="16" t="inlineStr">
        <is>
          <t>LV64W25</t>
        </is>
      </c>
      <c r="G40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25" s="16" t="inlineStr">
        <is>
          <t>Blanco</t>
        </is>
      </c>
      <c r="I4025" s="16" t="n">
        <v>1</v>
      </c>
      <c r="J4025" s="17" t="n">
        <v>125</v>
      </c>
      <c r="K4025" s="17" t="n">
        <v>143.26</v>
      </c>
      <c r="L4025" s="17" t="n">
        <v>25.86</v>
      </c>
      <c r="M4025" s="17" t="n">
        <v>0</v>
      </c>
      <c r="N4025" s="17">
        <f>K4025*0.08+L4025*0.08</f>
        <v/>
      </c>
      <c r="O4025" s="17">
        <f>-(K4025*0.025+L4025*0.025)</f>
        <v/>
      </c>
      <c r="P4025" s="17">
        <f>32</f>
        <v/>
      </c>
      <c r="Q4025" s="17">
        <f>J4025+L4025+N4025+O4025-P4025-M4025</f>
        <v/>
      </c>
    </row>
    <row r="4026">
      <c r="A4026" s="16" t="inlineStr">
        <is>
          <t>5.29-6.4</t>
        </is>
      </c>
      <c r="B4026" s="16" t="inlineStr">
        <is>
          <t>PO-128-10357754066553255</t>
        </is>
      </c>
      <c r="C4026" s="16" t="inlineStr">
        <is>
          <t>Delivered</t>
        </is>
      </c>
      <c r="D4026" s="16" t="inlineStr">
        <is>
          <t>128-10357788145273255</t>
        </is>
      </c>
      <c r="E4026" s="16" t="inlineStr">
        <is>
          <t>Delivered</t>
        </is>
      </c>
      <c r="F4026" s="16" t="inlineStr">
        <is>
          <t>LV54W25</t>
        </is>
      </c>
      <c r="G4026" s="16" t="inlineStr">
        <is>
          <t>TIANLAI Lámpara Ventilador E27 2 en 1, Silenciosa, LED Alta Luminosidad 180°, Instalación Rápida, Ahorro Energético para Dormitorio y Interiores Pequeños</t>
        </is>
      </c>
      <c r="H4026" s="16" t="inlineStr">
        <is>
          <t>1 Pieza</t>
        </is>
      </c>
      <c r="I4026" s="16" t="n">
        <v>3</v>
      </c>
      <c r="J4026" s="17" t="n">
        <v>222</v>
      </c>
      <c r="K4026" s="17" t="n">
        <v>228.78</v>
      </c>
      <c r="L4026" s="17" t="n">
        <v>25.86</v>
      </c>
      <c r="M4026" s="17" t="n">
        <v>0</v>
      </c>
      <c r="N4026" s="17">
        <f>K4026*0.08+L4026*0.08</f>
        <v/>
      </c>
      <c r="O4026" s="17">
        <f>-(K4026*0.025+L4026*0.025)</f>
        <v/>
      </c>
      <c r="P4026" s="17">
        <f>32</f>
        <v/>
      </c>
      <c r="Q4026" s="17">
        <f>J4026+L4026+N4026+O4026-P4026-M4026</f>
        <v/>
      </c>
    </row>
    <row r="4027">
      <c r="A4027" s="16" t="inlineStr">
        <is>
          <t>5.29-6.4</t>
        </is>
      </c>
      <c r="B4027" s="16" t="inlineStr">
        <is>
          <t>PO-128-10659561093751457</t>
        </is>
      </c>
      <c r="C4027" s="16" t="inlineStr">
        <is>
          <t>Delivered</t>
        </is>
      </c>
      <c r="D4027" s="16" t="inlineStr">
        <is>
          <t>128-10659566336631457</t>
        </is>
      </c>
      <c r="E4027" s="16" t="inlineStr">
        <is>
          <t>Delivered</t>
        </is>
      </c>
      <c r="F4027" s="16" t="inlineStr">
        <is>
          <t>LV54W25</t>
        </is>
      </c>
      <c r="G4027" s="16" t="inlineStr">
        <is>
          <t>TIANLAI Lámpara Ventilador E27 2 en 1, Silenciosa, LED Alta Luminosidad 180°, Instalación Rápida, Ahorro Energético para Dormitorio y Interiores Pequeños</t>
        </is>
      </c>
      <c r="H4027" s="16" t="inlineStr">
        <is>
          <t>1 Pieza</t>
        </is>
      </c>
      <c r="I4027" s="16" t="n">
        <v>2</v>
      </c>
      <c r="J4027" s="17" t="n">
        <v>148</v>
      </c>
      <c r="K4027" s="17" t="n">
        <v>152.52</v>
      </c>
      <c r="L4027" s="17" t="n">
        <v>25.86</v>
      </c>
      <c r="M4027" s="17" t="n">
        <v>0</v>
      </c>
      <c r="N4027" s="17">
        <f>K4027*0.08+L4027*0.08</f>
        <v/>
      </c>
      <c r="O4027" s="17">
        <f>-(K4027*0.025+L4027*0.025)</f>
        <v/>
      </c>
      <c r="P4027" s="17">
        <f>32</f>
        <v/>
      </c>
      <c r="Q4027" s="17">
        <f>J4027+L4027+N4027+O4027-P4027-M4027</f>
        <v/>
      </c>
    </row>
    <row r="4028">
      <c r="A4028" s="16" t="inlineStr">
        <is>
          <t>5.29-6.4</t>
        </is>
      </c>
      <c r="B4028" s="16" t="inlineStr">
        <is>
          <t>PO-128-10730633006711097</t>
        </is>
      </c>
      <c r="C4028" s="16" t="inlineStr">
        <is>
          <t>Delivered</t>
        </is>
      </c>
      <c r="D4028" s="16" t="inlineStr">
        <is>
          <t>128-10730701164151097</t>
        </is>
      </c>
      <c r="E4028" s="16" t="inlineStr">
        <is>
          <t>Delivered</t>
        </is>
      </c>
      <c r="F4028" s="16" t="inlineStr">
        <is>
          <t>LV54W25</t>
        </is>
      </c>
      <c r="G4028" s="16" t="inlineStr">
        <is>
          <t>TIANLAI Lámpara Ventilador E27 2 en 1, Silenciosa, LED Alta Luminosidad 180°, Instalación Rápida, Ahorro Energético para Dormitorio y Interiores Pequeños</t>
        </is>
      </c>
      <c r="H4028" s="16" t="inlineStr">
        <is>
          <t>1 Pieza</t>
        </is>
      </c>
      <c r="I4028" s="16" t="n">
        <v>1</v>
      </c>
      <c r="J4028" s="17" t="n">
        <v>74</v>
      </c>
      <c r="K4028" s="17" t="n">
        <v>76.26000000000001</v>
      </c>
      <c r="L4028" s="17" t="n">
        <v>25.86</v>
      </c>
      <c r="M4028" s="17" t="n">
        <v>0</v>
      </c>
      <c r="N4028" s="17">
        <f>K4028*0.08+L4028*0.08</f>
        <v/>
      </c>
      <c r="O4028" s="17">
        <f>-(K4028*0.025+L4028*0.025)</f>
        <v/>
      </c>
      <c r="P4028" s="17">
        <f>32</f>
        <v/>
      </c>
      <c r="Q4028" s="17">
        <f>J4028+L4028+N4028+O4028-P4028-M4028</f>
        <v/>
      </c>
    </row>
    <row r="4029">
      <c r="A4029" s="16" t="inlineStr">
        <is>
          <t>5.29-6.4</t>
        </is>
      </c>
      <c r="B4029" s="16" t="inlineStr">
        <is>
          <t>PO-128-10925943393911021</t>
        </is>
      </c>
      <c r="C4029" s="16" t="inlineStr">
        <is>
          <t>Delivered</t>
        </is>
      </c>
      <c r="D4029" s="16" t="inlineStr">
        <is>
          <t>128-10925964365431021</t>
        </is>
      </c>
      <c r="E4029" s="16" t="inlineStr">
        <is>
          <t>Delivered</t>
        </is>
      </c>
      <c r="F4029" s="16" t="inlineStr">
        <is>
          <t>VB349T</t>
        </is>
      </c>
      <c r="G4029" s="16" t="inlineStr">
        <is>
          <t>LINKBITS Altavoz Portátil de Doble Altavoz - 3 Pulgadas, Sonido HD, Emparejamiento Rápido de Bluetooth, Conectividad TWS, Reproducción Multimodo (Micro SD/USB/Radio FM) - Perfecto para Oficina, Viajes y Espacios Pequeños</t>
        </is>
      </c>
      <c r="H4029" s="16" t="inlineStr">
        <is>
          <t>NEGRO</t>
        </is>
      </c>
      <c r="I4029" s="16" t="n">
        <v>1</v>
      </c>
      <c r="J4029" s="17" t="n">
        <v>80</v>
      </c>
      <c r="K4029" s="17" t="n">
        <v>93.26000000000001</v>
      </c>
      <c r="L4029" s="17" t="n">
        <v>25.86</v>
      </c>
      <c r="M4029" s="17" t="n">
        <v>0</v>
      </c>
      <c r="N4029" s="17">
        <f>K4029*0.08+L4029*0.08</f>
        <v/>
      </c>
      <c r="O4029" s="17">
        <f>-(K4029*0.025+L4029*0.025)</f>
        <v/>
      </c>
      <c r="P4029" s="17">
        <f>32</f>
        <v/>
      </c>
      <c r="Q4029" s="17">
        <f>J4029+L4029+N4029+O4029-P4029-M4029</f>
        <v/>
      </c>
    </row>
    <row r="4030">
      <c r="A4030" s="16" t="inlineStr">
        <is>
          <t>5.29-6.4</t>
        </is>
      </c>
      <c r="B4030" s="16" t="inlineStr">
        <is>
          <t>PO-128-10852443986550307</t>
        </is>
      </c>
      <c r="C4030" s="16" t="inlineStr">
        <is>
          <t>Delivered</t>
        </is>
      </c>
      <c r="D4030" s="16" t="inlineStr">
        <is>
          <t>128-10852496415350307</t>
        </is>
      </c>
      <c r="E4030" s="16" t="inlineStr">
        <is>
          <t>Delivered</t>
        </is>
      </c>
      <c r="F4030" s="16" t="inlineStr">
        <is>
          <t>LV64W25</t>
        </is>
      </c>
      <c r="G403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30" s="16" t="inlineStr">
        <is>
          <t>Blanco</t>
        </is>
      </c>
      <c r="I4030" s="16" t="n">
        <v>1</v>
      </c>
      <c r="J4030" s="17" t="n">
        <v>125</v>
      </c>
      <c r="K4030" s="17" t="n">
        <v>128.94</v>
      </c>
      <c r="L4030" s="17" t="n">
        <v>25.86</v>
      </c>
      <c r="M4030" s="17" t="n">
        <v>0</v>
      </c>
      <c r="N4030" s="17">
        <f>K4030*0.08+L4030*0.08</f>
        <v/>
      </c>
      <c r="O4030" s="17">
        <f>-(K4030*0.025+L4030*0.025)</f>
        <v/>
      </c>
      <c r="P4030" s="17">
        <f>32</f>
        <v/>
      </c>
      <c r="Q4030" s="17">
        <f>J4030+L4030+N4030+O4030-P4030-M4030</f>
        <v/>
      </c>
    </row>
    <row r="4031">
      <c r="A4031" s="16" t="inlineStr">
        <is>
          <t>5.29-6.4</t>
        </is>
      </c>
      <c r="B4031" s="16" t="inlineStr">
        <is>
          <t>PO-128-10710070958711218</t>
        </is>
      </c>
      <c r="C4031" s="16" t="inlineStr">
        <is>
          <t>Delivered</t>
        </is>
      </c>
      <c r="D4031" s="16" t="inlineStr">
        <is>
          <t>128-10710029015671218</t>
        </is>
      </c>
      <c r="E4031" s="16" t="inlineStr">
        <is>
          <t>Delivered</t>
        </is>
      </c>
      <c r="F4031" s="16" t="inlineStr">
        <is>
          <t>LV64W25</t>
        </is>
      </c>
      <c r="G40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31" s="16" t="inlineStr">
        <is>
          <t>Blanco</t>
        </is>
      </c>
      <c r="I4031" s="16" t="n">
        <v>2</v>
      </c>
      <c r="J4031" s="17" t="n">
        <v>250</v>
      </c>
      <c r="K4031" s="17" t="n">
        <v>257.88</v>
      </c>
      <c r="L4031" s="17" t="n">
        <v>0</v>
      </c>
      <c r="M4031" s="17" t="n">
        <v>0</v>
      </c>
      <c r="N4031" s="17">
        <f>K4031*0.08+L4031*0.08</f>
        <v/>
      </c>
      <c r="O4031" s="17">
        <f>-(K4031*0.025+L4031*0.025)</f>
        <v/>
      </c>
      <c r="P4031" s="17">
        <f>32</f>
        <v/>
      </c>
      <c r="Q4031" s="17">
        <f>J4031+L4031+N4031+O4031-P4031-M4031</f>
        <v/>
      </c>
    </row>
    <row r="4032">
      <c r="A4032" s="16" t="inlineStr">
        <is>
          <t>5.29-6.4</t>
        </is>
      </c>
      <c r="B4032" s="16" t="inlineStr">
        <is>
          <t>PO-128-10453627213433834</t>
        </is>
      </c>
      <c r="C4032" s="16" t="inlineStr">
        <is>
          <t>Delivered</t>
        </is>
      </c>
      <c r="D4032" s="16" t="inlineStr">
        <is>
          <t>128-10453669156473834</t>
        </is>
      </c>
      <c r="E4032" s="16" t="inlineStr">
        <is>
          <t>Delivered</t>
        </is>
      </c>
      <c r="F4032" s="16" t="inlineStr">
        <is>
          <t>KTS-2031</t>
        </is>
      </c>
      <c r="G4032" s="16" t="inlineStr">
        <is>
          <t>Bocina inalámbrica de 3 pulgadas con linterna multifuncional y panel solar integrado.Altavoz Portátil con Linterna LED 4 Modos, Radio FM, Bluetooth, Carga Solar, Ideal para Apagones, Emergencias, Campo y Exteriores</t>
        </is>
      </c>
      <c r="H4032" s="16" t="inlineStr">
        <is>
          <t>NEGRO</t>
        </is>
      </c>
      <c r="I4032" s="16" t="n">
        <v>1</v>
      </c>
      <c r="J4032" s="17" t="n">
        <v>90</v>
      </c>
      <c r="K4032" s="17" t="n">
        <v>99.22</v>
      </c>
      <c r="L4032" s="17" t="n">
        <v>25.86</v>
      </c>
      <c r="M4032" s="17" t="n">
        <v>0</v>
      </c>
      <c r="N4032" s="17">
        <f>K4032*0.08+L4032*0.08</f>
        <v/>
      </c>
      <c r="O4032" s="17">
        <f>-(K4032*0.025+L4032*0.025)</f>
        <v/>
      </c>
      <c r="P4032" s="17">
        <f>32</f>
        <v/>
      </c>
      <c r="Q4032" s="17">
        <f>J4032+L4032+N4032+O4032-P4032-M4032</f>
        <v/>
      </c>
    </row>
    <row r="4033">
      <c r="A4033" s="16" t="inlineStr">
        <is>
          <t>5.29-6.4</t>
        </is>
      </c>
      <c r="B4033" s="16" t="inlineStr">
        <is>
          <t>PO-128-10816610883191606</t>
        </is>
      </c>
      <c r="C4033" s="16" t="inlineStr">
        <is>
          <t>Delivered</t>
        </is>
      </c>
      <c r="D4033" s="16" t="inlineStr">
        <is>
          <t>128-10816770791031606</t>
        </is>
      </c>
      <c r="E4033" s="16" t="inlineStr">
        <is>
          <t>Delivered</t>
        </is>
      </c>
      <c r="F4033" s="16" t="inlineStr">
        <is>
          <t>LV54W25</t>
        </is>
      </c>
      <c r="G4033" s="16" t="inlineStr">
        <is>
          <t>TIANLAI Lámpara Ventilador E27 2 en 1, Silenciosa, LED Alta Luminosidad 180°, Instalación Rápida, Ahorro Energético para Dormitorio y Interiores Pequeños</t>
        </is>
      </c>
      <c r="H4033" s="16" t="inlineStr">
        <is>
          <t>1 Pieza</t>
        </is>
      </c>
      <c r="I4033" s="16" t="n">
        <v>1</v>
      </c>
      <c r="J4033" s="17" t="n">
        <v>74</v>
      </c>
      <c r="K4033" s="17" t="n">
        <v>33.16</v>
      </c>
      <c r="L4033" s="17" t="n">
        <v>25.86</v>
      </c>
      <c r="M4033" s="17" t="n">
        <v>0</v>
      </c>
      <c r="N4033" s="17">
        <f>K4033*0.08+L4033*0.08</f>
        <v/>
      </c>
      <c r="O4033" s="17">
        <f>-(K4033*0.025+L4033*0.025)</f>
        <v/>
      </c>
      <c r="P4033" s="17">
        <f>32</f>
        <v/>
      </c>
      <c r="Q4033" s="17">
        <f>J4033+L4033+N4033+O4033-P4033-M4033</f>
        <v/>
      </c>
    </row>
    <row r="4034">
      <c r="A4034" s="16" t="inlineStr">
        <is>
          <t>5.29-6.4</t>
        </is>
      </c>
      <c r="B4034" s="16" t="inlineStr">
        <is>
          <t>PO-128-10866811064950157</t>
        </is>
      </c>
      <c r="C4034" s="16" t="inlineStr">
        <is>
          <t>Delivered</t>
        </is>
      </c>
      <c r="D4034" s="16" t="inlineStr">
        <is>
          <t>128-10866832036470157</t>
        </is>
      </c>
      <c r="E4034" s="16" t="inlineStr">
        <is>
          <t>Delivered</t>
        </is>
      </c>
      <c r="F4034" s="16" t="inlineStr">
        <is>
          <t>LV54W25</t>
        </is>
      </c>
      <c r="G4034" s="16" t="inlineStr">
        <is>
          <t>TIANLAI Lámpara Ventilador E27 2 en 1, Silenciosa, LED Alta Luminosidad 180°, Instalación Rápida, Ahorro Energético para Dormitorio y Interiores Pequeños</t>
        </is>
      </c>
      <c r="H4034" s="16" t="inlineStr">
        <is>
          <t>1 Pieza</t>
        </is>
      </c>
      <c r="I4034" s="16" t="n">
        <v>1</v>
      </c>
      <c r="J4034" s="17" t="n">
        <v>74</v>
      </c>
      <c r="K4034" s="17" t="n">
        <v>76.26000000000001</v>
      </c>
      <c r="L4034" s="17" t="n">
        <v>25.86</v>
      </c>
      <c r="M4034" s="17" t="n">
        <v>0</v>
      </c>
      <c r="N4034" s="17">
        <f>K4034*0.08+L4034*0.08</f>
        <v/>
      </c>
      <c r="O4034" s="17">
        <f>-(K4034*0.025+L4034*0.025)</f>
        <v/>
      </c>
      <c r="P4034" s="17">
        <f>32</f>
        <v/>
      </c>
      <c r="Q4034" s="17">
        <f>J4034+L4034+N4034+O4034-P4034-M4034</f>
        <v/>
      </c>
    </row>
    <row r="4035">
      <c r="A4035" s="16" t="inlineStr">
        <is>
          <t>5.29-6.4</t>
        </is>
      </c>
      <c r="B4035" s="16" t="inlineStr">
        <is>
          <t>PO-128-10791796664951754</t>
        </is>
      </c>
      <c r="C4035" s="16" t="inlineStr">
        <is>
          <t>Delivered</t>
        </is>
      </c>
      <c r="D4035" s="16" t="inlineStr">
        <is>
          <t>128-10791828122231754</t>
        </is>
      </c>
      <c r="E4035" s="16" t="inlineStr">
        <is>
          <t>Delivered</t>
        </is>
      </c>
      <c r="F4035" s="16" t="inlineStr">
        <is>
          <t>LV54W25</t>
        </is>
      </c>
      <c r="G4035" s="16" t="inlineStr">
        <is>
          <t>TIANLAI Lámpara Ventilador E27 2 en 1, Silenciosa, LED Alta Luminosidad 180°, Instalación Rápida, Ahorro Energético para Dormitorio y Interiores Pequeños</t>
        </is>
      </c>
      <c r="H4035" s="16" t="inlineStr">
        <is>
          <t>1 Pieza</t>
        </is>
      </c>
      <c r="I4035" s="16" t="n">
        <v>1</v>
      </c>
      <c r="J4035" s="17" t="n">
        <v>74</v>
      </c>
      <c r="K4035" s="17" t="n">
        <v>76.26000000000001</v>
      </c>
      <c r="L4035" s="17" t="n">
        <v>25.86</v>
      </c>
      <c r="M4035" s="17" t="n">
        <v>0</v>
      </c>
      <c r="N4035" s="17">
        <f>K4035*0.08+L4035*0.08</f>
        <v/>
      </c>
      <c r="O4035" s="17">
        <f>-(K4035*0.025+L4035*0.025)</f>
        <v/>
      </c>
      <c r="P4035" s="17">
        <f>32</f>
        <v/>
      </c>
      <c r="Q4035" s="17">
        <f>J4035+L4035+N4035+O4035-P4035-M4035</f>
        <v/>
      </c>
    </row>
    <row r="4036">
      <c r="A4036" s="16" t="inlineStr">
        <is>
          <t>5.29-6.4</t>
        </is>
      </c>
      <c r="B4036" s="16" t="inlineStr">
        <is>
          <t>PO-128-10966153662070717</t>
        </is>
      </c>
      <c r="C4036" s="16" t="inlineStr">
        <is>
          <t>Delivered</t>
        </is>
      </c>
      <c r="D4036" s="16" t="inlineStr">
        <is>
          <t>128-10966164147830717</t>
        </is>
      </c>
      <c r="E4036" s="16" t="inlineStr">
        <is>
          <t>Delivered</t>
        </is>
      </c>
      <c r="F4036" s="16" t="inlineStr">
        <is>
          <t>VA371T</t>
        </is>
      </c>
      <c r="G4036" s="16" t="inlineStr">
        <is>
          <t>Linkbits Bocina Bluetooth Portátil 3" de Alta Gama，Hi-Res Audio y Graves Potentes，Luces LED + Soporte USB/TF/FM/TWS，Ideal para Hogar y Aire Libre</t>
        </is>
      </c>
      <c r="H4036" s="16" t="inlineStr">
        <is>
          <t>VA371T</t>
        </is>
      </c>
      <c r="I4036" s="16" t="n">
        <v>5</v>
      </c>
      <c r="J4036" s="17" t="n">
        <v>227.5</v>
      </c>
      <c r="K4036" s="17" t="n">
        <v>251.12</v>
      </c>
      <c r="L4036" s="17" t="n">
        <v>0</v>
      </c>
      <c r="M4036" s="17" t="n">
        <v>0</v>
      </c>
      <c r="N4036" s="17">
        <f>K4036*0.08+L4036*0.08</f>
        <v/>
      </c>
      <c r="O4036" s="17">
        <f>-(K4036*0.025+L4036*0.025)</f>
        <v/>
      </c>
      <c r="P4036" s="17">
        <f>32</f>
        <v/>
      </c>
      <c r="Q4036" s="17">
        <f>J4036+L4036+N4036+O4036-P4036-M4036</f>
        <v/>
      </c>
    </row>
    <row r="4037">
      <c r="A4037" s="16" t="inlineStr">
        <is>
          <t>5.29-6.4</t>
        </is>
      </c>
      <c r="B4037" s="16" t="inlineStr">
        <is>
          <t>PO-128-10588008039032843</t>
        </is>
      </c>
      <c r="C4037" s="16" t="inlineStr">
        <is>
          <t>Delivered</t>
        </is>
      </c>
      <c r="D4037" s="16" t="inlineStr">
        <is>
          <t>128-10588049982072843</t>
        </is>
      </c>
      <c r="E4037" s="16" t="inlineStr">
        <is>
          <t>Delivered</t>
        </is>
      </c>
      <c r="F4037" s="16" t="inlineStr">
        <is>
          <t>KTS-2031</t>
        </is>
      </c>
      <c r="G4037" s="16" t="inlineStr">
        <is>
          <t>Bocina inalámbrica de 3 pulgadas con linterna multifuncional y panel solar integrado.Altavoz Portátil con Linterna LED 4 Modos, Radio FM, Bluetooth, Carga Solar, Ideal para Apagones, Emergencias, Campo y Exteriores</t>
        </is>
      </c>
      <c r="H4037" s="16" t="inlineStr">
        <is>
          <t>NEGRO</t>
        </is>
      </c>
      <c r="I4037" s="16" t="n">
        <v>1</v>
      </c>
      <c r="J4037" s="17" t="n">
        <v>90</v>
      </c>
      <c r="K4037" s="17" t="n">
        <v>99.22</v>
      </c>
      <c r="L4037" s="17" t="n">
        <v>25.86</v>
      </c>
      <c r="M4037" s="17" t="n">
        <v>0</v>
      </c>
      <c r="N4037" s="17">
        <f>K4037*0.08+L4037*0.08</f>
        <v/>
      </c>
      <c r="O4037" s="17">
        <f>-(K4037*0.025+L4037*0.025)</f>
        <v/>
      </c>
      <c r="P4037" s="17">
        <f>32</f>
        <v/>
      </c>
      <c r="Q4037" s="17">
        <f>J4037+L4037+N4037+O4037-P4037-M4037</f>
        <v/>
      </c>
    </row>
    <row r="4038">
      <c r="A4038" s="16" t="inlineStr">
        <is>
          <t>5.29-6.4</t>
        </is>
      </c>
      <c r="B4038" s="16" t="inlineStr">
        <is>
          <t>PO-128-10848171315830266</t>
        </is>
      </c>
      <c r="C4038" s="16" t="inlineStr">
        <is>
          <t>Delivered</t>
        </is>
      </c>
      <c r="D4038" s="16" t="inlineStr">
        <is>
          <t>128-10848188355190266</t>
        </is>
      </c>
      <c r="E4038" s="16" t="inlineStr">
        <is>
          <t>Delivered</t>
        </is>
      </c>
      <c r="F4038" s="16" t="inlineStr">
        <is>
          <t>LV54W25</t>
        </is>
      </c>
      <c r="G4038" s="16" t="inlineStr">
        <is>
          <t>TIANLAI Lámpara Ventilador E27 2 en 1, Silenciosa, LED Alta Luminosidad 180°, Instalación Rápida, Ahorro Energético para Dormitorio y Interiores Pequeños</t>
        </is>
      </c>
      <c r="H4038" s="16" t="inlineStr">
        <is>
          <t>1 Pieza</t>
        </is>
      </c>
      <c r="I4038" s="16" t="n">
        <v>1</v>
      </c>
      <c r="J4038" s="17" t="n">
        <v>74</v>
      </c>
      <c r="K4038" s="17" t="n">
        <v>85.68000000000001</v>
      </c>
      <c r="L4038" s="17" t="n">
        <v>25.86</v>
      </c>
      <c r="M4038" s="17" t="n">
        <v>0</v>
      </c>
      <c r="N4038" s="17">
        <f>K4038*0.08+L4038*0.08</f>
        <v/>
      </c>
      <c r="O4038" s="17">
        <f>-(K4038*0.025+L4038*0.025)</f>
        <v/>
      </c>
      <c r="P4038" s="17">
        <f>32</f>
        <v/>
      </c>
      <c r="Q4038" s="17">
        <f>J4038+L4038+N4038+O4038-P4038-M4038</f>
        <v/>
      </c>
    </row>
    <row r="4039">
      <c r="A4039" s="16" t="inlineStr">
        <is>
          <t>5.29-6.4</t>
        </is>
      </c>
      <c r="B4039" s="16" t="inlineStr">
        <is>
          <t>PO-128-10649342976632669</t>
        </is>
      </c>
      <c r="C4039" s="16" t="inlineStr">
        <is>
          <t>Delivered</t>
        </is>
      </c>
      <c r="D4039" s="16" t="inlineStr">
        <is>
          <t>128-10649502884472669</t>
        </is>
      </c>
      <c r="E4039" s="16" t="inlineStr">
        <is>
          <t>Delivered</t>
        </is>
      </c>
      <c r="F4039" s="16" t="inlineStr">
        <is>
          <t>LV54W25</t>
        </is>
      </c>
      <c r="G4039" s="16" t="inlineStr">
        <is>
          <t>TIANLAI Lámpara Ventilador E27 2 en 1, Silenciosa, LED Alta Luminosidad 180°, Instalación Rápida, Ahorro Energético para Dormitorio y Interiores Pequeños</t>
        </is>
      </c>
      <c r="H4039" s="16" t="inlineStr">
        <is>
          <t>1 Pieza</t>
        </is>
      </c>
      <c r="I4039" s="16" t="n">
        <v>2</v>
      </c>
      <c r="J4039" s="17" t="n">
        <v>148</v>
      </c>
      <c r="K4039" s="17" t="n">
        <v>152.52</v>
      </c>
      <c r="L4039" s="17" t="n">
        <v>25.86</v>
      </c>
      <c r="M4039" s="17" t="n">
        <v>0</v>
      </c>
      <c r="N4039" s="17">
        <f>K4039*0.08+L4039*0.08</f>
        <v/>
      </c>
      <c r="O4039" s="17">
        <f>-(K4039*0.025+L4039*0.025)</f>
        <v/>
      </c>
      <c r="P4039" s="17">
        <f>32</f>
        <v/>
      </c>
      <c r="Q4039" s="17">
        <f>J4039+L4039+N4039+O4039-P4039-M4039</f>
        <v/>
      </c>
    </row>
    <row r="4040">
      <c r="A4040" s="16" t="inlineStr">
        <is>
          <t>5.29-6.4</t>
        </is>
      </c>
      <c r="B4040" s="16" t="inlineStr">
        <is>
          <t>PO-128-10338807358073366</t>
        </is>
      </c>
      <c r="C4040" s="16" t="inlineStr">
        <is>
          <t>Delivered</t>
        </is>
      </c>
      <c r="D4040" s="16" t="inlineStr">
        <is>
          <t>128-10338859786873366</t>
        </is>
      </c>
      <c r="E4040" s="16" t="inlineStr">
        <is>
          <t>Delivered</t>
        </is>
      </c>
      <c r="F4040" s="16" t="inlineStr">
        <is>
          <t>LV54W25</t>
        </is>
      </c>
      <c r="G4040" s="16" t="inlineStr">
        <is>
          <t>TIANLAI Lámpara Ventilador E27 2 en 1, Silenciosa, LED Alta Luminosidad 180°, Instalación Rápida, Ahorro Energético para Dormitorio y Interiores Pequeños</t>
        </is>
      </c>
      <c r="H4040" s="16" t="inlineStr">
        <is>
          <t>1 Pieza</t>
        </is>
      </c>
      <c r="I4040" s="16" t="n">
        <v>1</v>
      </c>
      <c r="J4040" s="17" t="n">
        <v>74</v>
      </c>
      <c r="K4040" s="17" t="n">
        <v>68.55</v>
      </c>
      <c r="L4040" s="17" t="n">
        <v>25.86</v>
      </c>
      <c r="M4040" s="17" t="n">
        <v>0</v>
      </c>
      <c r="N4040" s="17">
        <f>K4040*0.08+L4040*0.08</f>
        <v/>
      </c>
      <c r="O4040" s="17">
        <f>-(K4040*0.025+L4040*0.025)</f>
        <v/>
      </c>
      <c r="P4040" s="17">
        <f>32</f>
        <v/>
      </c>
      <c r="Q4040" s="17">
        <f>J4040+L4040+N4040+O4040-P4040-M4040</f>
        <v/>
      </c>
    </row>
    <row r="4041">
      <c r="A4041" s="16" t="inlineStr">
        <is>
          <t>5.29-6.4</t>
        </is>
      </c>
      <c r="B4041" s="16" t="inlineStr">
        <is>
          <t>PO-128-10548070088312057</t>
        </is>
      </c>
      <c r="C4041" s="16" t="inlineStr">
        <is>
          <t>Delivered</t>
        </is>
      </c>
      <c r="D4041" s="16" t="inlineStr">
        <is>
          <t>128-10548091059832057</t>
        </is>
      </c>
      <c r="E4041" s="16" t="inlineStr">
        <is>
          <t>Delivered</t>
        </is>
      </c>
      <c r="F4041" s="16" t="inlineStr">
        <is>
          <t>LV64W25</t>
        </is>
      </c>
      <c r="G40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41" s="16" t="inlineStr">
        <is>
          <t>Blanco</t>
        </is>
      </c>
      <c r="I4041" s="16" t="n">
        <v>2</v>
      </c>
      <c r="J4041" s="17" t="n">
        <v>250</v>
      </c>
      <c r="K4041" s="17" t="n">
        <v>200.56</v>
      </c>
      <c r="L4041" s="17" t="n">
        <v>0</v>
      </c>
      <c r="M4041" s="17" t="n">
        <v>0</v>
      </c>
      <c r="N4041" s="17">
        <f>K4041*0.08+L4041*0.08</f>
        <v/>
      </c>
      <c r="O4041" s="17">
        <f>-(K4041*0.025+L4041*0.025)</f>
        <v/>
      </c>
      <c r="P4041" s="17">
        <f>32</f>
        <v/>
      </c>
      <c r="Q4041" s="17">
        <f>J4041+L4041+N4041+O4041-P4041-M4041</f>
        <v/>
      </c>
    </row>
    <row r="4042">
      <c r="A4042" s="16" t="inlineStr">
        <is>
          <t>5.29-6.4</t>
        </is>
      </c>
      <c r="B4042" s="16" t="inlineStr">
        <is>
          <t>PO-128-10868237230710149</t>
        </is>
      </c>
      <c r="C4042" s="16" t="inlineStr">
        <is>
          <t>Delivered</t>
        </is>
      </c>
      <c r="D4042" s="16" t="inlineStr">
        <is>
          <t>128-10868184801910149</t>
        </is>
      </c>
      <c r="E4042" s="16" t="inlineStr">
        <is>
          <t>Delivered</t>
        </is>
      </c>
      <c r="F4042" s="16" t="inlineStr">
        <is>
          <t>LV54W25</t>
        </is>
      </c>
      <c r="G4042" s="16" t="inlineStr">
        <is>
          <t>TIANLAI Lámpara Ventilador E27 2 en 1, Silenciosa, LED Alta Luminosidad 180°, Instalación Rápida, Ahorro Energético para Dormitorio y Interiores Pequeños</t>
        </is>
      </c>
      <c r="H4042" s="16" t="inlineStr">
        <is>
          <t>1 Pieza</t>
        </is>
      </c>
      <c r="I4042" s="16" t="n">
        <v>1</v>
      </c>
      <c r="J4042" s="17" t="n">
        <v>74</v>
      </c>
      <c r="K4042" s="17" t="n">
        <v>85.68000000000001</v>
      </c>
      <c r="L4042" s="17" t="n">
        <v>25.86</v>
      </c>
      <c r="M4042" s="17" t="n">
        <v>0</v>
      </c>
      <c r="N4042" s="17">
        <f>K4042*0.08+L4042*0.08</f>
        <v/>
      </c>
      <c r="O4042" s="17">
        <f>-(K4042*0.025+L4042*0.025)</f>
        <v/>
      </c>
      <c r="P4042" s="17">
        <f>32</f>
        <v/>
      </c>
      <c r="Q4042" s="17">
        <f>J4042+L4042+N4042+O4042-P4042-M4042</f>
        <v/>
      </c>
    </row>
    <row r="4043">
      <c r="A4043" s="16" t="inlineStr">
        <is>
          <t>5.29-6.4</t>
        </is>
      </c>
      <c r="B4043" s="16" t="inlineStr">
        <is>
          <t>PO-128-10725795297911060</t>
        </is>
      </c>
      <c r="C4043" s="16" t="inlineStr">
        <is>
          <t>Delivered</t>
        </is>
      </c>
      <c r="D4043" s="16" t="inlineStr">
        <is>
          <t>128-10725821512311060</t>
        </is>
      </c>
      <c r="E4043" s="16" t="inlineStr">
        <is>
          <t>Delivered</t>
        </is>
      </c>
      <c r="F4043" s="16" t="inlineStr">
        <is>
          <t>KTS-2031</t>
        </is>
      </c>
      <c r="G4043" s="16" t="inlineStr">
        <is>
          <t>Bocina inalámbrica de 3 pulgadas con linterna multifuncional y panel solar integrado.Altavoz Portátil con Linterna LED 4 Modos, Radio FM, Bluetooth, Carga Solar, Ideal para Apagones, Emergencias, Campo y Exteriores</t>
        </is>
      </c>
      <c r="H4043" s="16" t="inlineStr">
        <is>
          <t>NEGRO</t>
        </is>
      </c>
      <c r="I4043" s="16" t="n">
        <v>3</v>
      </c>
      <c r="J4043" s="17" t="n">
        <v>270</v>
      </c>
      <c r="K4043" s="17" t="n">
        <v>297.66</v>
      </c>
      <c r="L4043" s="17" t="n">
        <v>0</v>
      </c>
      <c r="M4043" s="17" t="n">
        <v>0</v>
      </c>
      <c r="N4043" s="17">
        <f>K4043*0.08+L4043*0.08</f>
        <v/>
      </c>
      <c r="O4043" s="17">
        <f>-(K4043*0.025+L4043*0.025)</f>
        <v/>
      </c>
      <c r="P4043" s="17">
        <f>32</f>
        <v/>
      </c>
      <c r="Q4043" s="17">
        <f>J4043+L4043+N4043+O4043-P4043-M4043</f>
        <v/>
      </c>
    </row>
    <row r="4044">
      <c r="A4044" s="16" t="inlineStr">
        <is>
          <t>5.29-6.4</t>
        </is>
      </c>
      <c r="B4044" s="16" t="inlineStr">
        <is>
          <t>PO-128-10585689211513049</t>
        </is>
      </c>
      <c r="C4044" s="16" t="inlineStr">
        <is>
          <t>Delivered</t>
        </is>
      </c>
      <c r="D4044" s="16" t="inlineStr">
        <is>
          <t>128-10585741640313049</t>
        </is>
      </c>
      <c r="E4044" s="16" t="inlineStr">
        <is>
          <t>Delivered</t>
        </is>
      </c>
      <c r="F4044" s="16" t="inlineStr">
        <is>
          <t>TL1455N20B</t>
        </is>
      </c>
      <c r="G4044" s="16" t="inlineStr">
        <is>
          <t>LINK BITS Soporte para TV 14 A 55 Pulgadas, Base para TV Pantalla Articulado Inclinable y Giratorio, MAX VESA 400×400 mm, Soporta hasta 18kg, adaptarse a la mayoría de los televisores de 14 Pulgadas/20 Pulgadas/32 Pulgadas/42 Pulgadas/55 pulgadas</t>
        </is>
      </c>
      <c r="H4044" s="16" t="inlineStr">
        <is>
          <t>TL1455N20B</t>
        </is>
      </c>
      <c r="I4044" s="16" t="n">
        <v>1</v>
      </c>
      <c r="J4044" s="17" t="n">
        <v>75</v>
      </c>
      <c r="K4044" s="17" t="n">
        <v>9.85</v>
      </c>
      <c r="L4044" s="17" t="n">
        <v>25.86</v>
      </c>
      <c r="M4044" s="17" t="n">
        <v>0</v>
      </c>
      <c r="N4044" s="17">
        <f>K4044*0.08+L4044*0.08</f>
        <v/>
      </c>
      <c r="O4044" s="17">
        <f>-(K4044*0.025+L4044*0.025)</f>
        <v/>
      </c>
      <c r="P4044" s="17">
        <f>32</f>
        <v/>
      </c>
      <c r="Q4044" s="17">
        <f>J4044+L4044+N4044+O4044-P4044-M4044</f>
        <v/>
      </c>
    </row>
    <row r="4045">
      <c r="A4045" s="16" t="inlineStr">
        <is>
          <t>5.29-6.4</t>
        </is>
      </c>
      <c r="B4045" s="16" t="inlineStr">
        <is>
          <t>PO-128-10612057047672698</t>
        </is>
      </c>
      <c r="C4045" s="16" t="inlineStr">
        <is>
          <t>Delivered</t>
        </is>
      </c>
      <c r="D4045" s="16" t="inlineStr">
        <is>
          <t>128-10612083262072698</t>
        </is>
      </c>
      <c r="E4045" s="16" t="inlineStr">
        <is>
          <t>Delivered</t>
        </is>
      </c>
      <c r="F4045" s="16" t="inlineStr">
        <is>
          <t>TLCD04-10P-R</t>
        </is>
      </c>
      <c r="G404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45" s="16" t="inlineStr">
        <is>
          <t>ROJO/pantalla de 10.5 pulgadas</t>
        </is>
      </c>
      <c r="I4045" s="16" t="n">
        <v>1</v>
      </c>
      <c r="J4045" s="17" t="n">
        <v>35</v>
      </c>
      <c r="K4045" s="17" t="n">
        <v>47.27</v>
      </c>
      <c r="L4045" s="17" t="n">
        <v>25.86</v>
      </c>
      <c r="M4045" s="17" t="n">
        <v>0</v>
      </c>
      <c r="N4045" s="17">
        <f>K4045*0.08+L4045*0.08</f>
        <v/>
      </c>
      <c r="O4045" s="17">
        <f>-(K4045*0.025+L4045*0.025)</f>
        <v/>
      </c>
      <c r="P4045" s="17">
        <f>32</f>
        <v/>
      </c>
      <c r="Q4045" s="17">
        <f>J4045+L4045+N4045+O4045-P4045-M4045</f>
        <v/>
      </c>
    </row>
    <row r="4046">
      <c r="A4046" s="16" t="inlineStr">
        <is>
          <t>5.29-6.4</t>
        </is>
      </c>
      <c r="B4046" s="16" t="inlineStr">
        <is>
          <t>PO-128-10555057807992143</t>
        </is>
      </c>
      <c r="C4046" s="16" t="inlineStr">
        <is>
          <t>Delivered</t>
        </is>
      </c>
      <c r="D4046" s="16" t="inlineStr">
        <is>
          <t>128-10555084022392143</t>
        </is>
      </c>
      <c r="E4046" s="16" t="inlineStr">
        <is>
          <t>Delivered</t>
        </is>
      </c>
      <c r="F4046" s="16" t="inlineStr">
        <is>
          <t>LV64W25</t>
        </is>
      </c>
      <c r="G40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46" s="16" t="inlineStr">
        <is>
          <t>Blanco</t>
        </is>
      </c>
      <c r="I4046" s="16" t="n">
        <v>1</v>
      </c>
      <c r="J4046" s="17" t="n">
        <v>125</v>
      </c>
      <c r="K4046" s="17" t="n">
        <v>133.36</v>
      </c>
      <c r="L4046" s="17" t="n">
        <v>25.86</v>
      </c>
      <c r="M4046" s="17" t="n">
        <v>0</v>
      </c>
      <c r="N4046" s="17">
        <f>K4046*0.08+L4046*0.08</f>
        <v/>
      </c>
      <c r="O4046" s="17">
        <f>-(K4046*0.025+L4046*0.025)</f>
        <v/>
      </c>
      <c r="P4046" s="17">
        <f>32</f>
        <v/>
      </c>
      <c r="Q4046" s="17">
        <f>J4046+L4046+N4046+O4046-P4046-M4046</f>
        <v/>
      </c>
    </row>
    <row r="4047">
      <c r="A4047" s="16" t="inlineStr">
        <is>
          <t>5.29-6.4</t>
        </is>
      </c>
      <c r="B4047" s="16" t="inlineStr">
        <is>
          <t>PO-128-10370884506233305</t>
        </is>
      </c>
      <c r="C4047" s="16" t="inlineStr">
        <is>
          <t>Delivered</t>
        </is>
      </c>
      <c r="D4047" s="16" t="inlineStr">
        <is>
          <t>128-10370926449273305</t>
        </is>
      </c>
      <c r="E4047" s="16" t="inlineStr">
        <is>
          <t>Delivered</t>
        </is>
      </c>
      <c r="F4047" s="16" t="inlineStr">
        <is>
          <t>LV54W25</t>
        </is>
      </c>
      <c r="G4047" s="16" t="inlineStr">
        <is>
          <t>TIANLAI Lámpara Ventilador E27 2 en 1, Silenciosa, LED Alta Luminosidad 180°, Instalación Rápida, Ahorro Energético para Dormitorio y Interiores Pequeños</t>
        </is>
      </c>
      <c r="H4047" s="16" t="inlineStr">
        <is>
          <t>1 Pieza</t>
        </is>
      </c>
      <c r="I4047" s="16" t="n">
        <v>4</v>
      </c>
      <c r="J4047" s="17" t="n">
        <v>296</v>
      </c>
      <c r="K4047" s="17" t="n">
        <v>299.6</v>
      </c>
      <c r="L4047" s="17" t="n">
        <v>0</v>
      </c>
      <c r="M4047" s="17" t="n">
        <v>0</v>
      </c>
      <c r="N4047" s="17">
        <f>K4047*0.08+L4047*0.08</f>
        <v/>
      </c>
      <c r="O4047" s="17">
        <f>-(K4047*0.025+L4047*0.025)</f>
        <v/>
      </c>
      <c r="P4047" s="17">
        <f>32</f>
        <v/>
      </c>
      <c r="Q4047" s="17">
        <f>J4047+L4047+N4047+O4047-P4047-M4047</f>
        <v/>
      </c>
    </row>
    <row r="4048">
      <c r="A4048" s="16" t="inlineStr">
        <is>
          <t>5.29-6.4</t>
        </is>
      </c>
      <c r="B4048" s="16" t="inlineStr">
        <is>
          <t>PO-128-10442606459513772</t>
        </is>
      </c>
      <c r="C4048" s="16" t="inlineStr">
        <is>
          <t>Delivered</t>
        </is>
      </c>
      <c r="D4048" s="16" t="inlineStr">
        <is>
          <t>128-10442611702393772</t>
        </is>
      </c>
      <c r="E4048" s="16" t="inlineStr">
        <is>
          <t>Delivered</t>
        </is>
      </c>
      <c r="F4048" s="16" t="inlineStr">
        <is>
          <t>KTS-2031</t>
        </is>
      </c>
      <c r="G4048" s="16" t="inlineStr">
        <is>
          <t>Bocina inalámbrica de 3 pulgadas con linterna multifuncional y panel solar integrado.Altavoz Portátil con Linterna LED 4 Modos, Radio FM, Bluetooth, Carga Solar, Ideal para Apagones, Emergencias, Campo y Exteriores</t>
        </is>
      </c>
      <c r="H4048" s="16" t="inlineStr">
        <is>
          <t>NEGRO</t>
        </is>
      </c>
      <c r="I4048" s="16" t="n">
        <v>1</v>
      </c>
      <c r="J4048" s="17" t="n">
        <v>90</v>
      </c>
      <c r="K4048" s="17" t="n">
        <v>99.22</v>
      </c>
      <c r="L4048" s="17" t="n">
        <v>25.86</v>
      </c>
      <c r="M4048" s="17" t="n">
        <v>0</v>
      </c>
      <c r="N4048" s="17">
        <f>K4048*0.08+L4048*0.08</f>
        <v/>
      </c>
      <c r="O4048" s="17">
        <f>-(K4048*0.025+L4048*0.025)</f>
        <v/>
      </c>
      <c r="P4048" s="17">
        <f>32</f>
        <v/>
      </c>
      <c r="Q4048" s="17">
        <f>J4048+L4048+N4048+O4048-P4048-M4048</f>
        <v/>
      </c>
    </row>
    <row r="4049">
      <c r="A4049" s="16" t="inlineStr">
        <is>
          <t>5.29-6.4</t>
        </is>
      </c>
      <c r="B4049" s="16" t="inlineStr">
        <is>
          <t>PO-128-10865841797750355</t>
        </is>
      </c>
      <c r="C4049" s="16" t="inlineStr">
        <is>
          <t>Delivered</t>
        </is>
      </c>
      <c r="D4049" s="16" t="inlineStr">
        <is>
          <t>128-10865799854710355</t>
        </is>
      </c>
      <c r="E4049" s="16" t="inlineStr">
        <is>
          <t>Delivered</t>
        </is>
      </c>
      <c r="F4049" s="16" t="inlineStr">
        <is>
          <t>TLCD02-8P-V</t>
        </is>
      </c>
      <c r="G4049"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49" s="16" t="inlineStr">
        <is>
          <t>VERDE/pantalla de 8.5 pulgadas</t>
        </is>
      </c>
      <c r="I4049" s="16" t="n">
        <v>1</v>
      </c>
      <c r="J4049" s="17" t="n">
        <v>25</v>
      </c>
      <c r="K4049" s="17" t="n">
        <v>29.47</v>
      </c>
      <c r="L4049" s="17" t="n">
        <v>25.86</v>
      </c>
      <c r="M4049" s="17" t="n">
        <v>0</v>
      </c>
      <c r="N4049" s="17">
        <f>K4049*0.08+L4049*0.08</f>
        <v/>
      </c>
      <c r="O4049" s="17">
        <f>-(K4049*0.025+L4049*0.025)</f>
        <v/>
      </c>
      <c r="P4049" s="17">
        <f>32</f>
        <v/>
      </c>
      <c r="Q4049" s="17">
        <f>J4049+L4049+N4049+O4049-P4049-M4049</f>
        <v/>
      </c>
    </row>
    <row r="4050">
      <c r="A4050" s="16" t="inlineStr">
        <is>
          <t>5.29-6.4</t>
        </is>
      </c>
      <c r="B4050" s="16" t="inlineStr">
        <is>
          <t>PO-128-10443391908473769</t>
        </is>
      </c>
      <c r="C4050" s="16" t="inlineStr">
        <is>
          <t>Delivered</t>
        </is>
      </c>
      <c r="D4050" s="16" t="inlineStr">
        <is>
          <t>128-10443433851513769</t>
        </is>
      </c>
      <c r="E4050" s="16" t="inlineStr">
        <is>
          <t>Delivered</t>
        </is>
      </c>
      <c r="F4050" s="16" t="inlineStr">
        <is>
          <t>LV64W25</t>
        </is>
      </c>
      <c r="G405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50" s="16" t="inlineStr">
        <is>
          <t>Blanco</t>
        </is>
      </c>
      <c r="I4050" s="16" t="n">
        <v>1</v>
      </c>
      <c r="J4050" s="17" t="n">
        <v>125</v>
      </c>
      <c r="K4050" s="17" t="n">
        <v>136.1</v>
      </c>
      <c r="L4050" s="17" t="n">
        <v>25.86</v>
      </c>
      <c r="M4050" s="17" t="n">
        <v>0</v>
      </c>
      <c r="N4050" s="17">
        <f>K4050*0.08+L4050*0.08</f>
        <v/>
      </c>
      <c r="O4050" s="17">
        <f>-(K4050*0.025+L4050*0.025)</f>
        <v/>
      </c>
      <c r="P4050" s="17">
        <f>32</f>
        <v/>
      </c>
      <c r="Q4050" s="17">
        <f>J4050+L4050+N4050+O4050-P4050-M4050</f>
        <v/>
      </c>
    </row>
    <row r="4051">
      <c r="A4051" s="16" t="inlineStr">
        <is>
          <t>5.29-6.4</t>
        </is>
      </c>
      <c r="B4051" s="16" t="inlineStr">
        <is>
          <t>PO-128-10674882207351301</t>
        </is>
      </c>
      <c r="C4051" s="16" t="inlineStr">
        <is>
          <t>Delivered</t>
        </is>
      </c>
      <c r="D4051" s="16" t="inlineStr">
        <is>
          <t>128-10674880241271301</t>
        </is>
      </c>
      <c r="E4051" s="16" t="inlineStr">
        <is>
          <t>Delivered</t>
        </is>
      </c>
      <c r="F4051" s="16" t="inlineStr">
        <is>
          <t>LV54W25</t>
        </is>
      </c>
      <c r="G4051" s="16" t="inlineStr">
        <is>
          <t>TIANLAI Lámpara Ventilador E27 2 en 1, Silenciosa, LED Alta Luminosidad 180°, Instalación Rápida, Ahorro Energético para Dormitorio y Interiores Pequeños</t>
        </is>
      </c>
      <c r="H4051" s="16" t="inlineStr">
        <is>
          <t>1 Pieza</t>
        </is>
      </c>
      <c r="I4051" s="16" t="n">
        <v>1</v>
      </c>
      <c r="J4051" s="17" t="n">
        <v>74</v>
      </c>
      <c r="K4051" s="17" t="n">
        <v>69.64</v>
      </c>
      <c r="L4051" s="17" t="n">
        <v>25.86</v>
      </c>
      <c r="M4051" s="17" t="n">
        <v>0</v>
      </c>
      <c r="N4051" s="17">
        <f>K4051*0.08+L4051*0.08</f>
        <v/>
      </c>
      <c r="O4051" s="17">
        <f>-(K4051*0.025+L4051*0.025)</f>
        <v/>
      </c>
      <c r="P4051" s="17">
        <f>32</f>
        <v/>
      </c>
      <c r="Q4051" s="17">
        <f>J4051+L4051+N4051+O4051-P4051-M4051</f>
        <v/>
      </c>
    </row>
    <row r="4052">
      <c r="A4052" s="16" t="inlineStr">
        <is>
          <t>5.29-6.4</t>
        </is>
      </c>
      <c r="B4052" s="16" t="inlineStr">
        <is>
          <t>PO-128-10575427646072980</t>
        </is>
      </c>
      <c r="C4052" s="16" t="inlineStr">
        <is>
          <t>Delivered</t>
        </is>
      </c>
      <c r="D4052" s="16" t="inlineStr">
        <is>
          <t>128-10575356867192980</t>
        </is>
      </c>
      <c r="E4052" s="16" t="inlineStr">
        <is>
          <t>Delivered</t>
        </is>
      </c>
      <c r="F4052" s="16" t="inlineStr">
        <is>
          <t>LV54W25</t>
        </is>
      </c>
      <c r="G4052" s="16" t="inlineStr">
        <is>
          <t>TIANLAI Lámpara Ventilador E27 2 en 1, Silenciosa, LED Alta Luminosidad 180°, Instalación Rápida, Ahorro Energético para Dormitorio y Interiores Pequeños</t>
        </is>
      </c>
      <c r="H4052" s="16" t="inlineStr">
        <is>
          <t>1 Pieza</t>
        </is>
      </c>
      <c r="I4052" s="16" t="n">
        <v>1</v>
      </c>
      <c r="J4052" s="17" t="n">
        <v>74</v>
      </c>
      <c r="K4052" s="17" t="n">
        <v>76.26000000000001</v>
      </c>
      <c r="L4052" s="17" t="n">
        <v>25.86</v>
      </c>
      <c r="M4052" s="17" t="n">
        <v>0</v>
      </c>
      <c r="N4052" s="17">
        <f>K4052*0.08+L4052*0.08</f>
        <v/>
      </c>
      <c r="O4052" s="17">
        <f>-(K4052*0.025+L4052*0.025)</f>
        <v/>
      </c>
      <c r="P4052" s="17">
        <f>32</f>
        <v/>
      </c>
      <c r="Q4052" s="17">
        <f>J4052+L4052+N4052+O4052-P4052-M4052</f>
        <v/>
      </c>
    </row>
    <row r="4053">
      <c r="A4053" s="16" t="inlineStr">
        <is>
          <t>5.29-6.4</t>
        </is>
      </c>
      <c r="B4053" s="16" t="inlineStr">
        <is>
          <t>PO-128-10702936899191196</t>
        </is>
      </c>
      <c r="C4053" s="16" t="inlineStr">
        <is>
          <t>Delivered</t>
        </is>
      </c>
      <c r="D4053" s="16" t="inlineStr">
        <is>
          <t>128-10702915927671196</t>
        </is>
      </c>
      <c r="E4053" s="16" t="inlineStr">
        <is>
          <t>Delivered</t>
        </is>
      </c>
      <c r="F4053" s="16" t="inlineStr">
        <is>
          <t>LV54W25</t>
        </is>
      </c>
      <c r="G4053" s="16" t="inlineStr">
        <is>
          <t>TIANLAI Lámpara Ventilador E27 2 en 1, Silenciosa, LED Alta Luminosidad 180°, Instalación Rápida, Ahorro Energético para Dormitorio y Interiores Pequeños</t>
        </is>
      </c>
      <c r="H4053" s="16" t="inlineStr">
        <is>
          <t>1 Pieza</t>
        </is>
      </c>
      <c r="I4053" s="16" t="n">
        <v>1</v>
      </c>
      <c r="J4053" s="17" t="n">
        <v>74</v>
      </c>
      <c r="K4053" s="17" t="n">
        <v>85.68000000000001</v>
      </c>
      <c r="L4053" s="17" t="n">
        <v>25.86</v>
      </c>
      <c r="M4053" s="17" t="n">
        <v>0</v>
      </c>
      <c r="N4053" s="17">
        <f>K4053*0.08+L4053*0.08</f>
        <v/>
      </c>
      <c r="O4053" s="17">
        <f>-(K4053*0.025+L4053*0.025)</f>
        <v/>
      </c>
      <c r="P4053" s="17">
        <f>32</f>
        <v/>
      </c>
      <c r="Q4053" s="17">
        <f>J4053+L4053+N4053+O4053-P4053-M4053</f>
        <v/>
      </c>
    </row>
    <row r="4054">
      <c r="A4054" s="16" t="inlineStr">
        <is>
          <t>5.29-6.4</t>
        </is>
      </c>
      <c r="B4054" s="16" t="inlineStr">
        <is>
          <t>PO-128-10717037087351048</t>
        </is>
      </c>
      <c r="C4054" s="16" t="inlineStr">
        <is>
          <t>Delivered</t>
        </is>
      </c>
      <c r="D4054" s="16" t="inlineStr">
        <is>
          <t>128-10717113109111048</t>
        </is>
      </c>
      <c r="E4054" s="16" t="inlineStr">
        <is>
          <t>Delivered</t>
        </is>
      </c>
      <c r="F4054" s="16" t="inlineStr">
        <is>
          <t>TL1455N20B</t>
        </is>
      </c>
      <c r="G4054" s="16" t="inlineStr">
        <is>
          <t>LINK BITS Soporte para TV 14 A 55 Pulgadas, Base para TV Pantalla Articulado Inclinable y Giratorio, MAX VESA 400×400 mm, Soporta hasta 18kg, adaptarse a la mayoría de los televisores de 14 Pulgadas/20 Pulgadas/32 Pulgadas/42 Pulgadas/55 pulgadas</t>
        </is>
      </c>
      <c r="H4054" s="16" t="inlineStr">
        <is>
          <t>TL1455N20B</t>
        </is>
      </c>
      <c r="I4054" s="16" t="n">
        <v>3</v>
      </c>
      <c r="J4054" s="17" t="n">
        <v>225</v>
      </c>
      <c r="K4054" s="17" t="n">
        <v>288.18</v>
      </c>
      <c r="L4054" s="17" t="n">
        <v>0</v>
      </c>
      <c r="M4054" s="17" t="n">
        <v>0</v>
      </c>
      <c r="N4054" s="17">
        <f>K4054*0.08+L4054*0.08</f>
        <v/>
      </c>
      <c r="O4054" s="17">
        <f>-(K4054*0.025+L4054*0.025)</f>
        <v/>
      </c>
      <c r="P4054" s="17">
        <f>32</f>
        <v/>
      </c>
      <c r="Q4054" s="17">
        <f>J4054+L4054+N4054+O4054-P4054-M4054</f>
        <v/>
      </c>
    </row>
    <row r="4055">
      <c r="A4055" s="16" t="inlineStr">
        <is>
          <t>5.29-6.4</t>
        </is>
      </c>
      <c r="B4055" s="16" t="inlineStr">
        <is>
          <t>PO-128-10575264717432983</t>
        </is>
      </c>
      <c r="C4055" s="16" t="inlineStr">
        <is>
          <t>Delivered</t>
        </is>
      </c>
      <c r="D4055" s="16" t="inlineStr">
        <is>
          <t>128-10575201802872983</t>
        </is>
      </c>
      <c r="E4055" s="16" t="inlineStr">
        <is>
          <t>Delivered</t>
        </is>
      </c>
      <c r="F4055" s="16" t="inlineStr">
        <is>
          <t>VA371T</t>
        </is>
      </c>
      <c r="G4055" s="16" t="inlineStr">
        <is>
          <t>Linkbits Bocina Bluetooth Portátil 3" de Alta Gama，Hi-Res Audio y Graves Potentes，Luces LED + Soporte USB/TF/FM/TWS，Ideal para Hogar y Aire Libre</t>
        </is>
      </c>
      <c r="H4055" s="16" t="inlineStr">
        <is>
          <t>VA371T</t>
        </is>
      </c>
      <c r="I4055" s="16" t="n">
        <v>1</v>
      </c>
      <c r="J4055" s="17" t="n">
        <v>45.5</v>
      </c>
      <c r="K4055" s="17" t="n">
        <v>51.19</v>
      </c>
      <c r="L4055" s="17" t="n">
        <v>25.86</v>
      </c>
      <c r="M4055" s="17" t="n">
        <v>0</v>
      </c>
      <c r="N4055" s="17">
        <f>K4055*0.08+L4055*0.08</f>
        <v/>
      </c>
      <c r="O4055" s="17">
        <f>-(K4055*0.025+L4055*0.025)</f>
        <v/>
      </c>
      <c r="P4055" s="17">
        <f>32</f>
        <v/>
      </c>
      <c r="Q4055" s="17">
        <f>J4055+L4055+N4055+O4055-P4055-M4055</f>
        <v/>
      </c>
    </row>
    <row r="4056">
      <c r="A4056" s="16" t="inlineStr">
        <is>
          <t>5.29-6.4</t>
        </is>
      </c>
      <c r="B4056" s="16" t="inlineStr">
        <is>
          <t>PO-128-10545434378872073</t>
        </is>
      </c>
      <c r="C4056" s="16" t="inlineStr">
        <is>
          <t>Delivered</t>
        </is>
      </c>
      <c r="D4056" s="16" t="inlineStr">
        <is>
          <t>128-10545455350392073</t>
        </is>
      </c>
      <c r="E4056" s="16" t="inlineStr">
        <is>
          <t>Delivered</t>
        </is>
      </c>
      <c r="F4056" s="16" t="inlineStr">
        <is>
          <t>VA371T</t>
        </is>
      </c>
      <c r="G4056" s="16" t="inlineStr">
        <is>
          <t>Linkbits Bocina Bluetooth Portátil 3" de Alta Gama，Hi-Res Audio y Graves Potentes，Luces LED + Soporte USB/TF/FM/TWS，Ideal para Hogar y Aire Libre</t>
        </is>
      </c>
      <c r="H4056" s="16" t="inlineStr">
        <is>
          <t>VA371T</t>
        </is>
      </c>
      <c r="I4056" s="16" t="n">
        <v>1</v>
      </c>
      <c r="J4056" s="17" t="n">
        <v>45.5</v>
      </c>
      <c r="K4056" s="17" t="n">
        <v>2.16</v>
      </c>
      <c r="L4056" s="17" t="n">
        <v>25.86</v>
      </c>
      <c r="M4056" s="17" t="n">
        <v>0.17</v>
      </c>
      <c r="N4056" s="17">
        <f>K4056*0.08+L4056*0.08</f>
        <v/>
      </c>
      <c r="O4056" s="17">
        <f>-(K4056*0.025+L4056*0.025)</f>
        <v/>
      </c>
      <c r="P4056" s="17">
        <f>32</f>
        <v/>
      </c>
      <c r="Q4056" s="17">
        <f>J4056+L4056+N4056+O4056-P4056-M4056</f>
        <v/>
      </c>
    </row>
    <row r="4057">
      <c r="A4057" s="16" t="inlineStr">
        <is>
          <t>5.29-6.4</t>
        </is>
      </c>
      <c r="B4057" s="16" t="inlineStr">
        <is>
          <t>PO-128-10636597740152617</t>
        </is>
      </c>
      <c r="C4057" s="16" t="inlineStr">
        <is>
          <t>Delivered</t>
        </is>
      </c>
      <c r="D4057" s="16" t="inlineStr">
        <is>
          <t>128-10636608225912617</t>
        </is>
      </c>
      <c r="E4057" s="16" t="inlineStr">
        <is>
          <t>Delivered</t>
        </is>
      </c>
      <c r="F4057" s="16" t="inlineStr">
        <is>
          <t>LV64W25</t>
        </is>
      </c>
      <c r="G40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57" s="16" t="inlineStr">
        <is>
          <t>Blanco</t>
        </is>
      </c>
      <c r="I4057" s="16" t="n">
        <v>2</v>
      </c>
      <c r="J4057" s="17" t="n">
        <v>250</v>
      </c>
      <c r="K4057" s="17" t="n">
        <v>257.88</v>
      </c>
      <c r="L4057" s="17" t="n">
        <v>0</v>
      </c>
      <c r="M4057" s="17" t="n">
        <v>0</v>
      </c>
      <c r="N4057" s="17">
        <f>K4057*0.08+L4057*0.08</f>
        <v/>
      </c>
      <c r="O4057" s="17">
        <f>-(K4057*0.025+L4057*0.025)</f>
        <v/>
      </c>
      <c r="P4057" s="17">
        <f>32</f>
        <v/>
      </c>
      <c r="Q4057" s="17">
        <f>J4057+L4057+N4057+O4057-P4057-M4057</f>
        <v/>
      </c>
    </row>
    <row r="4058">
      <c r="A4058" s="16" t="inlineStr">
        <is>
          <t>5.29-6.4</t>
        </is>
      </c>
      <c r="B4058" s="16" t="inlineStr">
        <is>
          <t>PO-128-10485682181752493</t>
        </is>
      </c>
      <c r="C4058" s="16" t="inlineStr">
        <is>
          <t>Delivered</t>
        </is>
      </c>
      <c r="D4058" s="16" t="inlineStr">
        <is>
          <t>128-10485750339192493</t>
        </is>
      </c>
      <c r="E4058" s="16" t="inlineStr">
        <is>
          <t>Delivered</t>
        </is>
      </c>
      <c r="F4058" s="16" t="inlineStr">
        <is>
          <t>LV54W25</t>
        </is>
      </c>
      <c r="G4058" s="16" t="inlineStr">
        <is>
          <t>TIANLAI Lámpara Ventilador E27 2 en 1, Silenciosa, LED Alta Luminosidad 180°, Instalación Rápida, Ahorro Energético para Dormitorio y Interiores Pequeños</t>
        </is>
      </c>
      <c r="H4058" s="16" t="inlineStr">
        <is>
          <t>1 Pieza</t>
        </is>
      </c>
      <c r="I4058" s="16" t="n">
        <v>2</v>
      </c>
      <c r="J4058" s="17" t="n">
        <v>148</v>
      </c>
      <c r="K4058" s="17" t="n">
        <v>161.94</v>
      </c>
      <c r="L4058" s="17" t="n">
        <v>12.93</v>
      </c>
      <c r="M4058" s="17" t="n">
        <v>85.68000000000001</v>
      </c>
      <c r="N4058" s="17">
        <f>K4058*0.08+L4058*0.08</f>
        <v/>
      </c>
      <c r="O4058" s="17">
        <f>-(K4058*0.025+L4058*0.025)</f>
        <v/>
      </c>
      <c r="P4058" s="17">
        <f>32</f>
        <v/>
      </c>
      <c r="Q4058" s="17">
        <f>J4058+L4058+N4058+O4058-P4058-M4058</f>
        <v/>
      </c>
    </row>
    <row r="4059">
      <c r="A4059" s="16" t="inlineStr">
        <is>
          <t>5.29-6.4</t>
        </is>
      </c>
      <c r="B4059" s="16" t="inlineStr">
        <is>
          <t>PO-128-10319705815673544</t>
        </is>
      </c>
      <c r="C4059" s="16" t="inlineStr">
        <is>
          <t>Delivered</t>
        </is>
      </c>
      <c r="D4059" s="16" t="inlineStr">
        <is>
          <t>128-10319810673273544</t>
        </is>
      </c>
      <c r="E4059" s="16" t="inlineStr">
        <is>
          <t>Delivered</t>
        </is>
      </c>
      <c r="F4059" s="16" t="inlineStr">
        <is>
          <t>LV54W25</t>
        </is>
      </c>
      <c r="G4059" s="16" t="inlineStr">
        <is>
          <t>TIANLAI Lámpara Ventilador E27 2 en 1, Silenciosa, LED Alta Luminosidad 180°, Instalación Rápida, Ahorro Energético para Dormitorio y Interiores Pequeños</t>
        </is>
      </c>
      <c r="H4059" s="16" t="inlineStr">
        <is>
          <t>1 Pieza</t>
        </is>
      </c>
      <c r="I4059" s="16" t="n">
        <v>2</v>
      </c>
      <c r="J4059" s="17" t="n">
        <v>148</v>
      </c>
      <c r="K4059" s="17" t="n">
        <v>152.52</v>
      </c>
      <c r="L4059" s="17" t="n">
        <v>25.86</v>
      </c>
      <c r="M4059" s="17" t="n">
        <v>0</v>
      </c>
      <c r="N4059" s="17">
        <f>K4059*0.08+L4059*0.08</f>
        <v/>
      </c>
      <c r="O4059" s="17">
        <f>-(K4059*0.025+L4059*0.025)</f>
        <v/>
      </c>
      <c r="P4059" s="17">
        <f>32</f>
        <v/>
      </c>
      <c r="Q4059" s="17">
        <f>J4059+L4059+N4059+O4059-P4059-M4059</f>
        <v/>
      </c>
    </row>
    <row r="4060">
      <c r="A4060" s="16" t="inlineStr">
        <is>
          <t>5.29-6.4</t>
        </is>
      </c>
      <c r="B4060" s="16" t="inlineStr">
        <is>
          <t>PO-128-10859766006390327</t>
        </is>
      </c>
      <c r="C4060" s="16" t="inlineStr">
        <is>
          <t>Delivered</t>
        </is>
      </c>
      <c r="D4060" s="16" t="inlineStr">
        <is>
          <t>128-10859786977910327</t>
        </is>
      </c>
      <c r="E4060" s="16" t="inlineStr">
        <is>
          <t>Delivered</t>
        </is>
      </c>
      <c r="F4060" s="16" t="inlineStr">
        <is>
          <t>LV54W25</t>
        </is>
      </c>
      <c r="G4060" s="16" t="inlineStr">
        <is>
          <t>TIANLAI Lámpara Ventilador E27 2 en 1, Silenciosa, LED Alta Luminosidad 180°, Instalación Rápida, Ahorro Energético para Dormitorio y Interiores Pequeños</t>
        </is>
      </c>
      <c r="H4060" s="16" t="inlineStr">
        <is>
          <t>1 Pieza</t>
        </is>
      </c>
      <c r="I4060" s="16" t="n">
        <v>1</v>
      </c>
      <c r="J4060" s="17" t="n">
        <v>74</v>
      </c>
      <c r="K4060" s="17" t="n">
        <v>76.26000000000001</v>
      </c>
      <c r="L4060" s="17" t="n">
        <v>25.86</v>
      </c>
      <c r="M4060" s="17" t="n">
        <v>0</v>
      </c>
      <c r="N4060" s="17">
        <f>K4060*0.08+L4060*0.08</f>
        <v/>
      </c>
      <c r="O4060" s="17">
        <f>-(K4060*0.025+L4060*0.025)</f>
        <v/>
      </c>
      <c r="P4060" s="17">
        <f>32</f>
        <v/>
      </c>
      <c r="Q4060" s="17">
        <f>J4060+L4060+N4060+O4060-P4060-M4060</f>
        <v/>
      </c>
    </row>
    <row r="4061">
      <c r="A4061" s="16" t="inlineStr">
        <is>
          <t>5.29-6.4</t>
        </is>
      </c>
      <c r="B4061" s="16" t="inlineStr">
        <is>
          <t>PO-128-10420874721913903</t>
        </is>
      </c>
      <c r="C4061" s="16" t="inlineStr">
        <is>
          <t>Delivered</t>
        </is>
      </c>
      <c r="D4061" s="16" t="inlineStr">
        <is>
          <t>128-10420858010233903</t>
        </is>
      </c>
      <c r="E4061" s="16" t="inlineStr">
        <is>
          <t>Delivered</t>
        </is>
      </c>
      <c r="F4061" s="16" t="inlineStr">
        <is>
          <t>LV64W25</t>
        </is>
      </c>
      <c r="G406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61" s="16" t="inlineStr">
        <is>
          <t>Blanco</t>
        </is>
      </c>
      <c r="I4061" s="16" t="n">
        <v>1</v>
      </c>
      <c r="J4061" s="17" t="n">
        <v>125</v>
      </c>
      <c r="K4061" s="17" t="n">
        <v>109.03</v>
      </c>
      <c r="L4061" s="17" t="n">
        <v>25.86</v>
      </c>
      <c r="M4061" s="17" t="n">
        <v>0</v>
      </c>
      <c r="N4061" s="17">
        <f>K4061*0.08+L4061*0.08</f>
        <v/>
      </c>
      <c r="O4061" s="17">
        <f>-(K4061*0.025+L4061*0.025)</f>
        <v/>
      </c>
      <c r="P4061" s="17">
        <f>32</f>
        <v/>
      </c>
      <c r="Q4061" s="17">
        <f>J4061+L4061+N4061+O4061-P4061-M4061</f>
        <v/>
      </c>
    </row>
    <row r="4062">
      <c r="A4062" s="16" t="inlineStr">
        <is>
          <t>5.29-6.4</t>
        </is>
      </c>
      <c r="B4062" s="16" t="inlineStr">
        <is>
          <t>PO-128-10788257347191713</t>
        </is>
      </c>
      <c r="C4062" s="16" t="inlineStr">
        <is>
          <t>Delivered</t>
        </is>
      </c>
      <c r="D4062" s="16" t="inlineStr">
        <is>
          <t>128-10788270454391713</t>
        </is>
      </c>
      <c r="E4062" s="16" t="inlineStr">
        <is>
          <t>Delivered</t>
        </is>
      </c>
      <c r="F4062" s="16" t="inlineStr">
        <is>
          <t>TL1455N20B</t>
        </is>
      </c>
      <c r="G4062" s="16" t="inlineStr">
        <is>
          <t>LINK BITS Soporte para TV 14 A 55 Pulgadas, Base para TV Pantalla Articulado Inclinable y Giratorio, MAX VESA 400×400 mm, Soporta hasta 18kg, adaptarse a la mayoría de los televisores de 14 Pulgadas/20 Pulgadas/32 Pulgadas/42 Pulgadas/55 pulgadas</t>
        </is>
      </c>
      <c r="H4062" s="16" t="inlineStr">
        <is>
          <t>TL1455N20B</t>
        </is>
      </c>
      <c r="I4062" s="16" t="n">
        <v>1</v>
      </c>
      <c r="J4062" s="17" t="n">
        <v>75</v>
      </c>
      <c r="K4062" s="17" t="n">
        <v>96.06</v>
      </c>
      <c r="L4062" s="17" t="n">
        <v>25.86</v>
      </c>
      <c r="M4062" s="17" t="n">
        <v>0</v>
      </c>
      <c r="N4062" s="17">
        <f>K4062*0.08+L4062*0.08</f>
        <v/>
      </c>
      <c r="O4062" s="17">
        <f>-(K4062*0.025+L4062*0.025)</f>
        <v/>
      </c>
      <c r="P4062" s="17">
        <f>32</f>
        <v/>
      </c>
      <c r="Q4062" s="17">
        <f>J4062+L4062+N4062+O4062-P4062-M4062</f>
        <v/>
      </c>
    </row>
    <row r="4063">
      <c r="A4063" s="16" t="inlineStr">
        <is>
          <t>5.29-6.4</t>
        </is>
      </c>
      <c r="B4063" s="16" t="inlineStr">
        <is>
          <t>PO-128-10753937495672044</t>
        </is>
      </c>
      <c r="C4063" s="16" t="inlineStr">
        <is>
          <t>Delivered</t>
        </is>
      </c>
      <c r="D4063" s="16" t="inlineStr">
        <is>
          <t>128-10753895552632044</t>
        </is>
      </c>
      <c r="E4063" s="16" t="inlineStr">
        <is>
          <t>Delivered</t>
        </is>
      </c>
      <c r="F4063" s="16" t="inlineStr">
        <is>
          <t>LV54W25</t>
        </is>
      </c>
      <c r="G4063" s="16" t="inlineStr">
        <is>
          <t>TIANLAI Lámpara Ventilador E27 2 en 1, Silenciosa, LED Alta Luminosidad 180°, Instalación Rápida, Ahorro Energético para Dormitorio y Interiores Pequeños</t>
        </is>
      </c>
      <c r="H4063" s="16" t="inlineStr">
        <is>
          <t>1 Pieza</t>
        </is>
      </c>
      <c r="I4063" s="16" t="n">
        <v>1</v>
      </c>
      <c r="J4063" s="17" t="n">
        <v>74</v>
      </c>
      <c r="K4063" s="17" t="n">
        <v>77.12</v>
      </c>
      <c r="L4063" s="17" t="n">
        <v>25.86</v>
      </c>
      <c r="M4063" s="17" t="n">
        <v>0</v>
      </c>
      <c r="N4063" s="17">
        <f>K4063*0.08+L4063*0.08</f>
        <v/>
      </c>
      <c r="O4063" s="17">
        <f>-(K4063*0.025+L4063*0.025)</f>
        <v/>
      </c>
      <c r="P4063" s="17">
        <f>32</f>
        <v/>
      </c>
      <c r="Q4063" s="17">
        <f>J4063+L4063+N4063+O4063-P4063-M4063</f>
        <v/>
      </c>
    </row>
    <row r="4064">
      <c r="A4064" s="16" t="inlineStr">
        <is>
          <t>5.29-6.4</t>
        </is>
      </c>
      <c r="B4064" s="16" t="inlineStr">
        <is>
          <t>PO-128-10833266140790421</t>
        </is>
      </c>
      <c r="C4064" s="16" t="inlineStr">
        <is>
          <t>Delivered</t>
        </is>
      </c>
      <c r="D4064" s="16" t="inlineStr">
        <is>
          <t>128-10833292355190421</t>
        </is>
      </c>
      <c r="E4064" s="16" t="inlineStr">
        <is>
          <t>Delivered</t>
        </is>
      </c>
      <c r="F4064" s="16" t="inlineStr">
        <is>
          <t>KTS-1936</t>
        </is>
      </c>
      <c r="G4064" s="16" t="inlineStr">
        <is>
          <t>Espejo con Luz para Makeup，Espejo con Luz LED y Bocina Bluetooth，Espejo para Maquillaje con Aumentos y Luces LED de Intensidad Ajustable，Lente de Aumento 10X+Reproductor TF+ TWS，espejo de portátil y para estudiantes, oficina, dormitorio, mejor regalo</t>
        </is>
      </c>
      <c r="H4064" s="16" t="inlineStr">
        <is>
          <t>BLANCO</t>
        </is>
      </c>
      <c r="I4064" s="16" t="n">
        <v>1</v>
      </c>
      <c r="J4064" s="17" t="n">
        <v>220</v>
      </c>
      <c r="K4064" s="17" t="n">
        <v>247.84</v>
      </c>
      <c r="L4064" s="17" t="n">
        <v>25.86</v>
      </c>
      <c r="M4064" s="17" t="n">
        <v>0</v>
      </c>
      <c r="N4064" s="17">
        <f>K4064*0.08+L4064*0.08</f>
        <v/>
      </c>
      <c r="O4064" s="17">
        <f>-(K4064*0.025+L4064*0.025)</f>
        <v/>
      </c>
      <c r="P4064" s="17">
        <f>32</f>
        <v/>
      </c>
      <c r="Q4064" s="17">
        <f>J4064+L4064+N4064+O4064-P4064-M4064</f>
        <v/>
      </c>
    </row>
    <row r="4065">
      <c r="A4065" s="16" t="inlineStr">
        <is>
          <t>5.29-6.4</t>
        </is>
      </c>
      <c r="B4065" s="16" t="inlineStr">
        <is>
          <t>PO-128-10458055905913808</t>
        </is>
      </c>
      <c r="C4065" s="16" t="inlineStr">
        <is>
          <t>Delivered</t>
        </is>
      </c>
      <c r="D4065" s="16" t="inlineStr">
        <is>
          <t>128-10458013962873808</t>
        </is>
      </c>
      <c r="E4065" s="16" t="inlineStr">
        <is>
          <t>Delivered</t>
        </is>
      </c>
      <c r="F4065" s="16" t="inlineStr">
        <is>
          <t>LV64W25</t>
        </is>
      </c>
      <c r="G406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65" s="16" t="inlineStr">
        <is>
          <t>Blanco</t>
        </is>
      </c>
      <c r="I4065" s="16" t="n">
        <v>2</v>
      </c>
      <c r="J4065" s="17" t="n">
        <v>250</v>
      </c>
      <c r="K4065" s="17" t="n">
        <v>257.88</v>
      </c>
      <c r="L4065" s="17" t="n">
        <v>0</v>
      </c>
      <c r="M4065" s="17" t="n">
        <v>0</v>
      </c>
      <c r="N4065" s="17">
        <f>K4065*0.08+L4065*0.08</f>
        <v/>
      </c>
      <c r="O4065" s="17">
        <f>-(K4065*0.025+L4065*0.025)</f>
        <v/>
      </c>
      <c r="P4065" s="17">
        <f>32</f>
        <v/>
      </c>
      <c r="Q4065" s="17">
        <f>J4065+L4065+N4065+O4065-P4065-M4065</f>
        <v/>
      </c>
    </row>
    <row r="4066">
      <c r="A4066" s="16" t="inlineStr">
        <is>
          <t>5.29-6.4</t>
        </is>
      </c>
      <c r="B4066" s="16" t="inlineStr">
        <is>
          <t>PO-128-10706736548471239</t>
        </is>
      </c>
      <c r="C4066" s="16" t="inlineStr">
        <is>
          <t>Delivered</t>
        </is>
      </c>
      <c r="D4066" s="16" t="inlineStr">
        <is>
          <t>128-10706788977271239</t>
        </is>
      </c>
      <c r="E4066" s="16" t="inlineStr">
        <is>
          <t>Delivered</t>
        </is>
      </c>
      <c r="F4066" s="16" t="inlineStr">
        <is>
          <t>LV54W25</t>
        </is>
      </c>
      <c r="G4066" s="16" t="inlineStr">
        <is>
          <t>TIANLAI Lámpara Ventilador E27 2 en 1, Silenciosa, LED Alta Luminosidad 180°, Instalación Rápida, Ahorro Energético para Dormitorio y Interiores Pequeños</t>
        </is>
      </c>
      <c r="H4066" s="16" t="inlineStr">
        <is>
          <t>1 Pieza</t>
        </is>
      </c>
      <c r="I4066" s="16" t="n">
        <v>3</v>
      </c>
      <c r="J4066" s="17" t="n">
        <v>222</v>
      </c>
      <c r="K4066" s="17" t="n">
        <v>239.92</v>
      </c>
      <c r="L4066" s="17" t="n">
        <v>17.24</v>
      </c>
      <c r="M4066" s="17" t="n">
        <v>85.68000000000001</v>
      </c>
      <c r="N4066" s="17">
        <f>K4066*0.08+L4066*0.08</f>
        <v/>
      </c>
      <c r="O4066" s="17">
        <f>-(K4066*0.025+L4066*0.025)</f>
        <v/>
      </c>
      <c r="P4066" s="17">
        <f>32</f>
        <v/>
      </c>
      <c r="Q4066" s="17">
        <f>J4066+L4066+N4066+O4066-P4066-M4066</f>
        <v/>
      </c>
    </row>
    <row r="4067">
      <c r="A4067" s="16" t="inlineStr">
        <is>
          <t>5.29-6.4</t>
        </is>
      </c>
      <c r="B4067" s="16" t="inlineStr">
        <is>
          <t>PO-128-10443756606073767</t>
        </is>
      </c>
      <c r="C4067" s="16" t="inlineStr">
        <is>
          <t>Delivered</t>
        </is>
      </c>
      <c r="D4067" s="16" t="inlineStr">
        <is>
          <t>128-10443763159673767</t>
        </is>
      </c>
      <c r="E4067" s="16" t="inlineStr">
        <is>
          <t>Delivered</t>
        </is>
      </c>
      <c r="F4067" s="16" t="inlineStr">
        <is>
          <t>LV54W25</t>
        </is>
      </c>
      <c r="G4067" s="16" t="inlineStr">
        <is>
          <t>TIANLAI Lámpara Ventilador E27 2 en 1, Silenciosa, LED Alta Luminosidad 180°, Instalación Rápida, Ahorro Energético para Dormitorio y Interiores Pequeños</t>
        </is>
      </c>
      <c r="H4067" s="16" t="inlineStr">
        <is>
          <t>1 Pieza</t>
        </is>
      </c>
      <c r="I4067" s="16" t="n">
        <v>1</v>
      </c>
      <c r="J4067" s="17" t="n">
        <v>74</v>
      </c>
      <c r="K4067" s="17" t="n">
        <v>76.26000000000001</v>
      </c>
      <c r="L4067" s="17" t="n">
        <v>25.86</v>
      </c>
      <c r="M4067" s="17" t="n">
        <v>0</v>
      </c>
      <c r="N4067" s="17">
        <f>K4067*0.08+L4067*0.08</f>
        <v/>
      </c>
      <c r="O4067" s="17">
        <f>-(K4067*0.025+L4067*0.025)</f>
        <v/>
      </c>
      <c r="P4067" s="17">
        <f>32</f>
        <v/>
      </c>
      <c r="Q4067" s="17">
        <f>J4067+L4067+N4067+O4067-P4067-M4067</f>
        <v/>
      </c>
    </row>
    <row r="4068">
      <c r="A4068" s="16" t="inlineStr">
        <is>
          <t>5.29-6.4</t>
        </is>
      </c>
      <c r="B4068" s="16" t="inlineStr">
        <is>
          <t>PO-128-10421765407353896</t>
        </is>
      </c>
      <c r="C4068" s="16" t="inlineStr">
        <is>
          <t>Delivered</t>
        </is>
      </c>
      <c r="D4068" s="16" t="inlineStr">
        <is>
          <t>128-10421817836153896</t>
        </is>
      </c>
      <c r="E4068" s="16" t="inlineStr">
        <is>
          <t>Delivered</t>
        </is>
      </c>
      <c r="F4068" s="16" t="inlineStr">
        <is>
          <t>LV54W25</t>
        </is>
      </c>
      <c r="G4068" s="16" t="inlineStr">
        <is>
          <t>TIANLAI Lámpara Ventilador E27 2 en 1, Silenciosa, LED Alta Luminosidad 180°, Instalación Rápida, Ahorro Energético para Dormitorio y Interiores Pequeños</t>
        </is>
      </c>
      <c r="H4068" s="16" t="inlineStr">
        <is>
          <t>1 Pieza</t>
        </is>
      </c>
      <c r="I4068" s="16" t="n">
        <v>1</v>
      </c>
      <c r="J4068" s="17" t="n">
        <v>74</v>
      </c>
      <c r="K4068" s="17" t="n">
        <v>77.12</v>
      </c>
      <c r="L4068" s="17" t="n">
        <v>25.86</v>
      </c>
      <c r="M4068" s="17" t="n">
        <v>0</v>
      </c>
      <c r="N4068" s="17">
        <f>K4068*0.08+L4068*0.08</f>
        <v/>
      </c>
      <c r="O4068" s="17">
        <f>-(K4068*0.025+L4068*0.025)</f>
        <v/>
      </c>
      <c r="P4068" s="17">
        <f>32</f>
        <v/>
      </c>
      <c r="Q4068" s="17">
        <f>J4068+L4068+N4068+O4068-P4068-M4068</f>
        <v/>
      </c>
    </row>
    <row r="4069">
      <c r="A4069" s="16" t="inlineStr">
        <is>
          <t>5.29-6.4</t>
        </is>
      </c>
      <c r="B4069" s="16" t="inlineStr">
        <is>
          <t>PO-128-10347471094393445</t>
        </is>
      </c>
      <c r="C4069" s="16" t="inlineStr">
        <is>
          <t>Delivered</t>
        </is>
      </c>
      <c r="D4069" s="16" t="inlineStr">
        <is>
          <t>128-10347492065913445</t>
        </is>
      </c>
      <c r="E4069" s="16" t="inlineStr">
        <is>
          <t>Delivered</t>
        </is>
      </c>
      <c r="F4069" s="16" t="inlineStr">
        <is>
          <t>LV54W25</t>
        </is>
      </c>
      <c r="G4069" s="16" t="inlineStr">
        <is>
          <t>TIANLAI Lámpara Ventilador E27 2 en 1, Silenciosa, LED Alta Luminosidad 180°, Instalación Rápida, Ahorro Energético para Dormitorio y Interiores Pequeños</t>
        </is>
      </c>
      <c r="H4069" s="16" t="inlineStr">
        <is>
          <t>1 Pieza</t>
        </is>
      </c>
      <c r="I4069" s="16" t="n">
        <v>2</v>
      </c>
      <c r="J4069" s="17" t="n">
        <v>148</v>
      </c>
      <c r="K4069" s="17" t="n">
        <v>152.52</v>
      </c>
      <c r="L4069" s="17" t="n">
        <v>25.86</v>
      </c>
      <c r="M4069" s="17" t="n">
        <v>0</v>
      </c>
      <c r="N4069" s="17">
        <f>K4069*0.08+L4069*0.08</f>
        <v/>
      </c>
      <c r="O4069" s="17">
        <f>-(K4069*0.025+L4069*0.025)</f>
        <v/>
      </c>
      <c r="P4069" s="17">
        <f>32</f>
        <v/>
      </c>
      <c r="Q4069" s="17">
        <f>J4069+L4069+N4069+O4069-P4069-M4069</f>
        <v/>
      </c>
    </row>
    <row r="4070">
      <c r="A4070" s="16" t="inlineStr">
        <is>
          <t>5.29-6.4</t>
        </is>
      </c>
      <c r="B4070" s="16" t="inlineStr">
        <is>
          <t>PO-128-16101474202232938</t>
        </is>
      </c>
      <c r="C4070" s="16" t="inlineStr">
        <is>
          <t>Delivered</t>
        </is>
      </c>
      <c r="D4070" s="16" t="inlineStr">
        <is>
          <t>128-16101459784312938</t>
        </is>
      </c>
      <c r="E4070" s="16" t="inlineStr">
        <is>
          <t>Delivered</t>
        </is>
      </c>
      <c r="F4070" s="16" t="inlineStr">
        <is>
          <t>LV54W25</t>
        </is>
      </c>
      <c r="G4070" s="16" t="inlineStr">
        <is>
          <t>TIANLAI Lámpara Ventilador E27 2 en 1, Silenciosa, LED Alta Luminosidad 180°, Instalación Rápida, Ahorro Energético para Dormitorio y Interiores Pequeños</t>
        </is>
      </c>
      <c r="H4070" s="16" t="inlineStr">
        <is>
          <t>1 Pieza</t>
        </is>
      </c>
      <c r="I4070" s="16" t="n">
        <v>1</v>
      </c>
      <c r="J4070" s="17" t="n">
        <v>74</v>
      </c>
      <c r="K4070" s="17" t="n">
        <v>73.27</v>
      </c>
      <c r="L4070" s="17" t="n">
        <v>25.86</v>
      </c>
      <c r="M4070" s="17" t="n">
        <v>0</v>
      </c>
      <c r="N4070" s="17">
        <f>K4070*0.08+L4070*0.08</f>
        <v/>
      </c>
      <c r="O4070" s="17">
        <f>-(K4070*0.025+L4070*0.025)</f>
        <v/>
      </c>
      <c r="P4070" s="17">
        <f>32</f>
        <v/>
      </c>
      <c r="Q4070" s="17">
        <f>J4070+L4070+N4070+O4070-P4070-M4070</f>
        <v/>
      </c>
    </row>
    <row r="4071">
      <c r="A4071" s="16" t="inlineStr">
        <is>
          <t>5.29-6.4</t>
        </is>
      </c>
      <c r="B4071" s="16" t="inlineStr">
        <is>
          <t>PO-128-16186542776951345</t>
        </is>
      </c>
      <c r="C4071" s="16" t="inlineStr">
        <is>
          <t>Delivered</t>
        </is>
      </c>
      <c r="D4071" s="16" t="inlineStr">
        <is>
          <t>128-16186595205751345</t>
        </is>
      </c>
      <c r="E4071" s="16" t="inlineStr">
        <is>
          <t>Delivered</t>
        </is>
      </c>
      <c r="F4071" s="16" t="inlineStr">
        <is>
          <t>LV54W25</t>
        </is>
      </c>
      <c r="G4071" s="16" t="inlineStr">
        <is>
          <t>TIANLAI Lámpara Ventilador E27 2 en 1, Silenciosa, LED Alta Luminosidad 180°, Instalación Rápida, Ahorro Energético para Dormitorio y Interiores Pequeños</t>
        </is>
      </c>
      <c r="H4071" s="16" t="inlineStr">
        <is>
          <t>1 Pieza</t>
        </is>
      </c>
      <c r="I4071" s="16" t="n">
        <v>2</v>
      </c>
      <c r="J4071" s="17" t="n">
        <v>148</v>
      </c>
      <c r="K4071" s="17" t="n">
        <v>154.24</v>
      </c>
      <c r="L4071" s="17" t="n">
        <v>25.86</v>
      </c>
      <c r="M4071" s="17" t="n">
        <v>0</v>
      </c>
      <c r="N4071" s="17">
        <f>K4071*0.08+L4071*0.08</f>
        <v/>
      </c>
      <c r="O4071" s="17">
        <f>-(K4071*0.025+L4071*0.025)</f>
        <v/>
      </c>
      <c r="P4071" s="17">
        <f>32</f>
        <v/>
      </c>
      <c r="Q4071" s="17">
        <f>J4071+L4071+N4071+O4071-P4071-M4071</f>
        <v/>
      </c>
    </row>
    <row r="4072">
      <c r="A4072" s="16" t="inlineStr">
        <is>
          <t>5.29-6.4</t>
        </is>
      </c>
      <c r="B4072" s="16" t="inlineStr">
        <is>
          <t>PO-128-16312777718391617</t>
        </is>
      </c>
      <c r="C4072" s="16" t="inlineStr">
        <is>
          <t>Delivered</t>
        </is>
      </c>
      <c r="D4072" s="16" t="inlineStr">
        <is>
          <t>128-16312798689911617</t>
        </is>
      </c>
      <c r="E4072" s="16" t="inlineStr">
        <is>
          <t>Delivered</t>
        </is>
      </c>
      <c r="F4072" s="16" t="inlineStr">
        <is>
          <t>LV54W25</t>
        </is>
      </c>
      <c r="G4072" s="16" t="inlineStr">
        <is>
          <t>TIANLAI Lámpara Ventilador E27 2 en 1, Silenciosa, LED Alta Luminosidad 180°, Instalación Rápida, Ahorro Energético para Dormitorio y Interiores Pequeños</t>
        </is>
      </c>
      <c r="H4072" s="16" t="inlineStr">
        <is>
          <t>1 Pieza</t>
        </is>
      </c>
      <c r="I4072" s="16" t="n">
        <v>1</v>
      </c>
      <c r="J4072" s="17" t="n">
        <v>74</v>
      </c>
      <c r="K4072" s="17" t="n">
        <v>77.12</v>
      </c>
      <c r="L4072" s="17" t="n">
        <v>25.86</v>
      </c>
      <c r="M4072" s="17" t="n">
        <v>0</v>
      </c>
      <c r="N4072" s="17">
        <f>K4072*0.08+L4072*0.08</f>
        <v/>
      </c>
      <c r="O4072" s="17">
        <f>-(K4072*0.025+L4072*0.025)</f>
        <v/>
      </c>
      <c r="P4072" s="17">
        <f>32</f>
        <v/>
      </c>
      <c r="Q4072" s="17">
        <f>J4072+L4072+N4072+O4072-P4072-M4072</f>
        <v/>
      </c>
    </row>
    <row r="4073">
      <c r="A4073" s="16" t="inlineStr">
        <is>
          <t>5.29-6.4</t>
        </is>
      </c>
      <c r="B4073" s="16" t="inlineStr">
        <is>
          <t>PO-128-16041796547192078</t>
        </is>
      </c>
      <c r="C4073" s="16" t="inlineStr">
        <is>
          <t>Delivered</t>
        </is>
      </c>
      <c r="D4073" s="16" t="inlineStr">
        <is>
          <t>128-16041759847032078</t>
        </is>
      </c>
      <c r="E4073" s="16" t="inlineStr">
        <is>
          <t>Delivered</t>
        </is>
      </c>
      <c r="F4073" s="16" t="inlineStr">
        <is>
          <t>TLCD02-8P-A</t>
        </is>
      </c>
      <c r="G407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73" s="16" t="inlineStr">
        <is>
          <t>AZUL/pantalla de 8.5 pulgadas</t>
        </is>
      </c>
      <c r="I4073" s="16" t="n">
        <v>1</v>
      </c>
      <c r="J4073" s="17" t="n">
        <v>24.8</v>
      </c>
      <c r="K4073" s="17" t="n">
        <v>29.28</v>
      </c>
      <c r="L4073" s="17" t="n">
        <v>25.86</v>
      </c>
      <c r="M4073" s="17" t="n">
        <v>0</v>
      </c>
      <c r="N4073" s="17">
        <f>K4073*0.08+L4073*0.08</f>
        <v/>
      </c>
      <c r="O4073" s="17">
        <f>-(K4073*0.025+L4073*0.025)</f>
        <v/>
      </c>
      <c r="P4073" s="17">
        <f>32</f>
        <v/>
      </c>
      <c r="Q4073" s="17">
        <f>J4073+L4073+N4073+O4073-P4073-M4073</f>
        <v/>
      </c>
    </row>
    <row r="4074">
      <c r="A4074" s="16" t="inlineStr">
        <is>
          <t>5.29-6.4</t>
        </is>
      </c>
      <c r="B4074" s="16" t="inlineStr">
        <is>
          <t>PO-128-16314538250871604</t>
        </is>
      </c>
      <c r="C4074" s="16" t="inlineStr">
        <is>
          <t>Delivered</t>
        </is>
      </c>
      <c r="D4074" s="16" t="inlineStr">
        <is>
          <t>128-16314643108471604</t>
        </is>
      </c>
      <c r="E4074" s="16" t="inlineStr">
        <is>
          <t>Delivered</t>
        </is>
      </c>
      <c r="F4074" s="16" t="inlineStr">
        <is>
          <t>LV54W25</t>
        </is>
      </c>
      <c r="G4074" s="16" t="inlineStr">
        <is>
          <t>TIANLAI Lámpara Ventilador E27 2 en 1, Silenciosa, LED Alta Luminosidad 180°, Instalación Rápida, Ahorro Energético para Dormitorio y Interiores Pequeños</t>
        </is>
      </c>
      <c r="H4074" s="16" t="inlineStr">
        <is>
          <t>1 Pieza</t>
        </is>
      </c>
      <c r="I4074" s="16" t="n">
        <v>1</v>
      </c>
      <c r="J4074" s="17" t="n">
        <v>74</v>
      </c>
      <c r="K4074" s="17" t="n">
        <v>24.54</v>
      </c>
      <c r="L4074" s="17" t="n">
        <v>25.86</v>
      </c>
      <c r="M4074" s="17" t="n">
        <v>0</v>
      </c>
      <c r="N4074" s="17">
        <f>K4074*0.08+L4074*0.08</f>
        <v/>
      </c>
      <c r="O4074" s="17">
        <f>-(K4074*0.025+L4074*0.025)</f>
        <v/>
      </c>
      <c r="P4074" s="17">
        <f>32</f>
        <v/>
      </c>
      <c r="Q4074" s="17">
        <f>J4074+L4074+N4074+O4074-P4074-M4074</f>
        <v/>
      </c>
    </row>
    <row r="4075">
      <c r="A4075" s="16" t="inlineStr">
        <is>
          <t>5.29-6.4</t>
        </is>
      </c>
      <c r="B4075" s="16" t="inlineStr">
        <is>
          <t>PO-128-05313174454391578</t>
        </is>
      </c>
      <c r="C4075" s="16" t="inlineStr">
        <is>
          <t>Delivered</t>
        </is>
      </c>
      <c r="D4075" s="16" t="inlineStr">
        <is>
          <t>128-05313132511351578</t>
        </is>
      </c>
      <c r="E4075" s="16" t="inlineStr">
        <is>
          <t>Delivered</t>
        </is>
      </c>
      <c r="F4075" s="16" t="inlineStr">
        <is>
          <t>LV54W25</t>
        </is>
      </c>
      <c r="G4075" s="16" t="inlineStr">
        <is>
          <t>TIANLAI Lámpara Ventilador E27 2 en 1, Silenciosa, LED Alta Luminosidad 180°, Instalación Rápida, Ahorro Energético para Dormitorio y Interiores Pequeños</t>
        </is>
      </c>
      <c r="H4075" s="16" t="inlineStr">
        <is>
          <t>1 Pieza</t>
        </is>
      </c>
      <c r="I4075" s="16" t="n">
        <v>1</v>
      </c>
      <c r="J4075" s="17" t="n">
        <v>74</v>
      </c>
      <c r="K4075" s="17" t="n">
        <v>76.26000000000001</v>
      </c>
      <c r="L4075" s="17" t="n">
        <v>25.86</v>
      </c>
      <c r="M4075" s="17" t="n">
        <v>0</v>
      </c>
      <c r="N4075" s="17">
        <f>K4075*0.08+L4075*0.08</f>
        <v/>
      </c>
      <c r="O4075" s="17">
        <f>-(K4075*0.025+L4075*0.025)</f>
        <v/>
      </c>
      <c r="P4075" s="17">
        <f>32</f>
        <v/>
      </c>
      <c r="Q4075" s="17">
        <f>J4075+L4075+N4075+O4075-P4075-M4075</f>
        <v/>
      </c>
    </row>
    <row r="4076">
      <c r="A4076" s="16" t="inlineStr">
        <is>
          <t>5.29-6.4</t>
        </is>
      </c>
      <c r="B4076" s="16" t="inlineStr">
        <is>
          <t>PO-128-05098461827192859</t>
        </is>
      </c>
      <c r="C4076" s="16" t="inlineStr">
        <is>
          <t>Delivered</t>
        </is>
      </c>
      <c r="D4076" s="16" t="inlineStr">
        <is>
          <t>128-05098566684792859</t>
        </is>
      </c>
      <c r="E4076" s="16" t="inlineStr">
        <is>
          <t>Delivered</t>
        </is>
      </c>
      <c r="F4076" s="16" t="inlineStr">
        <is>
          <t>LV64W25</t>
        </is>
      </c>
      <c r="G40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76" s="16" t="inlineStr">
        <is>
          <t>Blanco</t>
        </is>
      </c>
      <c r="I4076" s="16" t="n">
        <v>2</v>
      </c>
      <c r="J4076" s="17" t="n">
        <v>250</v>
      </c>
      <c r="K4076" s="17" t="n">
        <v>257.88</v>
      </c>
      <c r="L4076" s="17" t="n">
        <v>0</v>
      </c>
      <c r="M4076" s="17" t="n">
        <v>0</v>
      </c>
      <c r="N4076" s="17">
        <f>K4076*0.08+L4076*0.08</f>
        <v/>
      </c>
      <c r="O4076" s="17">
        <f>-(K4076*0.025+L4076*0.025)</f>
        <v/>
      </c>
      <c r="P4076" s="17">
        <f>32</f>
        <v/>
      </c>
      <c r="Q4076" s="17">
        <f>J4076+L4076+N4076+O4076-P4076-M4076</f>
        <v/>
      </c>
    </row>
    <row r="4077">
      <c r="A4077" s="16" t="inlineStr">
        <is>
          <t>5.29-6.4</t>
        </is>
      </c>
      <c r="B4077" s="16" t="inlineStr">
        <is>
          <t>PO-128-05278806362231910</t>
        </is>
      </c>
      <c r="C4077" s="16" t="inlineStr">
        <is>
          <t>Delivered</t>
        </is>
      </c>
      <c r="D4077" s="16" t="inlineStr">
        <is>
          <t>128-05278802430071910</t>
        </is>
      </c>
      <c r="E4077" s="16" t="inlineStr">
        <is>
          <t>Delivered</t>
        </is>
      </c>
      <c r="F4077" s="16" t="inlineStr">
        <is>
          <t>BSC07</t>
        </is>
      </c>
      <c r="G4077" s="16" t="inlineStr">
        <is>
          <t>TIANLAI Báscula Digital BSC04/BSC07, Alta Precisión, Fácil Operación, Ligera y Portátil, Función Tara, Unidad Dual oz/g, Ideal para Cocina, Control de Porciones, Sellos y Objetos Pequeños, Uso en Hogar y Viaje</t>
        </is>
      </c>
      <c r="H4077" s="16" t="inlineStr">
        <is>
          <t>1g/White</t>
        </is>
      </c>
      <c r="I4077" s="16" t="n">
        <v>1</v>
      </c>
      <c r="J4077" s="17" t="n">
        <v>37</v>
      </c>
      <c r="K4077" s="17" t="n">
        <v>29.1</v>
      </c>
      <c r="L4077" s="17" t="n">
        <v>25.86</v>
      </c>
      <c r="M4077" s="17" t="n">
        <v>0</v>
      </c>
      <c r="N4077" s="17">
        <f>K4077*0.08+L4077*0.08</f>
        <v/>
      </c>
      <c r="O4077" s="17">
        <f>-(K4077*0.025+L4077*0.025)</f>
        <v/>
      </c>
      <c r="P4077" s="17">
        <f>32</f>
        <v/>
      </c>
      <c r="Q4077" s="17">
        <f>J4077+L4077+N4077+O4077-P4077-M4077</f>
        <v/>
      </c>
    </row>
    <row r="4078">
      <c r="A4078" s="16" t="inlineStr">
        <is>
          <t>5.29-6.4</t>
        </is>
      </c>
      <c r="B4078" s="16" t="inlineStr">
        <is>
          <t>PO-128-05318222078071613</t>
        </is>
      </c>
      <c r="C4078" s="16" t="inlineStr">
        <is>
          <t>Delivered</t>
        </is>
      </c>
      <c r="D4078" s="16" t="inlineStr">
        <is>
          <t>128-05318253535351613</t>
        </is>
      </c>
      <c r="E4078" s="16" t="inlineStr">
        <is>
          <t>Delivered</t>
        </is>
      </c>
      <c r="F4078" s="16" t="inlineStr">
        <is>
          <t>LV54W25</t>
        </is>
      </c>
      <c r="G4078" s="16" t="inlineStr">
        <is>
          <t>TIANLAI Lámpara Ventilador E27 2 en 1, Silenciosa, LED Alta Luminosidad 180°, Instalación Rápida, Ahorro Energético para Dormitorio y Interiores Pequeños</t>
        </is>
      </c>
      <c r="H4078" s="16" t="inlineStr">
        <is>
          <t>1 Pieza</t>
        </is>
      </c>
      <c r="I4078" s="16" t="n">
        <v>3</v>
      </c>
      <c r="J4078" s="17" t="n">
        <v>222</v>
      </c>
      <c r="K4078" s="17" t="n">
        <v>184.18</v>
      </c>
      <c r="L4078" s="17" t="n">
        <v>25.86</v>
      </c>
      <c r="M4078" s="17" t="n">
        <v>0</v>
      </c>
      <c r="N4078" s="17">
        <f>K4078*0.08+L4078*0.08</f>
        <v/>
      </c>
      <c r="O4078" s="17">
        <f>-(K4078*0.025+L4078*0.025)</f>
        <v/>
      </c>
      <c r="P4078" s="17">
        <f>32</f>
        <v/>
      </c>
      <c r="Q4078" s="17">
        <f>J4078+L4078+N4078+O4078-P4078-M4078</f>
        <v/>
      </c>
    </row>
    <row r="4079">
      <c r="A4079" s="16" t="inlineStr">
        <is>
          <t>5.29-6.4</t>
        </is>
      </c>
      <c r="B4079" s="16" t="inlineStr">
        <is>
          <t>PO-128-04867124247673276</t>
        </is>
      </c>
      <c r="C4079" s="16" t="inlineStr">
        <is>
          <t>Delivered</t>
        </is>
      </c>
      <c r="D4079" s="16" t="inlineStr">
        <is>
          <t>128-04867134733433276</t>
        </is>
      </c>
      <c r="E4079" s="16" t="inlineStr">
        <is>
          <t>Delivered</t>
        </is>
      </c>
      <c r="F4079" s="16" t="inlineStr">
        <is>
          <t>KTS-2031</t>
        </is>
      </c>
      <c r="G4079" s="16" t="inlineStr">
        <is>
          <t>Bocina inalámbrica de 3 pulgadas con linterna multifuncional y panel solar integrado.Altavoz Portátil con Linterna LED 4 Modos, Radio FM, Bluetooth, Carga Solar, Ideal para Apagones, Emergencias, Campo y Exteriores</t>
        </is>
      </c>
      <c r="H4079" s="16" t="inlineStr">
        <is>
          <t>NEGRO</t>
        </is>
      </c>
      <c r="I4079" s="16" t="n">
        <v>1</v>
      </c>
      <c r="J4079" s="17" t="n">
        <v>90</v>
      </c>
      <c r="K4079" s="17" t="n">
        <v>99.22</v>
      </c>
      <c r="L4079" s="17" t="n">
        <v>25.86</v>
      </c>
      <c r="M4079" s="17" t="n">
        <v>0</v>
      </c>
      <c r="N4079" s="17">
        <f>K4079*0.08+L4079*0.08</f>
        <v/>
      </c>
      <c r="O4079" s="17">
        <f>-(K4079*0.025+L4079*0.025)</f>
        <v/>
      </c>
      <c r="P4079" s="17">
        <f>32</f>
        <v/>
      </c>
      <c r="Q4079" s="17">
        <f>J4079+L4079+N4079+O4079-P4079-M4079</f>
        <v/>
      </c>
    </row>
    <row r="4080">
      <c r="A4080" s="16" t="inlineStr">
        <is>
          <t>5.29-6.4</t>
        </is>
      </c>
      <c r="B4080" s="16" t="inlineStr">
        <is>
          <t>PO-128-05343258639990502</t>
        </is>
      </c>
      <c r="C4080" s="16" t="inlineStr">
        <is>
          <t>Delivered</t>
        </is>
      </c>
      <c r="D4080" s="16" t="inlineStr">
        <is>
          <t>128-05343263882870502</t>
        </is>
      </c>
      <c r="E4080" s="16" t="inlineStr">
        <is>
          <t>Delivered</t>
        </is>
      </c>
      <c r="F4080" s="16" t="inlineStr">
        <is>
          <t>LV54W25</t>
        </is>
      </c>
      <c r="G4080" s="16" t="inlineStr">
        <is>
          <t>TIANLAI Lámpara Ventilador E27 2 en 1, Silenciosa, LED Alta Luminosidad 180°, Instalación Rápida, Ahorro Energético para Dormitorio y Interiores Pequeños</t>
        </is>
      </c>
      <c r="H4080" s="16" t="inlineStr">
        <is>
          <t>1 Pieza</t>
        </is>
      </c>
      <c r="I4080" s="16" t="n">
        <v>1</v>
      </c>
      <c r="J4080" s="17" t="n">
        <v>74</v>
      </c>
      <c r="K4080" s="17" t="n">
        <v>76.26000000000001</v>
      </c>
      <c r="L4080" s="17" t="n">
        <v>25.86</v>
      </c>
      <c r="M4080" s="17" t="n">
        <v>0</v>
      </c>
      <c r="N4080" s="17">
        <f>K4080*0.08+L4080*0.08</f>
        <v/>
      </c>
      <c r="O4080" s="17">
        <f>-(K4080*0.025+L4080*0.025)</f>
        <v/>
      </c>
      <c r="P4080" s="17">
        <f>32</f>
        <v/>
      </c>
      <c r="Q4080" s="17">
        <f>J4080+L4080+N4080+O4080-P4080-M4080</f>
        <v/>
      </c>
    </row>
    <row r="4081">
      <c r="A4081" s="16" t="inlineStr">
        <is>
          <t>5.29-6.4</t>
        </is>
      </c>
      <c r="B4081" s="16" t="inlineStr">
        <is>
          <t>PO-128-05131031911032793</t>
        </is>
      </c>
      <c r="C4081" s="16" t="inlineStr">
        <is>
          <t>Delivered</t>
        </is>
      </c>
      <c r="D4081" s="16" t="inlineStr">
        <is>
          <t>128-05130989967992793</t>
        </is>
      </c>
      <c r="E4081" s="16" t="inlineStr">
        <is>
          <t>Delivered</t>
        </is>
      </c>
      <c r="F4081" s="16" t="inlineStr">
        <is>
          <t>BSC07</t>
        </is>
      </c>
      <c r="G4081" s="16" t="inlineStr">
        <is>
          <t>TIANLAI Báscula Digital BSC04/BSC07, Alta Precisión, Fácil Operación, Ligera y Portátil, Función Tara, Unidad Dual oz/g, Ideal para Cocina, Control de Porciones, Sellos y Objetos Pequeños, Uso en Hogar y Viaje</t>
        </is>
      </c>
      <c r="H4081" s="16" t="inlineStr">
        <is>
          <t>1g/White</t>
        </is>
      </c>
      <c r="I4081" s="16" t="n">
        <v>1</v>
      </c>
      <c r="J4081" s="17" t="n">
        <v>37</v>
      </c>
      <c r="K4081" s="17" t="n">
        <v>49.22</v>
      </c>
      <c r="L4081" s="17" t="n">
        <v>25.86</v>
      </c>
      <c r="M4081" s="17" t="n">
        <v>0</v>
      </c>
      <c r="N4081" s="17">
        <f>K4081*0.08+L4081*0.08</f>
        <v/>
      </c>
      <c r="O4081" s="17">
        <f>-(K4081*0.025+L4081*0.025)</f>
        <v/>
      </c>
      <c r="P4081" s="17">
        <f>32</f>
        <v/>
      </c>
      <c r="Q4081" s="17">
        <f>J4081+L4081+N4081+O4081-P4081-M4081</f>
        <v/>
      </c>
    </row>
    <row r="4082">
      <c r="A4082" s="16" t="inlineStr">
        <is>
          <t>5.29-6.4</t>
        </is>
      </c>
      <c r="B4082" s="16" t="inlineStr">
        <is>
          <t>PO-128-19031226686071668</t>
        </is>
      </c>
      <c r="C4082" s="16" t="inlineStr">
        <is>
          <t>Partially delivered</t>
        </is>
      </c>
      <c r="D4082" s="16" t="inlineStr">
        <is>
          <t>128-19031222753911668</t>
        </is>
      </c>
      <c r="E4082" s="16" t="inlineStr">
        <is>
          <t>Shipped</t>
        </is>
      </c>
      <c r="F4082" s="16" t="inlineStr">
        <is>
          <t>KTS-2031</t>
        </is>
      </c>
      <c r="G4082" s="16" t="inlineStr">
        <is>
          <t>Bocina inalámbrica de 3 pulgadas con linterna multifuncional y panel solar integrado.Altavoz Portátil con Linterna LED 4 Modos, Radio FM, Bluetooth, Carga Solar, Ideal para Apagones, Emergencias, Campo y Exteriores</t>
        </is>
      </c>
      <c r="H4082" s="16" t="inlineStr">
        <is>
          <t>NEGRO</t>
        </is>
      </c>
      <c r="I4082" s="16" t="n">
        <v>1</v>
      </c>
      <c r="J4082" s="17" t="n">
        <v>90</v>
      </c>
      <c r="K4082" s="17" t="n">
        <v>116.97</v>
      </c>
      <c r="L4082" s="17" t="n">
        <v>12.88</v>
      </c>
      <c r="M4082" s="17" t="n">
        <v>0</v>
      </c>
      <c r="N4082" s="17">
        <f>K4082*0.08+L4082*0.08</f>
        <v/>
      </c>
      <c r="O4082" s="17">
        <f>-(K4082*0.025+L4082*0.025)</f>
        <v/>
      </c>
      <c r="P4082" s="17">
        <f>32</f>
        <v/>
      </c>
      <c r="Q4082" s="17">
        <f>J4082+L4082+N4082+O4082-P4082-M4082</f>
        <v/>
      </c>
    </row>
    <row r="4083">
      <c r="A4083" s="16" t="inlineStr">
        <is>
          <t>5.29-6.4</t>
        </is>
      </c>
      <c r="B4083" s="16" t="inlineStr">
        <is>
          <t>PO-128-19031226686071668</t>
        </is>
      </c>
      <c r="C4083" s="16" t="inlineStr">
        <is>
          <t>Partially delivered</t>
        </is>
      </c>
      <c r="D4083" s="16" t="inlineStr">
        <is>
          <t>128-19031233239671668</t>
        </is>
      </c>
      <c r="E4083" s="16" t="inlineStr">
        <is>
          <t>Delivered</t>
        </is>
      </c>
      <c r="F4083" s="16" t="inlineStr">
        <is>
          <t>TLCD02-8P-N</t>
        </is>
      </c>
      <c r="G4083"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83" s="16" t="inlineStr">
        <is>
          <t>NEGRO/pantalla de 8.5 pulgadas</t>
        </is>
      </c>
      <c r="I4083" s="16" t="n">
        <v>4</v>
      </c>
      <c r="J4083" s="17" t="n">
        <v>100</v>
      </c>
      <c r="K4083" s="17" t="n">
        <v>117.88</v>
      </c>
      <c r="L4083" s="17" t="n">
        <v>12.98</v>
      </c>
      <c r="M4083" s="17" t="n">
        <v>0</v>
      </c>
      <c r="N4083" s="17">
        <f>K4083*0.08+L4083*0.08</f>
        <v/>
      </c>
      <c r="O4083" s="17">
        <f>-(K4083*0.025+L4083*0.025)</f>
        <v/>
      </c>
      <c r="P4083" s="17">
        <f>32</f>
        <v/>
      </c>
      <c r="Q4083" s="17">
        <f>J4083+L4083+N4083+O4083-P4083-M4083</f>
        <v/>
      </c>
    </row>
    <row r="4084">
      <c r="A4084" s="16" t="inlineStr">
        <is>
          <t>5.29-6.4</t>
        </is>
      </c>
      <c r="B4084" s="16" t="inlineStr">
        <is>
          <t>PO-128-07765926741112382</t>
        </is>
      </c>
      <c r="C4084" s="16" t="inlineStr">
        <is>
          <t>Partially delivered</t>
        </is>
      </c>
      <c r="D4084" s="16" t="inlineStr">
        <is>
          <t>128-07765950334072382</t>
        </is>
      </c>
      <c r="E4084" s="16" t="inlineStr">
        <is>
          <t>Shipped</t>
        </is>
      </c>
      <c r="F4084" s="16" t="inlineStr">
        <is>
          <t>KTS-2031</t>
        </is>
      </c>
      <c r="G4084" s="16" t="inlineStr">
        <is>
          <t>Bocina inalámbrica de 3 pulgadas con linterna multifuncional y panel solar integrado.Altavoz Portátil con Linterna LED 4 Modos, Radio FM, Bluetooth, Carga Solar, Ideal para Apagones, Emergencias, Campo y Exteriores</t>
        </is>
      </c>
      <c r="H4084" s="16" t="inlineStr">
        <is>
          <t>NEGRO</t>
        </is>
      </c>
      <c r="I4084" s="16" t="n">
        <v>2</v>
      </c>
      <c r="J4084" s="17" t="n">
        <v>180</v>
      </c>
      <c r="K4084" s="17" t="n">
        <v>198.44</v>
      </c>
      <c r="L4084" s="17" t="n">
        <v>0</v>
      </c>
      <c r="M4084" s="17" t="n">
        <v>0</v>
      </c>
      <c r="N4084" s="17">
        <f>K4084*0.08+L4084*0.08</f>
        <v/>
      </c>
      <c r="O4084" s="17">
        <f>-(K4084*0.025+L4084*0.025)</f>
        <v/>
      </c>
      <c r="P4084" s="17">
        <f>32</f>
        <v/>
      </c>
      <c r="Q4084" s="17">
        <f>J4084+L4084+N4084+O4084-P4084-M4084</f>
        <v/>
      </c>
    </row>
    <row r="4085">
      <c r="A4085" s="16" t="inlineStr">
        <is>
          <t>5.29-6.4</t>
        </is>
      </c>
      <c r="B4085" s="16" t="inlineStr">
        <is>
          <t>PO-128-07765926741112382</t>
        </is>
      </c>
      <c r="C4085" s="16" t="inlineStr">
        <is>
          <t>Partially delivered</t>
        </is>
      </c>
      <c r="D4085" s="16" t="inlineStr">
        <is>
          <t>128-07765960819832382</t>
        </is>
      </c>
      <c r="E4085" s="16" t="inlineStr">
        <is>
          <t>Delivered</t>
        </is>
      </c>
      <c r="F4085" s="16" t="inlineStr">
        <is>
          <t>TLCD02-8P-N</t>
        </is>
      </c>
      <c r="G4085"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85" s="16" t="inlineStr">
        <is>
          <t>NEGRO/pantalla de 8.5 pulgadas</t>
        </is>
      </c>
      <c r="I4085" s="16" t="n">
        <v>1</v>
      </c>
      <c r="J4085" s="17" t="n">
        <v>25</v>
      </c>
      <c r="K4085" s="17" t="n">
        <v>29.47</v>
      </c>
      <c r="L4085" s="17" t="n">
        <v>0</v>
      </c>
      <c r="M4085" s="17" t="n">
        <v>0</v>
      </c>
      <c r="N4085" s="17">
        <f>K4085*0.08+L4085*0.08</f>
        <v/>
      </c>
      <c r="O4085" s="17">
        <f>-(K4085*0.025+L4085*0.025)</f>
        <v/>
      </c>
      <c r="P4085" s="17">
        <f>32</f>
        <v/>
      </c>
      <c r="Q4085" s="17">
        <f>J4085+L4085+N4085+O4085-P4085-M4085</f>
        <v/>
      </c>
    </row>
    <row r="4086">
      <c r="A4086" s="16" t="inlineStr">
        <is>
          <t>5.29-6.4</t>
        </is>
      </c>
      <c r="B4086" s="16" t="inlineStr">
        <is>
          <t>PO-128-07765926741112382</t>
        </is>
      </c>
      <c r="C4086" s="16" t="inlineStr">
        <is>
          <t>Partially delivered</t>
        </is>
      </c>
      <c r="D4086" s="16" t="inlineStr">
        <is>
          <t>128-07765981791352382</t>
        </is>
      </c>
      <c r="E4086" s="16" t="inlineStr">
        <is>
          <t>Delivered</t>
        </is>
      </c>
      <c r="F4086" s="16" t="inlineStr">
        <is>
          <t>TLCD02-8P-R</t>
        </is>
      </c>
      <c r="G4086"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086" s="16" t="inlineStr">
        <is>
          <t>ROJO/pantalla de 8.5 pulgadas</t>
        </is>
      </c>
      <c r="I4086" s="16" t="n">
        <v>1</v>
      </c>
      <c r="J4086" s="17" t="n">
        <v>25</v>
      </c>
      <c r="K4086" s="17" t="n">
        <v>33.98</v>
      </c>
      <c r="L4086" s="17" t="n">
        <v>0</v>
      </c>
      <c r="M4086" s="17" t="n">
        <v>0</v>
      </c>
      <c r="N4086" s="17">
        <f>K4086*0.08+L4086*0.08</f>
        <v/>
      </c>
      <c r="O4086" s="17">
        <f>-(K4086*0.025+L4086*0.025)</f>
        <v/>
      </c>
      <c r="P4086" s="17">
        <f>32</f>
        <v/>
      </c>
      <c r="Q4086" s="17">
        <f>J4086+L4086+N4086+O4086-P4086-M4086</f>
        <v/>
      </c>
    </row>
    <row r="4087">
      <c r="A4087" s="16" t="inlineStr">
        <is>
          <t>5.8-5.14</t>
        </is>
      </c>
      <c r="B4087" s="16" t="inlineStr">
        <is>
          <t>PO-128-20755057756793747</t>
        </is>
      </c>
      <c r="C4087" s="16" t="inlineStr">
        <is>
          <t>Shipped</t>
        </is>
      </c>
      <c r="D4087" s="16" t="inlineStr">
        <is>
          <t>128-20755015813753747</t>
        </is>
      </c>
      <c r="E4087" s="16" t="inlineStr">
        <is>
          <t>Shipped</t>
        </is>
      </c>
      <c r="F4087" s="16" t="inlineStr">
        <is>
          <t>LV64W25</t>
        </is>
      </c>
      <c r="G40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87" s="16" t="inlineStr">
        <is>
          <t>Blanco</t>
        </is>
      </c>
      <c r="I4087" s="16" t="n">
        <v>2</v>
      </c>
      <c r="J4087" s="17" t="n">
        <v>238</v>
      </c>
      <c r="K4087" s="17" t="n">
        <v>274.56</v>
      </c>
      <c r="L4087" s="17" t="n">
        <v>0</v>
      </c>
      <c r="M4087" s="17" t="n">
        <v>0</v>
      </c>
      <c r="N4087" s="17">
        <f>K4087*0.08+L4087*0.08</f>
        <v/>
      </c>
      <c r="O4087" s="17">
        <f>-(K4087*0.025+L4087*0.025)</f>
        <v/>
      </c>
      <c r="P4087" s="17">
        <f>32</f>
        <v/>
      </c>
      <c r="Q4087" s="17">
        <f>J4087+L4087+N4087+O4087-P4087-M4087</f>
        <v/>
      </c>
    </row>
    <row r="4088">
      <c r="A4088" s="16" t="inlineStr">
        <is>
          <t>5.8-5.14</t>
        </is>
      </c>
      <c r="B4088" s="16" t="inlineStr">
        <is>
          <t>PO-128-21169407002230381</t>
        </is>
      </c>
      <c r="C4088" s="16" t="inlineStr">
        <is>
          <t>Shipped</t>
        </is>
      </c>
      <c r="D4088" s="16" t="inlineStr">
        <is>
          <t>128-21169386030710381</t>
        </is>
      </c>
      <c r="E4088" s="16" t="inlineStr">
        <is>
          <t>Shipped</t>
        </is>
      </c>
      <c r="F4088" s="16" t="inlineStr">
        <is>
          <t>B03W10-10PZS</t>
        </is>
      </c>
      <c r="G408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088" s="16" t="inlineStr">
        <is>
          <t>B03W10</t>
        </is>
      </c>
      <c r="I4088" s="16" t="n">
        <v>1</v>
      </c>
      <c r="J4088" s="17" t="n">
        <v>70</v>
      </c>
      <c r="K4088" s="17" t="n">
        <v>62.78</v>
      </c>
      <c r="L4088" s="17" t="n">
        <v>25.86</v>
      </c>
      <c r="M4088" s="17" t="n">
        <v>0</v>
      </c>
      <c r="N4088" s="17">
        <f>K4088*0.08+L4088*0.08</f>
        <v/>
      </c>
      <c r="O4088" s="17">
        <f>-(K4088*0.025+L4088*0.025)</f>
        <v/>
      </c>
      <c r="P4088" s="17">
        <f>32</f>
        <v/>
      </c>
      <c r="Q4088" s="17">
        <f>J4088+L4088+N4088+O4088-P4088-M4088</f>
        <v/>
      </c>
    </row>
    <row r="4089">
      <c r="A4089" s="16" t="inlineStr">
        <is>
          <t>5.8-5.14</t>
        </is>
      </c>
      <c r="B4089" s="16" t="inlineStr">
        <is>
          <t>PO-128-21044903783031123</t>
        </is>
      </c>
      <c r="C4089" s="16" t="inlineStr">
        <is>
          <t>Shipped</t>
        </is>
      </c>
      <c r="D4089" s="16" t="inlineStr">
        <is>
          <t>128-21044874947191123</t>
        </is>
      </c>
      <c r="E4089" s="16" t="inlineStr">
        <is>
          <t>Shipped</t>
        </is>
      </c>
      <c r="F4089" s="16" t="inlineStr">
        <is>
          <t>SA428T</t>
        </is>
      </c>
      <c r="G4089"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089" s="16" t="inlineStr">
        <is>
          <t>SA428T</t>
        </is>
      </c>
      <c r="I4089" s="16" t="n">
        <v>1</v>
      </c>
      <c r="J4089" s="17" t="n">
        <v>86.22</v>
      </c>
      <c r="K4089" s="17" t="n">
        <v>101.66</v>
      </c>
      <c r="L4089" s="17" t="n">
        <v>25.86</v>
      </c>
      <c r="M4089" s="17" t="n">
        <v>0</v>
      </c>
      <c r="N4089" s="17">
        <f>K4089*0.08+L4089*0.08</f>
        <v/>
      </c>
      <c r="O4089" s="17">
        <f>-(K4089*0.025+L4089*0.025)</f>
        <v/>
      </c>
      <c r="P4089" s="17">
        <f>32</f>
        <v/>
      </c>
      <c r="Q4089" s="17">
        <f>J4089+L4089+N4089+O4089-P4089-M4089</f>
        <v/>
      </c>
    </row>
    <row r="4090">
      <c r="A4090" s="16" t="inlineStr">
        <is>
          <t>5.8-5.14</t>
        </is>
      </c>
      <c r="B4090" s="16" t="inlineStr">
        <is>
          <t>PO-128-21036034181751110</t>
        </is>
      </c>
      <c r="C4090" s="16" t="inlineStr">
        <is>
          <t>Shipped</t>
        </is>
      </c>
      <c r="D4090" s="16" t="inlineStr">
        <is>
          <t>128-21036039424631110</t>
        </is>
      </c>
      <c r="E4090" s="16" t="inlineStr">
        <is>
          <t>Shipped</t>
        </is>
      </c>
      <c r="F4090" s="16" t="inlineStr">
        <is>
          <t>KTS-2031</t>
        </is>
      </c>
      <c r="G4090" s="16" t="inlineStr">
        <is>
          <t>Bocina inalámbrica de 3 pulgadas con linterna multifuncional y panel solar integrado.Altavoz Portátil con Linterna LED 4 Modos, Radio FM, Bluetooth, Carga Solar, Ideal para Apagones, Emergencias, Campo y Exteriores</t>
        </is>
      </c>
      <c r="H4090" s="16" t="inlineStr">
        <is>
          <t>NEGRO</t>
        </is>
      </c>
      <c r="I4090" s="16" t="n">
        <v>2</v>
      </c>
      <c r="J4090" s="17" t="n">
        <v>156</v>
      </c>
      <c r="K4090" s="17" t="n">
        <v>171.2</v>
      </c>
      <c r="L4090" s="17" t="n">
        <v>25.86</v>
      </c>
      <c r="M4090" s="17" t="n">
        <v>0</v>
      </c>
      <c r="N4090" s="17">
        <f>K4090*0.08+L4090*0.08</f>
        <v/>
      </c>
      <c r="O4090" s="17">
        <f>-(K4090*0.025+L4090*0.025)</f>
        <v/>
      </c>
      <c r="P4090" s="17">
        <f>32</f>
        <v/>
      </c>
      <c r="Q4090" s="17">
        <f>J4090+L4090+N4090+O4090-P4090-M4090</f>
        <v/>
      </c>
    </row>
    <row r="4091">
      <c r="A4091" s="16" t="inlineStr">
        <is>
          <t>5.8-5.14</t>
        </is>
      </c>
      <c r="B4091" s="16" t="inlineStr">
        <is>
          <t>PO-128-21142096840310478</t>
        </is>
      </c>
      <c r="C4091" s="16" t="inlineStr">
        <is>
          <t>Shipped</t>
        </is>
      </c>
      <c r="D4091" s="16" t="inlineStr">
        <is>
          <t>128-21142117811830478</t>
        </is>
      </c>
      <c r="E4091" s="16" t="inlineStr">
        <is>
          <t>Shipped</t>
        </is>
      </c>
      <c r="F4091" s="16" t="inlineStr">
        <is>
          <t>TL2663N18C</t>
        </is>
      </c>
      <c r="G4091" s="16" t="inlineStr">
        <is>
          <t>Linkbits，Soporte de pared fijo para televisores de 26"-63", Ultra-Delgado Compatible con VESA 400x400mm, Capacidad de Peso Fuerte de 25KG, Instalación Fácil Sin Electricidad</t>
        </is>
      </c>
      <c r="H4091" s="16" t="inlineStr">
        <is>
          <t>NEGRO</t>
        </is>
      </c>
      <c r="I4091" s="16" t="n">
        <v>1</v>
      </c>
      <c r="J4091" s="17" t="n">
        <v>55.5</v>
      </c>
      <c r="K4091" s="17" t="n">
        <v>27.39</v>
      </c>
      <c r="L4091" s="17" t="n">
        <v>25.86</v>
      </c>
      <c r="M4091" s="17" t="n">
        <v>0</v>
      </c>
      <c r="N4091" s="17">
        <f>K4091*0.08+L4091*0.08</f>
        <v/>
      </c>
      <c r="O4091" s="17">
        <f>-(K4091*0.025+L4091*0.025)</f>
        <v/>
      </c>
      <c r="P4091" s="17">
        <f>32</f>
        <v/>
      </c>
      <c r="Q4091" s="17">
        <f>J4091+L4091+N4091+O4091-P4091-M4091</f>
        <v/>
      </c>
    </row>
    <row r="4092">
      <c r="A4092" s="16" t="inlineStr">
        <is>
          <t>5.8-5.14</t>
        </is>
      </c>
      <c r="B4092" s="16" t="inlineStr">
        <is>
          <t>PO-128-20948379740792592</t>
        </is>
      </c>
      <c r="C4092" s="16" t="inlineStr">
        <is>
          <t>Shipped</t>
        </is>
      </c>
      <c r="D4092" s="16" t="inlineStr">
        <is>
          <t>128-20948390226552592</t>
        </is>
      </c>
      <c r="E4092" s="16" t="inlineStr">
        <is>
          <t>Shipped</t>
        </is>
      </c>
      <c r="F4092" s="16" t="inlineStr">
        <is>
          <t>TL2663N18C</t>
        </is>
      </c>
      <c r="G4092" s="16" t="inlineStr">
        <is>
          <t>Linkbits，Soporte de pared fijo para televisores de 26"-63", Ultra-Delgado Compatible con VESA 400x400mm, Capacidad de Peso Fuerte de 25KG, Instalación Fácil Sin Electricidad</t>
        </is>
      </c>
      <c r="H4092" s="16" t="inlineStr">
        <is>
          <t>NEGRO</t>
        </is>
      </c>
      <c r="I4092" s="16" t="n">
        <v>2</v>
      </c>
      <c r="J4092" s="17" t="n">
        <v>111</v>
      </c>
      <c r="K4092" s="17" t="n">
        <v>95.33</v>
      </c>
      <c r="L4092" s="17" t="n">
        <v>25.86</v>
      </c>
      <c r="M4092" s="17" t="n">
        <v>0</v>
      </c>
      <c r="N4092" s="17">
        <f>K4092*0.08+L4092*0.08</f>
        <v/>
      </c>
      <c r="O4092" s="17">
        <f>-(K4092*0.025+L4092*0.025)</f>
        <v/>
      </c>
      <c r="P4092" s="17">
        <f>32</f>
        <v/>
      </c>
      <c r="Q4092" s="17">
        <f>J4092+L4092+N4092+O4092-P4092-M4092</f>
        <v/>
      </c>
    </row>
    <row r="4093">
      <c r="A4093" s="16" t="inlineStr">
        <is>
          <t>5.8-5.14</t>
        </is>
      </c>
      <c r="B4093" s="16" t="inlineStr">
        <is>
          <t>PO-128-21245051535990824</t>
        </is>
      </c>
      <c r="C4093" s="16" t="inlineStr">
        <is>
          <t>Shipped</t>
        </is>
      </c>
      <c r="D4093" s="16" t="inlineStr">
        <is>
          <t>128-21245093479030824</t>
        </is>
      </c>
      <c r="E4093" s="16" t="inlineStr">
        <is>
          <t>Shipped</t>
        </is>
      </c>
      <c r="F4093" s="16" t="inlineStr">
        <is>
          <t>KTS-2031</t>
        </is>
      </c>
      <c r="G4093" s="16" t="inlineStr">
        <is>
          <t>Bocina inalámbrica de 3 pulgadas con linterna multifuncional y panel solar integrado.Altavoz Portátil con Linterna LED 4 Modos, Radio FM, Bluetooth, Carga Solar, Ideal para Apagones, Emergencias, Campo y Exteriores</t>
        </is>
      </c>
      <c r="H4093" s="16" t="inlineStr">
        <is>
          <t>NEGRO</t>
        </is>
      </c>
      <c r="I4093" s="16" t="n">
        <v>1</v>
      </c>
      <c r="J4093" s="17" t="n">
        <v>78</v>
      </c>
      <c r="K4093" s="17" t="n">
        <v>87.22</v>
      </c>
      <c r="L4093" s="17" t="n">
        <v>25.86</v>
      </c>
      <c r="M4093" s="17" t="n">
        <v>0</v>
      </c>
      <c r="N4093" s="17">
        <f>K4093*0.08+L4093*0.08</f>
        <v/>
      </c>
      <c r="O4093" s="17">
        <f>-(K4093*0.025+L4093*0.025)</f>
        <v/>
      </c>
      <c r="P4093" s="17">
        <f>32</f>
        <v/>
      </c>
      <c r="Q4093" s="17">
        <f>J4093+L4093+N4093+O4093-P4093-M4093</f>
        <v/>
      </c>
    </row>
    <row r="4094">
      <c r="A4094" s="16" t="inlineStr">
        <is>
          <t>5.8-5.14</t>
        </is>
      </c>
      <c r="B4094" s="16" t="inlineStr">
        <is>
          <t>PO-128-21296890471030581</t>
        </is>
      </c>
      <c r="C4094" s="16" t="inlineStr">
        <is>
          <t>Shipped</t>
        </is>
      </c>
      <c r="D4094" s="16" t="inlineStr">
        <is>
          <t>128-21296843285110581</t>
        </is>
      </c>
      <c r="E4094" s="16" t="inlineStr">
        <is>
          <t>Shipped</t>
        </is>
      </c>
      <c r="F4094" s="16" t="inlineStr">
        <is>
          <t>LV64W25</t>
        </is>
      </c>
      <c r="G40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094" s="16" t="inlineStr">
        <is>
          <t>Blanco</t>
        </is>
      </c>
      <c r="I4094" s="16" t="n">
        <v>1</v>
      </c>
      <c r="J4094" s="17" t="n">
        <v>119</v>
      </c>
      <c r="K4094" s="17" t="n">
        <v>124.44</v>
      </c>
      <c r="L4094" s="17" t="n">
        <v>25.86</v>
      </c>
      <c r="M4094" s="17" t="n">
        <v>0</v>
      </c>
      <c r="N4094" s="17">
        <f>K4094*0.08+L4094*0.08</f>
        <v/>
      </c>
      <c r="O4094" s="17">
        <f>-(K4094*0.025+L4094*0.025)</f>
        <v/>
      </c>
      <c r="P4094" s="17">
        <f>32</f>
        <v/>
      </c>
      <c r="Q4094" s="17">
        <f>J4094+L4094+N4094+O4094-P4094-M4094</f>
        <v/>
      </c>
    </row>
    <row r="4095">
      <c r="A4095" s="16" t="inlineStr">
        <is>
          <t>5.8-5.14</t>
        </is>
      </c>
      <c r="B4095" s="16" t="inlineStr">
        <is>
          <t>PO-128-20749984000633713</t>
        </is>
      </c>
      <c r="C4095" s="16" t="inlineStr">
        <is>
          <t>Shipped</t>
        </is>
      </c>
      <c r="D4095" s="16" t="inlineStr">
        <is>
          <t>128-20750052158073713</t>
        </is>
      </c>
      <c r="E4095" s="16" t="inlineStr">
        <is>
          <t>Shipped</t>
        </is>
      </c>
      <c r="F4095" s="16" t="inlineStr">
        <is>
          <t>TL1455N20B</t>
        </is>
      </c>
      <c r="G4095" s="16" t="inlineStr">
        <is>
          <t>LINK BITS Soporte para TV 14 A 55 Pulgadas, Base para TV Pantalla Articulado Inclinable y Giratorio, MAX VESA 400×400 mm, Soporta hasta 18kg, adaptarse a la mayoría de los televisores de 14 Pulgadas/20 Pulgadas/32 Pulgadas/42 Pulgadas/55 pulgadas</t>
        </is>
      </c>
      <c r="H4095" s="16" t="inlineStr">
        <is>
          <t>TL1455N20B</t>
        </is>
      </c>
      <c r="I4095" s="16" t="n">
        <v>7</v>
      </c>
      <c r="J4095" s="17" t="n">
        <v>483</v>
      </c>
      <c r="K4095" s="17" t="n">
        <v>481.98</v>
      </c>
      <c r="L4095" s="17" t="n">
        <v>0</v>
      </c>
      <c r="M4095" s="17" t="n">
        <v>0</v>
      </c>
      <c r="N4095" s="17">
        <f>K4095*0.08+L4095*0.08</f>
        <v/>
      </c>
      <c r="O4095" s="17">
        <f>-(K4095*0.025+L4095*0.025)</f>
        <v/>
      </c>
      <c r="P4095" s="17">
        <f>32</f>
        <v/>
      </c>
      <c r="Q4095" s="17">
        <f>J4095+L4095+N4095+O4095-P4095-M4095</f>
        <v/>
      </c>
    </row>
    <row r="4096">
      <c r="A4096" s="16" t="inlineStr">
        <is>
          <t>5.8-5.14</t>
        </is>
      </c>
      <c r="B4096" s="16" t="inlineStr">
        <is>
          <t>PO-128-20652820792953394</t>
        </is>
      </c>
      <c r="C4096" s="16" t="inlineStr">
        <is>
          <t>Shipped</t>
        </is>
      </c>
      <c r="D4096" s="16" t="inlineStr">
        <is>
          <t>128-20652799821433394</t>
        </is>
      </c>
      <c r="E4096" s="16" t="inlineStr">
        <is>
          <t>Shipped</t>
        </is>
      </c>
      <c r="F4096" s="16" t="inlineStr">
        <is>
          <t>TL1455N20B</t>
        </is>
      </c>
      <c r="G4096" s="16" t="inlineStr">
        <is>
          <t>LINK BITS Soporte para TV 14 A 55 Pulgadas, Base para TV Pantalla Articulado Inclinable y Giratorio, MAX VESA 400×400 mm, Soporta hasta 18kg, adaptarse a la mayoría de los televisores de 14 Pulgadas/20 Pulgadas/32 Pulgadas/42 Pulgadas/55 pulgadas</t>
        </is>
      </c>
      <c r="H4096" s="16" t="inlineStr">
        <is>
          <t>TL1455N20B</t>
        </is>
      </c>
      <c r="I4096" s="16" t="n">
        <v>1</v>
      </c>
      <c r="J4096" s="17" t="n">
        <v>69</v>
      </c>
      <c r="K4096" s="17" t="n">
        <v>91.81</v>
      </c>
      <c r="L4096" s="17" t="n">
        <v>25.86</v>
      </c>
      <c r="M4096" s="17" t="n">
        <v>0</v>
      </c>
      <c r="N4096" s="17">
        <f>K4096*0.08+L4096*0.08</f>
        <v/>
      </c>
      <c r="O4096" s="17">
        <f>-(K4096*0.025+L4096*0.025)</f>
        <v/>
      </c>
      <c r="P4096" s="17">
        <f>32</f>
        <v/>
      </c>
      <c r="Q4096" s="17">
        <f>J4096+L4096+N4096+O4096-P4096-M4096</f>
        <v/>
      </c>
    </row>
    <row r="4097">
      <c r="A4097" s="16" t="inlineStr">
        <is>
          <t>5.8-5.14</t>
        </is>
      </c>
      <c r="B4097" s="16" t="inlineStr">
        <is>
          <t>PO-128-20827665500792416</t>
        </is>
      </c>
      <c r="C4097" s="16" t="inlineStr">
        <is>
          <t>Shipped</t>
        </is>
      </c>
      <c r="D4097" s="16" t="inlineStr">
        <is>
          <t>128-20827733658232416</t>
        </is>
      </c>
      <c r="E4097" s="16" t="inlineStr">
        <is>
          <t>Shipped</t>
        </is>
      </c>
      <c r="F4097" s="16" t="inlineStr">
        <is>
          <t>KTS-2031</t>
        </is>
      </c>
      <c r="G4097" s="16" t="inlineStr">
        <is>
          <t>Bocina inalámbrica de 3 pulgadas con linterna multifuncional y panel solar integrado.Altavoz Portátil con Linterna LED 4 Modos, Radio FM, Bluetooth, Carga Solar, Ideal para Apagones, Emergencias, Campo y Exteriores</t>
        </is>
      </c>
      <c r="H4097" s="16" t="inlineStr">
        <is>
          <t>NEGRO</t>
        </is>
      </c>
      <c r="I4097" s="16" t="n">
        <v>2</v>
      </c>
      <c r="J4097" s="17" t="n">
        <v>156</v>
      </c>
      <c r="K4097" s="17" t="n">
        <v>88.23999999999999</v>
      </c>
      <c r="L4097" s="17" t="n">
        <v>25.86</v>
      </c>
      <c r="M4097" s="17" t="n">
        <v>0</v>
      </c>
      <c r="N4097" s="17">
        <f>K4097*0.08+L4097*0.08</f>
        <v/>
      </c>
      <c r="O4097" s="17">
        <f>-(K4097*0.025+L4097*0.025)</f>
        <v/>
      </c>
      <c r="P4097" s="17">
        <f>32</f>
        <v/>
      </c>
      <c r="Q4097" s="17">
        <f>J4097+L4097+N4097+O4097-P4097-M4097</f>
        <v/>
      </c>
    </row>
    <row r="4098">
      <c r="A4098" s="16" t="inlineStr">
        <is>
          <t>5.8-5.14</t>
        </is>
      </c>
      <c r="B4098" s="16" t="inlineStr">
        <is>
          <t>PO-128-21054606162551961</t>
        </is>
      </c>
      <c r="C4098" s="16" t="inlineStr">
        <is>
          <t>Shipped</t>
        </is>
      </c>
      <c r="D4098" s="16" t="inlineStr">
        <is>
          <t>128-21054585191031961</t>
        </is>
      </c>
      <c r="E4098" s="16" t="inlineStr">
        <is>
          <t>Shipped</t>
        </is>
      </c>
      <c r="F4098" s="16" t="inlineStr">
        <is>
          <t>KTS-2031</t>
        </is>
      </c>
      <c r="G4098" s="16" t="inlineStr">
        <is>
          <t>Bocina inalámbrica de 3 pulgadas con linterna multifuncional y panel solar integrado.Altavoz Portátil con Linterna LED 4 Modos, Radio FM, Bluetooth, Carga Solar, Ideal para Apagones, Emergencias, Campo y Exteriores</t>
        </is>
      </c>
      <c r="H4098" s="16" t="inlineStr">
        <is>
          <t>NEGRO</t>
        </is>
      </c>
      <c r="I4098" s="16" t="n">
        <v>1</v>
      </c>
      <c r="J4098" s="17" t="n">
        <v>78</v>
      </c>
      <c r="K4098" s="17" t="n">
        <v>87.22</v>
      </c>
      <c r="L4098" s="17" t="n">
        <v>25.86</v>
      </c>
      <c r="M4098" s="17" t="n">
        <v>0</v>
      </c>
      <c r="N4098" s="17">
        <f>K4098*0.08+L4098*0.08</f>
        <v/>
      </c>
      <c r="O4098" s="17">
        <f>-(K4098*0.025+L4098*0.025)</f>
        <v/>
      </c>
      <c r="P4098" s="17">
        <f>32</f>
        <v/>
      </c>
      <c r="Q4098" s="17">
        <f>J4098+L4098+N4098+O4098-P4098-M4098</f>
        <v/>
      </c>
    </row>
    <row r="4099">
      <c r="A4099" s="16" t="inlineStr">
        <is>
          <t>5.8-5.14</t>
        </is>
      </c>
      <c r="B4099" s="16" t="inlineStr">
        <is>
          <t>PO-128-20742953984633947</t>
        </is>
      </c>
      <c r="C4099" s="16" t="inlineStr">
        <is>
          <t>Shipped</t>
        </is>
      </c>
      <c r="D4099" s="16" t="inlineStr">
        <is>
          <t>128-20742974956153947</t>
        </is>
      </c>
      <c r="E4099" s="16" t="inlineStr">
        <is>
          <t>Shipped</t>
        </is>
      </c>
      <c r="F4099" s="16" t="inlineStr">
        <is>
          <t>KTS-2031</t>
        </is>
      </c>
      <c r="G4099" s="16" t="inlineStr">
        <is>
          <t>Bocina inalámbrica de 3 pulgadas con linterna multifuncional y panel solar integrado.Altavoz Portátil con Linterna LED 4 Modos, Radio FM, Bluetooth, Carga Solar, Ideal para Apagones, Emergencias, Campo y Exteriores</t>
        </is>
      </c>
      <c r="H4099" s="16" t="inlineStr">
        <is>
          <t>NEGRO</t>
        </is>
      </c>
      <c r="I4099" s="16" t="n">
        <v>2</v>
      </c>
      <c r="J4099" s="17" t="n">
        <v>156</v>
      </c>
      <c r="K4099" s="17" t="n">
        <v>128.88</v>
      </c>
      <c r="L4099" s="17" t="n">
        <v>25.86</v>
      </c>
      <c r="M4099" s="17" t="n">
        <v>0</v>
      </c>
      <c r="N4099" s="17">
        <f>K4099*0.08+L4099*0.08</f>
        <v/>
      </c>
      <c r="O4099" s="17">
        <f>-(K4099*0.025+L4099*0.025)</f>
        <v/>
      </c>
      <c r="P4099" s="17">
        <f>32</f>
        <v/>
      </c>
      <c r="Q4099" s="17">
        <f>J4099+L4099+N4099+O4099-P4099-M4099</f>
        <v/>
      </c>
    </row>
    <row r="4100">
      <c r="A4100" s="16" t="inlineStr">
        <is>
          <t>5.8-5.14</t>
        </is>
      </c>
      <c r="B4100" s="16" t="inlineStr">
        <is>
          <t>PO-128-21214752174710111</t>
        </is>
      </c>
      <c r="C4100" s="16" t="inlineStr">
        <is>
          <t>Shipped</t>
        </is>
      </c>
      <c r="D4100" s="16" t="inlineStr">
        <is>
          <t>128-21214710231670111</t>
        </is>
      </c>
      <c r="E4100" s="16" t="inlineStr">
        <is>
          <t>Shipped</t>
        </is>
      </c>
      <c r="F4100" s="16" t="inlineStr">
        <is>
          <t>TL1455N20B</t>
        </is>
      </c>
      <c r="G4100" s="16" t="inlineStr">
        <is>
          <t>LINK BITS Soporte para TV 14 A 55 Pulgadas, Base para TV Pantalla Articulado Inclinable y Giratorio, MAX VESA 400×400 mm, Soporta hasta 18kg, adaptarse a la mayoría de los televisores de 14 Pulgadas/20 Pulgadas/32 Pulgadas/42 Pulgadas/55 pulgadas</t>
        </is>
      </c>
      <c r="H4100" s="16" t="inlineStr">
        <is>
          <t>TL1455N20B</t>
        </is>
      </c>
      <c r="I4100" s="16" t="n">
        <v>1</v>
      </c>
      <c r="J4100" s="17" t="n">
        <v>69</v>
      </c>
      <c r="K4100" s="17" t="n">
        <v>9.050000000000001</v>
      </c>
      <c r="L4100" s="17" t="n">
        <v>25.86</v>
      </c>
      <c r="M4100" s="17" t="n">
        <v>0</v>
      </c>
      <c r="N4100" s="17">
        <f>K4100*0.08+L4100*0.08</f>
        <v/>
      </c>
      <c r="O4100" s="17">
        <f>-(K4100*0.025+L4100*0.025)</f>
        <v/>
      </c>
      <c r="P4100" s="17">
        <f>32</f>
        <v/>
      </c>
      <c r="Q4100" s="17">
        <f>J4100+L4100+N4100+O4100-P4100-M4100</f>
        <v/>
      </c>
    </row>
    <row r="4101">
      <c r="A4101" s="16" t="inlineStr">
        <is>
          <t>5.8-5.14</t>
        </is>
      </c>
      <c r="B4101" s="16" t="inlineStr">
        <is>
          <t>PO-128-21076854441591829</t>
        </is>
      </c>
      <c r="C4101" s="16" t="inlineStr">
        <is>
          <t>Shipped</t>
        </is>
      </c>
      <c r="D4101" s="16" t="inlineStr">
        <is>
          <t>128-21076864927351829</t>
        </is>
      </c>
      <c r="E4101" s="16" t="inlineStr">
        <is>
          <t>Shipped</t>
        </is>
      </c>
      <c r="F4101" s="16" t="inlineStr">
        <is>
          <t>BG-115-B</t>
        </is>
      </c>
      <c r="G4101" s="16" t="inlineStr">
        <is>
          <t>LINK BITS Audífonos Inalámbricos con Luces Multicolor, Recargables y en Adorable Forma de Orejas de Gato - Conecta a Celulares y PCs, Tiene Radio FM, Tarjeta TF y AUX - 7 Horas de Reproducción, Plegables y Perfectos para Trabajo, Juegos y Estudio</t>
        </is>
      </c>
      <c r="H4101" s="16" t="inlineStr">
        <is>
          <t>blanco</t>
        </is>
      </c>
      <c r="I4101" s="16" t="n">
        <v>1</v>
      </c>
      <c r="J4101" s="17" t="n">
        <v>80</v>
      </c>
      <c r="K4101" s="17" t="n">
        <v>90.72</v>
      </c>
      <c r="L4101" s="17" t="n">
        <v>25.86</v>
      </c>
      <c r="M4101" s="17" t="n">
        <v>0</v>
      </c>
      <c r="N4101" s="17">
        <f>K4101*0.08+L4101*0.08</f>
        <v/>
      </c>
      <c r="O4101" s="17">
        <f>-(K4101*0.025+L4101*0.025)</f>
        <v/>
      </c>
      <c r="P4101" s="17">
        <f>32</f>
        <v/>
      </c>
      <c r="Q4101" s="17">
        <f>J4101+L4101+N4101+O4101-P4101-M4101</f>
        <v/>
      </c>
    </row>
    <row r="4102">
      <c r="A4102" s="16" t="inlineStr">
        <is>
          <t>5.8-5.14</t>
        </is>
      </c>
      <c r="B4102" s="16" t="inlineStr">
        <is>
          <t>PO-128-21197533276790021</t>
        </is>
      </c>
      <c r="C4102" s="16" t="inlineStr">
        <is>
          <t>Shipped</t>
        </is>
      </c>
      <c r="D4102" s="16" t="inlineStr">
        <is>
          <t>128-21197546383990021</t>
        </is>
      </c>
      <c r="E4102" s="16" t="inlineStr">
        <is>
          <t>Shipped</t>
        </is>
      </c>
      <c r="F4102" s="16" t="inlineStr">
        <is>
          <t>KTS-2031</t>
        </is>
      </c>
      <c r="G4102" s="16" t="inlineStr">
        <is>
          <t>Bocina inalámbrica de 3 pulgadas con linterna multifuncional y panel solar integrado.Altavoz Portátil con Linterna LED 4 Modos, Radio FM, Bluetooth, Carga Solar, Ideal para Apagones, Emergencias, Campo y Exteriores</t>
        </is>
      </c>
      <c r="H4102" s="16" t="inlineStr">
        <is>
          <t>NEGRO</t>
        </is>
      </c>
      <c r="I4102" s="16" t="n">
        <v>1</v>
      </c>
      <c r="J4102" s="17" t="n">
        <v>78</v>
      </c>
      <c r="K4102" s="17" t="n">
        <v>69.77</v>
      </c>
      <c r="L4102" s="17" t="n">
        <v>25.86</v>
      </c>
      <c r="M4102" s="17" t="n">
        <v>0</v>
      </c>
      <c r="N4102" s="17">
        <f>K4102*0.08+L4102*0.08</f>
        <v/>
      </c>
      <c r="O4102" s="17">
        <f>-(K4102*0.025+L4102*0.025)</f>
        <v/>
      </c>
      <c r="P4102" s="17">
        <f>32</f>
        <v/>
      </c>
      <c r="Q4102" s="17">
        <f>J4102+L4102+N4102+O4102-P4102-M4102</f>
        <v/>
      </c>
    </row>
    <row r="4103">
      <c r="A4103" s="16" t="inlineStr">
        <is>
          <t>5.8-5.14</t>
        </is>
      </c>
      <c r="B4103" s="16" t="inlineStr">
        <is>
          <t>PO-128-21193655665270234</t>
        </is>
      </c>
      <c r="C4103" s="16" t="inlineStr">
        <is>
          <t>Shipped</t>
        </is>
      </c>
      <c r="D4103" s="16" t="inlineStr">
        <is>
          <t>128-21193660908150234</t>
        </is>
      </c>
      <c r="E4103" s="16" t="inlineStr">
        <is>
          <t>Shipped</t>
        </is>
      </c>
      <c r="F4103" s="16" t="inlineStr">
        <is>
          <t>LV54W25</t>
        </is>
      </c>
      <c r="G4103" s="16" t="inlineStr">
        <is>
          <t>TIANLAI Lámpara Ventilador E27 2 en 1, Silenciosa, LED Alta Luminosidad 180°, Instalación Rápida, Ahorro Energético para Dormitorio y Interiores Pequeños</t>
        </is>
      </c>
      <c r="H4103" s="16" t="inlineStr">
        <is>
          <t>1 Pieza</t>
        </is>
      </c>
      <c r="I4103" s="16" t="n">
        <v>6</v>
      </c>
      <c r="J4103" s="17" t="n">
        <v>454.8</v>
      </c>
      <c r="K4103" s="17" t="n">
        <v>453.48</v>
      </c>
      <c r="L4103" s="17" t="n">
        <v>0</v>
      </c>
      <c r="M4103" s="17" t="n">
        <v>0</v>
      </c>
      <c r="N4103" s="17">
        <f>K4103*0.08+L4103*0.08</f>
        <v/>
      </c>
      <c r="O4103" s="17">
        <f>-(K4103*0.025+L4103*0.025)</f>
        <v/>
      </c>
      <c r="P4103" s="17">
        <f>32</f>
        <v/>
      </c>
      <c r="Q4103" s="17">
        <f>J4103+L4103+N4103+O4103-P4103-M4103</f>
        <v/>
      </c>
    </row>
    <row r="4104">
      <c r="A4104" s="16" t="inlineStr">
        <is>
          <t>5.8-5.14</t>
        </is>
      </c>
      <c r="B4104" s="16" t="inlineStr">
        <is>
          <t>PO-128-21192911637110241</t>
        </is>
      </c>
      <c r="C4104" s="16" t="inlineStr">
        <is>
          <t>Shipped</t>
        </is>
      </c>
      <c r="D4104" s="16" t="inlineStr">
        <is>
          <t>128-21192964065910241</t>
        </is>
      </c>
      <c r="E4104" s="16" t="inlineStr">
        <is>
          <t>Shipped</t>
        </is>
      </c>
      <c r="F4104" s="16" t="inlineStr">
        <is>
          <t>EM12W12</t>
        </is>
      </c>
      <c r="G4104" s="16" t="inlineStr">
        <is>
          <t>TIANLAI Lámpara Solar de Emergencia, 1pc 960lm IP4 5 Modos con SOS, Recargable USB+Solar con Gancho, Linterna Portátil para Camping Hogar Senderismo Pesca</t>
        </is>
      </c>
      <c r="H4104" s="16" t="inlineStr">
        <is>
          <t>BLANCO</t>
        </is>
      </c>
      <c r="I4104" s="16" t="n">
        <v>2</v>
      </c>
      <c r="J4104" s="17" t="n">
        <v>151</v>
      </c>
      <c r="K4104" s="17" t="n">
        <v>160.14</v>
      </c>
      <c r="L4104" s="17" t="n">
        <v>25.86</v>
      </c>
      <c r="M4104" s="17" t="n">
        <v>0</v>
      </c>
      <c r="N4104" s="17">
        <f>K4104*0.08+L4104*0.08</f>
        <v/>
      </c>
      <c r="O4104" s="17">
        <f>-(K4104*0.025+L4104*0.025)</f>
        <v/>
      </c>
      <c r="P4104" s="17">
        <f>32</f>
        <v/>
      </c>
      <c r="Q4104" s="17">
        <f>J4104+L4104+N4104+O4104-P4104-M4104</f>
        <v/>
      </c>
    </row>
    <row r="4105">
      <c r="A4105" s="16" t="inlineStr">
        <is>
          <t>5.8-5.14</t>
        </is>
      </c>
      <c r="B4105" s="16" t="inlineStr">
        <is>
          <t>PO-128-21244679291510826</t>
        </is>
      </c>
      <c r="C4105" s="16" t="inlineStr">
        <is>
          <t>Shipped</t>
        </is>
      </c>
      <c r="D4105" s="16" t="inlineStr">
        <is>
          <t>128-21244684534390826</t>
        </is>
      </c>
      <c r="E4105" s="16" t="inlineStr">
        <is>
          <t>Shipped</t>
        </is>
      </c>
      <c r="F4105" s="16" t="inlineStr">
        <is>
          <t>LV64W25</t>
        </is>
      </c>
      <c r="G410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05" s="16" t="inlineStr">
        <is>
          <t>Blanco</t>
        </is>
      </c>
      <c r="I4105" s="16" t="n">
        <v>1</v>
      </c>
      <c r="J4105" s="17" t="n">
        <v>119</v>
      </c>
      <c r="K4105" s="17" t="n">
        <v>137.28</v>
      </c>
      <c r="L4105" s="17" t="n">
        <v>25.86</v>
      </c>
      <c r="M4105" s="17" t="n">
        <v>0</v>
      </c>
      <c r="N4105" s="17">
        <f>K4105*0.08+L4105*0.08</f>
        <v/>
      </c>
      <c r="O4105" s="17">
        <f>-(K4105*0.025+L4105*0.025)</f>
        <v/>
      </c>
      <c r="P4105" s="17">
        <f>32</f>
        <v/>
      </c>
      <c r="Q4105" s="17">
        <f>J4105+L4105+N4105+O4105-P4105-M4105</f>
        <v/>
      </c>
    </row>
    <row r="4106">
      <c r="A4106" s="16" t="inlineStr">
        <is>
          <t>5.8-5.14</t>
        </is>
      </c>
      <c r="B4106" s="16" t="inlineStr">
        <is>
          <t>PO-128-21225866189430938</t>
        </is>
      </c>
      <c r="C4106" s="16" t="inlineStr">
        <is>
          <t>Shipped</t>
        </is>
      </c>
      <c r="D4106" s="16" t="inlineStr">
        <is>
          <t>128-21225900268150938</t>
        </is>
      </c>
      <c r="E4106" s="16" t="inlineStr">
        <is>
          <t>Shipped</t>
        </is>
      </c>
      <c r="F4106" s="16" t="inlineStr">
        <is>
          <t>LV54W25</t>
        </is>
      </c>
      <c r="G4106" s="16" t="inlineStr">
        <is>
          <t>TIANLAI Lámpara Ventilador E27 2 en 1, Silenciosa, LED Alta Luminosidad 180°, Instalación Rápida, Ahorro Energético para Dormitorio y Interiores Pequeños</t>
        </is>
      </c>
      <c r="H4106" s="16" t="inlineStr">
        <is>
          <t>1 Pieza</t>
        </is>
      </c>
      <c r="I4106" s="16" t="n">
        <v>1</v>
      </c>
      <c r="J4106" s="17" t="n">
        <v>75.8</v>
      </c>
      <c r="K4106" s="17" t="n">
        <v>79.05</v>
      </c>
      <c r="L4106" s="17" t="n">
        <v>25.86</v>
      </c>
      <c r="M4106" s="17" t="n">
        <v>0</v>
      </c>
      <c r="N4106" s="17">
        <f>K4106*0.08+L4106*0.08</f>
        <v/>
      </c>
      <c r="O4106" s="17">
        <f>-(K4106*0.025+L4106*0.025)</f>
        <v/>
      </c>
      <c r="P4106" s="17">
        <f>32</f>
        <v/>
      </c>
      <c r="Q4106" s="17">
        <f>J4106+L4106+N4106+O4106-P4106-M4106</f>
        <v/>
      </c>
    </row>
    <row r="4107">
      <c r="A4107" s="16" t="inlineStr">
        <is>
          <t>5.8-5.14</t>
        </is>
      </c>
      <c r="B4107" s="16" t="inlineStr">
        <is>
          <t>PO-128-20779216323193667</t>
        </is>
      </c>
      <c r="C4107" s="16" t="inlineStr">
        <is>
          <t>Shipped</t>
        </is>
      </c>
      <c r="D4107" s="16" t="inlineStr">
        <is>
          <t>128-20779174380153667</t>
        </is>
      </c>
      <c r="E4107" s="16" t="inlineStr">
        <is>
          <t>Shipped</t>
        </is>
      </c>
      <c r="F4107" s="16" t="inlineStr">
        <is>
          <t>KTS-2031</t>
        </is>
      </c>
      <c r="G4107" s="16" t="inlineStr">
        <is>
          <t>Bocina inalámbrica de 3 pulgadas con linterna multifuncional y panel solar integrado.Altavoz Portátil con Linterna LED 4 Modos, Radio FM, Bluetooth, Carga Solar, Ideal para Apagones, Emergencias, Campo y Exteriores</t>
        </is>
      </c>
      <c r="H4107" s="16" t="inlineStr">
        <is>
          <t>NEGRO</t>
        </is>
      </c>
      <c r="I4107" s="16" t="n">
        <v>1</v>
      </c>
      <c r="J4107" s="17" t="n">
        <v>78</v>
      </c>
      <c r="K4107" s="17" t="n">
        <v>4.46</v>
      </c>
      <c r="L4107" s="17" t="n">
        <v>25.86</v>
      </c>
      <c r="M4107" s="17" t="n">
        <v>0</v>
      </c>
      <c r="N4107" s="17">
        <f>K4107*0.08+L4107*0.08</f>
        <v/>
      </c>
      <c r="O4107" s="17">
        <f>-(K4107*0.025+L4107*0.025)</f>
        <v/>
      </c>
      <c r="P4107" s="17">
        <f>32</f>
        <v/>
      </c>
      <c r="Q4107" s="17">
        <f>J4107+L4107+N4107+O4107-P4107-M4107</f>
        <v/>
      </c>
    </row>
    <row r="4108">
      <c r="A4108" s="16" t="inlineStr">
        <is>
          <t>5.8-5.14</t>
        </is>
      </c>
      <c r="B4108" s="16" t="inlineStr">
        <is>
          <t>PO-128-21160687294070305</t>
        </is>
      </c>
      <c r="C4108" s="16" t="inlineStr">
        <is>
          <t>Shipped</t>
        </is>
      </c>
      <c r="D4108" s="16" t="inlineStr">
        <is>
          <t>128-21160763315830305</t>
        </is>
      </c>
      <c r="E4108" s="16" t="inlineStr">
        <is>
          <t>Shipped</t>
        </is>
      </c>
      <c r="F4108" s="16" t="inlineStr">
        <is>
          <t>LV64W25</t>
        </is>
      </c>
      <c r="G410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08" s="16" t="inlineStr">
        <is>
          <t>Blanco</t>
        </is>
      </c>
      <c r="I4108" s="16" t="n">
        <v>2</v>
      </c>
      <c r="J4108" s="17" t="n">
        <v>238</v>
      </c>
      <c r="K4108" s="17" t="n">
        <v>219.64</v>
      </c>
      <c r="L4108" s="17" t="n">
        <v>0</v>
      </c>
      <c r="M4108" s="17" t="n">
        <v>0</v>
      </c>
      <c r="N4108" s="17">
        <f>K4108*0.08+L4108*0.08</f>
        <v/>
      </c>
      <c r="O4108" s="17">
        <f>-(K4108*0.025+L4108*0.025)</f>
        <v/>
      </c>
      <c r="P4108" s="17">
        <f>32</f>
        <v/>
      </c>
      <c r="Q4108" s="17">
        <f>J4108+L4108+N4108+O4108-P4108-M4108</f>
        <v/>
      </c>
    </row>
    <row r="4109">
      <c r="A4109" s="16" t="inlineStr">
        <is>
          <t>5.8-5.14</t>
        </is>
      </c>
      <c r="B4109" s="16" t="inlineStr">
        <is>
          <t>PO-128-20675526907513325</t>
        </is>
      </c>
      <c r="C4109" s="16" t="inlineStr">
        <is>
          <t>Shipped</t>
        </is>
      </c>
      <c r="D4109" s="16" t="inlineStr">
        <is>
          <t>128-20675547879033325</t>
        </is>
      </c>
      <c r="E4109" s="16" t="inlineStr">
        <is>
          <t>Shipped</t>
        </is>
      </c>
      <c r="F4109" s="16" t="inlineStr">
        <is>
          <t>KTS-2031</t>
        </is>
      </c>
      <c r="G4109" s="16" t="inlineStr">
        <is>
          <t>Bocina inalámbrica de 3 pulgadas con linterna multifuncional y panel solar integrado.Altavoz Portátil con Linterna LED 4 Modos, Radio FM, Bluetooth, Carga Solar, Ideal para Apagones, Emergencias, Campo y Exteriores</t>
        </is>
      </c>
      <c r="H4109" s="16" t="inlineStr">
        <is>
          <t>NEGRO</t>
        </is>
      </c>
      <c r="I4109" s="16" t="n">
        <v>1</v>
      </c>
      <c r="J4109" s="17" t="n">
        <v>78</v>
      </c>
      <c r="K4109" s="17" t="n">
        <v>87.22</v>
      </c>
      <c r="L4109" s="17" t="n">
        <v>25.86</v>
      </c>
      <c r="M4109" s="17" t="n">
        <v>0</v>
      </c>
      <c r="N4109" s="17">
        <f>K4109*0.08+L4109*0.08</f>
        <v/>
      </c>
      <c r="O4109" s="17">
        <f>-(K4109*0.025+L4109*0.025)</f>
        <v/>
      </c>
      <c r="P4109" s="17">
        <f>32</f>
        <v/>
      </c>
      <c r="Q4109" s="17">
        <f>J4109+L4109+N4109+O4109-P4109-M4109</f>
        <v/>
      </c>
    </row>
    <row r="4110">
      <c r="A4110" s="16" t="inlineStr">
        <is>
          <t>5.8-5.14</t>
        </is>
      </c>
      <c r="B4110" s="16" t="inlineStr">
        <is>
          <t>PO-128-20884674135673036</t>
        </is>
      </c>
      <c r="C4110" s="16" t="inlineStr">
        <is>
          <t>Shipped</t>
        </is>
      </c>
      <c r="D4110" s="16" t="inlineStr">
        <is>
          <t>128-20884716078713036</t>
        </is>
      </c>
      <c r="E4110" s="16" t="inlineStr">
        <is>
          <t>Shipped</t>
        </is>
      </c>
      <c r="F4110" s="16" t="inlineStr">
        <is>
          <t>LV64W25</t>
        </is>
      </c>
      <c r="G41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10" s="16" t="inlineStr">
        <is>
          <t>Blanco</t>
        </is>
      </c>
      <c r="I4110" s="16" t="n">
        <v>1</v>
      </c>
      <c r="J4110" s="17" t="n">
        <v>119</v>
      </c>
      <c r="K4110" s="17" t="n">
        <v>121.93</v>
      </c>
      <c r="L4110" s="17" t="n">
        <v>25.86</v>
      </c>
      <c r="M4110" s="17" t="n">
        <v>0</v>
      </c>
      <c r="N4110" s="17">
        <f>K4110*0.08+L4110*0.08</f>
        <v/>
      </c>
      <c r="O4110" s="17">
        <f>-(K4110*0.025+L4110*0.025)</f>
        <v/>
      </c>
      <c r="P4110" s="17">
        <f>32</f>
        <v/>
      </c>
      <c r="Q4110" s="17">
        <f>J4110+L4110+N4110+O4110-P4110-M4110</f>
        <v/>
      </c>
    </row>
    <row r="4111">
      <c r="A4111" s="16" t="inlineStr">
        <is>
          <t>5.8-5.14</t>
        </is>
      </c>
      <c r="B4111" s="16" t="inlineStr">
        <is>
          <t>PO-128-20696663880313199</t>
        </is>
      </c>
      <c r="C4111" s="16" t="inlineStr">
        <is>
          <t>Shipped</t>
        </is>
      </c>
      <c r="D4111" s="16" t="inlineStr">
        <is>
          <t>128-20696684851833199</t>
        </is>
      </c>
      <c r="E4111" s="16" t="inlineStr">
        <is>
          <t>Shipped</t>
        </is>
      </c>
      <c r="F4111" s="16" t="inlineStr">
        <is>
          <t>TL1455N20B</t>
        </is>
      </c>
      <c r="G4111" s="16" t="inlineStr">
        <is>
          <t>LINK BITS Soporte para TV 14 A 55 Pulgadas, Base para TV Pantalla Articulado Inclinable y Giratorio, MAX VESA 400×400 mm, Soporta hasta 18kg, adaptarse a la mayoría de los televisores de 14 Pulgadas/20 Pulgadas/32 Pulgadas/42 Pulgadas/55 pulgadas</t>
        </is>
      </c>
      <c r="H4111" s="16" t="inlineStr">
        <is>
          <t>TL1455N20B</t>
        </is>
      </c>
      <c r="I4111" s="16" t="n">
        <v>1</v>
      </c>
      <c r="J4111" s="17" t="n">
        <v>69</v>
      </c>
      <c r="K4111" s="17" t="n">
        <v>91.81</v>
      </c>
      <c r="L4111" s="17" t="n">
        <v>25.86</v>
      </c>
      <c r="M4111" s="17" t="n">
        <v>0</v>
      </c>
      <c r="N4111" s="17">
        <f>K4111*0.08+L4111*0.08</f>
        <v/>
      </c>
      <c r="O4111" s="17">
        <f>-(K4111*0.025+L4111*0.025)</f>
        <v/>
      </c>
      <c r="P4111" s="17">
        <f>32</f>
        <v/>
      </c>
      <c r="Q4111" s="17">
        <f>J4111+L4111+N4111+O4111-P4111-M4111</f>
        <v/>
      </c>
    </row>
    <row r="4112">
      <c r="A4112" s="16" t="inlineStr">
        <is>
          <t>5.8-5.14</t>
        </is>
      </c>
      <c r="B4112" s="16" t="inlineStr">
        <is>
          <t>PO-128-21057502556792006</t>
        </is>
      </c>
      <c r="C4112" s="16" t="inlineStr">
        <is>
          <t>Shipped</t>
        </is>
      </c>
      <c r="D4112" s="16" t="inlineStr">
        <is>
          <t>128-21057460613752006</t>
        </is>
      </c>
      <c r="E4112" s="16" t="inlineStr">
        <is>
          <t>Shipped</t>
        </is>
      </c>
      <c r="F4112" s="16" t="inlineStr">
        <is>
          <t>VB349T</t>
        </is>
      </c>
      <c r="G4112" s="16" t="inlineStr">
        <is>
          <t>LINKBITS Altavoz Portátil de Doble Altavoz - 3 Pulgadas, Sonido HD, Emparejamiento Rápido de Bluetooth, Conectividad TWS, Reproducción Multimodo (Micro SD/USB/Radio FM) - Perfecto para Oficina, Viajes y Espacios Pequeños</t>
        </is>
      </c>
      <c r="H4112" s="16" t="inlineStr">
        <is>
          <t>NEGRO</t>
        </is>
      </c>
      <c r="I4112" s="16" t="n">
        <v>1</v>
      </c>
      <c r="J4112" s="17" t="n">
        <v>81</v>
      </c>
      <c r="K4112" s="17" t="n">
        <v>94.25</v>
      </c>
      <c r="L4112" s="17" t="n">
        <v>25.86</v>
      </c>
      <c r="M4112" s="17" t="n">
        <v>0</v>
      </c>
      <c r="N4112" s="17">
        <f>K4112*0.08+L4112*0.08</f>
        <v/>
      </c>
      <c r="O4112" s="17">
        <f>-(K4112*0.025+L4112*0.025)</f>
        <v/>
      </c>
      <c r="P4112" s="17">
        <f>32</f>
        <v/>
      </c>
      <c r="Q4112" s="17">
        <f>J4112+L4112+N4112+O4112-P4112-M4112</f>
        <v/>
      </c>
    </row>
    <row r="4113">
      <c r="A4113" s="16" t="inlineStr">
        <is>
          <t>5.8-5.14</t>
        </is>
      </c>
      <c r="B4113" s="16" t="inlineStr">
        <is>
          <t>PO-128-21150528819830492</t>
        </is>
      </c>
      <c r="C4113" s="16" t="inlineStr">
        <is>
          <t>Shipped</t>
        </is>
      </c>
      <c r="D4113" s="16" t="inlineStr">
        <is>
          <t>128-21150507848310492</t>
        </is>
      </c>
      <c r="E4113" s="16" t="inlineStr">
        <is>
          <t>Shipped</t>
        </is>
      </c>
      <c r="F4113" s="16" t="inlineStr">
        <is>
          <t>TL1455N20B</t>
        </is>
      </c>
      <c r="G4113" s="16" t="inlineStr">
        <is>
          <t>LINK BITS Soporte para TV 14 A 55 Pulgadas, Base para TV Pantalla Articulado Inclinable y Giratorio, MAX VESA 400×400 mm, Soporta hasta 18kg, adaptarse a la mayoría de los televisores de 14 Pulgadas/20 Pulgadas/32 Pulgadas/42 Pulgadas/55 pulgadas</t>
        </is>
      </c>
      <c r="H4113" s="16" t="inlineStr">
        <is>
          <t>TL1455N20B</t>
        </is>
      </c>
      <c r="I4113" s="16" t="n">
        <v>3</v>
      </c>
      <c r="J4113" s="17" t="n">
        <v>207</v>
      </c>
      <c r="K4113" s="17" t="n">
        <v>225.4</v>
      </c>
      <c r="L4113" s="17" t="n">
        <v>0</v>
      </c>
      <c r="M4113" s="17" t="n">
        <v>0</v>
      </c>
      <c r="N4113" s="17">
        <f>K4113*0.08+L4113*0.08</f>
        <v/>
      </c>
      <c r="O4113" s="17">
        <f>-(K4113*0.025+L4113*0.025)</f>
        <v/>
      </c>
      <c r="P4113" s="17">
        <f>32</f>
        <v/>
      </c>
      <c r="Q4113" s="17">
        <f>J4113+L4113+N4113+O4113-P4113-M4113</f>
        <v/>
      </c>
    </row>
    <row r="4114">
      <c r="A4114" s="16" t="inlineStr">
        <is>
          <t>5.8-5.14</t>
        </is>
      </c>
      <c r="B4114" s="16" t="inlineStr">
        <is>
          <t>PO-128-21039690368631088</t>
        </is>
      </c>
      <c r="C4114" s="16" t="inlineStr">
        <is>
          <t>Shipped</t>
        </is>
      </c>
      <c r="D4114" s="16" t="inlineStr">
        <is>
          <t>128-21039732311671088</t>
        </is>
      </c>
      <c r="E4114" s="16" t="inlineStr">
        <is>
          <t>Shipped</t>
        </is>
      </c>
      <c r="F4114" s="16" t="inlineStr">
        <is>
          <t>B03W10-10PZS</t>
        </is>
      </c>
      <c r="G411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14" s="16" t="inlineStr">
        <is>
          <t>B03W10</t>
        </is>
      </c>
      <c r="I4114" s="16" t="n">
        <v>1</v>
      </c>
      <c r="J4114" s="17" t="n">
        <v>70</v>
      </c>
      <c r="K4114" s="17" t="n">
        <v>77.56</v>
      </c>
      <c r="L4114" s="17" t="n">
        <v>25.86</v>
      </c>
      <c r="M4114" s="17" t="n">
        <v>0</v>
      </c>
      <c r="N4114" s="17">
        <f>K4114*0.08+L4114*0.08</f>
        <v/>
      </c>
      <c r="O4114" s="17">
        <f>-(K4114*0.025+L4114*0.025)</f>
        <v/>
      </c>
      <c r="P4114" s="17">
        <f>32</f>
        <v/>
      </c>
      <c r="Q4114" s="17">
        <f>J4114+L4114+N4114+O4114-P4114-M4114</f>
        <v/>
      </c>
    </row>
    <row r="4115">
      <c r="A4115" s="16" t="inlineStr">
        <is>
          <t>5.8-5.14</t>
        </is>
      </c>
      <c r="B4115" s="16" t="inlineStr">
        <is>
          <t>PO-128-20914506803832922</t>
        </is>
      </c>
      <c r="C4115" s="16" t="inlineStr">
        <is>
          <t>Shipped</t>
        </is>
      </c>
      <c r="D4115" s="16" t="inlineStr">
        <is>
          <t>128-20914611661432922</t>
        </is>
      </c>
      <c r="E4115" s="16" t="inlineStr">
        <is>
          <t>Shipped</t>
        </is>
      </c>
      <c r="F4115" s="16" t="inlineStr">
        <is>
          <t>TL1455N20B</t>
        </is>
      </c>
      <c r="G4115" s="16" t="inlineStr">
        <is>
          <t>LINK BITS Soporte para TV 14 A 55 Pulgadas, Base para TV Pantalla Articulado Inclinable y Giratorio, MAX VESA 400×400 mm, Soporta hasta 18kg, adaptarse a la mayoría de los televisores de 14 Pulgadas/20 Pulgadas/32 Pulgadas/42 Pulgadas/55 pulgadas</t>
        </is>
      </c>
      <c r="H4115" s="16" t="inlineStr">
        <is>
          <t>TL1455N20B</t>
        </is>
      </c>
      <c r="I4115" s="16" t="n">
        <v>3</v>
      </c>
      <c r="J4115" s="17" t="n">
        <v>207</v>
      </c>
      <c r="K4115" s="17" t="n">
        <v>275.43</v>
      </c>
      <c r="L4115" s="17" t="n">
        <v>0</v>
      </c>
      <c r="M4115" s="17" t="n">
        <v>0</v>
      </c>
      <c r="N4115" s="17">
        <f>K4115*0.08+L4115*0.08</f>
        <v/>
      </c>
      <c r="O4115" s="17">
        <f>-(K4115*0.025+L4115*0.025)</f>
        <v/>
      </c>
      <c r="P4115" s="17">
        <f>32</f>
        <v/>
      </c>
      <c r="Q4115" s="17">
        <f>J4115+L4115+N4115+O4115-P4115-M4115</f>
        <v/>
      </c>
    </row>
    <row r="4116">
      <c r="A4116" s="16" t="inlineStr">
        <is>
          <t>5.8-5.14</t>
        </is>
      </c>
      <c r="B4116" s="16" t="inlineStr">
        <is>
          <t>PO-128-21070802089591801</t>
        </is>
      </c>
      <c r="C4116" s="16" t="inlineStr">
        <is>
          <t>Shipped</t>
        </is>
      </c>
      <c r="D4116" s="16" t="inlineStr">
        <is>
          <t>128-21070760146551801</t>
        </is>
      </c>
      <c r="E4116" s="16" t="inlineStr">
        <is>
          <t>Shipped</t>
        </is>
      </c>
      <c r="F4116" s="16" t="inlineStr">
        <is>
          <t>LV54W25</t>
        </is>
      </c>
      <c r="G4116" s="16" t="inlineStr">
        <is>
          <t>TIANLAI Lámpara Ventilador E27 2 en 1, Silenciosa, LED Alta Luminosidad 180°, Instalación Rápida, Ahorro Energético para Dormitorio y Interiores Pequeños</t>
        </is>
      </c>
      <c r="H4116" s="16" t="inlineStr">
        <is>
          <t>1 Pieza</t>
        </is>
      </c>
      <c r="I4116" s="16" t="n">
        <v>1</v>
      </c>
      <c r="J4116" s="17" t="n">
        <v>75.8</v>
      </c>
      <c r="K4116" s="17" t="n">
        <v>79.98</v>
      </c>
      <c r="L4116" s="17" t="n">
        <v>25.86</v>
      </c>
      <c r="M4116" s="17" t="n">
        <v>0</v>
      </c>
      <c r="N4116" s="17">
        <f>K4116*0.08+L4116*0.08</f>
        <v/>
      </c>
      <c r="O4116" s="17">
        <f>-(K4116*0.025+L4116*0.025)</f>
        <v/>
      </c>
      <c r="P4116" s="17">
        <f>32</f>
        <v/>
      </c>
      <c r="Q4116" s="17">
        <f>J4116+L4116+N4116+O4116-P4116-M4116</f>
        <v/>
      </c>
    </row>
    <row r="4117">
      <c r="A4117" s="16" t="inlineStr">
        <is>
          <t>5.8-5.14</t>
        </is>
      </c>
      <c r="B4117" s="16" t="inlineStr">
        <is>
          <t>PO-128-20691823381113162</t>
        </is>
      </c>
      <c r="C4117" s="16" t="inlineStr">
        <is>
          <t>Shipped</t>
        </is>
      </c>
      <c r="D4117" s="16" t="inlineStr">
        <is>
          <t>128-20691781438073162</t>
        </is>
      </c>
      <c r="E4117" s="16" t="inlineStr">
        <is>
          <t>Shipped</t>
        </is>
      </c>
      <c r="F4117" s="16" t="inlineStr">
        <is>
          <t>KTS-2031</t>
        </is>
      </c>
      <c r="G4117" s="16" t="inlineStr">
        <is>
          <t>Bocina inalámbrica de 3 pulgadas con linterna multifuncional y panel solar integrado.Altavoz Portátil con Linterna LED 4 Modos, Radio FM, Bluetooth, Carga Solar, Ideal para Apagones, Emergencias, Campo y Exteriores</t>
        </is>
      </c>
      <c r="H4117" s="16" t="inlineStr">
        <is>
          <t>NEGRO</t>
        </is>
      </c>
      <c r="I4117" s="16" t="n">
        <v>1</v>
      </c>
      <c r="J4117" s="17" t="n">
        <v>78</v>
      </c>
      <c r="K4117" s="17" t="n">
        <v>1.01</v>
      </c>
      <c r="L4117" s="17" t="n">
        <v>25.86</v>
      </c>
      <c r="M4117" s="17" t="n">
        <v>0</v>
      </c>
      <c r="N4117" s="17">
        <f>K4117*0.08+L4117*0.08</f>
        <v/>
      </c>
      <c r="O4117" s="17">
        <f>-(K4117*0.025+L4117*0.025)</f>
        <v/>
      </c>
      <c r="P4117" s="17">
        <f>32</f>
        <v/>
      </c>
      <c r="Q4117" s="17">
        <f>J4117+L4117+N4117+O4117-P4117-M4117</f>
        <v/>
      </c>
    </row>
    <row r="4118">
      <c r="A4118" s="16" t="inlineStr">
        <is>
          <t>5.8-5.14</t>
        </is>
      </c>
      <c r="B4118" s="16" t="inlineStr">
        <is>
          <t>PO-128-21244802319990826</t>
        </is>
      </c>
      <c r="C4118" s="16" t="inlineStr">
        <is>
          <t>Shipped</t>
        </is>
      </c>
      <c r="D4118" s="16" t="inlineStr">
        <is>
          <t>128-21244760376950826</t>
        </is>
      </c>
      <c r="E4118" s="16" t="inlineStr">
        <is>
          <t>Shipped</t>
        </is>
      </c>
      <c r="F4118" s="16" t="inlineStr">
        <is>
          <t>LV54W25</t>
        </is>
      </c>
      <c r="G4118" s="16" t="inlineStr">
        <is>
          <t>TIANLAI Lámpara Ventilador E27 2 en 1, Silenciosa, LED Alta Luminosidad 180°, Instalación Rápida, Ahorro Energético para Dormitorio y Interiores Pequeños</t>
        </is>
      </c>
      <c r="H4118" s="16" t="inlineStr">
        <is>
          <t>1 Pieza</t>
        </is>
      </c>
      <c r="I4118" s="16" t="n">
        <v>1</v>
      </c>
      <c r="J4118" s="17" t="n">
        <v>75.8</v>
      </c>
      <c r="K4118" s="17" t="n">
        <v>63.24</v>
      </c>
      <c r="L4118" s="17" t="n">
        <v>25.86</v>
      </c>
      <c r="M4118" s="17" t="n">
        <v>0</v>
      </c>
      <c r="N4118" s="17">
        <f>K4118*0.08+L4118*0.08</f>
        <v/>
      </c>
      <c r="O4118" s="17">
        <f>-(K4118*0.025+L4118*0.025)</f>
        <v/>
      </c>
      <c r="P4118" s="17">
        <f>32</f>
        <v/>
      </c>
      <c r="Q4118" s="17">
        <f>J4118+L4118+N4118+O4118-P4118-M4118</f>
        <v/>
      </c>
    </row>
    <row r="4119">
      <c r="A4119" s="16" t="inlineStr">
        <is>
          <t>5.8-5.14</t>
        </is>
      </c>
      <c r="B4119" s="16" t="inlineStr">
        <is>
          <t>PO-128-20937145989752789</t>
        </is>
      </c>
      <c r="C4119" s="16" t="inlineStr">
        <is>
          <t>Shipped</t>
        </is>
      </c>
      <c r="D4119" s="16" t="inlineStr">
        <is>
          <t>128-20937198418552789</t>
        </is>
      </c>
      <c r="E4119" s="16" t="inlineStr">
        <is>
          <t>Shipped</t>
        </is>
      </c>
      <c r="F4119" s="16" t="inlineStr">
        <is>
          <t>LV64W25</t>
        </is>
      </c>
      <c r="G411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19" s="16" t="inlineStr">
        <is>
          <t>Blanco</t>
        </is>
      </c>
      <c r="I4119" s="16" t="n">
        <v>1</v>
      </c>
      <c r="J4119" s="17" t="n">
        <v>119</v>
      </c>
      <c r="K4119" s="17" t="n">
        <v>137.28</v>
      </c>
      <c r="L4119" s="17" t="n">
        <v>25.86</v>
      </c>
      <c r="M4119" s="17" t="n">
        <v>0</v>
      </c>
      <c r="N4119" s="17">
        <f>K4119*0.08+L4119*0.08</f>
        <v/>
      </c>
      <c r="O4119" s="17">
        <f>-(K4119*0.025+L4119*0.025)</f>
        <v/>
      </c>
      <c r="P4119" s="17">
        <f>32</f>
        <v/>
      </c>
      <c r="Q4119" s="17">
        <f>J4119+L4119+N4119+O4119-P4119-M4119</f>
        <v/>
      </c>
    </row>
    <row r="4120">
      <c r="A4120" s="16" t="inlineStr">
        <is>
          <t>5.8-5.14</t>
        </is>
      </c>
      <c r="B4120" s="16" t="inlineStr">
        <is>
          <t>PO-128-20866934313592118</t>
        </is>
      </c>
      <c r="C4120" s="16" t="inlineStr">
        <is>
          <t>Shipped</t>
        </is>
      </c>
      <c r="D4120" s="16" t="inlineStr">
        <is>
          <t>128-20866986742392118</t>
        </is>
      </c>
      <c r="E4120" s="16" t="inlineStr">
        <is>
          <t>Shipped</t>
        </is>
      </c>
      <c r="F4120" s="16" t="inlineStr">
        <is>
          <t>KTS-2031</t>
        </is>
      </c>
      <c r="G4120" s="16" t="inlineStr">
        <is>
          <t>Bocina inalámbrica de 3 pulgadas con linterna multifuncional y panel solar integrado.Altavoz Portátil con Linterna LED 4 Modos, Radio FM, Bluetooth, Carga Solar, Ideal para Apagones, Emergencias, Campo y Exteriores</t>
        </is>
      </c>
      <c r="H4120" s="16" t="inlineStr">
        <is>
          <t>NEGRO</t>
        </is>
      </c>
      <c r="I4120" s="16" t="n">
        <v>1</v>
      </c>
      <c r="J4120" s="17" t="n">
        <v>78</v>
      </c>
      <c r="K4120" s="17" t="n">
        <v>44.12</v>
      </c>
      <c r="L4120" s="17" t="n">
        <v>25.86</v>
      </c>
      <c r="M4120" s="17" t="n">
        <v>0</v>
      </c>
      <c r="N4120" s="17">
        <f>K4120*0.08+L4120*0.08</f>
        <v/>
      </c>
      <c r="O4120" s="17">
        <f>-(K4120*0.025+L4120*0.025)</f>
        <v/>
      </c>
      <c r="P4120" s="17">
        <f>32</f>
        <v/>
      </c>
      <c r="Q4120" s="17">
        <f>J4120+L4120+N4120+O4120-P4120-M4120</f>
        <v/>
      </c>
    </row>
    <row r="4121">
      <c r="A4121" s="16" t="inlineStr">
        <is>
          <t>5.8-5.14</t>
        </is>
      </c>
      <c r="B4121" s="16" t="inlineStr">
        <is>
          <t>PO-128-20668100670073241</t>
        </is>
      </c>
      <c r="C4121" s="16" t="inlineStr">
        <is>
          <t>Shipped</t>
        </is>
      </c>
      <c r="D4121" s="16" t="inlineStr">
        <is>
          <t>128-20668142613113241</t>
        </is>
      </c>
      <c r="E4121" s="16" t="inlineStr">
        <is>
          <t>Shipped</t>
        </is>
      </c>
      <c r="F4121" s="16" t="inlineStr">
        <is>
          <t>KTS-2031</t>
        </is>
      </c>
      <c r="G4121" s="16" t="inlineStr">
        <is>
          <t>Bocina inalámbrica de 3 pulgadas con linterna multifuncional y panel solar integrado.Altavoz Portátil con Linterna LED 4 Modos, Radio FM, Bluetooth, Carga Solar, Ideal para Apagones, Emergencias, Campo y Exteriores</t>
        </is>
      </c>
      <c r="H4121" s="16" t="inlineStr">
        <is>
          <t>NEGRO</t>
        </is>
      </c>
      <c r="I4121" s="16" t="n">
        <v>3</v>
      </c>
      <c r="J4121" s="17" t="n">
        <v>234</v>
      </c>
      <c r="K4121" s="17" t="n">
        <v>261.66</v>
      </c>
      <c r="L4121" s="17" t="n">
        <v>0</v>
      </c>
      <c r="M4121" s="17" t="n">
        <v>0</v>
      </c>
      <c r="N4121" s="17">
        <f>K4121*0.08+L4121*0.08</f>
        <v/>
      </c>
      <c r="O4121" s="17">
        <f>-(K4121*0.025+L4121*0.025)</f>
        <v/>
      </c>
      <c r="P4121" s="17">
        <f>32</f>
        <v/>
      </c>
      <c r="Q4121" s="17">
        <f>J4121+L4121+N4121+O4121-P4121-M4121</f>
        <v/>
      </c>
    </row>
    <row r="4122">
      <c r="A4122" s="16" t="inlineStr">
        <is>
          <t>5.8-5.14</t>
        </is>
      </c>
      <c r="B4122" s="16" t="inlineStr">
        <is>
          <t>PO-128-21258895237750870</t>
        </is>
      </c>
      <c r="C4122" s="16" t="inlineStr">
        <is>
          <t>Shipped</t>
        </is>
      </c>
      <c r="D4122" s="16" t="inlineStr">
        <is>
          <t>128-21258853294710870</t>
        </is>
      </c>
      <c r="E4122" s="16" t="inlineStr">
        <is>
          <t>Shipped</t>
        </is>
      </c>
      <c r="F4122" s="16" t="inlineStr">
        <is>
          <t>LV64W25</t>
        </is>
      </c>
      <c r="G412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22" s="16" t="inlineStr">
        <is>
          <t>Blanco</t>
        </is>
      </c>
      <c r="I4122" s="16" t="n">
        <v>4</v>
      </c>
      <c r="J4122" s="17" t="n">
        <v>476</v>
      </c>
      <c r="K4122" s="17" t="n">
        <v>494.22</v>
      </c>
      <c r="L4122" s="17" t="n">
        <v>0</v>
      </c>
      <c r="M4122" s="17" t="n">
        <v>0</v>
      </c>
      <c r="N4122" s="17">
        <f>K4122*0.08+L4122*0.08</f>
        <v/>
      </c>
      <c r="O4122" s="17">
        <f>-(K4122*0.025+L4122*0.025)</f>
        <v/>
      </c>
      <c r="P4122" s="17">
        <f>32</f>
        <v/>
      </c>
      <c r="Q4122" s="17">
        <f>J4122+L4122+N4122+O4122-P4122-M4122</f>
        <v/>
      </c>
    </row>
    <row r="4123">
      <c r="A4123" s="16" t="inlineStr">
        <is>
          <t>5.8-5.14</t>
        </is>
      </c>
      <c r="B4123" s="16" t="inlineStr">
        <is>
          <t>PO-128-21098193045111701</t>
        </is>
      </c>
      <c r="C4123" s="16" t="inlineStr">
        <is>
          <t>Shipped</t>
        </is>
      </c>
      <c r="D4123" s="16" t="inlineStr">
        <is>
          <t>128-21098200909431701</t>
        </is>
      </c>
      <c r="E4123" s="16" t="inlineStr">
        <is>
          <t>Shipped</t>
        </is>
      </c>
      <c r="F4123" s="16" t="inlineStr">
        <is>
          <t>VA371T</t>
        </is>
      </c>
      <c r="G4123" s="16" t="inlineStr">
        <is>
          <t>Linkbits Bocina Bluetooth Portátil 3" de Alta Gama，Hi-Res Audio y Graves Potentes，Luces LED + Soporte USB/TF/FM/TWS，Ideal para Hogar y Aire Libre</t>
        </is>
      </c>
      <c r="H4123" s="16" t="inlineStr">
        <is>
          <t>VA371T</t>
        </is>
      </c>
      <c r="I4123" s="16" t="n">
        <v>1</v>
      </c>
      <c r="J4123" s="17" t="n">
        <v>45.8</v>
      </c>
      <c r="K4123" s="17" t="n">
        <v>54.17</v>
      </c>
      <c r="L4123" s="17" t="n">
        <v>25.86</v>
      </c>
      <c r="M4123" s="17" t="n">
        <v>0</v>
      </c>
      <c r="N4123" s="17">
        <f>K4123*0.08+L4123*0.08</f>
        <v/>
      </c>
      <c r="O4123" s="17">
        <f>-(K4123*0.025+L4123*0.025)</f>
        <v/>
      </c>
      <c r="P4123" s="17">
        <f>32</f>
        <v/>
      </c>
      <c r="Q4123" s="17">
        <f>J4123+L4123+N4123+O4123-P4123-M4123</f>
        <v/>
      </c>
    </row>
    <row r="4124">
      <c r="A4124" s="16" t="inlineStr">
        <is>
          <t>5.8-5.14</t>
        </is>
      </c>
      <c r="B4124" s="16" t="inlineStr">
        <is>
          <t>PO-128-20700879734393172</t>
        </is>
      </c>
      <c r="C4124" s="16" t="inlineStr">
        <is>
          <t>Shipped</t>
        </is>
      </c>
      <c r="D4124" s="16" t="inlineStr">
        <is>
          <t>128-20700848277113172</t>
        </is>
      </c>
      <c r="E4124" s="16" t="inlineStr">
        <is>
          <t>Shipped</t>
        </is>
      </c>
      <c r="F4124" s="16" t="inlineStr">
        <is>
          <t>TL1455N20B</t>
        </is>
      </c>
      <c r="G4124" s="16" t="inlineStr">
        <is>
          <t>LINK BITS Soporte para TV 14 A 55 Pulgadas, Base para TV Pantalla Articulado Inclinable y Giratorio, MAX VESA 400×400 mm, Soporta hasta 18kg, adaptarse a la mayoría de los televisores de 14 Pulgadas/20 Pulgadas/32 Pulgadas/42 Pulgadas/55 pulgadas</t>
        </is>
      </c>
      <c r="H4124" s="16" t="inlineStr">
        <is>
          <t>TL1455N20B</t>
        </is>
      </c>
      <c r="I4124" s="16" t="n">
        <v>1</v>
      </c>
      <c r="J4124" s="17" t="n">
        <v>69</v>
      </c>
      <c r="K4124" s="17" t="n">
        <v>91.81</v>
      </c>
      <c r="L4124" s="17" t="n">
        <v>25.86</v>
      </c>
      <c r="M4124" s="17" t="n">
        <v>0</v>
      </c>
      <c r="N4124" s="17">
        <f>K4124*0.08+L4124*0.08</f>
        <v/>
      </c>
      <c r="O4124" s="17">
        <f>-(K4124*0.025+L4124*0.025)</f>
        <v/>
      </c>
      <c r="P4124" s="17">
        <f>32</f>
        <v/>
      </c>
      <c r="Q4124" s="17">
        <f>J4124+L4124+N4124+O4124-P4124-M4124</f>
        <v/>
      </c>
    </row>
    <row r="4125">
      <c r="A4125" s="16" t="inlineStr">
        <is>
          <t>5.8-5.14</t>
        </is>
      </c>
      <c r="B4125" s="16" t="inlineStr">
        <is>
          <t>PO-128-20836100030072238</t>
        </is>
      </c>
      <c r="C4125" s="16" t="inlineStr">
        <is>
          <t>Shipped</t>
        </is>
      </c>
      <c r="D4125" s="16" t="inlineStr">
        <is>
          <t>128-20836058087032238</t>
        </is>
      </c>
      <c r="E4125" s="16" t="inlineStr">
        <is>
          <t>Shipped</t>
        </is>
      </c>
      <c r="F4125" s="16" t="inlineStr">
        <is>
          <t>LV64W25</t>
        </is>
      </c>
      <c r="G412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25" s="16" t="inlineStr">
        <is>
          <t>Blanco</t>
        </is>
      </c>
      <c r="I4125" s="16" t="n">
        <v>1</v>
      </c>
      <c r="J4125" s="17" t="n">
        <v>119</v>
      </c>
      <c r="K4125" s="17" t="n">
        <v>137.28</v>
      </c>
      <c r="L4125" s="17" t="n">
        <v>25.86</v>
      </c>
      <c r="M4125" s="17" t="n">
        <v>0</v>
      </c>
      <c r="N4125" s="17">
        <f>K4125*0.08+L4125*0.08</f>
        <v/>
      </c>
      <c r="O4125" s="17">
        <f>-(K4125*0.025+L4125*0.025)</f>
        <v/>
      </c>
      <c r="P4125" s="17">
        <f>32</f>
        <v/>
      </c>
      <c r="Q4125" s="17">
        <f>J4125+L4125+N4125+O4125-P4125-M4125</f>
        <v/>
      </c>
    </row>
    <row r="4126">
      <c r="A4126" s="16" t="inlineStr">
        <is>
          <t>5.8-5.14</t>
        </is>
      </c>
      <c r="B4126" s="16" t="inlineStr">
        <is>
          <t>PO-128-21156688225910265</t>
        </is>
      </c>
      <c r="C4126" s="16" t="inlineStr">
        <is>
          <t>Shipped</t>
        </is>
      </c>
      <c r="D4126" s="16" t="inlineStr">
        <is>
          <t>128-21156709197430265</t>
        </is>
      </c>
      <c r="E4126" s="16" t="inlineStr">
        <is>
          <t>Shipped</t>
        </is>
      </c>
      <c r="F4126" s="16" t="inlineStr">
        <is>
          <t>BG-115-B</t>
        </is>
      </c>
      <c r="G4126" s="16" t="inlineStr">
        <is>
          <t>LINK BITS Audífonos Inalámbricos con Luces Multicolor, Recargables y en Adorable Forma de Orejas de Gato - Conecta a Celulares y PCs, Tiene Radio FM, Tarjeta TF y AUX - 7 Horas de Reproducción, Plegables y Perfectos para Trabajo, Juegos y Estudio</t>
        </is>
      </c>
      <c r="H4126" s="16" t="inlineStr">
        <is>
          <t>blanco</t>
        </is>
      </c>
      <c r="I4126" s="16" t="n">
        <v>1</v>
      </c>
      <c r="J4126" s="17" t="n">
        <v>80</v>
      </c>
      <c r="K4126" s="17" t="n">
        <v>7.96</v>
      </c>
      <c r="L4126" s="17" t="n">
        <v>25.86</v>
      </c>
      <c r="M4126" s="17" t="n">
        <v>0</v>
      </c>
      <c r="N4126" s="17">
        <f>K4126*0.08+L4126*0.08</f>
        <v/>
      </c>
      <c r="O4126" s="17">
        <f>-(K4126*0.025+L4126*0.025)</f>
        <v/>
      </c>
      <c r="P4126" s="17">
        <f>32</f>
        <v/>
      </c>
      <c r="Q4126" s="17">
        <f>J4126+L4126+N4126+O4126-P4126-M4126</f>
        <v/>
      </c>
    </row>
    <row r="4127">
      <c r="A4127" s="16" t="inlineStr">
        <is>
          <t>5.8-5.14</t>
        </is>
      </c>
      <c r="B4127" s="16" t="inlineStr">
        <is>
          <t>PO-128-21139883546230429</t>
        </is>
      </c>
      <c r="C4127" s="16" t="inlineStr">
        <is>
          <t>Shipped</t>
        </is>
      </c>
      <c r="D4127" s="16" t="inlineStr">
        <is>
          <t>128-21139959567990429</t>
        </is>
      </c>
      <c r="E4127" s="16" t="inlineStr">
        <is>
          <t>Shipped</t>
        </is>
      </c>
      <c r="F4127" s="16" t="inlineStr">
        <is>
          <t>BG-115-B</t>
        </is>
      </c>
      <c r="G4127" s="16" t="inlineStr">
        <is>
          <t>LINK BITS Audífonos Inalámbricos con Luces Multicolor, Recargables y en Adorable Forma de Orejas de Gato - Conecta a Celulares y PCs, Tiene Radio FM, Tarjeta TF y AUX - 7 Horas de Reproducción, Plegables y Perfectos para Trabajo, Juegos y Estudio</t>
        </is>
      </c>
      <c r="H4127" s="16" t="inlineStr">
        <is>
          <t>blanco</t>
        </is>
      </c>
      <c r="I4127" s="16" t="n">
        <v>1</v>
      </c>
      <c r="J4127" s="17" t="n">
        <v>80</v>
      </c>
      <c r="K4127" s="17" t="n">
        <v>90.72</v>
      </c>
      <c r="L4127" s="17" t="n">
        <v>25.86</v>
      </c>
      <c r="M4127" s="17" t="n">
        <v>0</v>
      </c>
      <c r="N4127" s="17">
        <f>K4127*0.08+L4127*0.08</f>
        <v/>
      </c>
      <c r="O4127" s="17">
        <f>-(K4127*0.025+L4127*0.025)</f>
        <v/>
      </c>
      <c r="P4127" s="17">
        <f>32</f>
        <v/>
      </c>
      <c r="Q4127" s="17">
        <f>J4127+L4127+N4127+O4127-P4127-M4127</f>
        <v/>
      </c>
    </row>
    <row r="4128">
      <c r="A4128" s="16" t="inlineStr">
        <is>
          <t>5.8-5.14</t>
        </is>
      </c>
      <c r="B4128" s="16" t="inlineStr">
        <is>
          <t>PO-128-21155594773110271</t>
        </is>
      </c>
      <c r="C4128" s="16" t="inlineStr">
        <is>
          <t>Shipped</t>
        </is>
      </c>
      <c r="D4128" s="16" t="inlineStr">
        <is>
          <t>128-21155579044470271</t>
        </is>
      </c>
      <c r="E4128" s="16" t="inlineStr">
        <is>
          <t>Shipped</t>
        </is>
      </c>
      <c r="F4128" s="16" t="inlineStr">
        <is>
          <t>TL1455N20B</t>
        </is>
      </c>
      <c r="G4128" s="16" t="inlineStr">
        <is>
          <t>LINK BITS Soporte para TV 14 A 55 Pulgadas, Base para TV Pantalla Articulado Inclinable y Giratorio, MAX VESA 400×400 mm, Soporta hasta 18kg, adaptarse a la mayoría de los televisores de 14 Pulgadas/20 Pulgadas/32 Pulgadas/42 Pulgadas/55 pulgadas</t>
        </is>
      </c>
      <c r="H4128" s="16" t="inlineStr">
        <is>
          <t>TL1455N20B</t>
        </is>
      </c>
      <c r="I4128" s="16" t="n">
        <v>1</v>
      </c>
      <c r="J4128" s="17" t="n">
        <v>69</v>
      </c>
      <c r="K4128" s="17" t="n">
        <v>91.81</v>
      </c>
      <c r="L4128" s="17" t="n">
        <v>25.86</v>
      </c>
      <c r="M4128" s="17" t="n">
        <v>0</v>
      </c>
      <c r="N4128" s="17">
        <f>K4128*0.08+L4128*0.08</f>
        <v/>
      </c>
      <c r="O4128" s="17">
        <f>-(K4128*0.025+L4128*0.025)</f>
        <v/>
      </c>
      <c r="P4128" s="17">
        <f>32</f>
        <v/>
      </c>
      <c r="Q4128" s="17">
        <f>J4128+L4128+N4128+O4128-P4128-M4128</f>
        <v/>
      </c>
    </row>
    <row r="4129">
      <c r="A4129" s="16" t="inlineStr">
        <is>
          <t>5.8-5.14</t>
        </is>
      </c>
      <c r="B4129" s="16" t="inlineStr">
        <is>
          <t>PO-128-21195803541110030</t>
        </is>
      </c>
      <c r="C4129" s="16" t="inlineStr">
        <is>
          <t>Shipped</t>
        </is>
      </c>
      <c r="D4129" s="16" t="inlineStr">
        <is>
          <t>128-21195761598070030</t>
        </is>
      </c>
      <c r="E4129" s="16" t="inlineStr">
        <is>
          <t>Shipped</t>
        </is>
      </c>
      <c r="F4129" s="16" t="inlineStr">
        <is>
          <t>LV64W25</t>
        </is>
      </c>
      <c r="G412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29" s="16" t="inlineStr">
        <is>
          <t>Blanco</t>
        </is>
      </c>
      <c r="I4129" s="16" t="n">
        <v>1</v>
      </c>
      <c r="J4129" s="17" t="n">
        <v>119</v>
      </c>
      <c r="K4129" s="17" t="n">
        <v>85.56</v>
      </c>
      <c r="L4129" s="17" t="n">
        <v>25.86</v>
      </c>
      <c r="M4129" s="17" t="n">
        <v>0</v>
      </c>
      <c r="N4129" s="17">
        <f>K4129*0.08+L4129*0.08</f>
        <v/>
      </c>
      <c r="O4129" s="17">
        <f>-(K4129*0.025+L4129*0.025)</f>
        <v/>
      </c>
      <c r="P4129" s="17">
        <f>32</f>
        <v/>
      </c>
      <c r="Q4129" s="17">
        <f>J4129+L4129+N4129+O4129-P4129-M4129</f>
        <v/>
      </c>
    </row>
    <row r="4130">
      <c r="A4130" s="16" t="inlineStr">
        <is>
          <t>5.8-5.14</t>
        </is>
      </c>
      <c r="B4130" s="16" t="inlineStr">
        <is>
          <t>PO-128-20729681592953896</t>
        </is>
      </c>
      <c r="C4130" s="16" t="inlineStr">
        <is>
          <t>Shipped</t>
        </is>
      </c>
      <c r="D4130" s="16" t="inlineStr">
        <is>
          <t>128-20729757614713896</t>
        </is>
      </c>
      <c r="E4130" s="16" t="inlineStr">
        <is>
          <t>Shipped</t>
        </is>
      </c>
      <c r="F4130" s="16" t="inlineStr">
        <is>
          <t>LV54W25</t>
        </is>
      </c>
      <c r="G4130" s="16" t="inlineStr">
        <is>
          <t>TIANLAI Lámpara Ventilador E27 2 en 1, Silenciosa, LED Alta Luminosidad 180°, Instalación Rápida, Ahorro Energético para Dormitorio y Interiores Pequeños</t>
        </is>
      </c>
      <c r="H4130" s="16" t="inlineStr">
        <is>
          <t>1 Pieza</t>
        </is>
      </c>
      <c r="I4130" s="16" t="n">
        <v>3</v>
      </c>
      <c r="J4130" s="17" t="n">
        <v>227.4</v>
      </c>
      <c r="K4130" s="17" t="n">
        <v>237.15</v>
      </c>
      <c r="L4130" s="17" t="n">
        <v>0</v>
      </c>
      <c r="M4130" s="17" t="n">
        <v>0</v>
      </c>
      <c r="N4130" s="17">
        <f>K4130*0.08+L4130*0.08</f>
        <v/>
      </c>
      <c r="O4130" s="17">
        <f>-(K4130*0.025+L4130*0.025)</f>
        <v/>
      </c>
      <c r="P4130" s="17">
        <f>32</f>
        <v/>
      </c>
      <c r="Q4130" s="17">
        <f>J4130+L4130+N4130+O4130-P4130-M4130</f>
        <v/>
      </c>
    </row>
    <row r="4131">
      <c r="A4131" s="16" t="inlineStr">
        <is>
          <t>5.8-5.14</t>
        </is>
      </c>
      <c r="B4131" s="16" t="inlineStr">
        <is>
          <t>PO-128-20851410504312274</t>
        </is>
      </c>
      <c r="C4131" s="16" t="inlineStr">
        <is>
          <t>Shipped</t>
        </is>
      </c>
      <c r="D4131" s="16" t="inlineStr">
        <is>
          <t>128-20851441961592274</t>
        </is>
      </c>
      <c r="E4131" s="16" t="inlineStr">
        <is>
          <t>Shipped</t>
        </is>
      </c>
      <c r="F4131" s="16" t="inlineStr">
        <is>
          <t>LV64W25</t>
        </is>
      </c>
      <c r="G41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31" s="16" t="inlineStr">
        <is>
          <t>Blanco</t>
        </is>
      </c>
      <c r="I4131" s="16" t="n">
        <v>2</v>
      </c>
      <c r="J4131" s="17" t="n">
        <v>238</v>
      </c>
      <c r="K4131" s="17" t="n">
        <v>233.68</v>
      </c>
      <c r="L4131" s="17" t="n">
        <v>0</v>
      </c>
      <c r="M4131" s="17" t="n">
        <v>0</v>
      </c>
      <c r="N4131" s="17">
        <f>K4131*0.08+L4131*0.08</f>
        <v/>
      </c>
      <c r="O4131" s="17">
        <f>-(K4131*0.025+L4131*0.025)</f>
        <v/>
      </c>
      <c r="P4131" s="17">
        <f>32</f>
        <v/>
      </c>
      <c r="Q4131" s="17">
        <f>J4131+L4131+N4131+O4131-P4131-M4131</f>
        <v/>
      </c>
    </row>
    <row r="4132">
      <c r="A4132" s="16" t="inlineStr">
        <is>
          <t>5.8-5.14</t>
        </is>
      </c>
      <c r="B4132" s="16" t="inlineStr">
        <is>
          <t>PO-128-21024602808951050</t>
        </is>
      </c>
      <c r="C4132" s="16" t="inlineStr">
        <is>
          <t>Shipped</t>
        </is>
      </c>
      <c r="D4132" s="16" t="inlineStr">
        <is>
          <t>128-21024581837431050</t>
        </is>
      </c>
      <c r="E4132" s="16" t="inlineStr">
        <is>
          <t>Shipped</t>
        </is>
      </c>
      <c r="F4132" s="16" t="inlineStr">
        <is>
          <t>LV64W25</t>
        </is>
      </c>
      <c r="G413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32" s="16" t="inlineStr">
        <is>
          <t>Blanco</t>
        </is>
      </c>
      <c r="I4132" s="16" t="n">
        <v>1</v>
      </c>
      <c r="J4132" s="17" t="n">
        <v>119</v>
      </c>
      <c r="K4132" s="17" t="n">
        <v>137.28</v>
      </c>
      <c r="L4132" s="17" t="n">
        <v>25.86</v>
      </c>
      <c r="M4132" s="17" t="n">
        <v>0</v>
      </c>
      <c r="N4132" s="17">
        <f>K4132*0.08+L4132*0.08</f>
        <v/>
      </c>
      <c r="O4132" s="17">
        <f>-(K4132*0.025+L4132*0.025)</f>
        <v/>
      </c>
      <c r="P4132" s="17">
        <f>32</f>
        <v/>
      </c>
      <c r="Q4132" s="17">
        <f>J4132+L4132+N4132+O4132-P4132-M4132</f>
        <v/>
      </c>
    </row>
    <row r="4133">
      <c r="A4133" s="16" t="inlineStr">
        <is>
          <t>5.8-5.14</t>
        </is>
      </c>
      <c r="B4133" s="16" t="inlineStr">
        <is>
          <t>PO-128-20817615258232348</t>
        </is>
      </c>
      <c r="C4133" s="16" t="inlineStr">
        <is>
          <t>Shipped</t>
        </is>
      </c>
      <c r="D4133" s="16" t="inlineStr">
        <is>
          <t>128-20817636229752348</t>
        </is>
      </c>
      <c r="E4133" s="16" t="inlineStr">
        <is>
          <t>Shipped</t>
        </is>
      </c>
      <c r="F4133" s="16" t="inlineStr">
        <is>
          <t>LV64W25</t>
        </is>
      </c>
      <c r="G41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33" s="16" t="inlineStr">
        <is>
          <t>Blanco</t>
        </is>
      </c>
      <c r="I4133" s="16" t="n">
        <v>2</v>
      </c>
      <c r="J4133" s="17" t="n">
        <v>238</v>
      </c>
      <c r="K4133" s="17" t="n">
        <v>15.94</v>
      </c>
      <c r="L4133" s="17" t="n">
        <v>0</v>
      </c>
      <c r="M4133" s="17" t="n">
        <v>0</v>
      </c>
      <c r="N4133" s="17">
        <f>K4133*0.08+L4133*0.08</f>
        <v/>
      </c>
      <c r="O4133" s="17">
        <f>-(K4133*0.025+L4133*0.025)</f>
        <v/>
      </c>
      <c r="P4133" s="17">
        <f>32</f>
        <v/>
      </c>
      <c r="Q4133" s="17">
        <f>J4133+L4133+N4133+O4133-P4133-M4133</f>
        <v/>
      </c>
    </row>
    <row r="4134">
      <c r="A4134" s="16" t="inlineStr">
        <is>
          <t>5.8-5.14</t>
        </is>
      </c>
      <c r="B4134" s="16" t="inlineStr">
        <is>
          <t>PO-128-21084500767351911</t>
        </is>
      </c>
      <c r="C4134" s="16" t="inlineStr">
        <is>
          <t>Shipped</t>
        </is>
      </c>
      <c r="D4134" s="16" t="inlineStr">
        <is>
          <t>128-21084443095671911</t>
        </is>
      </c>
      <c r="E4134" s="16" t="inlineStr">
        <is>
          <t>Shipped</t>
        </is>
      </c>
      <c r="F4134" s="16" t="inlineStr">
        <is>
          <t>LV64W25</t>
        </is>
      </c>
      <c r="G413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34" s="16" t="inlineStr">
        <is>
          <t>Blanco</t>
        </is>
      </c>
      <c r="I4134" s="16" t="n">
        <v>1</v>
      </c>
      <c r="J4134" s="17" t="n">
        <v>119</v>
      </c>
      <c r="K4134" s="17" t="n">
        <v>127.37</v>
      </c>
      <c r="L4134" s="17" t="n">
        <v>25.86</v>
      </c>
      <c r="M4134" s="17" t="n">
        <v>0</v>
      </c>
      <c r="N4134" s="17">
        <f>K4134*0.08+L4134*0.08</f>
        <v/>
      </c>
      <c r="O4134" s="17">
        <f>-(K4134*0.025+L4134*0.025)</f>
        <v/>
      </c>
      <c r="P4134" s="17">
        <f>32</f>
        <v/>
      </c>
      <c r="Q4134" s="17">
        <f>J4134+L4134+N4134+O4134-P4134-M4134</f>
        <v/>
      </c>
    </row>
    <row r="4135">
      <c r="A4135" s="16" t="inlineStr">
        <is>
          <t>5.8-5.14</t>
        </is>
      </c>
      <c r="B4135" s="16" t="inlineStr">
        <is>
          <t>PO-128-09971721019511458</t>
        </is>
      </c>
      <c r="C4135" s="16" t="inlineStr">
        <is>
          <t>Shipped</t>
        </is>
      </c>
      <c r="D4135" s="16" t="inlineStr">
        <is>
          <t>128-09971731505271458</t>
        </is>
      </c>
      <c r="E4135" s="16" t="inlineStr">
        <is>
          <t>Shipped</t>
        </is>
      </c>
      <c r="F4135" s="16" t="inlineStr">
        <is>
          <t>B03W10-10PZS</t>
        </is>
      </c>
      <c r="G413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35" s="16" t="inlineStr">
        <is>
          <t>B03W10</t>
        </is>
      </c>
      <c r="I4135" s="16" t="n">
        <v>1</v>
      </c>
      <c r="J4135" s="17" t="n">
        <v>70</v>
      </c>
      <c r="K4135" s="17" t="n">
        <v>72.93000000000001</v>
      </c>
      <c r="L4135" s="17" t="n">
        <v>25.86</v>
      </c>
      <c r="M4135" s="17" t="n">
        <v>0</v>
      </c>
      <c r="N4135" s="17">
        <f>K4135*0.08+L4135*0.08</f>
        <v/>
      </c>
      <c r="O4135" s="17">
        <f>-(K4135*0.025+L4135*0.025)</f>
        <v/>
      </c>
      <c r="P4135" s="17">
        <f>32</f>
        <v/>
      </c>
      <c r="Q4135" s="17">
        <f>J4135+L4135+N4135+O4135-P4135-M4135</f>
        <v/>
      </c>
    </row>
    <row r="4136">
      <c r="A4136" s="16" t="inlineStr">
        <is>
          <t>5.8-5.14</t>
        </is>
      </c>
      <c r="B4136" s="16" t="inlineStr">
        <is>
          <t>PO-128-09646469399673335</t>
        </is>
      </c>
      <c r="C4136" s="16" t="inlineStr">
        <is>
          <t>Shipped</t>
        </is>
      </c>
      <c r="D4136" s="16" t="inlineStr">
        <is>
          <t>128-09646416970873335</t>
        </is>
      </c>
      <c r="E4136" s="16" t="inlineStr">
        <is>
          <t>Shipped</t>
        </is>
      </c>
      <c r="F4136" s="16" t="inlineStr">
        <is>
          <t>VB349T</t>
        </is>
      </c>
      <c r="G4136" s="16" t="inlineStr">
        <is>
          <t>LINKBITS Altavoz Portátil de Doble Altavoz - 3 Pulgadas, Sonido HD, Emparejamiento Rápido de Bluetooth, Conectividad TWS, Reproducción Multimodo (Micro SD/USB/Radio FM) - Perfecto para Oficina, Viajes y Espacios Pequeños</t>
        </is>
      </c>
      <c r="H4136" s="16" t="inlineStr">
        <is>
          <t>NEGRO</t>
        </is>
      </c>
      <c r="I4136" s="16" t="n">
        <v>1</v>
      </c>
      <c r="J4136" s="17" t="n">
        <v>81</v>
      </c>
      <c r="K4136" s="17" t="n">
        <v>94.25</v>
      </c>
      <c r="L4136" s="17" t="n">
        <v>25.86</v>
      </c>
      <c r="M4136" s="17" t="n">
        <v>0</v>
      </c>
      <c r="N4136" s="17">
        <f>K4136*0.08+L4136*0.08</f>
        <v/>
      </c>
      <c r="O4136" s="17">
        <f>-(K4136*0.025+L4136*0.025)</f>
        <v/>
      </c>
      <c r="P4136" s="17">
        <f>32</f>
        <v/>
      </c>
      <c r="Q4136" s="17">
        <f>J4136+L4136+N4136+O4136-P4136-M4136</f>
        <v/>
      </c>
    </row>
    <row r="4137">
      <c r="A4137" s="16" t="inlineStr">
        <is>
          <t>5.8-5.14</t>
        </is>
      </c>
      <c r="B4137" s="16" t="inlineStr">
        <is>
          <t>PO-128-10159177316470279</t>
        </is>
      </c>
      <c r="C4137" s="16" t="inlineStr">
        <is>
          <t>Shipped</t>
        </is>
      </c>
      <c r="D4137" s="16" t="inlineStr">
        <is>
          <t>128-10159219259510279</t>
        </is>
      </c>
      <c r="E4137" s="16" t="inlineStr">
        <is>
          <t>Shipped</t>
        </is>
      </c>
      <c r="F4137" s="16" t="inlineStr">
        <is>
          <t>KTS-2031</t>
        </is>
      </c>
      <c r="G4137" s="16" t="inlineStr">
        <is>
          <t>Bocina inalámbrica de 3 pulgadas con linterna multifuncional y panel solar integrado.Altavoz Portátil con Linterna LED 4 Modos, Radio FM, Bluetooth, Carga Solar, Ideal para Apagones, Emergencias, Campo y Exteriores</t>
        </is>
      </c>
      <c r="H4137" s="16" t="inlineStr">
        <is>
          <t>NEGRO</t>
        </is>
      </c>
      <c r="I4137" s="16" t="n">
        <v>1</v>
      </c>
      <c r="J4137" s="17" t="n">
        <v>78</v>
      </c>
      <c r="K4137" s="17" t="n">
        <v>87.22</v>
      </c>
      <c r="L4137" s="17" t="n">
        <v>25.86</v>
      </c>
      <c r="M4137" s="17" t="n">
        <v>0</v>
      </c>
      <c r="N4137" s="17">
        <f>K4137*0.08+L4137*0.08</f>
        <v/>
      </c>
      <c r="O4137" s="17">
        <f>-(K4137*0.025+L4137*0.025)</f>
        <v/>
      </c>
      <c r="P4137" s="17">
        <f>32</f>
        <v/>
      </c>
      <c r="Q4137" s="17">
        <f>J4137+L4137+N4137+O4137-P4137-M4137</f>
        <v/>
      </c>
    </row>
    <row r="4138">
      <c r="A4138" s="16" t="inlineStr">
        <is>
          <t>5.8-5.14</t>
        </is>
      </c>
      <c r="B4138" s="16" t="inlineStr">
        <is>
          <t>PO-128-09749963871353740</t>
        </is>
      </c>
      <c r="C4138" s="16" t="inlineStr">
        <is>
          <t>Shipped</t>
        </is>
      </c>
      <c r="D4138" s="16" t="inlineStr">
        <is>
          <t>128-09750005814393740</t>
        </is>
      </c>
      <c r="E4138" s="16" t="inlineStr">
        <is>
          <t>Shipped</t>
        </is>
      </c>
      <c r="F4138" s="16" t="inlineStr">
        <is>
          <t>TL2663N18C</t>
        </is>
      </c>
      <c r="G4138" s="16" t="inlineStr">
        <is>
          <t>Linkbits，Soporte de pared fijo para televisores de 26"-63", Ultra-Delgado Compatible con VESA 400x400mm, Capacidad de Peso Fuerte de 25KG, Instalación Fácil Sin Electricidad</t>
        </is>
      </c>
      <c r="H4138" s="16" t="inlineStr">
        <is>
          <t>NEGRO</t>
        </is>
      </c>
      <c r="I4138" s="16" t="n">
        <v>1</v>
      </c>
      <c r="J4138" s="17" t="n">
        <v>55.5</v>
      </c>
      <c r="K4138" s="17" t="n">
        <v>56.4</v>
      </c>
      <c r="L4138" s="17" t="n">
        <v>25.86</v>
      </c>
      <c r="M4138" s="17" t="n">
        <v>0</v>
      </c>
      <c r="N4138" s="17">
        <f>K4138*0.08+L4138*0.08</f>
        <v/>
      </c>
      <c r="O4138" s="17">
        <f>-(K4138*0.025+L4138*0.025)</f>
        <v/>
      </c>
      <c r="P4138" s="17">
        <f>32</f>
        <v/>
      </c>
      <c r="Q4138" s="17">
        <f>J4138+L4138+N4138+O4138-P4138-M4138</f>
        <v/>
      </c>
    </row>
    <row r="4139">
      <c r="A4139" s="16" t="inlineStr">
        <is>
          <t>5.8-5.14</t>
        </is>
      </c>
      <c r="B4139" s="16" t="inlineStr">
        <is>
          <t>PO-128-10205482033270003</t>
        </is>
      </c>
      <c r="C4139" s="16" t="inlineStr">
        <is>
          <t>Shipped</t>
        </is>
      </c>
      <c r="D4139" s="16" t="inlineStr">
        <is>
          <t>128-10205455818870003</t>
        </is>
      </c>
      <c r="E4139" s="16" t="inlineStr">
        <is>
          <t>Shipped</t>
        </is>
      </c>
      <c r="F4139" s="16" t="inlineStr">
        <is>
          <t>KTS-2031</t>
        </is>
      </c>
      <c r="G4139" s="16" t="inlineStr">
        <is>
          <t>Bocina inalámbrica de 3 pulgadas con linterna multifuncional y panel solar integrado.Altavoz Portátil con Linterna LED 4 Modos, Radio FM, Bluetooth, Carga Solar, Ideal para Apagones, Emergencias, Campo y Exteriores</t>
        </is>
      </c>
      <c r="H4139" s="16" t="inlineStr">
        <is>
          <t>NEGRO</t>
        </is>
      </c>
      <c r="I4139" s="16" t="n">
        <v>1</v>
      </c>
      <c r="J4139" s="17" t="n">
        <v>78</v>
      </c>
      <c r="K4139" s="17" t="n">
        <v>69.78</v>
      </c>
      <c r="L4139" s="17" t="n">
        <v>25.86</v>
      </c>
      <c r="M4139" s="17" t="n">
        <v>0</v>
      </c>
      <c r="N4139" s="17">
        <f>K4139*0.08+L4139*0.08</f>
        <v/>
      </c>
      <c r="O4139" s="17">
        <f>-(K4139*0.025+L4139*0.025)</f>
        <v/>
      </c>
      <c r="P4139" s="17">
        <f>32</f>
        <v/>
      </c>
      <c r="Q4139" s="17">
        <f>J4139+L4139+N4139+O4139-P4139-M4139</f>
        <v/>
      </c>
    </row>
    <row r="4140">
      <c r="A4140" s="16" t="inlineStr">
        <is>
          <t>5.8-5.14</t>
        </is>
      </c>
      <c r="B4140" s="16" t="inlineStr">
        <is>
          <t>PO-128-09781615603833616</t>
        </is>
      </c>
      <c r="C4140" s="16" t="inlineStr">
        <is>
          <t>Shipped</t>
        </is>
      </c>
      <c r="D4140" s="16" t="inlineStr">
        <is>
          <t>128-09781573660793616</t>
        </is>
      </c>
      <c r="E4140" s="16" t="inlineStr">
        <is>
          <t>Shipped</t>
        </is>
      </c>
      <c r="F4140" s="16" t="inlineStr">
        <is>
          <t>SA428T</t>
        </is>
      </c>
      <c r="G4140"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140" s="16" t="inlineStr">
        <is>
          <t>SA428T</t>
        </is>
      </c>
      <c r="I4140" s="16" t="n">
        <v>1</v>
      </c>
      <c r="J4140" s="17" t="n">
        <v>86.22</v>
      </c>
      <c r="K4140" s="17" t="n">
        <v>101.66</v>
      </c>
      <c r="L4140" s="17" t="n">
        <v>25.86</v>
      </c>
      <c r="M4140" s="17" t="n">
        <v>0</v>
      </c>
      <c r="N4140" s="17">
        <f>K4140*0.08+L4140*0.08</f>
        <v/>
      </c>
      <c r="O4140" s="17">
        <f>-(K4140*0.025+L4140*0.025)</f>
        <v/>
      </c>
      <c r="P4140" s="17">
        <f>32</f>
        <v/>
      </c>
      <c r="Q4140" s="17">
        <f>J4140+L4140+N4140+O4140-P4140-M4140</f>
        <v/>
      </c>
    </row>
    <row r="4141">
      <c r="A4141" s="16" t="inlineStr">
        <is>
          <t>5.8-5.14</t>
        </is>
      </c>
      <c r="B4141" s="16" t="inlineStr">
        <is>
          <t>PO-128-09690545487993134</t>
        </is>
      </c>
      <c r="C4141" s="16" t="inlineStr">
        <is>
          <t>Shipped</t>
        </is>
      </c>
      <c r="D4141" s="16" t="inlineStr">
        <is>
          <t>128-09690566459513134</t>
        </is>
      </c>
      <c r="E4141" s="16" t="inlineStr">
        <is>
          <t>Shipped</t>
        </is>
      </c>
      <c r="F4141" s="16" t="inlineStr">
        <is>
          <t>LV64W25</t>
        </is>
      </c>
      <c r="G414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1" s="16" t="inlineStr">
        <is>
          <t>Blanco</t>
        </is>
      </c>
      <c r="I4141" s="16" t="n">
        <v>1</v>
      </c>
      <c r="J4141" s="17" t="n">
        <v>119</v>
      </c>
      <c r="K4141" s="17" t="n">
        <v>137.28</v>
      </c>
      <c r="L4141" s="17" t="n">
        <v>25.86</v>
      </c>
      <c r="M4141" s="17" t="n">
        <v>0</v>
      </c>
      <c r="N4141" s="17">
        <f>K4141*0.08+L4141*0.08</f>
        <v/>
      </c>
      <c r="O4141" s="17">
        <f>-(K4141*0.025+L4141*0.025)</f>
        <v/>
      </c>
      <c r="P4141" s="17">
        <f>32</f>
        <v/>
      </c>
      <c r="Q4141" s="17">
        <f>J4141+L4141+N4141+O4141-P4141-M4141</f>
        <v/>
      </c>
    </row>
    <row r="4142">
      <c r="A4142" s="16" t="inlineStr">
        <is>
          <t>5.8-5.14</t>
        </is>
      </c>
      <c r="B4142" s="16" t="inlineStr">
        <is>
          <t>PO-128-09879658263672969</t>
        </is>
      </c>
      <c r="C4142" s="16" t="inlineStr">
        <is>
          <t>Shipped</t>
        </is>
      </c>
      <c r="D4142" s="16" t="inlineStr">
        <is>
          <t>128-09879632049272969</t>
        </is>
      </c>
      <c r="E4142" s="16" t="inlineStr">
        <is>
          <t>Shipped</t>
        </is>
      </c>
      <c r="F4142" s="16" t="inlineStr">
        <is>
          <t>LV64W25</t>
        </is>
      </c>
      <c r="G414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2" s="16" t="inlineStr">
        <is>
          <t>Blanco</t>
        </is>
      </c>
      <c r="I4142" s="16" t="n">
        <v>1</v>
      </c>
      <c r="J4142" s="17" t="n">
        <v>119</v>
      </c>
      <c r="K4142" s="17" t="n">
        <v>137.28</v>
      </c>
      <c r="L4142" s="17" t="n">
        <v>25.86</v>
      </c>
      <c r="M4142" s="17" t="n">
        <v>0</v>
      </c>
      <c r="N4142" s="17">
        <f>K4142*0.08+L4142*0.08</f>
        <v/>
      </c>
      <c r="O4142" s="17">
        <f>-(K4142*0.025+L4142*0.025)</f>
        <v/>
      </c>
      <c r="P4142" s="17">
        <f>32</f>
        <v/>
      </c>
      <c r="Q4142" s="17">
        <f>J4142+L4142+N4142+O4142-P4142-M4142</f>
        <v/>
      </c>
    </row>
    <row r="4143">
      <c r="A4143" s="16" t="inlineStr">
        <is>
          <t>5.8-5.14</t>
        </is>
      </c>
      <c r="B4143" s="16" t="inlineStr">
        <is>
          <t>PO-128-09992169116791339</t>
        </is>
      </c>
      <c r="C4143" s="16" t="inlineStr">
        <is>
          <t>Shipped</t>
        </is>
      </c>
      <c r="D4143" s="16" t="inlineStr">
        <is>
          <t>128-09992127173751339</t>
        </is>
      </c>
      <c r="E4143" s="16" t="inlineStr">
        <is>
          <t>Shipped</t>
        </is>
      </c>
      <c r="F4143" s="16" t="inlineStr">
        <is>
          <t>LV64W25</t>
        </is>
      </c>
      <c r="G414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3" s="16" t="inlineStr">
        <is>
          <t>Blanco</t>
        </is>
      </c>
      <c r="I4143" s="16" t="n">
        <v>1</v>
      </c>
      <c r="J4143" s="17" t="n">
        <v>119</v>
      </c>
      <c r="K4143" s="17" t="n">
        <v>54.52</v>
      </c>
      <c r="L4143" s="17" t="n">
        <v>25.86</v>
      </c>
      <c r="M4143" s="17" t="n">
        <v>0</v>
      </c>
      <c r="N4143" s="17">
        <f>K4143*0.08+L4143*0.08</f>
        <v/>
      </c>
      <c r="O4143" s="17">
        <f>-(K4143*0.025+L4143*0.025)</f>
        <v/>
      </c>
      <c r="P4143" s="17">
        <f>32</f>
        <v/>
      </c>
      <c r="Q4143" s="17">
        <f>J4143+L4143+N4143+O4143-P4143-M4143</f>
        <v/>
      </c>
    </row>
    <row r="4144">
      <c r="A4144" s="16" t="inlineStr">
        <is>
          <t>5.8-5.14</t>
        </is>
      </c>
      <c r="B4144" s="16" t="inlineStr">
        <is>
          <t>PO-128-10139014177910399</t>
        </is>
      </c>
      <c r="C4144" s="16" t="inlineStr">
        <is>
          <t>Shipped</t>
        </is>
      </c>
      <c r="D4144" s="16" t="inlineStr">
        <is>
          <t>128-10138993206390399</t>
        </is>
      </c>
      <c r="E4144" s="16" t="inlineStr">
        <is>
          <t>Shipped</t>
        </is>
      </c>
      <c r="F4144" s="16" t="inlineStr">
        <is>
          <t>KTS-1936</t>
        </is>
      </c>
      <c r="G4144" s="16" t="inlineStr">
        <is>
          <t>Espejo con Luz para Makeup，Espejo con Luz LED y Bocina Bluetooth，Espejo para Maquillaje con Aumentos y Luces LED de Intensidad Ajustable，Lente de Aumento 10X+Reproductor TF+ TWS，espejo de portátil y para estudiantes, oficina, dormitorio, mejor regalo</t>
        </is>
      </c>
      <c r="H4144" s="16" t="inlineStr">
        <is>
          <t>BLANCO</t>
        </is>
      </c>
      <c r="I4144" s="16" t="n">
        <v>1</v>
      </c>
      <c r="J4144" s="17" t="n">
        <v>217.75</v>
      </c>
      <c r="K4144" s="17" t="n">
        <v>227.92</v>
      </c>
      <c r="L4144" s="17" t="n">
        <v>25.86</v>
      </c>
      <c r="M4144" s="17" t="n">
        <v>0</v>
      </c>
      <c r="N4144" s="17">
        <f>K4144*0.08+L4144*0.08</f>
        <v/>
      </c>
      <c r="O4144" s="17">
        <f>-(K4144*0.025+L4144*0.025)</f>
        <v/>
      </c>
      <c r="P4144" s="17">
        <f>32</f>
        <v/>
      </c>
      <c r="Q4144" s="17">
        <f>J4144+L4144+N4144+O4144-P4144-M4144</f>
        <v/>
      </c>
    </row>
    <row r="4145">
      <c r="A4145" s="16" t="inlineStr">
        <is>
          <t>5.8-5.14</t>
        </is>
      </c>
      <c r="B4145" s="16" t="inlineStr">
        <is>
          <t>PO-128-10010071713911166</t>
        </is>
      </c>
      <c r="C4145" s="16" t="inlineStr">
        <is>
          <t>Shipped</t>
        </is>
      </c>
      <c r="D4145" s="16" t="inlineStr">
        <is>
          <t>128-10010092685431166</t>
        </is>
      </c>
      <c r="E4145" s="16" t="inlineStr">
        <is>
          <t>Shipped</t>
        </is>
      </c>
      <c r="F4145" s="16" t="inlineStr">
        <is>
          <t>TL2663N18C</t>
        </is>
      </c>
      <c r="G4145" s="16" t="inlineStr">
        <is>
          <t>Linkbits，Soporte de pared fijo para televisores de 26"-63", Ultra-Delgado Compatible con VESA 400x400mm, Capacidad de Peso Fuerte de 25KG, Instalación Fácil Sin Electricidad</t>
        </is>
      </c>
      <c r="H4145" s="16" t="inlineStr">
        <is>
          <t>NEGRO</t>
        </is>
      </c>
      <c r="I4145" s="16" t="n">
        <v>1</v>
      </c>
      <c r="J4145" s="17" t="n">
        <v>55.5</v>
      </c>
      <c r="K4145" s="17" t="n">
        <v>70.48999999999999</v>
      </c>
      <c r="L4145" s="17" t="n">
        <v>25.86</v>
      </c>
      <c r="M4145" s="17" t="n">
        <v>0</v>
      </c>
      <c r="N4145" s="17">
        <f>K4145*0.08+L4145*0.08</f>
        <v/>
      </c>
      <c r="O4145" s="17">
        <f>-(K4145*0.025+L4145*0.025)</f>
        <v/>
      </c>
      <c r="P4145" s="17">
        <f>32</f>
        <v/>
      </c>
      <c r="Q4145" s="17">
        <f>J4145+L4145+N4145+O4145-P4145-M4145</f>
        <v/>
      </c>
    </row>
    <row r="4146">
      <c r="A4146" s="16" t="inlineStr">
        <is>
          <t>5.8-5.14</t>
        </is>
      </c>
      <c r="B4146" s="16" t="inlineStr">
        <is>
          <t>PO-128-10253931210870800</t>
        </is>
      </c>
      <c r="C4146" s="16" t="inlineStr">
        <is>
          <t>Shipped</t>
        </is>
      </c>
      <c r="D4146" s="16" t="inlineStr">
        <is>
          <t>128-10253920725110800</t>
        </is>
      </c>
      <c r="E4146" s="16" t="inlineStr">
        <is>
          <t>Shipped</t>
        </is>
      </c>
      <c r="F4146" s="16" t="inlineStr">
        <is>
          <t>LV54W25</t>
        </is>
      </c>
      <c r="G4146" s="16" t="inlineStr">
        <is>
          <t>TIANLAI Lámpara Ventilador E27 2 en 1, Silenciosa, LED Alta Luminosidad 180°, Instalación Rápida, Ahorro Energético para Dormitorio y Interiores Pequeños</t>
        </is>
      </c>
      <c r="H4146" s="16" t="inlineStr">
        <is>
          <t>1 Pieza</t>
        </is>
      </c>
      <c r="I4146" s="16" t="n">
        <v>1</v>
      </c>
      <c r="J4146" s="17" t="n">
        <v>75.8</v>
      </c>
      <c r="K4146" s="17" t="n">
        <v>79.98</v>
      </c>
      <c r="L4146" s="17" t="n">
        <v>25.86</v>
      </c>
      <c r="M4146" s="17" t="n">
        <v>0</v>
      </c>
      <c r="N4146" s="17">
        <f>K4146*0.08+L4146*0.08</f>
        <v/>
      </c>
      <c r="O4146" s="17">
        <f>-(K4146*0.025+L4146*0.025)</f>
        <v/>
      </c>
      <c r="P4146" s="17">
        <f>32</f>
        <v/>
      </c>
      <c r="Q4146" s="17">
        <f>J4146+L4146+N4146+O4146-P4146-M4146</f>
        <v/>
      </c>
    </row>
    <row r="4147">
      <c r="A4147" s="16" t="inlineStr">
        <is>
          <t>5.8-5.14</t>
        </is>
      </c>
      <c r="B4147" s="16" t="inlineStr">
        <is>
          <t>PO-128-09948619681912620</t>
        </is>
      </c>
      <c r="C4147" s="16" t="inlineStr">
        <is>
          <t>Shipped</t>
        </is>
      </c>
      <c r="D4147" s="16" t="inlineStr">
        <is>
          <t>128-09948661624952620</t>
        </is>
      </c>
      <c r="E4147" s="16" t="inlineStr">
        <is>
          <t>Shipped</t>
        </is>
      </c>
      <c r="F4147" s="16" t="inlineStr">
        <is>
          <t>LV54W25</t>
        </is>
      </c>
      <c r="G4147" s="16" t="inlineStr">
        <is>
          <t>TIANLAI Lámpara Ventilador E27 2 en 1, Silenciosa, LED Alta Luminosidad 180°, Instalación Rápida, Ahorro Energético para Dormitorio y Interiores Pequeños</t>
        </is>
      </c>
      <c r="H4147" s="16" t="inlineStr">
        <is>
          <t>1 Pieza</t>
        </is>
      </c>
      <c r="I4147" s="16" t="n">
        <v>1</v>
      </c>
      <c r="J4147" s="17" t="n">
        <v>75.8</v>
      </c>
      <c r="K4147" s="17" t="n">
        <v>79.05</v>
      </c>
      <c r="L4147" s="17" t="n">
        <v>25.86</v>
      </c>
      <c r="M4147" s="17" t="n">
        <v>0</v>
      </c>
      <c r="N4147" s="17">
        <f>K4147*0.08+L4147*0.08</f>
        <v/>
      </c>
      <c r="O4147" s="17">
        <f>-(K4147*0.025+L4147*0.025)</f>
        <v/>
      </c>
      <c r="P4147" s="17">
        <f>32</f>
        <v/>
      </c>
      <c r="Q4147" s="17">
        <f>J4147+L4147+N4147+O4147-P4147-M4147</f>
        <v/>
      </c>
    </row>
    <row r="4148">
      <c r="A4148" s="16" t="inlineStr">
        <is>
          <t>5.8-5.14</t>
        </is>
      </c>
      <c r="B4148" s="16" t="inlineStr">
        <is>
          <t>PO-128-09965950339191431</t>
        </is>
      </c>
      <c r="C4148" s="16" t="inlineStr">
        <is>
          <t>Shipped</t>
        </is>
      </c>
      <c r="D4148" s="16" t="inlineStr">
        <is>
          <t>128-09965971310711431</t>
        </is>
      </c>
      <c r="E4148" s="16" t="inlineStr">
        <is>
          <t>Shipped</t>
        </is>
      </c>
      <c r="F4148" s="16" t="inlineStr">
        <is>
          <t>LV64W25</t>
        </is>
      </c>
      <c r="G414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8" s="16" t="inlineStr">
        <is>
          <t>Blanco</t>
        </is>
      </c>
      <c r="I4148" s="16" t="n">
        <v>2</v>
      </c>
      <c r="J4148" s="17" t="n">
        <v>238</v>
      </c>
      <c r="K4148" s="17" t="n">
        <v>274.56</v>
      </c>
      <c r="L4148" s="17" t="n">
        <v>0</v>
      </c>
      <c r="M4148" s="17" t="n">
        <v>0</v>
      </c>
      <c r="N4148" s="17">
        <f>K4148*0.08+L4148*0.08</f>
        <v/>
      </c>
      <c r="O4148" s="17">
        <f>-(K4148*0.025+L4148*0.025)</f>
        <v/>
      </c>
      <c r="P4148" s="17">
        <f>32</f>
        <v/>
      </c>
      <c r="Q4148" s="17">
        <f>J4148+L4148+N4148+O4148-P4148-M4148</f>
        <v/>
      </c>
    </row>
    <row r="4149">
      <c r="A4149" s="16" t="inlineStr">
        <is>
          <t>5.8-5.14</t>
        </is>
      </c>
      <c r="B4149" s="16" t="inlineStr">
        <is>
          <t>PO-128-09881983608952955</t>
        </is>
      </c>
      <c r="C4149" s="16" t="inlineStr">
        <is>
          <t>Shipped</t>
        </is>
      </c>
      <c r="D4149" s="16" t="inlineStr">
        <is>
          <t>128-09882088466552955</t>
        </is>
      </c>
      <c r="E4149" s="16" t="inlineStr">
        <is>
          <t>Shipped</t>
        </is>
      </c>
      <c r="F4149" s="16" t="inlineStr">
        <is>
          <t>LV64W25</t>
        </is>
      </c>
      <c r="G414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49" s="16" t="inlineStr">
        <is>
          <t>Blanco</t>
        </is>
      </c>
      <c r="I4149" s="16" t="n">
        <v>3</v>
      </c>
      <c r="J4149" s="17" t="n">
        <v>357</v>
      </c>
      <c r="K4149" s="17" t="n">
        <v>291.32</v>
      </c>
      <c r="L4149" s="17" t="n">
        <v>0</v>
      </c>
      <c r="M4149" s="17" t="n">
        <v>0</v>
      </c>
      <c r="N4149" s="17">
        <f>K4149*0.08+L4149*0.08</f>
        <v/>
      </c>
      <c r="O4149" s="17">
        <f>-(K4149*0.025+L4149*0.025)</f>
        <v/>
      </c>
      <c r="P4149" s="17">
        <f>32</f>
        <v/>
      </c>
      <c r="Q4149" s="17">
        <f>J4149+L4149+N4149+O4149-P4149-M4149</f>
        <v/>
      </c>
    </row>
    <row r="4150">
      <c r="A4150" s="16" t="inlineStr">
        <is>
          <t>5.8-5.14</t>
        </is>
      </c>
      <c r="B4150" s="16" t="inlineStr">
        <is>
          <t>PO-128-09697002837113160</t>
        </is>
      </c>
      <c r="C4150" s="16" t="inlineStr">
        <is>
          <t>Shipped</t>
        </is>
      </c>
      <c r="D4150" s="16" t="inlineStr">
        <is>
          <t>128-09697023808633160</t>
        </is>
      </c>
      <c r="E4150" s="16" t="inlineStr">
        <is>
          <t>Shipped</t>
        </is>
      </c>
      <c r="F4150" s="16" t="inlineStr">
        <is>
          <t>LV54W25</t>
        </is>
      </c>
      <c r="G4150" s="16" t="inlineStr">
        <is>
          <t>TIANLAI Lámpara Ventilador E27 2 en 1, Silenciosa, LED Alta Luminosidad 180°, Instalación Rápida, Ahorro Energético para Dormitorio y Interiores Pequeños</t>
        </is>
      </c>
      <c r="H4150" s="16" t="inlineStr">
        <is>
          <t>1 Pieza</t>
        </is>
      </c>
      <c r="I4150" s="16" t="n">
        <v>1</v>
      </c>
      <c r="J4150" s="17" t="n">
        <v>75.8</v>
      </c>
      <c r="K4150" s="17" t="n">
        <v>19.64</v>
      </c>
      <c r="L4150" s="17" t="n">
        <v>25.86</v>
      </c>
      <c r="M4150" s="17" t="n">
        <v>0</v>
      </c>
      <c r="N4150" s="17">
        <f>K4150*0.08+L4150*0.08</f>
        <v/>
      </c>
      <c r="O4150" s="17">
        <f>-(K4150*0.025+L4150*0.025)</f>
        <v/>
      </c>
      <c r="P4150" s="17">
        <f>32</f>
        <v/>
      </c>
      <c r="Q4150" s="17">
        <f>J4150+L4150+N4150+O4150-P4150-M4150</f>
        <v/>
      </c>
    </row>
    <row r="4151">
      <c r="A4151" s="16" t="inlineStr">
        <is>
          <t>5.8-5.14</t>
        </is>
      </c>
      <c r="B4151" s="16" t="inlineStr">
        <is>
          <t>PO-128-09692703951993123</t>
        </is>
      </c>
      <c r="C4151" s="16" t="inlineStr">
        <is>
          <t>Shipped</t>
        </is>
      </c>
      <c r="D4151" s="16" t="inlineStr">
        <is>
          <t>128-09692779973753123</t>
        </is>
      </c>
      <c r="E4151" s="16" t="inlineStr">
        <is>
          <t>Shipped</t>
        </is>
      </c>
      <c r="F4151" s="16" t="inlineStr">
        <is>
          <t>LV64W25</t>
        </is>
      </c>
      <c r="G41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51" s="16" t="inlineStr">
        <is>
          <t>Blanco</t>
        </is>
      </c>
      <c r="I4151" s="16" t="n">
        <v>1</v>
      </c>
      <c r="J4151" s="17" t="n">
        <v>119</v>
      </c>
      <c r="K4151" s="17" t="n">
        <v>137.28</v>
      </c>
      <c r="L4151" s="17" t="n">
        <v>25.86</v>
      </c>
      <c r="M4151" s="17" t="n">
        <v>0</v>
      </c>
      <c r="N4151" s="17">
        <f>K4151*0.08+L4151*0.08</f>
        <v/>
      </c>
      <c r="O4151" s="17">
        <f>-(K4151*0.025+L4151*0.025)</f>
        <v/>
      </c>
      <c r="P4151" s="17">
        <f>32</f>
        <v/>
      </c>
      <c r="Q4151" s="17">
        <f>J4151+L4151+N4151+O4151-P4151-M4151</f>
        <v/>
      </c>
    </row>
    <row r="4152">
      <c r="A4152" s="16" t="inlineStr">
        <is>
          <t>5.8-5.14</t>
        </is>
      </c>
      <c r="B4152" s="16" t="inlineStr">
        <is>
          <t>PO-128-10082475589751886</t>
        </is>
      </c>
      <c r="C4152" s="16" t="inlineStr">
        <is>
          <t>Shipped</t>
        </is>
      </c>
      <c r="D4152" s="16" t="inlineStr">
        <is>
          <t>128-10082496561271886</t>
        </is>
      </c>
      <c r="E4152" s="16" t="inlineStr">
        <is>
          <t>Shipped</t>
        </is>
      </c>
      <c r="F4152" s="16" t="inlineStr">
        <is>
          <t>TL2663N18C</t>
        </is>
      </c>
      <c r="G4152" s="16" t="inlineStr">
        <is>
          <t>Linkbits，Soporte de pared fijo para televisores de 26"-63", Ultra-Delgado Compatible con VESA 400x400mm, Capacidad de Peso Fuerte de 25KG, Instalación Fácil Sin Electricidad</t>
        </is>
      </c>
      <c r="H4152" s="16" t="inlineStr">
        <is>
          <t>NEGRO</t>
        </is>
      </c>
      <c r="I4152" s="16" t="n">
        <v>1</v>
      </c>
      <c r="J4152" s="17" t="n">
        <v>55.5</v>
      </c>
      <c r="K4152" s="17" t="n">
        <v>20.51</v>
      </c>
      <c r="L4152" s="17" t="n">
        <v>25.86</v>
      </c>
      <c r="M4152" s="17" t="n">
        <v>0</v>
      </c>
      <c r="N4152" s="17">
        <f>K4152*0.08+L4152*0.08</f>
        <v/>
      </c>
      <c r="O4152" s="17">
        <f>-(K4152*0.025+L4152*0.025)</f>
        <v/>
      </c>
      <c r="P4152" s="17">
        <f>32</f>
        <v/>
      </c>
      <c r="Q4152" s="17">
        <f>J4152+L4152+N4152+O4152-P4152-M4152</f>
        <v/>
      </c>
    </row>
    <row r="4153">
      <c r="A4153" s="16" t="inlineStr">
        <is>
          <t>5.8-5.14</t>
        </is>
      </c>
      <c r="B4153" s="16" t="inlineStr">
        <is>
          <t>PO-128-10008503011191177</t>
        </is>
      </c>
      <c r="C4153" s="16" t="inlineStr">
        <is>
          <t>Shipped</t>
        </is>
      </c>
      <c r="D4153" s="16" t="inlineStr">
        <is>
          <t>128-10008544954231177</t>
        </is>
      </c>
      <c r="E4153" s="16" t="inlineStr">
        <is>
          <t>Shipped</t>
        </is>
      </c>
      <c r="F4153" s="16" t="inlineStr">
        <is>
          <t>LV54W25</t>
        </is>
      </c>
      <c r="G4153" s="16" t="inlineStr">
        <is>
          <t>TIANLAI Lámpara Ventilador E27 2 en 1, Silenciosa, LED Alta Luminosidad 180°, Instalación Rápida, Ahorro Energético para Dormitorio y Interiores Pequeños</t>
        </is>
      </c>
      <c r="H4153" s="16" t="inlineStr">
        <is>
          <t>1 Pieza</t>
        </is>
      </c>
      <c r="I4153" s="16" t="n">
        <v>3</v>
      </c>
      <c r="J4153" s="17" t="n">
        <v>227.4</v>
      </c>
      <c r="K4153" s="17" t="n">
        <v>188.22</v>
      </c>
      <c r="L4153" s="17" t="n">
        <v>0</v>
      </c>
      <c r="M4153" s="17" t="n">
        <v>0</v>
      </c>
      <c r="N4153" s="17">
        <f>K4153*0.08+L4153*0.08</f>
        <v/>
      </c>
      <c r="O4153" s="17">
        <f>-(K4153*0.025+L4153*0.025)</f>
        <v/>
      </c>
      <c r="P4153" s="17">
        <f>32</f>
        <v/>
      </c>
      <c r="Q4153" s="17">
        <f>J4153+L4153+N4153+O4153-P4153-M4153</f>
        <v/>
      </c>
    </row>
    <row r="4154">
      <c r="A4154" s="16" t="inlineStr">
        <is>
          <t>5.8-5.14</t>
        </is>
      </c>
      <c r="B4154" s="16" t="inlineStr">
        <is>
          <t>PO-128-09625995809913457</t>
        </is>
      </c>
      <c r="C4154" s="16" t="inlineStr">
        <is>
          <t>Shipped</t>
        </is>
      </c>
      <c r="D4154" s="16" t="inlineStr">
        <is>
          <t>128-09625974838393457</t>
        </is>
      </c>
      <c r="E4154" s="16" t="inlineStr">
        <is>
          <t>Shipped</t>
        </is>
      </c>
      <c r="F4154" s="16" t="inlineStr">
        <is>
          <t>LV64W25</t>
        </is>
      </c>
      <c r="G415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54" s="16" t="inlineStr">
        <is>
          <t>Blanco</t>
        </is>
      </c>
      <c r="I4154" s="16" t="n">
        <v>1</v>
      </c>
      <c r="J4154" s="17" t="n">
        <v>119</v>
      </c>
      <c r="K4154" s="17" t="n">
        <v>137.28</v>
      </c>
      <c r="L4154" s="17" t="n">
        <v>25.86</v>
      </c>
      <c r="M4154" s="17" t="n">
        <v>0</v>
      </c>
      <c r="N4154" s="17">
        <f>K4154*0.08+L4154*0.08</f>
        <v/>
      </c>
      <c r="O4154" s="17">
        <f>-(K4154*0.025+L4154*0.025)</f>
        <v/>
      </c>
      <c r="P4154" s="17">
        <f>32</f>
        <v/>
      </c>
      <c r="Q4154" s="17">
        <f>J4154+L4154+N4154+O4154-P4154-M4154</f>
        <v/>
      </c>
    </row>
    <row r="4155">
      <c r="A4155" s="16" t="inlineStr">
        <is>
          <t>5.8-5.14</t>
        </is>
      </c>
      <c r="B4155" s="16" t="inlineStr">
        <is>
          <t>PO-128-10132026130551657</t>
        </is>
      </c>
      <c r="C4155" s="16" t="inlineStr">
        <is>
          <t>Shipped</t>
        </is>
      </c>
      <c r="D4155" s="16" t="inlineStr">
        <is>
          <t>128-10132078559351657</t>
        </is>
      </c>
      <c r="E4155" s="16" t="inlineStr">
        <is>
          <t>Shipped</t>
        </is>
      </c>
      <c r="F4155" s="16" t="inlineStr">
        <is>
          <t>LV64W25</t>
        </is>
      </c>
      <c r="G415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55" s="16" t="inlineStr">
        <is>
          <t>Blanco</t>
        </is>
      </c>
      <c r="I4155" s="16" t="n">
        <v>1</v>
      </c>
      <c r="J4155" s="17" t="n">
        <v>119</v>
      </c>
      <c r="K4155" s="17" t="n">
        <v>137.28</v>
      </c>
      <c r="L4155" s="17" t="n">
        <v>25.86</v>
      </c>
      <c r="M4155" s="17" t="n">
        <v>0</v>
      </c>
      <c r="N4155" s="17">
        <f>K4155*0.08+L4155*0.08</f>
        <v/>
      </c>
      <c r="O4155" s="17">
        <f>-(K4155*0.025+L4155*0.025)</f>
        <v/>
      </c>
      <c r="P4155" s="17">
        <f>32</f>
        <v/>
      </c>
      <c r="Q4155" s="17">
        <f>J4155+L4155+N4155+O4155-P4155-M4155</f>
        <v/>
      </c>
    </row>
    <row r="4156">
      <c r="A4156" s="16" t="inlineStr">
        <is>
          <t>5.8-5.14</t>
        </is>
      </c>
      <c r="B4156" s="16" t="inlineStr">
        <is>
          <t>PO-128-10111390794871778</t>
        </is>
      </c>
      <c r="C4156" s="16" t="inlineStr">
        <is>
          <t>Shipped</t>
        </is>
      </c>
      <c r="D4156" s="16" t="inlineStr">
        <is>
          <t>128-10111359337591778</t>
        </is>
      </c>
      <c r="E4156" s="16" t="inlineStr">
        <is>
          <t>Shipped</t>
        </is>
      </c>
      <c r="F4156" s="16" t="inlineStr">
        <is>
          <t>KTS-2031</t>
        </is>
      </c>
      <c r="G4156" s="16" t="inlineStr">
        <is>
          <t>Bocina inalámbrica de 3 pulgadas con linterna multifuncional y panel solar integrado.Altavoz Portátil con Linterna LED 4 Modos, Radio FM, Bluetooth, Carga Solar, Ideal para Apagones, Emergencias, Campo y Exteriores</t>
        </is>
      </c>
      <c r="H4156" s="16" t="inlineStr">
        <is>
          <t>NEGRO</t>
        </is>
      </c>
      <c r="I4156" s="16" t="n">
        <v>3</v>
      </c>
      <c r="J4156" s="17" t="n">
        <v>234</v>
      </c>
      <c r="K4156" s="17" t="n">
        <v>222.41</v>
      </c>
      <c r="L4156" s="17" t="n">
        <v>0</v>
      </c>
      <c r="M4156" s="17" t="n">
        <v>0</v>
      </c>
      <c r="N4156" s="17">
        <f>K4156*0.08+L4156*0.08</f>
        <v/>
      </c>
      <c r="O4156" s="17">
        <f>-(K4156*0.025+L4156*0.025)</f>
        <v/>
      </c>
      <c r="P4156" s="17">
        <f>32</f>
        <v/>
      </c>
      <c r="Q4156" s="17">
        <f>J4156+L4156+N4156+O4156-P4156-M4156</f>
        <v/>
      </c>
    </row>
    <row r="4157">
      <c r="A4157" s="16" t="inlineStr">
        <is>
          <t>5.8-5.14</t>
        </is>
      </c>
      <c r="B4157" s="16" t="inlineStr">
        <is>
          <t>PO-128-10171884842870331</t>
        </is>
      </c>
      <c r="C4157" s="16" t="inlineStr">
        <is>
          <t>Shipped</t>
        </is>
      </c>
      <c r="D4157" s="16" t="inlineStr">
        <is>
          <t>128-10171989700470331</t>
        </is>
      </c>
      <c r="E4157" s="16" t="inlineStr">
        <is>
          <t>Shipped</t>
        </is>
      </c>
      <c r="F4157" s="16" t="inlineStr">
        <is>
          <t>LV64W25</t>
        </is>
      </c>
      <c r="G41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57" s="16" t="inlineStr">
        <is>
          <t>Blanco</t>
        </is>
      </c>
      <c r="I4157" s="16" t="n">
        <v>1</v>
      </c>
      <c r="J4157" s="17" t="n">
        <v>119</v>
      </c>
      <c r="K4157" s="17" t="n">
        <v>0</v>
      </c>
      <c r="L4157" s="17" t="n">
        <v>0</v>
      </c>
      <c r="M4157" s="17" t="n">
        <v>0</v>
      </c>
      <c r="N4157" s="17">
        <f>K4157*0.08+L4157*0.08</f>
        <v/>
      </c>
      <c r="O4157" s="17">
        <f>-(K4157*0.025+L4157*0.025)</f>
        <v/>
      </c>
      <c r="P4157" s="17">
        <f>32</f>
        <v/>
      </c>
      <c r="Q4157" s="17">
        <f>J4157+L4157+N4157+O4157-P4157-M4157</f>
        <v/>
      </c>
    </row>
    <row r="4158">
      <c r="A4158" s="16" t="inlineStr">
        <is>
          <t>5.8-5.14</t>
        </is>
      </c>
      <c r="B4158" s="16" t="inlineStr">
        <is>
          <t>PO-128-09843529475192222</t>
        </is>
      </c>
      <c r="C4158" s="16" t="inlineStr">
        <is>
          <t>Shipped</t>
        </is>
      </c>
      <c r="D4158" s="16" t="inlineStr">
        <is>
          <t>128-09843569452152222</t>
        </is>
      </c>
      <c r="E4158" s="16" t="inlineStr">
        <is>
          <t>Shipped</t>
        </is>
      </c>
      <c r="F4158" s="16" t="inlineStr">
        <is>
          <t>KTS-2031</t>
        </is>
      </c>
      <c r="G4158" s="16" t="inlineStr">
        <is>
          <t>Bocina inalámbrica de 3 pulgadas con linterna multifuncional y panel solar integrado.Altavoz Portátil con Linterna LED 4 Modos, Radio FM, Bluetooth, Carga Solar, Ideal para Apagones, Emergencias, Campo y Exteriores</t>
        </is>
      </c>
      <c r="H4158" s="16" t="inlineStr">
        <is>
          <t>NEGRO</t>
        </is>
      </c>
      <c r="I4158" s="16" t="n">
        <v>1</v>
      </c>
      <c r="J4158" s="17" t="n">
        <v>78</v>
      </c>
      <c r="K4158" s="17" t="n">
        <v>76.31</v>
      </c>
      <c r="L4158" s="17" t="n">
        <v>25.86</v>
      </c>
      <c r="M4158" s="17" t="n">
        <v>0</v>
      </c>
      <c r="N4158" s="17">
        <f>K4158*0.08+L4158*0.08</f>
        <v/>
      </c>
      <c r="O4158" s="17">
        <f>-(K4158*0.025+L4158*0.025)</f>
        <v/>
      </c>
      <c r="P4158" s="17">
        <f>32</f>
        <v/>
      </c>
      <c r="Q4158" s="17">
        <f>J4158+L4158+N4158+O4158-P4158-M4158</f>
        <v/>
      </c>
    </row>
    <row r="4159">
      <c r="A4159" s="16" t="inlineStr">
        <is>
          <t>5.8-5.14</t>
        </is>
      </c>
      <c r="B4159" s="16" t="inlineStr">
        <is>
          <t>PO-128-09722847890554094</t>
        </is>
      </c>
      <c r="C4159" s="16" t="inlineStr">
        <is>
          <t>Shipped</t>
        </is>
      </c>
      <c r="D4159" s="16" t="inlineStr">
        <is>
          <t>128-09722784975994094</t>
        </is>
      </c>
      <c r="E4159" s="16" t="inlineStr">
        <is>
          <t>Shipped</t>
        </is>
      </c>
      <c r="F4159" s="16" t="inlineStr">
        <is>
          <t>TL1455N20B</t>
        </is>
      </c>
      <c r="G4159" s="16" t="inlineStr">
        <is>
          <t>LINK BITS Soporte para TV 14 A 55 Pulgadas, Base para TV Pantalla Articulado Inclinable y Giratorio, MAX VESA 400×400 mm, Soporta hasta 18kg, adaptarse a la mayoría de los televisores de 14 Pulgadas/20 Pulgadas/32 Pulgadas/42 Pulgadas/55 pulgadas</t>
        </is>
      </c>
      <c r="H4159" s="16" t="inlineStr">
        <is>
          <t>TL1455N20B</t>
        </is>
      </c>
      <c r="I4159" s="16" t="n">
        <v>1</v>
      </c>
      <c r="J4159" s="17" t="n">
        <v>69</v>
      </c>
      <c r="K4159" s="17" t="n">
        <v>81.39</v>
      </c>
      <c r="L4159" s="17" t="n">
        <v>25.86</v>
      </c>
      <c r="M4159" s="17" t="n">
        <v>0</v>
      </c>
      <c r="N4159" s="17">
        <f>K4159*0.08+L4159*0.08</f>
        <v/>
      </c>
      <c r="O4159" s="17">
        <f>-(K4159*0.025+L4159*0.025)</f>
        <v/>
      </c>
      <c r="P4159" s="17">
        <f>32</f>
        <v/>
      </c>
      <c r="Q4159" s="17">
        <f>J4159+L4159+N4159+O4159-P4159-M4159</f>
        <v/>
      </c>
    </row>
    <row r="4160">
      <c r="A4160" s="16" t="inlineStr">
        <is>
          <t>5.8-5.14</t>
        </is>
      </c>
      <c r="B4160" s="16" t="inlineStr">
        <is>
          <t>PO-128-10151758308470451</t>
        </is>
      </c>
      <c r="C4160" s="16" t="inlineStr">
        <is>
          <t>Shipped</t>
        </is>
      </c>
      <c r="D4160" s="16" t="inlineStr">
        <is>
          <t>128-10151863166070451</t>
        </is>
      </c>
      <c r="E4160" s="16" t="inlineStr">
        <is>
          <t>Shipped</t>
        </is>
      </c>
      <c r="F4160" s="16" t="inlineStr">
        <is>
          <t>KTS-2031</t>
        </is>
      </c>
      <c r="G4160" s="16" t="inlineStr">
        <is>
          <t>Bocina inalámbrica de 3 pulgadas con linterna multifuncional y panel solar integrado.Altavoz Portátil con Linterna LED 4 Modos, Radio FM, Bluetooth, Carga Solar, Ideal para Apagones, Emergencias, Campo y Exteriores</t>
        </is>
      </c>
      <c r="H4160" s="16" t="inlineStr">
        <is>
          <t>NEGRO</t>
        </is>
      </c>
      <c r="I4160" s="16" t="n">
        <v>1</v>
      </c>
      <c r="J4160" s="17" t="n">
        <v>78</v>
      </c>
      <c r="K4160" s="17" t="n">
        <v>87.22</v>
      </c>
      <c r="L4160" s="17" t="n">
        <v>25.86</v>
      </c>
      <c r="M4160" s="17" t="n">
        <v>0</v>
      </c>
      <c r="N4160" s="17">
        <f>K4160*0.08+L4160*0.08</f>
        <v/>
      </c>
      <c r="O4160" s="17">
        <f>-(K4160*0.025+L4160*0.025)</f>
        <v/>
      </c>
      <c r="P4160" s="17">
        <f>32</f>
        <v/>
      </c>
      <c r="Q4160" s="17">
        <f>J4160+L4160+N4160+O4160-P4160-M4160</f>
        <v/>
      </c>
    </row>
    <row r="4161">
      <c r="A4161" s="16" t="inlineStr">
        <is>
          <t>5.8-5.14</t>
        </is>
      </c>
      <c r="B4161" s="16" t="inlineStr">
        <is>
          <t>PO-128-10224820042870910</t>
        </is>
      </c>
      <c r="C4161" s="16" t="inlineStr">
        <is>
          <t>Shipped</t>
        </is>
      </c>
      <c r="D4161" s="16" t="inlineStr">
        <is>
          <t>128-10224744021110910</t>
        </is>
      </c>
      <c r="E4161" s="16" t="inlineStr">
        <is>
          <t>Shipped</t>
        </is>
      </c>
      <c r="F4161" s="16" t="inlineStr">
        <is>
          <t>B03W10-10PZS</t>
        </is>
      </c>
      <c r="G416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61" s="16" t="inlineStr">
        <is>
          <t>B03W10</t>
        </is>
      </c>
      <c r="I4161" s="16" t="n">
        <v>3</v>
      </c>
      <c r="J4161" s="17" t="n">
        <v>210</v>
      </c>
      <c r="K4161" s="17" t="n">
        <v>222.62</v>
      </c>
      <c r="L4161" s="17" t="n">
        <v>0</v>
      </c>
      <c r="M4161" s="17" t="n">
        <v>0</v>
      </c>
      <c r="N4161" s="17">
        <f>K4161*0.08+L4161*0.08</f>
        <v/>
      </c>
      <c r="O4161" s="17">
        <f>-(K4161*0.025+L4161*0.025)</f>
        <v/>
      </c>
      <c r="P4161" s="17">
        <f>32</f>
        <v/>
      </c>
      <c r="Q4161" s="17">
        <f>J4161+L4161+N4161+O4161-P4161-M4161</f>
        <v/>
      </c>
    </row>
    <row r="4162">
      <c r="A4162" s="16" t="inlineStr">
        <is>
          <t>5.8-5.14</t>
        </is>
      </c>
      <c r="B4162" s="16" t="inlineStr">
        <is>
          <t>PO-128-09978994624631481</t>
        </is>
      </c>
      <c r="C4162" s="16" t="inlineStr">
        <is>
          <t>Shipped</t>
        </is>
      </c>
      <c r="D4162" s="16" t="inlineStr">
        <is>
          <t>128-09979036567671481</t>
        </is>
      </c>
      <c r="E4162" s="16" t="inlineStr">
        <is>
          <t>Shipped</t>
        </is>
      </c>
      <c r="F4162" s="16" t="inlineStr">
        <is>
          <t>LV54W25</t>
        </is>
      </c>
      <c r="G4162" s="16" t="inlineStr">
        <is>
          <t>TIANLAI Lámpara Ventilador E27 2 en 1, Silenciosa, LED Alta Luminosidad 180°, Instalación Rápida, Ahorro Energético para Dormitorio y Interiores Pequeños</t>
        </is>
      </c>
      <c r="H4162" s="16" t="inlineStr">
        <is>
          <t>1 Pieza</t>
        </is>
      </c>
      <c r="I4162" s="16" t="n">
        <v>1</v>
      </c>
      <c r="J4162" s="17" t="n">
        <v>75.8</v>
      </c>
      <c r="K4162" s="17" t="n">
        <v>79.05</v>
      </c>
      <c r="L4162" s="17" t="n">
        <v>25.86</v>
      </c>
      <c r="M4162" s="17" t="n">
        <v>0</v>
      </c>
      <c r="N4162" s="17">
        <f>K4162*0.08+L4162*0.08</f>
        <v/>
      </c>
      <c r="O4162" s="17">
        <f>-(K4162*0.025+L4162*0.025)</f>
        <v/>
      </c>
      <c r="P4162" s="17">
        <f>32</f>
        <v/>
      </c>
      <c r="Q4162" s="17">
        <f>J4162+L4162+N4162+O4162-P4162-M4162</f>
        <v/>
      </c>
    </row>
    <row r="4163">
      <c r="A4163" s="16" t="inlineStr">
        <is>
          <t>5.8-5.14</t>
        </is>
      </c>
      <c r="B4163" s="16" t="inlineStr">
        <is>
          <t>PO-128-09976539374711494</t>
        </is>
      </c>
      <c r="C4163" s="16" t="inlineStr">
        <is>
          <t>Shipped</t>
        </is>
      </c>
      <c r="D4163" s="16" t="inlineStr">
        <is>
          <t>128-09976565589111494</t>
        </is>
      </c>
      <c r="E4163" s="16" t="inlineStr">
        <is>
          <t>Shipped</t>
        </is>
      </c>
      <c r="F4163" s="16" t="inlineStr">
        <is>
          <t>KTS-2031</t>
        </is>
      </c>
      <c r="G4163" s="16" t="inlineStr">
        <is>
          <t>Bocina inalámbrica de 3 pulgadas con linterna multifuncional y panel solar integrado.Altavoz Portátil con Linterna LED 4 Modos, Radio FM, Bluetooth, Carga Solar, Ideal para Apagones, Emergencias, Campo y Exteriores</t>
        </is>
      </c>
      <c r="H4163" s="16" t="inlineStr">
        <is>
          <t>NEGRO</t>
        </is>
      </c>
      <c r="I4163" s="16" t="n">
        <v>1</v>
      </c>
      <c r="J4163" s="17" t="n">
        <v>78</v>
      </c>
      <c r="K4163" s="17" t="n">
        <v>87.22</v>
      </c>
      <c r="L4163" s="17" t="n">
        <v>25.86</v>
      </c>
      <c r="M4163" s="17" t="n">
        <v>0</v>
      </c>
      <c r="N4163" s="17">
        <f>K4163*0.08+L4163*0.08</f>
        <v/>
      </c>
      <c r="O4163" s="17">
        <f>-(K4163*0.025+L4163*0.025)</f>
        <v/>
      </c>
      <c r="P4163" s="17">
        <f>32</f>
        <v/>
      </c>
      <c r="Q4163" s="17">
        <f>J4163+L4163+N4163+O4163-P4163-M4163</f>
        <v/>
      </c>
    </row>
    <row r="4164">
      <c r="A4164" s="16" t="inlineStr">
        <is>
          <t>5.8-5.14</t>
        </is>
      </c>
      <c r="B4164" s="16" t="inlineStr">
        <is>
          <t>PO-128-09688925038713080</t>
        </is>
      </c>
      <c r="C4164" s="16" t="inlineStr">
        <is>
          <t>Shipped</t>
        </is>
      </c>
      <c r="D4164" s="16" t="inlineStr">
        <is>
          <t>128-09688872609913080</t>
        </is>
      </c>
      <c r="E4164" s="16" t="inlineStr">
        <is>
          <t>Shipped</t>
        </is>
      </c>
      <c r="F4164" s="16" t="inlineStr">
        <is>
          <t>LV64W25</t>
        </is>
      </c>
      <c r="G416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64" s="16" t="inlineStr">
        <is>
          <t>Blanco</t>
        </is>
      </c>
      <c r="I4164" s="16" t="n">
        <v>1</v>
      </c>
      <c r="J4164" s="17" t="n">
        <v>119</v>
      </c>
      <c r="K4164" s="17" t="n">
        <v>116.69</v>
      </c>
      <c r="L4164" s="17" t="n">
        <v>25.86</v>
      </c>
      <c r="M4164" s="17" t="n">
        <v>0</v>
      </c>
      <c r="N4164" s="17">
        <f>K4164*0.08+L4164*0.08</f>
        <v/>
      </c>
      <c r="O4164" s="17">
        <f>-(K4164*0.025+L4164*0.025)</f>
        <v/>
      </c>
      <c r="P4164" s="17">
        <f>32</f>
        <v/>
      </c>
      <c r="Q4164" s="17">
        <f>J4164+L4164+N4164+O4164-P4164-M4164</f>
        <v/>
      </c>
    </row>
    <row r="4165">
      <c r="A4165" s="16" t="inlineStr">
        <is>
          <t>5.8-5.14</t>
        </is>
      </c>
      <c r="B4165" s="16" t="inlineStr">
        <is>
          <t>PO-128-09851199726712243</t>
        </is>
      </c>
      <c r="C4165" s="16" t="inlineStr">
        <is>
          <t>Shipped</t>
        </is>
      </c>
      <c r="D4165" s="16" t="inlineStr">
        <is>
          <t>128-09851220698232243</t>
        </is>
      </c>
      <c r="E4165" s="16" t="inlineStr">
        <is>
          <t>Shipped</t>
        </is>
      </c>
      <c r="F4165" s="16" t="inlineStr">
        <is>
          <t>KTS-2031</t>
        </is>
      </c>
      <c r="G4165" s="16" t="inlineStr">
        <is>
          <t>Bocina inalámbrica de 3 pulgadas con linterna multifuncional y panel solar integrado.Altavoz Portátil con Linterna LED 4 Modos, Radio FM, Bluetooth, Carga Solar, Ideal para Apagones, Emergencias, Campo y Exteriores</t>
        </is>
      </c>
      <c r="H4165" s="16" t="inlineStr">
        <is>
          <t>NEGRO</t>
        </is>
      </c>
      <c r="I4165" s="16" t="n">
        <v>1</v>
      </c>
      <c r="J4165" s="17" t="n">
        <v>78</v>
      </c>
      <c r="K4165" s="17" t="n">
        <v>39.81</v>
      </c>
      <c r="L4165" s="17" t="n">
        <v>25.86</v>
      </c>
      <c r="M4165" s="17" t="n">
        <v>0</v>
      </c>
      <c r="N4165" s="17">
        <f>K4165*0.08+L4165*0.08</f>
        <v/>
      </c>
      <c r="O4165" s="17">
        <f>-(K4165*0.025+L4165*0.025)</f>
        <v/>
      </c>
      <c r="P4165" s="17">
        <f>32</f>
        <v/>
      </c>
      <c r="Q4165" s="17">
        <f>J4165+L4165+N4165+O4165-P4165-M4165</f>
        <v/>
      </c>
    </row>
    <row r="4166">
      <c r="A4166" s="16" t="inlineStr">
        <is>
          <t>5.8-5.14</t>
        </is>
      </c>
      <c r="B4166" s="16" t="inlineStr">
        <is>
          <t>PO-128-10147535404150474</t>
        </is>
      </c>
      <c r="C4166" s="16" t="inlineStr">
        <is>
          <t>Shipped</t>
        </is>
      </c>
      <c r="D4166" s="16" t="inlineStr">
        <is>
          <t>128-10147569482870474</t>
        </is>
      </c>
      <c r="E4166" s="16" t="inlineStr">
        <is>
          <t>Shipped</t>
        </is>
      </c>
      <c r="F4166" s="16" t="inlineStr">
        <is>
          <t>LV64W25</t>
        </is>
      </c>
      <c r="G41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66" s="16" t="inlineStr">
        <is>
          <t>Blanco</t>
        </is>
      </c>
      <c r="I4166" s="16" t="n">
        <v>1</v>
      </c>
      <c r="J4166" s="17" t="n">
        <v>119</v>
      </c>
      <c r="K4166" s="17" t="n">
        <v>126.05</v>
      </c>
      <c r="L4166" s="17" t="n">
        <v>25.86</v>
      </c>
      <c r="M4166" s="17" t="n">
        <v>0</v>
      </c>
      <c r="N4166" s="17">
        <f>K4166*0.08+L4166*0.08</f>
        <v/>
      </c>
      <c r="O4166" s="17">
        <f>-(K4166*0.025+L4166*0.025)</f>
        <v/>
      </c>
      <c r="P4166" s="17">
        <f>32</f>
        <v/>
      </c>
      <c r="Q4166" s="17">
        <f>J4166+L4166+N4166+O4166-P4166-M4166</f>
        <v/>
      </c>
    </row>
    <row r="4167">
      <c r="A4167" s="16" t="inlineStr">
        <is>
          <t>5.8-5.14</t>
        </is>
      </c>
      <c r="B4167" s="16" t="inlineStr">
        <is>
          <t>PO-128-09992170678391339</t>
        </is>
      </c>
      <c r="C4167" s="16" t="inlineStr">
        <is>
          <t>Shipped</t>
        </is>
      </c>
      <c r="D4167" s="16" t="inlineStr">
        <is>
          <t>128-09992128735351339</t>
        </is>
      </c>
      <c r="E4167" s="16" t="inlineStr">
        <is>
          <t>Shipped</t>
        </is>
      </c>
      <c r="F4167" s="16" t="inlineStr">
        <is>
          <t>LV64W25</t>
        </is>
      </c>
      <c r="G41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67" s="16" t="inlineStr">
        <is>
          <t>Blanco</t>
        </is>
      </c>
      <c r="I4167" s="16" t="n">
        <v>1</v>
      </c>
      <c r="J4167" s="17" t="n">
        <v>119</v>
      </c>
      <c r="K4167" s="17" t="n">
        <v>54.52</v>
      </c>
      <c r="L4167" s="17" t="n">
        <v>25.86</v>
      </c>
      <c r="M4167" s="17" t="n">
        <v>0</v>
      </c>
      <c r="N4167" s="17">
        <f>K4167*0.08+L4167*0.08</f>
        <v/>
      </c>
      <c r="O4167" s="17">
        <f>-(K4167*0.025+L4167*0.025)</f>
        <v/>
      </c>
      <c r="P4167" s="17">
        <f>32</f>
        <v/>
      </c>
      <c r="Q4167" s="17">
        <f>J4167+L4167+N4167+O4167-P4167-M4167</f>
        <v/>
      </c>
    </row>
    <row r="4168">
      <c r="A4168" s="16" t="inlineStr">
        <is>
          <t>5.8-5.14</t>
        </is>
      </c>
      <c r="B4168" s="16" t="inlineStr">
        <is>
          <t>PO-128-10261166963830887</t>
        </is>
      </c>
      <c r="C4168" s="16" t="inlineStr">
        <is>
          <t>Shipped</t>
        </is>
      </c>
      <c r="D4168" s="16" t="inlineStr">
        <is>
          <t>128-10261208906870887</t>
        </is>
      </c>
      <c r="E4168" s="16" t="inlineStr">
        <is>
          <t>Shipped</t>
        </is>
      </c>
      <c r="F4168" s="16" t="inlineStr">
        <is>
          <t>LV64W25</t>
        </is>
      </c>
      <c r="G416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68" s="16" t="inlineStr">
        <is>
          <t>Blanco</t>
        </is>
      </c>
      <c r="I4168" s="16" t="n">
        <v>1</v>
      </c>
      <c r="J4168" s="17" t="n">
        <v>119</v>
      </c>
      <c r="K4168" s="17" t="n">
        <v>94.18000000000001</v>
      </c>
      <c r="L4168" s="17" t="n">
        <v>25.86</v>
      </c>
      <c r="M4168" s="17" t="n">
        <v>0</v>
      </c>
      <c r="N4168" s="17">
        <f>K4168*0.08+L4168*0.08</f>
        <v/>
      </c>
      <c r="O4168" s="17">
        <f>-(K4168*0.025+L4168*0.025)</f>
        <v/>
      </c>
      <c r="P4168" s="17">
        <f>32</f>
        <v/>
      </c>
      <c r="Q4168" s="17">
        <f>J4168+L4168+N4168+O4168-P4168-M4168</f>
        <v/>
      </c>
    </row>
    <row r="4169">
      <c r="A4169" s="16" t="inlineStr">
        <is>
          <t>5.8-5.14</t>
        </is>
      </c>
      <c r="B4169" s="16" t="inlineStr">
        <is>
          <t>PO-128-10266518377590663</t>
        </is>
      </c>
      <c r="C4169" s="16" t="inlineStr">
        <is>
          <t>Shipped</t>
        </is>
      </c>
      <c r="D4169" s="16" t="inlineStr">
        <is>
          <t>128-10266623235190663</t>
        </is>
      </c>
      <c r="E4169" s="16" t="inlineStr">
        <is>
          <t>Shipped</t>
        </is>
      </c>
      <c r="F4169" s="16" t="inlineStr">
        <is>
          <t>LV64W25</t>
        </is>
      </c>
      <c r="G416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69" s="16" t="inlineStr">
        <is>
          <t>Blanco</t>
        </is>
      </c>
      <c r="I4169" s="16" t="n">
        <v>2</v>
      </c>
      <c r="J4169" s="17" t="n">
        <v>238</v>
      </c>
      <c r="K4169" s="17" t="n">
        <v>274.56</v>
      </c>
      <c r="L4169" s="17" t="n">
        <v>0</v>
      </c>
      <c r="M4169" s="17" t="n">
        <v>0</v>
      </c>
      <c r="N4169" s="17">
        <f>K4169*0.08+L4169*0.08</f>
        <v/>
      </c>
      <c r="O4169" s="17">
        <f>-(K4169*0.025+L4169*0.025)</f>
        <v/>
      </c>
      <c r="P4169" s="17">
        <f>32</f>
        <v/>
      </c>
      <c r="Q4169" s="17">
        <f>J4169+L4169+N4169+O4169-P4169-M4169</f>
        <v/>
      </c>
    </row>
    <row r="4170">
      <c r="A4170" s="16" t="inlineStr">
        <is>
          <t>5.8-5.14</t>
        </is>
      </c>
      <c r="B4170" s="16" t="inlineStr">
        <is>
          <t>PO-128-09621977183353481</t>
        </is>
      </c>
      <c r="C4170" s="16" t="inlineStr">
        <is>
          <t>Shipped</t>
        </is>
      </c>
      <c r="D4170" s="16" t="inlineStr">
        <is>
          <t>128-09622019126393481</t>
        </is>
      </c>
      <c r="E4170" s="16" t="inlineStr">
        <is>
          <t>Shipped</t>
        </is>
      </c>
      <c r="F4170" s="16" t="inlineStr">
        <is>
          <t>VB349T</t>
        </is>
      </c>
      <c r="G4170" s="16" t="inlineStr">
        <is>
          <t>LINKBITS Altavoz Portátil de Doble Altavoz - 3 Pulgadas, Sonido HD, Emparejamiento Rápido de Bluetooth, Conectividad TWS, Reproducción Multimodo (Micro SD/USB/Radio FM) - Perfecto para Oficina, Viajes y Espacios Pequeños</t>
        </is>
      </c>
      <c r="H4170" s="16" t="inlineStr">
        <is>
          <t>NEGRO</t>
        </is>
      </c>
      <c r="I4170" s="16" t="n">
        <v>3</v>
      </c>
      <c r="J4170" s="17" t="n">
        <v>243</v>
      </c>
      <c r="K4170" s="17" t="n">
        <v>282.75</v>
      </c>
      <c r="L4170" s="17" t="n">
        <v>0</v>
      </c>
      <c r="M4170" s="17" t="n">
        <v>0</v>
      </c>
      <c r="N4170" s="17">
        <f>K4170*0.08+L4170*0.08</f>
        <v/>
      </c>
      <c r="O4170" s="17">
        <f>-(K4170*0.025+L4170*0.025)</f>
        <v/>
      </c>
      <c r="P4170" s="17">
        <f>32</f>
        <v/>
      </c>
      <c r="Q4170" s="17">
        <f>J4170+L4170+N4170+O4170-P4170-M4170</f>
        <v/>
      </c>
    </row>
    <row r="4171">
      <c r="A4171" s="16" t="inlineStr">
        <is>
          <t>5.8-5.14</t>
        </is>
      </c>
      <c r="B4171" s="16" t="inlineStr">
        <is>
          <t>PO-128-10072130076791820</t>
        </is>
      </c>
      <c r="C4171" s="16" t="inlineStr">
        <is>
          <t>Shipped</t>
        </is>
      </c>
      <c r="D4171" s="16" t="inlineStr">
        <is>
          <t>128-10072119591031820</t>
        </is>
      </c>
      <c r="E4171" s="16" t="inlineStr">
        <is>
          <t>Shipped</t>
        </is>
      </c>
      <c r="F4171" s="16" t="inlineStr">
        <is>
          <t>LV54W25</t>
        </is>
      </c>
      <c r="G4171" s="16" t="inlineStr">
        <is>
          <t>TIANLAI Lámpara Ventilador E27 2 en 1, Silenciosa, LED Alta Luminosidad 180°, Instalación Rápida, Ahorro Energético para Dormitorio y Interiores Pequeños</t>
        </is>
      </c>
      <c r="H4171" s="16" t="inlineStr">
        <is>
          <t>1 Pieza</t>
        </is>
      </c>
      <c r="I4171" s="16" t="n">
        <v>1</v>
      </c>
      <c r="J4171" s="17" t="n">
        <v>75.8</v>
      </c>
      <c r="K4171" s="17" t="n">
        <v>79.05</v>
      </c>
      <c r="L4171" s="17" t="n">
        <v>25.86</v>
      </c>
      <c r="M4171" s="17" t="n">
        <v>0</v>
      </c>
      <c r="N4171" s="17">
        <f>K4171*0.08+L4171*0.08</f>
        <v/>
      </c>
      <c r="O4171" s="17">
        <f>-(K4171*0.025+L4171*0.025)</f>
        <v/>
      </c>
      <c r="P4171" s="17">
        <f>32</f>
        <v/>
      </c>
      <c r="Q4171" s="17">
        <f>J4171+L4171+N4171+O4171-P4171-M4171</f>
        <v/>
      </c>
    </row>
    <row r="4172">
      <c r="A4172" s="16" t="inlineStr">
        <is>
          <t>5.8-5.14</t>
        </is>
      </c>
      <c r="B4172" s="16" t="inlineStr">
        <is>
          <t>PO-128-09670847470713252</t>
        </is>
      </c>
      <c r="C4172" s="16" t="inlineStr">
        <is>
          <t>Shipped</t>
        </is>
      </c>
      <c r="D4172" s="16" t="inlineStr">
        <is>
          <t>128-09670868442233252</t>
        </is>
      </c>
      <c r="E4172" s="16" t="inlineStr">
        <is>
          <t>Shipped</t>
        </is>
      </c>
      <c r="F4172" s="16" t="inlineStr">
        <is>
          <t>LV54W25</t>
        </is>
      </c>
      <c r="G4172" s="16" t="inlineStr">
        <is>
          <t>TIANLAI Lámpara Ventilador E27 2 en 1, Silenciosa, LED Alta Luminosidad 180°, Instalación Rápida, Ahorro Energético para Dormitorio y Interiores Pequeños</t>
        </is>
      </c>
      <c r="H4172" s="16" t="inlineStr">
        <is>
          <t>1 Pieza</t>
        </is>
      </c>
      <c r="I4172" s="16" t="n">
        <v>3</v>
      </c>
      <c r="J4172" s="17" t="n">
        <v>227.4</v>
      </c>
      <c r="K4172" s="17" t="n">
        <v>191.96</v>
      </c>
      <c r="L4172" s="17" t="n">
        <v>0</v>
      </c>
      <c r="M4172" s="17" t="n">
        <v>0</v>
      </c>
      <c r="N4172" s="17">
        <f>K4172*0.08+L4172*0.08</f>
        <v/>
      </c>
      <c r="O4172" s="17">
        <f>-(K4172*0.025+L4172*0.025)</f>
        <v/>
      </c>
      <c r="P4172" s="17">
        <f>32</f>
        <v/>
      </c>
      <c r="Q4172" s="17">
        <f>J4172+L4172+N4172+O4172-P4172-M4172</f>
        <v/>
      </c>
    </row>
    <row r="4173">
      <c r="A4173" s="16" t="inlineStr">
        <is>
          <t>5.8-5.14</t>
        </is>
      </c>
      <c r="B4173" s="16" t="inlineStr">
        <is>
          <t>PO-128-10211006764150032</t>
        </is>
      </c>
      <c r="C4173" s="16" t="inlineStr">
        <is>
          <t>Shipped</t>
        </is>
      </c>
      <c r="D4173" s="16" t="inlineStr">
        <is>
          <t>128-10211048707190032</t>
        </is>
      </c>
      <c r="E4173" s="16" t="inlineStr">
        <is>
          <t>Shipped</t>
        </is>
      </c>
      <c r="F4173" s="16" t="inlineStr">
        <is>
          <t>VB349T</t>
        </is>
      </c>
      <c r="G4173" s="16" t="inlineStr">
        <is>
          <t>LINKBITS Altavoz Portátil de Doble Altavoz - 3 Pulgadas, Sonido HD, Emparejamiento Rápido de Bluetooth, Conectividad TWS, Reproducción Multimodo (Micro SD/USB/Radio FM) - Perfecto para Oficina, Viajes y Espacios Pequeños</t>
        </is>
      </c>
      <c r="H4173" s="16" t="inlineStr">
        <is>
          <t>NEGRO</t>
        </is>
      </c>
      <c r="I4173" s="16" t="n">
        <v>1</v>
      </c>
      <c r="J4173" s="17" t="n">
        <v>81</v>
      </c>
      <c r="K4173" s="17" t="n">
        <v>11.49</v>
      </c>
      <c r="L4173" s="17" t="n">
        <v>25.86</v>
      </c>
      <c r="M4173" s="17" t="n">
        <v>0</v>
      </c>
      <c r="N4173" s="17">
        <f>K4173*0.08+L4173*0.08</f>
        <v/>
      </c>
      <c r="O4173" s="17">
        <f>-(K4173*0.025+L4173*0.025)</f>
        <v/>
      </c>
      <c r="P4173" s="17">
        <f>32</f>
        <v/>
      </c>
      <c r="Q4173" s="17">
        <f>J4173+L4173+N4173+O4173-P4173-M4173</f>
        <v/>
      </c>
    </row>
    <row r="4174">
      <c r="A4174" s="16" t="inlineStr">
        <is>
          <t>5.8-5.14</t>
        </is>
      </c>
      <c r="B4174" s="16" t="inlineStr">
        <is>
          <t>PO-128-09670901591673253</t>
        </is>
      </c>
      <c r="C4174" s="16" t="inlineStr">
        <is>
          <t>Shipped</t>
        </is>
      </c>
      <c r="D4174" s="16" t="inlineStr">
        <is>
          <t>128-09671037906553253</t>
        </is>
      </c>
      <c r="E4174" s="16" t="inlineStr">
        <is>
          <t>Shipped</t>
        </is>
      </c>
      <c r="F4174" s="16" t="inlineStr">
        <is>
          <t>KTS-2031</t>
        </is>
      </c>
      <c r="G4174" s="16" t="inlineStr">
        <is>
          <t>Bocina inalámbrica de 3 pulgadas con linterna multifuncional y panel solar integrado.Altavoz Portátil con Linterna LED 4 Modos, Radio FM, Bluetooth, Carga Solar, Ideal para Apagones, Emergencias, Campo y Exteriores</t>
        </is>
      </c>
      <c r="H4174" s="16" t="inlineStr">
        <is>
          <t>NEGRO</t>
        </is>
      </c>
      <c r="I4174" s="16" t="n">
        <v>1</v>
      </c>
      <c r="J4174" s="17" t="n">
        <v>78</v>
      </c>
      <c r="K4174" s="17" t="n">
        <v>87.22</v>
      </c>
      <c r="L4174" s="17" t="n">
        <v>25.86</v>
      </c>
      <c r="M4174" s="17" t="n">
        <v>0</v>
      </c>
      <c r="N4174" s="17">
        <f>K4174*0.08+L4174*0.08</f>
        <v/>
      </c>
      <c r="O4174" s="17">
        <f>-(K4174*0.025+L4174*0.025)</f>
        <v/>
      </c>
      <c r="P4174" s="17">
        <f>32</f>
        <v/>
      </c>
      <c r="Q4174" s="17">
        <f>J4174+L4174+N4174+O4174-P4174-M4174</f>
        <v/>
      </c>
    </row>
    <row r="4175">
      <c r="A4175" s="16" t="inlineStr">
        <is>
          <t>5.8-5.14</t>
        </is>
      </c>
      <c r="B4175" s="16" t="inlineStr">
        <is>
          <t>PO-128-09706342311033168</t>
        </is>
      </c>
      <c r="C4175" s="16" t="inlineStr">
        <is>
          <t>Shipped</t>
        </is>
      </c>
      <c r="D4175" s="16" t="inlineStr">
        <is>
          <t>128-09706384254073168</t>
        </is>
      </c>
      <c r="E4175" s="16" t="inlineStr">
        <is>
          <t>Shipped</t>
        </is>
      </c>
      <c r="F4175" s="16" t="inlineStr">
        <is>
          <t>LV54W25</t>
        </is>
      </c>
      <c r="G4175" s="16" t="inlineStr">
        <is>
          <t>TIANLAI Lámpara Ventilador E27 2 en 1, Silenciosa, LED Alta Luminosidad 180°, Instalación Rápida, Ahorro Energético para Dormitorio y Interiores Pequeños</t>
        </is>
      </c>
      <c r="H4175" s="16" t="inlineStr">
        <is>
          <t>1 Pieza</t>
        </is>
      </c>
      <c r="I4175" s="16" t="n">
        <v>3</v>
      </c>
      <c r="J4175" s="17" t="n">
        <v>227.4</v>
      </c>
      <c r="K4175" s="17" t="n">
        <v>239.94</v>
      </c>
      <c r="L4175" s="17" t="n">
        <v>0</v>
      </c>
      <c r="M4175" s="17" t="n">
        <v>0</v>
      </c>
      <c r="N4175" s="17">
        <f>K4175*0.08+L4175*0.08</f>
        <v/>
      </c>
      <c r="O4175" s="17">
        <f>-(K4175*0.025+L4175*0.025)</f>
        <v/>
      </c>
      <c r="P4175" s="17">
        <f>32</f>
        <v/>
      </c>
      <c r="Q4175" s="17">
        <f>J4175+L4175+N4175+O4175-P4175-M4175</f>
        <v/>
      </c>
    </row>
    <row r="4176">
      <c r="A4176" s="16" t="inlineStr">
        <is>
          <t>5.8-5.14</t>
        </is>
      </c>
      <c r="B4176" s="16" t="inlineStr">
        <is>
          <t>PO-128-09989986184311286</t>
        </is>
      </c>
      <c r="C4176" s="16" t="inlineStr">
        <is>
          <t>Shipped</t>
        </is>
      </c>
      <c r="D4176" s="16" t="inlineStr">
        <is>
          <t>128-09989944241271286</t>
        </is>
      </c>
      <c r="E4176" s="16" t="inlineStr">
        <is>
          <t>Shipped</t>
        </is>
      </c>
      <c r="F4176" s="16" t="inlineStr">
        <is>
          <t>B03W10-10PZS</t>
        </is>
      </c>
      <c r="G417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76" s="16" t="inlineStr">
        <is>
          <t>B03W10</t>
        </is>
      </c>
      <c r="I4176" s="16" t="n">
        <v>1</v>
      </c>
      <c r="J4176" s="17" t="n">
        <v>70</v>
      </c>
      <c r="K4176" s="17" t="n">
        <v>34.46</v>
      </c>
      <c r="L4176" s="17" t="n">
        <v>25.86</v>
      </c>
      <c r="M4176" s="17" t="n">
        <v>0</v>
      </c>
      <c r="N4176" s="17">
        <f>K4176*0.08+L4176*0.08</f>
        <v/>
      </c>
      <c r="O4176" s="17">
        <f>-(K4176*0.025+L4176*0.025)</f>
        <v/>
      </c>
      <c r="P4176" s="17">
        <f>32</f>
        <v/>
      </c>
      <c r="Q4176" s="17">
        <f>J4176+L4176+N4176+O4176-P4176-M4176</f>
        <v/>
      </c>
    </row>
    <row r="4177">
      <c r="A4177" s="16" t="inlineStr">
        <is>
          <t>5.8-5.14</t>
        </is>
      </c>
      <c r="B4177" s="16" t="inlineStr">
        <is>
          <t>PO-128-09621952218233481</t>
        </is>
      </c>
      <c r="C4177" s="16" t="inlineStr">
        <is>
          <t>Shipped</t>
        </is>
      </c>
      <c r="D4177" s="16" t="inlineStr">
        <is>
          <t>128-09621994161273481</t>
        </is>
      </c>
      <c r="E4177" s="16" t="inlineStr">
        <is>
          <t>Shipped</t>
        </is>
      </c>
      <c r="F4177" s="16" t="inlineStr">
        <is>
          <t>B03W10-10PZS</t>
        </is>
      </c>
      <c r="G417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77" s="16" t="inlineStr">
        <is>
          <t>B03W10</t>
        </is>
      </c>
      <c r="I4177" s="16" t="n">
        <v>1</v>
      </c>
      <c r="J4177" s="17" t="n">
        <v>70</v>
      </c>
      <c r="K4177" s="17" t="n">
        <v>77.56</v>
      </c>
      <c r="L4177" s="17" t="n">
        <v>25.86</v>
      </c>
      <c r="M4177" s="17" t="n">
        <v>0</v>
      </c>
      <c r="N4177" s="17">
        <f>K4177*0.08+L4177*0.08</f>
        <v/>
      </c>
      <c r="O4177" s="17">
        <f>-(K4177*0.025+L4177*0.025)</f>
        <v/>
      </c>
      <c r="P4177" s="17">
        <f>32</f>
        <v/>
      </c>
      <c r="Q4177" s="17">
        <f>J4177+L4177+N4177+O4177-P4177-M4177</f>
        <v/>
      </c>
    </row>
    <row r="4178">
      <c r="A4178" s="16" t="inlineStr">
        <is>
          <t>5.8-5.14</t>
        </is>
      </c>
      <c r="B4178" s="16" t="inlineStr">
        <is>
          <t>PO-128-10178855693430352</t>
        </is>
      </c>
      <c r="C4178" s="16" t="inlineStr">
        <is>
          <t>Shipped</t>
        </is>
      </c>
      <c r="D4178" s="16" t="inlineStr">
        <is>
          <t>128-10178803264630352</t>
        </is>
      </c>
      <c r="E4178" s="16" t="inlineStr">
        <is>
          <t>Shipped</t>
        </is>
      </c>
      <c r="F4178" s="16" t="inlineStr">
        <is>
          <t>B03W10-10PZS</t>
        </is>
      </c>
      <c r="G417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178" s="16" t="inlineStr">
        <is>
          <t>B03W10</t>
        </is>
      </c>
      <c r="I4178" s="16" t="n">
        <v>1</v>
      </c>
      <c r="J4178" s="17" t="n">
        <v>70</v>
      </c>
      <c r="K4178" s="17" t="n">
        <v>90.18000000000001</v>
      </c>
      <c r="L4178" s="17" t="n">
        <v>25.86</v>
      </c>
      <c r="M4178" s="17" t="n">
        <v>0</v>
      </c>
      <c r="N4178" s="17">
        <f>K4178*0.08+L4178*0.08</f>
        <v/>
      </c>
      <c r="O4178" s="17">
        <f>-(K4178*0.025+L4178*0.025)</f>
        <v/>
      </c>
      <c r="P4178" s="17">
        <f>32</f>
        <v/>
      </c>
      <c r="Q4178" s="17">
        <f>J4178+L4178+N4178+O4178-P4178-M4178</f>
        <v/>
      </c>
    </row>
    <row r="4179">
      <c r="A4179" s="16" t="inlineStr">
        <is>
          <t>5.8-5.14</t>
        </is>
      </c>
      <c r="B4179" s="16" t="inlineStr">
        <is>
          <t>PO-128-10189724469110161</t>
        </is>
      </c>
      <c r="C4179" s="16" t="inlineStr">
        <is>
          <t>Shipped</t>
        </is>
      </c>
      <c r="D4179" s="16" t="inlineStr">
        <is>
          <t>128-10189703497590161</t>
        </is>
      </c>
      <c r="E4179" s="16" t="inlineStr">
        <is>
          <t>Shipped</t>
        </is>
      </c>
      <c r="F4179" s="16" t="inlineStr">
        <is>
          <t>LV64W25</t>
        </is>
      </c>
      <c r="G417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79" s="16" t="inlineStr">
        <is>
          <t>Blanco</t>
        </is>
      </c>
      <c r="I4179" s="16" t="n">
        <v>1</v>
      </c>
      <c r="J4179" s="17" t="n">
        <v>119</v>
      </c>
      <c r="K4179" s="17" t="n">
        <v>137.28</v>
      </c>
      <c r="L4179" s="17" t="n">
        <v>25.86</v>
      </c>
      <c r="M4179" s="17" t="n">
        <v>0</v>
      </c>
      <c r="N4179" s="17">
        <f>K4179*0.08+L4179*0.08</f>
        <v/>
      </c>
      <c r="O4179" s="17">
        <f>-(K4179*0.025+L4179*0.025)</f>
        <v/>
      </c>
      <c r="P4179" s="17">
        <f>32</f>
        <v/>
      </c>
      <c r="Q4179" s="17">
        <f>J4179+L4179+N4179+O4179-P4179-M4179</f>
        <v/>
      </c>
    </row>
    <row r="4180">
      <c r="A4180" s="16" t="inlineStr">
        <is>
          <t>5.8-5.14</t>
        </is>
      </c>
      <c r="B4180" s="16" t="inlineStr">
        <is>
          <t>PO-128-09720161554554046</t>
        </is>
      </c>
      <c r="C4180" s="16" t="inlineStr">
        <is>
          <t>Shipped</t>
        </is>
      </c>
      <c r="D4180" s="16" t="inlineStr">
        <is>
          <t>128-09720182526074046</t>
        </is>
      </c>
      <c r="E4180" s="16" t="inlineStr">
        <is>
          <t>Shipped</t>
        </is>
      </c>
      <c r="F4180" s="16" t="inlineStr">
        <is>
          <t>KTS-2031</t>
        </is>
      </c>
      <c r="G4180" s="16" t="inlineStr">
        <is>
          <t>Bocina inalámbrica de 3 pulgadas con linterna multifuncional y panel solar integrado.Altavoz Portátil con Linterna LED 4 Modos, Radio FM, Bluetooth, Carga Solar, Ideal para Apagones, Emergencias, Campo y Exteriores</t>
        </is>
      </c>
      <c r="H4180" s="16" t="inlineStr">
        <is>
          <t>NEGRO</t>
        </is>
      </c>
      <c r="I4180" s="16" t="n">
        <v>3</v>
      </c>
      <c r="J4180" s="17" t="n">
        <v>234</v>
      </c>
      <c r="K4180" s="17" t="n">
        <v>261.66</v>
      </c>
      <c r="L4180" s="17" t="n">
        <v>0</v>
      </c>
      <c r="M4180" s="17" t="n">
        <v>0</v>
      </c>
      <c r="N4180" s="17">
        <f>K4180*0.08+L4180*0.08</f>
        <v/>
      </c>
      <c r="O4180" s="17">
        <f>-(K4180*0.025+L4180*0.025)</f>
        <v/>
      </c>
      <c r="P4180" s="17">
        <f>32</f>
        <v/>
      </c>
      <c r="Q4180" s="17">
        <f>J4180+L4180+N4180+O4180-P4180-M4180</f>
        <v/>
      </c>
    </row>
    <row r="4181">
      <c r="A4181" s="16" t="inlineStr">
        <is>
          <t>5.8-5.14</t>
        </is>
      </c>
      <c r="B4181" s="16" t="inlineStr">
        <is>
          <t>PO-128-10037767611511067</t>
        </is>
      </c>
      <c r="C4181" s="16" t="inlineStr">
        <is>
          <t>Shipped</t>
        </is>
      </c>
      <c r="D4181" s="16" t="inlineStr">
        <is>
          <t>128-10037725668471067</t>
        </is>
      </c>
      <c r="E4181" s="16" t="inlineStr">
        <is>
          <t>Shipped</t>
        </is>
      </c>
      <c r="F4181" s="16" t="inlineStr">
        <is>
          <t>KTS-2031</t>
        </is>
      </c>
      <c r="G4181" s="16" t="inlineStr">
        <is>
          <t>Bocina inalámbrica de 3 pulgadas con linterna multifuncional y panel solar integrado.Altavoz Portátil con Linterna LED 4 Modos, Radio FM, Bluetooth, Carga Solar, Ideal para Apagones, Emergencias, Campo y Exteriores</t>
        </is>
      </c>
      <c r="H4181" s="16" t="inlineStr">
        <is>
          <t>NEGRO</t>
        </is>
      </c>
      <c r="I4181" s="16" t="n">
        <v>1</v>
      </c>
      <c r="J4181" s="17" t="n">
        <v>78</v>
      </c>
      <c r="K4181" s="17" t="n">
        <v>87.22</v>
      </c>
      <c r="L4181" s="17" t="n">
        <v>25.86</v>
      </c>
      <c r="M4181" s="17" t="n">
        <v>0</v>
      </c>
      <c r="N4181" s="17">
        <f>K4181*0.08+L4181*0.08</f>
        <v/>
      </c>
      <c r="O4181" s="17">
        <f>-(K4181*0.025+L4181*0.025)</f>
        <v/>
      </c>
      <c r="P4181" s="17">
        <f>32</f>
        <v/>
      </c>
      <c r="Q4181" s="17">
        <f>J4181+L4181+N4181+O4181-P4181-M4181</f>
        <v/>
      </c>
    </row>
    <row r="4182">
      <c r="A4182" s="16" t="inlineStr">
        <is>
          <t>5.8-5.14</t>
        </is>
      </c>
      <c r="B4182" s="16" t="inlineStr">
        <is>
          <t>PO-128-09901169851512841</t>
        </is>
      </c>
      <c r="C4182" s="16" t="inlineStr">
        <is>
          <t>Shipped</t>
        </is>
      </c>
      <c r="D4182" s="16" t="inlineStr">
        <is>
          <t>128-09901159365752841</t>
        </is>
      </c>
      <c r="E4182" s="16" t="inlineStr">
        <is>
          <t>Shipped</t>
        </is>
      </c>
      <c r="F4182" s="16" t="inlineStr">
        <is>
          <t>KTS-2031</t>
        </is>
      </c>
      <c r="G4182" s="16" t="inlineStr">
        <is>
          <t>Bocina inalámbrica de 3 pulgadas con linterna multifuncional y panel solar integrado.Altavoz Portátil con Linterna LED 4 Modos, Radio FM, Bluetooth, Carga Solar, Ideal para Apagones, Emergencias, Campo y Exteriores</t>
        </is>
      </c>
      <c r="H4182" s="16" t="inlineStr">
        <is>
          <t>NEGRO</t>
        </is>
      </c>
      <c r="I4182" s="16" t="n">
        <v>1</v>
      </c>
      <c r="J4182" s="17" t="n">
        <v>78</v>
      </c>
      <c r="K4182" s="17" t="n">
        <v>74.13</v>
      </c>
      <c r="L4182" s="17" t="n">
        <v>25.86</v>
      </c>
      <c r="M4182" s="17" t="n">
        <v>0</v>
      </c>
      <c r="N4182" s="17">
        <f>K4182*0.08+L4182*0.08</f>
        <v/>
      </c>
      <c r="O4182" s="17">
        <f>-(K4182*0.025+L4182*0.025)</f>
        <v/>
      </c>
      <c r="P4182" s="17">
        <f>32</f>
        <v/>
      </c>
      <c r="Q4182" s="17">
        <f>J4182+L4182+N4182+O4182-P4182-M4182</f>
        <v/>
      </c>
    </row>
    <row r="4183">
      <c r="A4183" s="16" t="inlineStr">
        <is>
          <t>5.8-5.14</t>
        </is>
      </c>
      <c r="B4183" s="16" t="inlineStr">
        <is>
          <t>PO-128-10039759905911119</t>
        </is>
      </c>
      <c r="C4183" s="16" t="inlineStr">
        <is>
          <t>Shipped</t>
        </is>
      </c>
      <c r="D4183" s="16" t="inlineStr">
        <is>
          <t>128-10039780877431119</t>
        </is>
      </c>
      <c r="E4183" s="16" t="inlineStr">
        <is>
          <t>Shipped</t>
        </is>
      </c>
      <c r="F4183" s="16" t="inlineStr">
        <is>
          <t>LV64W25</t>
        </is>
      </c>
      <c r="G41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83" s="16" t="inlineStr">
        <is>
          <t>Blanco</t>
        </is>
      </c>
      <c r="I4183" s="16" t="n">
        <v>1</v>
      </c>
      <c r="J4183" s="17" t="n">
        <v>119</v>
      </c>
      <c r="K4183" s="17" t="n">
        <v>137.28</v>
      </c>
      <c r="L4183" s="17" t="n">
        <v>25.86</v>
      </c>
      <c r="M4183" s="17" t="n">
        <v>0</v>
      </c>
      <c r="N4183" s="17">
        <f>K4183*0.08+L4183*0.08</f>
        <v/>
      </c>
      <c r="O4183" s="17">
        <f>-(K4183*0.025+L4183*0.025)</f>
        <v/>
      </c>
      <c r="P4183" s="17">
        <f>32</f>
        <v/>
      </c>
      <c r="Q4183" s="17">
        <f>J4183+L4183+N4183+O4183-P4183-M4183</f>
        <v/>
      </c>
    </row>
    <row r="4184">
      <c r="A4184" s="16" t="inlineStr">
        <is>
          <t>5.8-5.14</t>
        </is>
      </c>
      <c r="B4184" s="16" t="inlineStr">
        <is>
          <t>PO-128-09625079583353463</t>
        </is>
      </c>
      <c r="C4184" s="16" t="inlineStr">
        <is>
          <t>Shipped</t>
        </is>
      </c>
      <c r="D4184" s="16" t="inlineStr">
        <is>
          <t>128-09625037640313463</t>
        </is>
      </c>
      <c r="E4184" s="16" t="inlineStr">
        <is>
          <t>Shipped</t>
        </is>
      </c>
      <c r="F4184" s="16" t="inlineStr">
        <is>
          <t>LV64W25</t>
        </is>
      </c>
      <c r="G41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84" s="16" t="inlineStr">
        <is>
          <t>Blanco</t>
        </is>
      </c>
      <c r="I4184" s="16" t="n">
        <v>2</v>
      </c>
      <c r="J4184" s="17" t="n">
        <v>238</v>
      </c>
      <c r="K4184" s="17" t="n">
        <v>274.56</v>
      </c>
      <c r="L4184" s="17" t="n">
        <v>0</v>
      </c>
      <c r="M4184" s="17" t="n">
        <v>0</v>
      </c>
      <c r="N4184" s="17">
        <f>K4184*0.08+L4184*0.08</f>
        <v/>
      </c>
      <c r="O4184" s="17">
        <f>-(K4184*0.025+L4184*0.025)</f>
        <v/>
      </c>
      <c r="P4184" s="17">
        <f>32</f>
        <v/>
      </c>
      <c r="Q4184" s="17">
        <f>J4184+L4184+N4184+O4184-P4184-M4184</f>
        <v/>
      </c>
    </row>
    <row r="4185">
      <c r="A4185" s="16" t="inlineStr">
        <is>
          <t>5.8-5.14</t>
        </is>
      </c>
      <c r="B4185" s="16" t="inlineStr">
        <is>
          <t>PO-128-09786763428473651</t>
        </is>
      </c>
      <c r="C4185" s="16" t="inlineStr">
        <is>
          <t>Shipped</t>
        </is>
      </c>
      <c r="D4185" s="16" t="inlineStr">
        <is>
          <t>128-09786784399993651</t>
        </is>
      </c>
      <c r="E4185" s="16" t="inlineStr">
        <is>
          <t>Shipped</t>
        </is>
      </c>
      <c r="F4185" s="16" t="inlineStr">
        <is>
          <t>LV54W25</t>
        </is>
      </c>
      <c r="G4185" s="16" t="inlineStr">
        <is>
          <t>TIANLAI Lámpara Ventilador E27 2 en 1, Silenciosa, LED Alta Luminosidad 180°, Instalación Rápida, Ahorro Energético para Dormitorio y Interiores Pequeños</t>
        </is>
      </c>
      <c r="H4185" s="16" t="inlineStr">
        <is>
          <t>1 Pieza</t>
        </is>
      </c>
      <c r="I4185" s="16" t="n">
        <v>2</v>
      </c>
      <c r="J4185" s="17" t="n">
        <v>151.6</v>
      </c>
      <c r="K4185" s="17" t="n">
        <v>116.86</v>
      </c>
      <c r="L4185" s="17" t="n">
        <v>25.86</v>
      </c>
      <c r="M4185" s="17" t="n">
        <v>0</v>
      </c>
      <c r="N4185" s="17">
        <f>K4185*0.08+L4185*0.08</f>
        <v/>
      </c>
      <c r="O4185" s="17">
        <f>-(K4185*0.025+L4185*0.025)</f>
        <v/>
      </c>
      <c r="P4185" s="17">
        <f>32</f>
        <v/>
      </c>
      <c r="Q4185" s="17">
        <f>J4185+L4185+N4185+O4185-P4185-M4185</f>
        <v/>
      </c>
    </row>
    <row r="4186">
      <c r="A4186" s="16" t="inlineStr">
        <is>
          <t>5.8-5.14</t>
        </is>
      </c>
      <c r="B4186" s="16" t="inlineStr">
        <is>
          <t>PO-128-09906269041272875</t>
        </is>
      </c>
      <c r="C4186" s="16" t="inlineStr">
        <is>
          <t>Shipped</t>
        </is>
      </c>
      <c r="D4186" s="16" t="inlineStr">
        <is>
          <t>128-09906227098232875</t>
        </is>
      </c>
      <c r="E4186" s="16" t="inlineStr">
        <is>
          <t>Shipped</t>
        </is>
      </c>
      <c r="F4186" s="16" t="inlineStr">
        <is>
          <t>LV64W25</t>
        </is>
      </c>
      <c r="G418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86" s="16" t="inlineStr">
        <is>
          <t>Blanco</t>
        </is>
      </c>
      <c r="I4186" s="16" t="n">
        <v>1</v>
      </c>
      <c r="J4186" s="17" t="n">
        <v>119</v>
      </c>
      <c r="K4186" s="17" t="n">
        <v>51.07</v>
      </c>
      <c r="L4186" s="17" t="n">
        <v>25.86</v>
      </c>
      <c r="M4186" s="17" t="n">
        <v>0</v>
      </c>
      <c r="N4186" s="17">
        <f>K4186*0.08+L4186*0.08</f>
        <v/>
      </c>
      <c r="O4186" s="17">
        <f>-(K4186*0.025+L4186*0.025)</f>
        <v/>
      </c>
      <c r="P4186" s="17">
        <f>32</f>
        <v/>
      </c>
      <c r="Q4186" s="17">
        <f>J4186+L4186+N4186+O4186-P4186-M4186</f>
        <v/>
      </c>
    </row>
    <row r="4187">
      <c r="A4187" s="16" t="inlineStr">
        <is>
          <t>5.8-5.14</t>
        </is>
      </c>
      <c r="B4187" s="16" t="inlineStr">
        <is>
          <t>PO-128-09790112650873695</t>
        </is>
      </c>
      <c r="C4187" s="16" t="inlineStr">
        <is>
          <t>Shipped</t>
        </is>
      </c>
      <c r="D4187" s="16" t="inlineStr">
        <is>
          <t>128-09790165079673695</t>
        </is>
      </c>
      <c r="E4187" s="16" t="inlineStr">
        <is>
          <t>Shipped</t>
        </is>
      </c>
      <c r="F4187" s="16" t="inlineStr">
        <is>
          <t>KTS-2031</t>
        </is>
      </c>
      <c r="G4187" s="16" t="inlineStr">
        <is>
          <t>Bocina inalámbrica de 3 pulgadas con linterna multifuncional y panel solar integrado.Altavoz Portátil con Linterna LED 4 Modos, Radio FM, Bluetooth, Carga Solar, Ideal para Apagones, Emergencias, Campo y Exteriores</t>
        </is>
      </c>
      <c r="H4187" s="16" t="inlineStr">
        <is>
          <t>NEGRO</t>
        </is>
      </c>
      <c r="I4187" s="16" t="n">
        <v>1</v>
      </c>
      <c r="J4187" s="17" t="n">
        <v>78</v>
      </c>
      <c r="K4187" s="17" t="n">
        <v>87.22</v>
      </c>
      <c r="L4187" s="17" t="n">
        <v>25.86</v>
      </c>
      <c r="M4187" s="17" t="n">
        <v>0</v>
      </c>
      <c r="N4187" s="17">
        <f>K4187*0.08+L4187*0.08</f>
        <v/>
      </c>
      <c r="O4187" s="17">
        <f>-(K4187*0.025+L4187*0.025)</f>
        <v/>
      </c>
      <c r="P4187" s="17">
        <f>32</f>
        <v/>
      </c>
      <c r="Q4187" s="17">
        <f>J4187+L4187+N4187+O4187-P4187-M4187</f>
        <v/>
      </c>
    </row>
    <row r="4188">
      <c r="A4188" s="16" t="inlineStr">
        <is>
          <t>5.8-5.14</t>
        </is>
      </c>
      <c r="B4188" s="16" t="inlineStr">
        <is>
          <t>PO-128-09931151698552724</t>
        </is>
      </c>
      <c r="C4188" s="16" t="inlineStr">
        <is>
          <t>Shipped</t>
        </is>
      </c>
      <c r="D4188" s="16" t="inlineStr">
        <is>
          <t>128-09931143834232724</t>
        </is>
      </c>
      <c r="E4188" s="16" t="inlineStr">
        <is>
          <t>Shipped</t>
        </is>
      </c>
      <c r="F4188" s="16" t="inlineStr">
        <is>
          <t>LV54W25</t>
        </is>
      </c>
      <c r="G4188" s="16" t="inlineStr">
        <is>
          <t>TIANLAI Lámpara Ventilador E27 2 en 1, Silenciosa, LED Alta Luminosidad 180°, Instalación Rápida, Ahorro Energético para Dormitorio y Interiores Pequeños</t>
        </is>
      </c>
      <c r="H4188" s="16" t="inlineStr">
        <is>
          <t>1 Pieza</t>
        </is>
      </c>
      <c r="I4188" s="16" t="n">
        <v>1</v>
      </c>
      <c r="J4188" s="17" t="n">
        <v>75.8</v>
      </c>
      <c r="K4188" s="17" t="n">
        <v>79.98</v>
      </c>
      <c r="L4188" s="17" t="n">
        <v>25.86</v>
      </c>
      <c r="M4188" s="17" t="n">
        <v>0</v>
      </c>
      <c r="N4188" s="17">
        <f>K4188*0.08+L4188*0.08</f>
        <v/>
      </c>
      <c r="O4188" s="17">
        <f>-(K4188*0.025+L4188*0.025)</f>
        <v/>
      </c>
      <c r="P4188" s="17">
        <f>32</f>
        <v/>
      </c>
      <c r="Q4188" s="17">
        <f>J4188+L4188+N4188+O4188-P4188-M4188</f>
        <v/>
      </c>
    </row>
    <row r="4189">
      <c r="A4189" s="16" t="inlineStr">
        <is>
          <t>5.8-5.14</t>
        </is>
      </c>
      <c r="B4189" s="16" t="inlineStr">
        <is>
          <t>PO-128-10216876821110127</t>
        </is>
      </c>
      <c r="C4189" s="16" t="inlineStr">
        <is>
          <t>Shipped</t>
        </is>
      </c>
      <c r="D4189" s="16" t="inlineStr">
        <is>
          <t>128-10216918764150127</t>
        </is>
      </c>
      <c r="E4189" s="16" t="inlineStr">
        <is>
          <t>Shipped</t>
        </is>
      </c>
      <c r="F4189" s="16" t="inlineStr">
        <is>
          <t>LV64W25</t>
        </is>
      </c>
      <c r="G418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89" s="16" t="inlineStr">
        <is>
          <t>Blanco</t>
        </is>
      </c>
      <c r="I4189" s="16" t="n">
        <v>10</v>
      </c>
      <c r="J4189" s="17" t="n">
        <v>1190</v>
      </c>
      <c r="K4189" s="17" t="n">
        <v>1338.49</v>
      </c>
      <c r="L4189" s="17" t="n">
        <v>0</v>
      </c>
      <c r="M4189" s="17" t="n">
        <v>0</v>
      </c>
      <c r="N4189" s="17">
        <f>K4189*0.08+L4189*0.08</f>
        <v/>
      </c>
      <c r="O4189" s="17">
        <f>-(K4189*0.025+L4189*0.025)</f>
        <v/>
      </c>
      <c r="P4189" s="17">
        <f>32</f>
        <v/>
      </c>
      <c r="Q4189" s="17">
        <f>J4189+L4189+N4189+O4189-P4189-M4189</f>
        <v/>
      </c>
    </row>
    <row r="4190">
      <c r="A4190" s="16" t="inlineStr">
        <is>
          <t>5.8-5.14</t>
        </is>
      </c>
      <c r="B4190" s="16" t="inlineStr">
        <is>
          <t>PO-128-10114913331831567</t>
        </is>
      </c>
      <c r="C4190" s="16" t="inlineStr">
        <is>
          <t>Shipped</t>
        </is>
      </c>
      <c r="D4190" s="16" t="inlineStr">
        <is>
          <t>128-10114965760631567</t>
        </is>
      </c>
      <c r="E4190" s="16" t="inlineStr">
        <is>
          <t>Shipped</t>
        </is>
      </c>
      <c r="F4190" s="16" t="inlineStr">
        <is>
          <t>TL1455N20B</t>
        </is>
      </c>
      <c r="G4190" s="16" t="inlineStr">
        <is>
          <t>LINK BITS Soporte para TV 14 A 55 Pulgadas, Base para TV Pantalla Articulado Inclinable y Giratorio, MAX VESA 400×400 mm, Soporta hasta 18kg, adaptarse a la mayoría de los televisores de 14 Pulgadas/20 Pulgadas/32 Pulgadas/42 Pulgadas/55 pulgadas</t>
        </is>
      </c>
      <c r="H4190" s="16" t="inlineStr">
        <is>
          <t>TL1455N20B</t>
        </is>
      </c>
      <c r="I4190" s="16" t="n">
        <v>1</v>
      </c>
      <c r="J4190" s="17" t="n">
        <v>80</v>
      </c>
      <c r="K4190" s="17" t="n">
        <v>102.81</v>
      </c>
      <c r="L4190" s="17" t="n">
        <v>25.86</v>
      </c>
      <c r="M4190" s="17" t="n">
        <v>0</v>
      </c>
      <c r="N4190" s="17">
        <f>K4190*0.08+L4190*0.08</f>
        <v/>
      </c>
      <c r="O4190" s="17">
        <f>-(K4190*0.025+L4190*0.025)</f>
        <v/>
      </c>
      <c r="P4190" s="17">
        <f>32</f>
        <v/>
      </c>
      <c r="Q4190" s="17">
        <f>J4190+L4190+N4190+O4190-P4190-M4190</f>
        <v/>
      </c>
    </row>
    <row r="4191">
      <c r="A4191" s="16" t="inlineStr">
        <is>
          <t>5.8-5.14</t>
        </is>
      </c>
      <c r="B4191" s="16" t="inlineStr">
        <is>
          <t>PO-128-10284761979510747</t>
        </is>
      </c>
      <c r="C4191" s="16" t="inlineStr">
        <is>
          <t>Shipped</t>
        </is>
      </c>
      <c r="D4191" s="16" t="inlineStr">
        <is>
          <t>128-10284741007990747</t>
        </is>
      </c>
      <c r="E4191" s="16" t="inlineStr">
        <is>
          <t>Shipped</t>
        </is>
      </c>
      <c r="F4191" s="16" t="inlineStr">
        <is>
          <t>LV64W25</t>
        </is>
      </c>
      <c r="G41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91" s="16" t="inlineStr">
        <is>
          <t>Blanco</t>
        </is>
      </c>
      <c r="I4191" s="16" t="n">
        <v>1</v>
      </c>
      <c r="J4191" s="17" t="n">
        <v>119</v>
      </c>
      <c r="K4191" s="17" t="n">
        <v>109.82</v>
      </c>
      <c r="L4191" s="17" t="n">
        <v>25.86</v>
      </c>
      <c r="M4191" s="17" t="n">
        <v>0</v>
      </c>
      <c r="N4191" s="17">
        <f>K4191*0.08+L4191*0.08</f>
        <v/>
      </c>
      <c r="O4191" s="17">
        <f>-(K4191*0.025+L4191*0.025)</f>
        <v/>
      </c>
      <c r="P4191" s="17">
        <f>32</f>
        <v/>
      </c>
      <c r="Q4191" s="17">
        <f>J4191+L4191+N4191+O4191-P4191-M4191</f>
        <v/>
      </c>
    </row>
    <row r="4192">
      <c r="A4192" s="16" t="inlineStr">
        <is>
          <t>5.8-5.14</t>
        </is>
      </c>
      <c r="B4192" s="16" t="inlineStr">
        <is>
          <t>PO-128-09796903322232436</t>
        </is>
      </c>
      <c r="C4192" s="16" t="inlineStr">
        <is>
          <t>Shipped</t>
        </is>
      </c>
      <c r="D4192" s="16" t="inlineStr">
        <is>
          <t>128-09797039637112436</t>
        </is>
      </c>
      <c r="E4192" s="16" t="inlineStr">
        <is>
          <t>Shipped</t>
        </is>
      </c>
      <c r="F4192" s="16" t="inlineStr">
        <is>
          <t>KTS-2031</t>
        </is>
      </c>
      <c r="G4192" s="16" t="inlineStr">
        <is>
          <t>Bocina inalámbrica de 3 pulgadas con linterna multifuncional y panel solar integrado.Altavoz Portátil con Linterna LED 4 Modos, Radio FM, Bluetooth, Carga Solar, Ideal para Apagones, Emergencias, Campo y Exteriores</t>
        </is>
      </c>
      <c r="H4192" s="16" t="inlineStr">
        <is>
          <t>NEGRO</t>
        </is>
      </c>
      <c r="I4192" s="16" t="n">
        <v>1</v>
      </c>
      <c r="J4192" s="17" t="n">
        <v>78</v>
      </c>
      <c r="K4192" s="17" t="n">
        <v>1.01</v>
      </c>
      <c r="L4192" s="17" t="n">
        <v>25.86</v>
      </c>
      <c r="M4192" s="17" t="n">
        <v>0</v>
      </c>
      <c r="N4192" s="17">
        <f>K4192*0.08+L4192*0.08</f>
        <v/>
      </c>
      <c r="O4192" s="17">
        <f>-(K4192*0.025+L4192*0.025)</f>
        <v/>
      </c>
      <c r="P4192" s="17">
        <f>32</f>
        <v/>
      </c>
      <c r="Q4192" s="17">
        <f>J4192+L4192+N4192+O4192-P4192-M4192</f>
        <v/>
      </c>
    </row>
    <row r="4193">
      <c r="A4193" s="16" t="inlineStr">
        <is>
          <t>5.8-5.14</t>
        </is>
      </c>
      <c r="B4193" s="16" t="inlineStr">
        <is>
          <t>PO-128-09679782625913326</t>
        </is>
      </c>
      <c r="C4193" s="16" t="inlineStr">
        <is>
          <t>Shipped</t>
        </is>
      </c>
      <c r="D4193" s="16" t="inlineStr">
        <is>
          <t>128-09679950152313326</t>
        </is>
      </c>
      <c r="E4193" s="16" t="inlineStr">
        <is>
          <t>Shipped</t>
        </is>
      </c>
      <c r="F4193" s="16" t="inlineStr">
        <is>
          <t>KTS-2031</t>
        </is>
      </c>
      <c r="G4193" s="16" t="inlineStr">
        <is>
          <t>Bocina inalámbrica de 3 pulgadas con linterna multifuncional y panel solar integrado.Altavoz Portátil con Linterna LED 4 Modos, Radio FM, Bluetooth, Carga Solar, Ideal para Apagones, Emergencias, Campo y Exteriores</t>
        </is>
      </c>
      <c r="H4193" s="16" t="inlineStr">
        <is>
          <t>NEGRO</t>
        </is>
      </c>
      <c r="I4193" s="16" t="n">
        <v>1</v>
      </c>
      <c r="J4193" s="17" t="n">
        <v>78</v>
      </c>
      <c r="K4193" s="17" t="n">
        <v>4.46</v>
      </c>
      <c r="L4193" s="17" t="n">
        <v>25.86</v>
      </c>
      <c r="M4193" s="17" t="n">
        <v>0</v>
      </c>
      <c r="N4193" s="17">
        <f>K4193*0.08+L4193*0.08</f>
        <v/>
      </c>
      <c r="O4193" s="17">
        <f>-(K4193*0.025+L4193*0.025)</f>
        <v/>
      </c>
      <c r="P4193" s="17">
        <f>32</f>
        <v/>
      </c>
      <c r="Q4193" s="17">
        <f>J4193+L4193+N4193+O4193-P4193-M4193</f>
        <v/>
      </c>
    </row>
    <row r="4194">
      <c r="A4194" s="16" t="inlineStr">
        <is>
          <t>5.8-5.14</t>
        </is>
      </c>
      <c r="B4194" s="16" t="inlineStr">
        <is>
          <t>PO-128-10037527460471066</t>
        </is>
      </c>
      <c r="C4194" s="16" t="inlineStr">
        <is>
          <t>Shipped</t>
        </is>
      </c>
      <c r="D4194" s="16" t="inlineStr">
        <is>
          <t>128-10037537946231066</t>
        </is>
      </c>
      <c r="E4194" s="16" t="inlineStr">
        <is>
          <t>Shipped</t>
        </is>
      </c>
      <c r="F4194" s="16" t="inlineStr">
        <is>
          <t>LV64W25</t>
        </is>
      </c>
      <c r="G419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94" s="16" t="inlineStr">
        <is>
          <t>Blanco</t>
        </is>
      </c>
      <c r="I4194" s="16" t="n">
        <v>1</v>
      </c>
      <c r="J4194" s="17" t="n">
        <v>119</v>
      </c>
      <c r="K4194" s="17" t="n">
        <v>137.28</v>
      </c>
      <c r="L4194" s="17" t="n">
        <v>25.86</v>
      </c>
      <c r="M4194" s="17" t="n">
        <v>0</v>
      </c>
      <c r="N4194" s="17">
        <f>K4194*0.08+L4194*0.08</f>
        <v/>
      </c>
      <c r="O4194" s="17">
        <f>-(K4194*0.025+L4194*0.025)</f>
        <v/>
      </c>
      <c r="P4194" s="17">
        <f>32</f>
        <v/>
      </c>
      <c r="Q4194" s="17">
        <f>J4194+L4194+N4194+O4194-P4194-M4194</f>
        <v/>
      </c>
    </row>
    <row r="4195">
      <c r="A4195" s="16" t="inlineStr">
        <is>
          <t>5.8-5.14</t>
        </is>
      </c>
      <c r="B4195" s="16" t="inlineStr">
        <is>
          <t>PO-128-09982955285111521</t>
        </is>
      </c>
      <c r="C4195" s="16" t="inlineStr">
        <is>
          <t>Shipped</t>
        </is>
      </c>
      <c r="D4195" s="16" t="inlineStr">
        <is>
          <t>128-09983107328631521</t>
        </is>
      </c>
      <c r="E4195" s="16" t="inlineStr">
        <is>
          <t>Shipped</t>
        </is>
      </c>
      <c r="F4195" s="16" t="inlineStr">
        <is>
          <t>LV64W25</t>
        </is>
      </c>
      <c r="G419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195" s="16" t="inlineStr">
        <is>
          <t>Blanco</t>
        </is>
      </c>
      <c r="I4195" s="16" t="n">
        <v>4</v>
      </c>
      <c r="J4195" s="17" t="n">
        <v>476</v>
      </c>
      <c r="K4195" s="17" t="n">
        <v>549.12</v>
      </c>
      <c r="L4195" s="17" t="n">
        <v>0</v>
      </c>
      <c r="M4195" s="17" t="n">
        <v>0</v>
      </c>
      <c r="N4195" s="17">
        <f>K4195*0.08+L4195*0.08</f>
        <v/>
      </c>
      <c r="O4195" s="17">
        <f>-(K4195*0.025+L4195*0.025)</f>
        <v/>
      </c>
      <c r="P4195" s="17">
        <f>32</f>
        <v/>
      </c>
      <c r="Q4195" s="17">
        <f>J4195+L4195+N4195+O4195-P4195-M4195</f>
        <v/>
      </c>
    </row>
    <row r="4196">
      <c r="A4196" s="16" t="inlineStr">
        <is>
          <t>5.8-5.14</t>
        </is>
      </c>
      <c r="B4196" s="16" t="inlineStr">
        <is>
          <t>PO-128-10129767388791604</t>
        </is>
      </c>
      <c r="C4196" s="16" t="inlineStr">
        <is>
          <t>Shipped</t>
        </is>
      </c>
      <c r="D4196" s="16" t="inlineStr">
        <is>
          <t>128-10129762145911604</t>
        </is>
      </c>
      <c r="E4196" s="16" t="inlineStr">
        <is>
          <t>Shipped</t>
        </is>
      </c>
      <c r="F4196" s="16" t="inlineStr">
        <is>
          <t>KTS-2031</t>
        </is>
      </c>
      <c r="G4196" s="16" t="inlineStr">
        <is>
          <t>Bocina inalámbrica de 3 pulgadas con linterna multifuncional y panel solar integrado.Altavoz Portátil con Linterna LED 4 Modos, Radio FM, Bluetooth, Carga Solar, Ideal para Apagones, Emergencias, Campo y Exteriores</t>
        </is>
      </c>
      <c r="H4196" s="16" t="inlineStr">
        <is>
          <t>NEGRO</t>
        </is>
      </c>
      <c r="I4196" s="16" t="n">
        <v>2</v>
      </c>
      <c r="J4196" s="17" t="n">
        <v>156</v>
      </c>
      <c r="K4196" s="17" t="n">
        <v>174.44</v>
      </c>
      <c r="L4196" s="17" t="n">
        <v>25.86</v>
      </c>
      <c r="M4196" s="17" t="n">
        <v>0</v>
      </c>
      <c r="N4196" s="17">
        <f>K4196*0.08+L4196*0.08</f>
        <v/>
      </c>
      <c r="O4196" s="17">
        <f>-(K4196*0.025+L4196*0.025)</f>
        <v/>
      </c>
      <c r="P4196" s="17">
        <f>32</f>
        <v/>
      </c>
      <c r="Q4196" s="17">
        <f>J4196+L4196+N4196+O4196-P4196-M4196</f>
        <v/>
      </c>
    </row>
    <row r="4197">
      <c r="A4197" s="16" t="inlineStr">
        <is>
          <t>5.8-5.14</t>
        </is>
      </c>
      <c r="B4197" s="16" t="inlineStr">
        <is>
          <t>PO-128-10136018483831633</t>
        </is>
      </c>
      <c r="C4197" s="16" t="inlineStr">
        <is>
          <t>Shipped</t>
        </is>
      </c>
      <c r="D4197" s="16" t="inlineStr">
        <is>
          <t>128-10135975557751633</t>
        </is>
      </c>
      <c r="E4197" s="16" t="inlineStr">
        <is>
          <t>Shipped</t>
        </is>
      </c>
      <c r="F4197" s="16" t="inlineStr">
        <is>
          <t>LV54W25</t>
        </is>
      </c>
      <c r="G4197" s="16" t="inlineStr">
        <is>
          <t>TIANLAI Lámpara Ventilador E27 2 en 1, Silenciosa, LED Alta Luminosidad 180°, Instalación Rápida, Ahorro Energético para Dormitorio y Interiores Pequeños</t>
        </is>
      </c>
      <c r="H4197" s="16" t="inlineStr">
        <is>
          <t>1 Pieza</t>
        </is>
      </c>
      <c r="I4197" s="16" t="n">
        <v>1</v>
      </c>
      <c r="J4197" s="17" t="n">
        <v>75.8</v>
      </c>
      <c r="K4197" s="17" t="n">
        <v>93</v>
      </c>
      <c r="L4197" s="17" t="n">
        <v>25.86</v>
      </c>
      <c r="M4197" s="17" t="n">
        <v>0</v>
      </c>
      <c r="N4197" s="17">
        <f>K4197*0.08+L4197*0.08</f>
        <v/>
      </c>
      <c r="O4197" s="17">
        <f>-(K4197*0.025+L4197*0.025)</f>
        <v/>
      </c>
      <c r="P4197" s="17">
        <f>32</f>
        <v/>
      </c>
      <c r="Q4197" s="17">
        <f>J4197+L4197+N4197+O4197-P4197-M4197</f>
        <v/>
      </c>
    </row>
    <row r="4198">
      <c r="A4198" s="16" t="inlineStr">
        <is>
          <t>5.8-5.14</t>
        </is>
      </c>
      <c r="B4198" s="16" t="inlineStr">
        <is>
          <t>PO-128-10229749811830944</t>
        </is>
      </c>
      <c r="C4198" s="16" t="inlineStr">
        <is>
          <t>Shipped</t>
        </is>
      </c>
      <c r="D4198" s="16" t="inlineStr">
        <is>
          <t>128-10229901855350944</t>
        </is>
      </c>
      <c r="E4198" s="16" t="inlineStr">
        <is>
          <t>Shipped</t>
        </is>
      </c>
      <c r="F4198" s="16" t="inlineStr">
        <is>
          <t>KTS-2031</t>
        </is>
      </c>
      <c r="G4198" s="16" t="inlineStr">
        <is>
          <t>Bocina inalámbrica de 3 pulgadas con linterna multifuncional y panel solar integrado.Altavoz Portátil con Linterna LED 4 Modos, Radio FM, Bluetooth, Carga Solar, Ideal para Apagones, Emergencias, Campo y Exteriores</t>
        </is>
      </c>
      <c r="H4198" s="16" t="inlineStr">
        <is>
          <t>NEGRO</t>
        </is>
      </c>
      <c r="I4198" s="16" t="n">
        <v>1</v>
      </c>
      <c r="J4198" s="17" t="n">
        <v>78</v>
      </c>
      <c r="K4198" s="17" t="n">
        <v>74.14</v>
      </c>
      <c r="L4198" s="17" t="n">
        <v>25.86</v>
      </c>
      <c r="M4198" s="17" t="n">
        <v>0</v>
      </c>
      <c r="N4198" s="17">
        <f>K4198*0.08+L4198*0.08</f>
        <v/>
      </c>
      <c r="O4198" s="17">
        <f>-(K4198*0.025+L4198*0.025)</f>
        <v/>
      </c>
      <c r="P4198" s="17">
        <f>32</f>
        <v/>
      </c>
      <c r="Q4198" s="17">
        <f>J4198+L4198+N4198+O4198-P4198-M4198</f>
        <v/>
      </c>
    </row>
    <row r="4199">
      <c r="A4199" s="16" t="inlineStr">
        <is>
          <t>5.8-5.14</t>
        </is>
      </c>
      <c r="B4199" s="16" t="inlineStr">
        <is>
          <t>PO-128-09870392525432126</t>
        </is>
      </c>
      <c r="C4199" s="16" t="inlineStr">
        <is>
          <t>Shipped</t>
        </is>
      </c>
      <c r="D4199" s="16" t="inlineStr">
        <is>
          <t>128-09870528840312126</t>
        </is>
      </c>
      <c r="E4199" s="16" t="inlineStr">
        <is>
          <t>Shipped</t>
        </is>
      </c>
      <c r="F4199" s="16" t="inlineStr">
        <is>
          <t>TL1455N20B</t>
        </is>
      </c>
      <c r="G4199" s="16" t="inlineStr">
        <is>
          <t>LINK BITS Soporte para TV 14 A 55 Pulgadas, Base para TV Pantalla Articulado Inclinable y Giratorio, MAX VESA 400×400 mm, Soporta hasta 18kg, adaptarse a la mayoría de los televisores de 14 Pulgadas/20 Pulgadas/32 Pulgadas/42 Pulgadas/55 pulgadas</t>
        </is>
      </c>
      <c r="H4199" s="16" t="inlineStr">
        <is>
          <t>TL1455N20B</t>
        </is>
      </c>
      <c r="I4199" s="16" t="n">
        <v>1</v>
      </c>
      <c r="J4199" s="17" t="n">
        <v>80</v>
      </c>
      <c r="K4199" s="17" t="n">
        <v>102.81</v>
      </c>
      <c r="L4199" s="17" t="n">
        <v>25.86</v>
      </c>
      <c r="M4199" s="17" t="n">
        <v>0</v>
      </c>
      <c r="N4199" s="17">
        <f>K4199*0.08+L4199*0.08</f>
        <v/>
      </c>
      <c r="O4199" s="17">
        <f>-(K4199*0.025+L4199*0.025)</f>
        <v/>
      </c>
      <c r="P4199" s="17">
        <f>32</f>
        <v/>
      </c>
      <c r="Q4199" s="17">
        <f>J4199+L4199+N4199+O4199-P4199-M4199</f>
        <v/>
      </c>
    </row>
    <row r="4200">
      <c r="A4200" s="16" t="inlineStr">
        <is>
          <t>5.8-5.14</t>
        </is>
      </c>
      <c r="B4200" s="16" t="inlineStr">
        <is>
          <t>PO-128-10191618028150212</t>
        </is>
      </c>
      <c r="C4200" s="16" t="inlineStr">
        <is>
          <t>Shipped</t>
        </is>
      </c>
      <c r="D4200" s="16" t="inlineStr">
        <is>
          <t>128-10191652106870212</t>
        </is>
      </c>
      <c r="E4200" s="16" t="inlineStr">
        <is>
          <t>Shipped</t>
        </is>
      </c>
      <c r="F4200" s="16" t="inlineStr">
        <is>
          <t>LV54W25</t>
        </is>
      </c>
      <c r="G4200" s="16" t="inlineStr">
        <is>
          <t>TIANLAI Lámpara Ventilador E27 2 en 1, Silenciosa, LED Alta Luminosidad 180°, Instalación Rápida, Ahorro Energético para Dormitorio y Interiores Pequeños</t>
        </is>
      </c>
      <c r="H4200" s="16" t="inlineStr">
        <is>
          <t>1 Pieza</t>
        </is>
      </c>
      <c r="I4200" s="16" t="n">
        <v>1</v>
      </c>
      <c r="J4200" s="17" t="n">
        <v>75.8</v>
      </c>
      <c r="K4200" s="17" t="n">
        <v>79.98</v>
      </c>
      <c r="L4200" s="17" t="n">
        <v>25.86</v>
      </c>
      <c r="M4200" s="17" t="n">
        <v>0</v>
      </c>
      <c r="N4200" s="17">
        <f>K4200*0.08+L4200*0.08</f>
        <v/>
      </c>
      <c r="O4200" s="17">
        <f>-(K4200*0.025+L4200*0.025)</f>
        <v/>
      </c>
      <c r="P4200" s="17">
        <f>32</f>
        <v/>
      </c>
      <c r="Q4200" s="17">
        <f>J4200+L4200+N4200+O4200-P4200-M4200</f>
        <v/>
      </c>
    </row>
    <row r="4201">
      <c r="A4201" s="16" t="inlineStr">
        <is>
          <t>5.8-5.14</t>
        </is>
      </c>
      <c r="B4201" s="16" t="inlineStr">
        <is>
          <t>PO-128-09660894889593441</t>
        </is>
      </c>
      <c r="C4201" s="16" t="inlineStr">
        <is>
          <t>Shipped</t>
        </is>
      </c>
      <c r="D4201" s="16" t="inlineStr">
        <is>
          <t>128-09660889646713441</t>
        </is>
      </c>
      <c r="E4201" s="16" t="inlineStr">
        <is>
          <t>Shipped</t>
        </is>
      </c>
      <c r="F4201" s="16" t="inlineStr">
        <is>
          <t>SA323T</t>
        </is>
      </c>
      <c r="G4201"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4201" s="16" t="inlineStr">
        <is>
          <t>AZUL/SA323T</t>
        </is>
      </c>
      <c r="I4201" s="16" t="n">
        <v>2</v>
      </c>
      <c r="J4201" s="17" t="n">
        <v>100</v>
      </c>
      <c r="K4201" s="17" t="n">
        <v>118.08</v>
      </c>
      <c r="L4201" s="17" t="n">
        <v>0</v>
      </c>
      <c r="M4201" s="17" t="n">
        <v>0</v>
      </c>
      <c r="N4201" s="17">
        <f>K4201*0.08+L4201*0.08</f>
        <v/>
      </c>
      <c r="O4201" s="17">
        <f>-(K4201*0.025+L4201*0.025)</f>
        <v/>
      </c>
      <c r="P4201" s="17">
        <f>32</f>
        <v/>
      </c>
      <c r="Q4201" s="17">
        <f>J4201+L4201+N4201+O4201-P4201-M4201</f>
        <v/>
      </c>
    </row>
    <row r="4202">
      <c r="A4202" s="16" t="inlineStr">
        <is>
          <t>5.8-5.14</t>
        </is>
      </c>
      <c r="B4202" s="16" t="inlineStr">
        <is>
          <t>PO-128-09660894889593441</t>
        </is>
      </c>
      <c r="C4202" s="16" t="inlineStr">
        <is>
          <t>Shipped</t>
        </is>
      </c>
      <c r="D4202" s="16" t="inlineStr">
        <is>
          <t>128-09660879160953441</t>
        </is>
      </c>
      <c r="E4202" s="16" t="inlineStr">
        <is>
          <t>Shipped</t>
        </is>
      </c>
      <c r="F4202" s="16" t="inlineStr">
        <is>
          <t>B03W10-10PZS</t>
        </is>
      </c>
      <c r="G420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202" s="16" t="inlineStr">
        <is>
          <t>B03W10</t>
        </is>
      </c>
      <c r="I4202" s="16" t="n">
        <v>1</v>
      </c>
      <c r="J4202" s="17" t="n">
        <v>70</v>
      </c>
      <c r="K4202" s="17" t="n">
        <v>77.56</v>
      </c>
      <c r="L4202" s="17" t="n">
        <v>0</v>
      </c>
      <c r="M4202" s="17" t="n">
        <v>0</v>
      </c>
      <c r="N4202" s="17">
        <f>K4202*0.08+L4202*0.08</f>
        <v/>
      </c>
      <c r="O4202" s="17">
        <f>-(K4202*0.025+L4202*0.025)</f>
        <v/>
      </c>
      <c r="P4202" s="17">
        <f>32</f>
        <v/>
      </c>
      <c r="Q4202" s="17">
        <f>J4202+L4202+N4202+O4202-P4202-M4202</f>
        <v/>
      </c>
    </row>
    <row r="4203">
      <c r="A4203" s="16" t="inlineStr">
        <is>
          <t>5.8-5.14</t>
        </is>
      </c>
      <c r="B4203" s="16" t="inlineStr">
        <is>
          <t>PO-128-09660894889593441</t>
        </is>
      </c>
      <c r="C4203" s="16" t="inlineStr">
        <is>
          <t>Shipped</t>
        </is>
      </c>
      <c r="D4203" s="16" t="inlineStr">
        <is>
          <t>128-09660873918073441</t>
        </is>
      </c>
      <c r="E4203" s="16" t="inlineStr">
        <is>
          <t>Shipped</t>
        </is>
      </c>
      <c r="F4203" s="16" t="inlineStr">
        <is>
          <t>LV54W25</t>
        </is>
      </c>
      <c r="G4203" s="16" t="inlineStr">
        <is>
          <t>TIANLAI Lámpara Ventilador E27 2 en 1, Silenciosa, LED Alta Luminosidad 180°, Instalación Rápida, Ahorro Energético para Dormitorio y Interiores Pequeños</t>
        </is>
      </c>
      <c r="H4203" s="16" t="inlineStr">
        <is>
          <t>1 Pieza</t>
        </is>
      </c>
      <c r="I4203" s="16" t="n">
        <v>1</v>
      </c>
      <c r="J4203" s="17" t="n">
        <v>75.8</v>
      </c>
      <c r="K4203" s="17" t="n">
        <v>79.98</v>
      </c>
      <c r="L4203" s="17" t="n">
        <v>0</v>
      </c>
      <c r="M4203" s="17" t="n">
        <v>0</v>
      </c>
      <c r="N4203" s="17">
        <f>K4203*0.08+L4203*0.08</f>
        <v/>
      </c>
      <c r="O4203" s="17">
        <f>-(K4203*0.025+L4203*0.025)</f>
        <v/>
      </c>
      <c r="P4203" s="17">
        <f>32</f>
        <v/>
      </c>
      <c r="Q4203" s="17">
        <f>J4203+L4203+N4203+O4203-P4203-M4203</f>
        <v/>
      </c>
    </row>
    <row r="4204">
      <c r="A4204" s="16" t="inlineStr">
        <is>
          <t>5.8-5.14</t>
        </is>
      </c>
      <c r="B4204" s="16" t="inlineStr">
        <is>
          <t>PO-128-10031156931191040</t>
        </is>
      </c>
      <c r="C4204" s="16" t="inlineStr">
        <is>
          <t>Shipped</t>
        </is>
      </c>
      <c r="D4204" s="16" t="inlineStr">
        <is>
          <t>128-10031167416951040</t>
        </is>
      </c>
      <c r="E4204" s="16" t="inlineStr">
        <is>
          <t>Shipped</t>
        </is>
      </c>
      <c r="F4204" s="16" t="inlineStr">
        <is>
          <t>KTS-2031</t>
        </is>
      </c>
      <c r="G4204" s="16" t="inlineStr">
        <is>
          <t>Bocina inalámbrica de 3 pulgadas con linterna multifuncional y panel solar integrado.Altavoz Portátil con Linterna LED 4 Modos, Radio FM, Bluetooth, Carga Solar, Ideal para Apagones, Emergencias, Campo y Exteriores</t>
        </is>
      </c>
      <c r="H4204" s="16" t="inlineStr">
        <is>
          <t>NEGRO</t>
        </is>
      </c>
      <c r="I4204" s="16" t="n">
        <v>1</v>
      </c>
      <c r="J4204" s="17" t="n">
        <v>78</v>
      </c>
      <c r="K4204" s="17" t="n">
        <v>87.22</v>
      </c>
      <c r="L4204" s="17" t="n">
        <v>25.86</v>
      </c>
      <c r="M4204" s="17" t="n">
        <v>0</v>
      </c>
      <c r="N4204" s="17">
        <f>K4204*0.08+L4204*0.08</f>
        <v/>
      </c>
      <c r="O4204" s="17">
        <f>-(K4204*0.025+L4204*0.025)</f>
        <v/>
      </c>
      <c r="P4204" s="17">
        <f>32</f>
        <v/>
      </c>
      <c r="Q4204" s="17">
        <f>J4204+L4204+N4204+O4204-P4204-M4204</f>
        <v/>
      </c>
    </row>
    <row r="4205">
      <c r="A4205" s="16" t="inlineStr">
        <is>
          <t>5.8-5.14</t>
        </is>
      </c>
      <c r="B4205" s="16" t="inlineStr">
        <is>
          <t>PO-128-09670837473913252</t>
        </is>
      </c>
      <c r="C4205" s="16" t="inlineStr">
        <is>
          <t>Shipped</t>
        </is>
      </c>
      <c r="D4205" s="16" t="inlineStr">
        <is>
          <t>128-09670858445433252</t>
        </is>
      </c>
      <c r="E4205" s="16" t="inlineStr">
        <is>
          <t>Shipped</t>
        </is>
      </c>
      <c r="F4205" s="16" t="inlineStr">
        <is>
          <t>KTS-2031</t>
        </is>
      </c>
      <c r="G4205" s="16" t="inlineStr">
        <is>
          <t>Bocina inalámbrica de 3 pulgadas con linterna multifuncional y panel solar integrado.Altavoz Portátil con Linterna LED 4 Modos, Radio FM, Bluetooth, Carga Solar, Ideal para Apagones, Emergencias, Campo y Exteriores</t>
        </is>
      </c>
      <c r="H4205" s="16" t="inlineStr">
        <is>
          <t>NEGRO</t>
        </is>
      </c>
      <c r="I4205" s="16" t="n">
        <v>1</v>
      </c>
      <c r="J4205" s="17" t="n">
        <v>78</v>
      </c>
      <c r="K4205" s="17" t="n">
        <v>87.22</v>
      </c>
      <c r="L4205" s="17" t="n">
        <v>25.86</v>
      </c>
      <c r="M4205" s="17" t="n">
        <v>0</v>
      </c>
      <c r="N4205" s="17">
        <f>K4205*0.08+L4205*0.08</f>
        <v/>
      </c>
      <c r="O4205" s="17">
        <f>-(K4205*0.025+L4205*0.025)</f>
        <v/>
      </c>
      <c r="P4205" s="17">
        <f>32</f>
        <v/>
      </c>
      <c r="Q4205" s="17">
        <f>J4205+L4205+N4205+O4205-P4205-M4205</f>
        <v/>
      </c>
    </row>
    <row r="4206">
      <c r="A4206" s="16" t="inlineStr">
        <is>
          <t>5.8-5.14</t>
        </is>
      </c>
      <c r="B4206" s="16" t="inlineStr">
        <is>
          <t>PO-128-09634468874873535</t>
        </is>
      </c>
      <c r="C4206" s="16" t="inlineStr">
        <is>
          <t>Shipped</t>
        </is>
      </c>
      <c r="D4206" s="16" t="inlineStr">
        <is>
          <t>128-09634426931833535</t>
        </is>
      </c>
      <c r="E4206" s="16" t="inlineStr">
        <is>
          <t>Shipped</t>
        </is>
      </c>
      <c r="F4206" s="16" t="inlineStr">
        <is>
          <t>LV64W25</t>
        </is>
      </c>
      <c r="G420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06" s="16" t="inlineStr">
        <is>
          <t>Blanco</t>
        </is>
      </c>
      <c r="I4206" s="16" t="n">
        <v>2</v>
      </c>
      <c r="J4206" s="17" t="n">
        <v>238</v>
      </c>
      <c r="K4206" s="17" t="n">
        <v>219.64</v>
      </c>
      <c r="L4206" s="17" t="n">
        <v>0</v>
      </c>
      <c r="M4206" s="17" t="n">
        <v>0</v>
      </c>
      <c r="N4206" s="17">
        <f>K4206*0.08+L4206*0.08</f>
        <v/>
      </c>
      <c r="O4206" s="17">
        <f>-(K4206*0.025+L4206*0.025)</f>
        <v/>
      </c>
      <c r="P4206" s="17">
        <f>32</f>
        <v/>
      </c>
      <c r="Q4206" s="17">
        <f>J4206+L4206+N4206+O4206-P4206-M4206</f>
        <v/>
      </c>
    </row>
    <row r="4207">
      <c r="A4207" s="16" t="inlineStr">
        <is>
          <t>5.8-5.14</t>
        </is>
      </c>
      <c r="B4207" s="16" t="inlineStr">
        <is>
          <t>PO-128-09852462863992299</t>
        </is>
      </c>
      <c r="C4207" s="16" t="inlineStr">
        <is>
          <t>Shipped</t>
        </is>
      </c>
      <c r="D4207" s="16" t="inlineStr">
        <is>
          <t>128-09852504807032299</t>
        </is>
      </c>
      <c r="E4207" s="16" t="inlineStr">
        <is>
          <t>Shipped</t>
        </is>
      </c>
      <c r="F4207" s="16" t="inlineStr">
        <is>
          <t>LV64W25</t>
        </is>
      </c>
      <c r="G420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07" s="16" t="inlineStr">
        <is>
          <t>Blanco</t>
        </is>
      </c>
      <c r="I4207" s="16" t="n">
        <v>2</v>
      </c>
      <c r="J4207" s="17" t="n">
        <v>238</v>
      </c>
      <c r="K4207" s="17" t="n">
        <v>219.64</v>
      </c>
      <c r="L4207" s="17" t="n">
        <v>0</v>
      </c>
      <c r="M4207" s="17" t="n">
        <v>0</v>
      </c>
      <c r="N4207" s="17">
        <f>K4207*0.08+L4207*0.08</f>
        <v/>
      </c>
      <c r="O4207" s="17">
        <f>-(K4207*0.025+L4207*0.025)</f>
        <v/>
      </c>
      <c r="P4207" s="17">
        <f>32</f>
        <v/>
      </c>
      <c r="Q4207" s="17">
        <f>J4207+L4207+N4207+O4207-P4207-M4207</f>
        <v/>
      </c>
    </row>
    <row r="4208">
      <c r="A4208" s="16" t="inlineStr">
        <is>
          <t>5.8-5.14</t>
        </is>
      </c>
      <c r="B4208" s="16" t="inlineStr">
        <is>
          <t>PO-128-09869475727992132</t>
        </is>
      </c>
      <c r="C4208" s="16" t="inlineStr">
        <is>
          <t>Shipped</t>
        </is>
      </c>
      <c r="D4208" s="16" t="inlineStr">
        <is>
          <t>128-09869496699512132</t>
        </is>
      </c>
      <c r="E4208" s="16" t="inlineStr">
        <is>
          <t>Shipped</t>
        </is>
      </c>
      <c r="F4208" s="16" t="inlineStr">
        <is>
          <t>KTS-2031</t>
        </is>
      </c>
      <c r="G4208" s="16" t="inlineStr">
        <is>
          <t>Bocina inalámbrica de 3 pulgadas con linterna multifuncional y panel solar integrado.Altavoz Portátil con Linterna LED 4 Modos, Radio FM, Bluetooth, Carga Solar, Ideal para Apagones, Emergencias, Campo y Exteriores</t>
        </is>
      </c>
      <c r="H4208" s="16" t="inlineStr">
        <is>
          <t>NEGRO</t>
        </is>
      </c>
      <c r="I4208" s="16" t="n">
        <v>1</v>
      </c>
      <c r="J4208" s="17" t="n">
        <v>78</v>
      </c>
      <c r="K4208" s="17" t="n">
        <v>87.22</v>
      </c>
      <c r="L4208" s="17" t="n">
        <v>25.86</v>
      </c>
      <c r="M4208" s="17" t="n">
        <v>0</v>
      </c>
      <c r="N4208" s="17">
        <f>K4208*0.08+L4208*0.08</f>
        <v/>
      </c>
      <c r="O4208" s="17">
        <f>-(K4208*0.025+L4208*0.025)</f>
        <v/>
      </c>
      <c r="P4208" s="17">
        <f>32</f>
        <v/>
      </c>
      <c r="Q4208" s="17">
        <f>J4208+L4208+N4208+O4208-P4208-M4208</f>
        <v/>
      </c>
    </row>
    <row r="4209">
      <c r="A4209" s="16" t="inlineStr">
        <is>
          <t>5.8-5.14</t>
        </is>
      </c>
      <c r="B4209" s="16" t="inlineStr">
        <is>
          <t>PO-128-09851964590712300</t>
        </is>
      </c>
      <c r="C4209" s="16" t="inlineStr">
        <is>
          <t>Shipped</t>
        </is>
      </c>
      <c r="D4209" s="16" t="inlineStr">
        <is>
          <t>128-09852006533752300</t>
        </is>
      </c>
      <c r="E4209" s="16" t="inlineStr">
        <is>
          <t>Shipped</t>
        </is>
      </c>
      <c r="F4209" s="16" t="inlineStr">
        <is>
          <t>LV54W25</t>
        </is>
      </c>
      <c r="G4209" s="16" t="inlineStr">
        <is>
          <t>TIANLAI Lámpara Ventilador E27 2 en 1, Silenciosa, LED Alta Luminosidad 180°, Instalación Rápida, Ahorro Energético para Dormitorio y Interiores Pequeños</t>
        </is>
      </c>
      <c r="H4209" s="16" t="inlineStr">
        <is>
          <t>1 Pieza</t>
        </is>
      </c>
      <c r="I4209" s="16" t="n">
        <v>2</v>
      </c>
      <c r="J4209" s="17" t="n">
        <v>151.6</v>
      </c>
      <c r="K4209" s="17" t="n">
        <v>115</v>
      </c>
      <c r="L4209" s="17" t="n">
        <v>25.86</v>
      </c>
      <c r="M4209" s="17" t="n">
        <v>0</v>
      </c>
      <c r="N4209" s="17">
        <f>K4209*0.08+L4209*0.08</f>
        <v/>
      </c>
      <c r="O4209" s="17">
        <f>-(K4209*0.025+L4209*0.025)</f>
        <v/>
      </c>
      <c r="P4209" s="17">
        <f>32</f>
        <v/>
      </c>
      <c r="Q4209" s="17">
        <f>J4209+L4209+N4209+O4209-P4209-M4209</f>
        <v/>
      </c>
    </row>
    <row r="4210">
      <c r="A4210" s="16" t="inlineStr">
        <is>
          <t>5.8-5.14</t>
        </is>
      </c>
      <c r="B4210" s="16" t="inlineStr">
        <is>
          <t>PO-128-09949740677752615</t>
        </is>
      </c>
      <c r="C4210" s="16" t="inlineStr">
        <is>
          <t>Shipped</t>
        </is>
      </c>
      <c r="D4210" s="16" t="inlineStr">
        <is>
          <t>128-09949876992632615</t>
        </is>
      </c>
      <c r="E4210" s="16" t="inlineStr">
        <is>
          <t>Shipped</t>
        </is>
      </c>
      <c r="F4210" s="16" t="inlineStr">
        <is>
          <t>LV64W25</t>
        </is>
      </c>
      <c r="G42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10" s="16" t="inlineStr">
        <is>
          <t>Blanco</t>
        </is>
      </c>
      <c r="I4210" s="16" t="n">
        <v>2</v>
      </c>
      <c r="J4210" s="17" t="n">
        <v>238</v>
      </c>
      <c r="K4210" s="17" t="n">
        <v>274.56</v>
      </c>
      <c r="L4210" s="17" t="n">
        <v>0</v>
      </c>
      <c r="M4210" s="17" t="n">
        <v>0</v>
      </c>
      <c r="N4210" s="17">
        <f>K4210*0.08+L4210*0.08</f>
        <v/>
      </c>
      <c r="O4210" s="17">
        <f>-(K4210*0.025+L4210*0.025)</f>
        <v/>
      </c>
      <c r="P4210" s="17">
        <f>32</f>
        <v/>
      </c>
      <c r="Q4210" s="17">
        <f>J4210+L4210+N4210+O4210-P4210-M4210</f>
        <v/>
      </c>
    </row>
    <row r="4211">
      <c r="A4211" s="16" t="inlineStr">
        <is>
          <t>5.8-5.14</t>
        </is>
      </c>
      <c r="B4211" s="16" t="inlineStr">
        <is>
          <t>PO-128-09787492813433708</t>
        </is>
      </c>
      <c r="C4211" s="16" t="inlineStr">
        <is>
          <t>Shipped</t>
        </is>
      </c>
      <c r="D4211" s="16" t="inlineStr">
        <is>
          <t>128-09787659602553708</t>
        </is>
      </c>
      <c r="E4211" s="16" t="inlineStr">
        <is>
          <t>Shipped</t>
        </is>
      </c>
      <c r="F4211" s="16" t="inlineStr">
        <is>
          <t>LV54W25</t>
        </is>
      </c>
      <c r="G4211" s="16" t="inlineStr">
        <is>
          <t>TIANLAI Lámpara Ventilador E27 2 en 1, Silenciosa, LED Alta Luminosidad 180°, Instalación Rápida, Ahorro Energético para Dormitorio y Interiores Pequeños</t>
        </is>
      </c>
      <c r="H4211" s="16" t="inlineStr">
        <is>
          <t>1 Pieza</t>
        </is>
      </c>
      <c r="I4211" s="16" t="n">
        <v>3</v>
      </c>
      <c r="J4211" s="17" t="n">
        <v>227.4</v>
      </c>
      <c r="K4211" s="17" t="n">
        <v>203.95</v>
      </c>
      <c r="L4211" s="17" t="n">
        <v>0</v>
      </c>
      <c r="M4211" s="17" t="n">
        <v>0</v>
      </c>
      <c r="N4211" s="17">
        <f>K4211*0.08+L4211*0.08</f>
        <v/>
      </c>
      <c r="O4211" s="17">
        <f>-(K4211*0.025+L4211*0.025)</f>
        <v/>
      </c>
      <c r="P4211" s="17">
        <f>32</f>
        <v/>
      </c>
      <c r="Q4211" s="17">
        <f>J4211+L4211+N4211+O4211-P4211-M4211</f>
        <v/>
      </c>
    </row>
    <row r="4212">
      <c r="A4212" s="16" t="inlineStr">
        <is>
          <t>5.8-5.14</t>
        </is>
      </c>
      <c r="B4212" s="16" t="inlineStr">
        <is>
          <t>PO-128-09968352179831414</t>
        </is>
      </c>
      <c r="C4212" s="16" t="inlineStr">
        <is>
          <t>Shipped</t>
        </is>
      </c>
      <c r="D4212" s="16" t="inlineStr">
        <is>
          <t>128-09968516019831414</t>
        </is>
      </c>
      <c r="E4212" s="16" t="inlineStr">
        <is>
          <t>Shipped</t>
        </is>
      </c>
      <c r="F4212" s="16" t="inlineStr">
        <is>
          <t>LV64W25</t>
        </is>
      </c>
      <c r="G42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12" s="16" t="inlineStr">
        <is>
          <t>Blanco</t>
        </is>
      </c>
      <c r="I4212" s="16" t="n">
        <v>3</v>
      </c>
      <c r="J4212" s="17" t="n">
        <v>357</v>
      </c>
      <c r="K4212" s="17" t="n">
        <v>411.84</v>
      </c>
      <c r="L4212" s="17" t="n">
        <v>0</v>
      </c>
      <c r="M4212" s="17" t="n">
        <v>0</v>
      </c>
      <c r="N4212" s="17">
        <f>K4212*0.08+L4212*0.08</f>
        <v/>
      </c>
      <c r="O4212" s="17">
        <f>-(K4212*0.025+L4212*0.025)</f>
        <v/>
      </c>
      <c r="P4212" s="17">
        <f>32</f>
        <v/>
      </c>
      <c r="Q4212" s="17">
        <f>J4212+L4212+N4212+O4212-P4212-M4212</f>
        <v/>
      </c>
    </row>
    <row r="4213">
      <c r="A4213" s="16" t="inlineStr">
        <is>
          <t>5.8-5.14</t>
        </is>
      </c>
      <c r="B4213" s="16" t="inlineStr">
        <is>
          <t>PO-128-09845493110392213</t>
        </is>
      </c>
      <c r="C4213" s="16" t="inlineStr">
        <is>
          <t>Shipped</t>
        </is>
      </c>
      <c r="D4213" s="16" t="inlineStr">
        <is>
          <t>128-09845514081912213</t>
        </is>
      </c>
      <c r="E4213" s="16" t="inlineStr">
        <is>
          <t>Shipped</t>
        </is>
      </c>
      <c r="F4213" s="16" t="inlineStr">
        <is>
          <t>LV64W25</t>
        </is>
      </c>
      <c r="G42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13" s="16" t="inlineStr">
        <is>
          <t>Blanco</t>
        </is>
      </c>
      <c r="I4213" s="16" t="n">
        <v>1</v>
      </c>
      <c r="J4213" s="17" t="n">
        <v>119</v>
      </c>
      <c r="K4213" s="17" t="n">
        <v>137.28</v>
      </c>
      <c r="L4213" s="17" t="n">
        <v>25.86</v>
      </c>
      <c r="M4213" s="17" t="n">
        <v>0</v>
      </c>
      <c r="N4213" s="17">
        <f>K4213*0.08+L4213*0.08</f>
        <v/>
      </c>
      <c r="O4213" s="17">
        <f>-(K4213*0.025+L4213*0.025)</f>
        <v/>
      </c>
      <c r="P4213" s="17">
        <f>32</f>
        <v/>
      </c>
      <c r="Q4213" s="17">
        <f>J4213+L4213+N4213+O4213-P4213-M4213</f>
        <v/>
      </c>
    </row>
    <row r="4214">
      <c r="A4214" s="16" t="inlineStr">
        <is>
          <t>5.8-5.14</t>
        </is>
      </c>
      <c r="B4214" s="16" t="inlineStr">
        <is>
          <t>PO-128-09976652677751495</t>
        </is>
      </c>
      <c r="C4214" s="16" t="inlineStr">
        <is>
          <t>Shipped</t>
        </is>
      </c>
      <c r="D4214" s="16" t="inlineStr">
        <is>
          <t>128-09976694620791495</t>
        </is>
      </c>
      <c r="E4214" s="16" t="inlineStr">
        <is>
          <t>Shipped</t>
        </is>
      </c>
      <c r="F4214" s="16" t="inlineStr">
        <is>
          <t>LV64W25</t>
        </is>
      </c>
      <c r="G42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14" s="16" t="inlineStr">
        <is>
          <t>Blanco</t>
        </is>
      </c>
      <c r="I4214" s="16" t="n">
        <v>2</v>
      </c>
      <c r="J4214" s="17" t="n">
        <v>238</v>
      </c>
      <c r="K4214" s="17" t="n">
        <v>274.56</v>
      </c>
      <c r="L4214" s="17" t="n">
        <v>0</v>
      </c>
      <c r="M4214" s="17" t="n">
        <v>0</v>
      </c>
      <c r="N4214" s="17">
        <f>K4214*0.08+L4214*0.08</f>
        <v/>
      </c>
      <c r="O4214" s="17">
        <f>-(K4214*0.025+L4214*0.025)</f>
        <v/>
      </c>
      <c r="P4214" s="17">
        <f>32</f>
        <v/>
      </c>
      <c r="Q4214" s="17">
        <f>J4214+L4214+N4214+O4214-P4214-M4214</f>
        <v/>
      </c>
    </row>
    <row r="4215">
      <c r="A4215" s="16" t="inlineStr">
        <is>
          <t>5.8-5.14</t>
        </is>
      </c>
      <c r="B4215" s="16" t="inlineStr">
        <is>
          <t>PO-128-10030562862711044</t>
        </is>
      </c>
      <c r="C4215" s="16" t="inlineStr">
        <is>
          <t>Shipped</t>
        </is>
      </c>
      <c r="D4215" s="16" t="inlineStr">
        <is>
          <t>128-10030520919671044</t>
        </is>
      </c>
      <c r="E4215" s="16" t="inlineStr">
        <is>
          <t>Shipped</t>
        </is>
      </c>
      <c r="F4215" s="16" t="inlineStr">
        <is>
          <t>LV54W25</t>
        </is>
      </c>
      <c r="G4215" s="16" t="inlineStr">
        <is>
          <t>TIANLAI Lámpara Ventilador E27 2 en 1, Silenciosa, LED Alta Luminosidad 180°, Instalación Rápida, Ahorro Energético para Dormitorio y Interiores Pequeños</t>
        </is>
      </c>
      <c r="H4215" s="16" t="inlineStr">
        <is>
          <t>1 Pieza</t>
        </is>
      </c>
      <c r="I4215" s="16" t="n">
        <v>1</v>
      </c>
      <c r="J4215" s="17" t="n">
        <v>75.8</v>
      </c>
      <c r="K4215" s="17" t="n">
        <v>36.88</v>
      </c>
      <c r="L4215" s="17" t="n">
        <v>25.86</v>
      </c>
      <c r="M4215" s="17" t="n">
        <v>0</v>
      </c>
      <c r="N4215" s="17">
        <f>K4215*0.08+L4215*0.08</f>
        <v/>
      </c>
      <c r="O4215" s="17">
        <f>-(K4215*0.025+L4215*0.025)</f>
        <v/>
      </c>
      <c r="P4215" s="17">
        <f>32</f>
        <v/>
      </c>
      <c r="Q4215" s="17">
        <f>J4215+L4215+N4215+O4215-P4215-M4215</f>
        <v/>
      </c>
    </row>
    <row r="4216">
      <c r="A4216" s="16" t="inlineStr">
        <is>
          <t>5.8-5.14</t>
        </is>
      </c>
      <c r="B4216" s="16" t="inlineStr">
        <is>
          <t>PO-128-09649850583673379</t>
        </is>
      </c>
      <c r="C4216" s="16" t="inlineStr">
        <is>
          <t>Shipped</t>
        </is>
      </c>
      <c r="D4216" s="16" t="inlineStr">
        <is>
          <t>128-09649840097913379</t>
        </is>
      </c>
      <c r="E4216" s="16" t="inlineStr">
        <is>
          <t>Shipped</t>
        </is>
      </c>
      <c r="F4216" s="16" t="inlineStr">
        <is>
          <t>LV54W25</t>
        </is>
      </c>
      <c r="G4216" s="16" t="inlineStr">
        <is>
          <t>TIANLAI Lámpara Ventilador E27 2 en 1, Silenciosa, LED Alta Luminosidad 180°, Instalación Rápida, Ahorro Energético para Dormitorio y Interiores Pequeños</t>
        </is>
      </c>
      <c r="H4216" s="16" t="inlineStr">
        <is>
          <t>1 Pieza</t>
        </is>
      </c>
      <c r="I4216" s="16" t="n">
        <v>1</v>
      </c>
      <c r="J4216" s="17" t="n">
        <v>75.8</v>
      </c>
      <c r="K4216" s="17" t="n">
        <v>79.98</v>
      </c>
      <c r="L4216" s="17" t="n">
        <v>25.86</v>
      </c>
      <c r="M4216" s="17" t="n">
        <v>0</v>
      </c>
      <c r="N4216" s="17">
        <f>K4216*0.08+L4216*0.08</f>
        <v/>
      </c>
      <c r="O4216" s="17">
        <f>-(K4216*0.025+L4216*0.025)</f>
        <v/>
      </c>
      <c r="P4216" s="17">
        <f>32</f>
        <v/>
      </c>
      <c r="Q4216" s="17">
        <f>J4216+L4216+N4216+O4216-P4216-M4216</f>
        <v/>
      </c>
    </row>
    <row r="4217">
      <c r="A4217" s="16" t="inlineStr">
        <is>
          <t>5.8-5.14</t>
        </is>
      </c>
      <c r="B4217" s="16" t="inlineStr">
        <is>
          <t>PO-128-10001463972471347</t>
        </is>
      </c>
      <c r="C4217" s="16" t="inlineStr">
        <is>
          <t>Shipped</t>
        </is>
      </c>
      <c r="D4217" s="16" t="inlineStr">
        <is>
          <t>128-10001474458231347</t>
        </is>
      </c>
      <c r="E4217" s="16" t="inlineStr">
        <is>
          <t>Shipped</t>
        </is>
      </c>
      <c r="F4217" s="16" t="inlineStr">
        <is>
          <t>LV54W25</t>
        </is>
      </c>
      <c r="G4217" s="16" t="inlineStr">
        <is>
          <t>TIANLAI Lámpara Ventilador E27 2 en 1, Silenciosa, LED Alta Luminosidad 180°, Instalación Rápida, Ahorro Energético para Dormitorio y Interiores Pequeños</t>
        </is>
      </c>
      <c r="H4217" s="16" t="inlineStr">
        <is>
          <t>1 Pieza</t>
        </is>
      </c>
      <c r="I4217" s="16" t="n">
        <v>3</v>
      </c>
      <c r="J4217" s="17" t="n">
        <v>227.4</v>
      </c>
      <c r="K4217" s="17" t="n">
        <v>237.15</v>
      </c>
      <c r="L4217" s="17" t="n">
        <v>0</v>
      </c>
      <c r="M4217" s="17" t="n">
        <v>0</v>
      </c>
      <c r="N4217" s="17">
        <f>K4217*0.08+L4217*0.08</f>
        <v/>
      </c>
      <c r="O4217" s="17">
        <f>-(K4217*0.025+L4217*0.025)</f>
        <v/>
      </c>
      <c r="P4217" s="17">
        <f>32</f>
        <v/>
      </c>
      <c r="Q4217" s="17">
        <f>J4217+L4217+N4217+O4217-P4217-M4217</f>
        <v/>
      </c>
    </row>
    <row r="4218">
      <c r="A4218" s="16" t="inlineStr">
        <is>
          <t>5.8-5.14</t>
        </is>
      </c>
      <c r="B4218" s="16" t="inlineStr">
        <is>
          <t>PO-128-09875692099192161</t>
        </is>
      </c>
      <c r="C4218" s="16" t="inlineStr">
        <is>
          <t>Shipped</t>
        </is>
      </c>
      <c r="D4218" s="16" t="inlineStr">
        <is>
          <t>128-09875713070712161</t>
        </is>
      </c>
      <c r="E4218" s="16" t="inlineStr">
        <is>
          <t>Shipped</t>
        </is>
      </c>
      <c r="F4218" s="16" t="inlineStr">
        <is>
          <t>LV64W25</t>
        </is>
      </c>
      <c r="G421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18" s="16" t="inlineStr">
        <is>
          <t>Blanco</t>
        </is>
      </c>
      <c r="I4218" s="16" t="n">
        <v>1</v>
      </c>
      <c r="J4218" s="17" t="n">
        <v>119</v>
      </c>
      <c r="K4218" s="17" t="n">
        <v>137.28</v>
      </c>
      <c r="L4218" s="17" t="n">
        <v>25.86</v>
      </c>
      <c r="M4218" s="17" t="n">
        <v>0</v>
      </c>
      <c r="N4218" s="17">
        <f>K4218*0.08+L4218*0.08</f>
        <v/>
      </c>
      <c r="O4218" s="17">
        <f>-(K4218*0.025+L4218*0.025)</f>
        <v/>
      </c>
      <c r="P4218" s="17">
        <f>32</f>
        <v/>
      </c>
      <c r="Q4218" s="17">
        <f>J4218+L4218+N4218+O4218-P4218-M4218</f>
        <v/>
      </c>
    </row>
    <row r="4219">
      <c r="A4219" s="16" t="inlineStr">
        <is>
          <t>5.8-5.14</t>
        </is>
      </c>
      <c r="B4219" s="16" t="inlineStr">
        <is>
          <t>PO-128-10100135015031719</t>
        </is>
      </c>
      <c r="C4219" s="16" t="inlineStr">
        <is>
          <t>Shipped</t>
        </is>
      </c>
      <c r="D4219" s="16" t="inlineStr">
        <is>
          <t>128-10100176958071719</t>
        </is>
      </c>
      <c r="E4219" s="16" t="inlineStr">
        <is>
          <t>Shipped</t>
        </is>
      </c>
      <c r="F4219" s="16" t="inlineStr">
        <is>
          <t>KTS-2031</t>
        </is>
      </c>
      <c r="G4219" s="16" t="inlineStr">
        <is>
          <t>Bocina inalámbrica de 3 pulgadas con linterna multifuncional y panel solar integrado.Altavoz Portátil con Linterna LED 4 Modos, Radio FM, Bluetooth, Carga Solar, Ideal para Apagones, Emergencias, Campo y Exteriores</t>
        </is>
      </c>
      <c r="H4219" s="16" t="inlineStr">
        <is>
          <t>NEGRO</t>
        </is>
      </c>
      <c r="I4219" s="16" t="n">
        <v>1</v>
      </c>
      <c r="J4219" s="17" t="n">
        <v>78</v>
      </c>
      <c r="K4219" s="17" t="n">
        <v>4.46</v>
      </c>
      <c r="L4219" s="17" t="n">
        <v>25.86</v>
      </c>
      <c r="M4219" s="17" t="n">
        <v>0</v>
      </c>
      <c r="N4219" s="17">
        <f>K4219*0.08+L4219*0.08</f>
        <v/>
      </c>
      <c r="O4219" s="17">
        <f>-(K4219*0.025+L4219*0.025)</f>
        <v/>
      </c>
      <c r="P4219" s="17">
        <f>32</f>
        <v/>
      </c>
      <c r="Q4219" s="17">
        <f>J4219+L4219+N4219+O4219-P4219-M4219</f>
        <v/>
      </c>
    </row>
    <row r="4220">
      <c r="A4220" s="16" t="inlineStr">
        <is>
          <t>5.8-5.14</t>
        </is>
      </c>
      <c r="B4220" s="16" t="inlineStr">
        <is>
          <t>PO-128-10100150743671719</t>
        </is>
      </c>
      <c r="C4220" s="16" t="inlineStr">
        <is>
          <t>Shipped</t>
        </is>
      </c>
      <c r="D4220" s="16" t="inlineStr">
        <is>
          <t>128-10100203172471719</t>
        </is>
      </c>
      <c r="E4220" s="16" t="inlineStr">
        <is>
          <t>Shipped</t>
        </is>
      </c>
      <c r="F4220" s="16" t="inlineStr">
        <is>
          <t>KTS-2031</t>
        </is>
      </c>
      <c r="G4220" s="16" t="inlineStr">
        <is>
          <t>Bocina inalámbrica de 3 pulgadas con linterna multifuncional y panel solar integrado.Altavoz Portátil con Linterna LED 4 Modos, Radio FM, Bluetooth, Carga Solar, Ideal para Apagones, Emergencias, Campo y Exteriores</t>
        </is>
      </c>
      <c r="H4220" s="16" t="inlineStr">
        <is>
          <t>NEGRO</t>
        </is>
      </c>
      <c r="I4220" s="16" t="n">
        <v>1</v>
      </c>
      <c r="J4220" s="17" t="n">
        <v>78</v>
      </c>
      <c r="K4220" s="17" t="n">
        <v>4.46</v>
      </c>
      <c r="L4220" s="17" t="n">
        <v>25.86</v>
      </c>
      <c r="M4220" s="17" t="n">
        <v>0</v>
      </c>
      <c r="N4220" s="17">
        <f>K4220*0.08+L4220*0.08</f>
        <v/>
      </c>
      <c r="O4220" s="17">
        <f>-(K4220*0.025+L4220*0.025)</f>
        <v/>
      </c>
      <c r="P4220" s="17">
        <f>32</f>
        <v/>
      </c>
      <c r="Q4220" s="17">
        <f>J4220+L4220+N4220+O4220-P4220-M4220</f>
        <v/>
      </c>
    </row>
    <row r="4221">
      <c r="A4221" s="16" t="inlineStr">
        <is>
          <t>5.8-5.14</t>
        </is>
      </c>
      <c r="B4221" s="16" t="inlineStr">
        <is>
          <t>PO-128-09671189105273250</t>
        </is>
      </c>
      <c r="C4221" s="16" t="inlineStr">
        <is>
          <t>Shipped</t>
        </is>
      </c>
      <c r="D4221" s="16" t="inlineStr">
        <is>
          <t>128-09671147162233250</t>
        </is>
      </c>
      <c r="E4221" s="16" t="inlineStr">
        <is>
          <t>Shipped</t>
        </is>
      </c>
      <c r="F4221" s="16" t="inlineStr">
        <is>
          <t>LV64W25</t>
        </is>
      </c>
      <c r="G422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21" s="16" t="inlineStr">
        <is>
          <t>Blanco</t>
        </is>
      </c>
      <c r="I4221" s="16" t="n">
        <v>1</v>
      </c>
      <c r="J4221" s="17" t="n">
        <v>119</v>
      </c>
      <c r="K4221" s="17" t="n">
        <v>137.28</v>
      </c>
      <c r="L4221" s="17" t="n">
        <v>25.86</v>
      </c>
      <c r="M4221" s="17" t="n">
        <v>0</v>
      </c>
      <c r="N4221" s="17">
        <f>K4221*0.08+L4221*0.08</f>
        <v/>
      </c>
      <c r="O4221" s="17">
        <f>-(K4221*0.025+L4221*0.025)</f>
        <v/>
      </c>
      <c r="P4221" s="17">
        <f>32</f>
        <v/>
      </c>
      <c r="Q4221" s="17">
        <f>J4221+L4221+N4221+O4221-P4221-M4221</f>
        <v/>
      </c>
    </row>
    <row r="4222">
      <c r="A4222" s="16" t="inlineStr">
        <is>
          <t>5.8-5.14</t>
        </is>
      </c>
      <c r="B4222" s="16" t="inlineStr">
        <is>
          <t>PO-128-09708671785593986</t>
        </is>
      </c>
      <c r="C4222" s="16" t="inlineStr">
        <is>
          <t>Shipped</t>
        </is>
      </c>
      <c r="D4222" s="16" t="inlineStr">
        <is>
          <t>128-09708692757113986</t>
        </is>
      </c>
      <c r="E4222" s="16" t="inlineStr">
        <is>
          <t>Shipped</t>
        </is>
      </c>
      <c r="F4222" s="16" t="inlineStr">
        <is>
          <t>LV54W25</t>
        </is>
      </c>
      <c r="G4222" s="16" t="inlineStr">
        <is>
          <t>TIANLAI Lámpara Ventilador E27 2 en 1, Silenciosa, LED Alta Luminosidad 180°, Instalación Rápida, Ahorro Energético para Dormitorio y Interiores Pequeños</t>
        </is>
      </c>
      <c r="H4222" s="16" t="inlineStr">
        <is>
          <t>1 Pieza</t>
        </is>
      </c>
      <c r="I4222" s="16" t="n">
        <v>2</v>
      </c>
      <c r="J4222" s="17" t="n">
        <v>151.6</v>
      </c>
      <c r="K4222" s="17" t="n">
        <v>119.97</v>
      </c>
      <c r="L4222" s="17" t="n">
        <v>25.86</v>
      </c>
      <c r="M4222" s="17" t="n">
        <v>0</v>
      </c>
      <c r="N4222" s="17">
        <f>K4222*0.08+L4222*0.08</f>
        <v/>
      </c>
      <c r="O4222" s="17">
        <f>-(K4222*0.025+L4222*0.025)</f>
        <v/>
      </c>
      <c r="P4222" s="17">
        <f>32</f>
        <v/>
      </c>
      <c r="Q4222" s="17">
        <f>J4222+L4222+N4222+O4222-P4222-M4222</f>
        <v/>
      </c>
    </row>
    <row r="4223">
      <c r="A4223" s="16" t="inlineStr">
        <is>
          <t>5.8-5.14</t>
        </is>
      </c>
      <c r="B4223" s="16" t="inlineStr">
        <is>
          <t>PO-128-10173669622390321</t>
        </is>
      </c>
      <c r="C4223" s="16" t="inlineStr">
        <is>
          <t>Shipped</t>
        </is>
      </c>
      <c r="D4223" s="16" t="inlineStr">
        <is>
          <t>128-10173627679350321</t>
        </is>
      </c>
      <c r="E4223" s="16" t="inlineStr">
        <is>
          <t>Shipped</t>
        </is>
      </c>
      <c r="F4223" s="16" t="inlineStr">
        <is>
          <t>LV54W25</t>
        </is>
      </c>
      <c r="G4223" s="16" t="inlineStr">
        <is>
          <t>TIANLAI Lámpara Ventilador E27 2 en 1, Silenciosa, LED Alta Luminosidad 180°, Instalación Rápida, Ahorro Energético para Dormitorio y Interiores Pequeños</t>
        </is>
      </c>
      <c r="H4223" s="16" t="inlineStr">
        <is>
          <t>1 Pieza</t>
        </is>
      </c>
      <c r="I4223" s="16" t="n">
        <v>1</v>
      </c>
      <c r="J4223" s="17" t="n">
        <v>75.8</v>
      </c>
      <c r="K4223" s="17" t="n">
        <v>36.88</v>
      </c>
      <c r="L4223" s="17" t="n">
        <v>25.86</v>
      </c>
      <c r="M4223" s="17" t="n">
        <v>0</v>
      </c>
      <c r="N4223" s="17">
        <f>K4223*0.08+L4223*0.08</f>
        <v/>
      </c>
      <c r="O4223" s="17">
        <f>-(K4223*0.025+L4223*0.025)</f>
        <v/>
      </c>
      <c r="P4223" s="17">
        <f>32</f>
        <v/>
      </c>
      <c r="Q4223" s="17">
        <f>J4223+L4223+N4223+O4223-P4223-M4223</f>
        <v/>
      </c>
    </row>
    <row r="4224">
      <c r="A4224" s="16" t="inlineStr">
        <is>
          <t>5.8-5.14</t>
        </is>
      </c>
      <c r="B4224" s="16" t="inlineStr">
        <is>
          <t>PO-128-09657104968313398</t>
        </is>
      </c>
      <c r="C4224" s="16" t="inlineStr">
        <is>
          <t>Shipped</t>
        </is>
      </c>
      <c r="D4224" s="16" t="inlineStr">
        <is>
          <t>128-09657063025273398</t>
        </is>
      </c>
      <c r="E4224" s="16" t="inlineStr">
        <is>
          <t>Shipped</t>
        </is>
      </c>
      <c r="F4224" s="16" t="inlineStr">
        <is>
          <t>LV54W25</t>
        </is>
      </c>
      <c r="G4224" s="16" t="inlineStr">
        <is>
          <t>TIANLAI Lámpara Ventilador E27 2 en 1, Silenciosa, LED Alta Luminosidad 180°, Instalación Rápida, Ahorro Energético para Dormitorio y Interiores Pequeños</t>
        </is>
      </c>
      <c r="H4224" s="16" t="inlineStr">
        <is>
          <t>1 Pieza</t>
        </is>
      </c>
      <c r="I4224" s="16" t="n">
        <v>1</v>
      </c>
      <c r="J4224" s="17" t="n">
        <v>75.8</v>
      </c>
      <c r="K4224" s="17" t="n">
        <v>67.98999999999999</v>
      </c>
      <c r="L4224" s="17" t="n">
        <v>25.86</v>
      </c>
      <c r="M4224" s="17" t="n">
        <v>0</v>
      </c>
      <c r="N4224" s="17">
        <f>K4224*0.08+L4224*0.08</f>
        <v/>
      </c>
      <c r="O4224" s="17">
        <f>-(K4224*0.025+L4224*0.025)</f>
        <v/>
      </c>
      <c r="P4224" s="17">
        <f>32</f>
        <v/>
      </c>
      <c r="Q4224" s="17">
        <f>J4224+L4224+N4224+O4224-P4224-M4224</f>
        <v/>
      </c>
    </row>
    <row r="4225">
      <c r="A4225" s="16" t="inlineStr">
        <is>
          <t>5.8-5.14</t>
        </is>
      </c>
      <c r="B4225" s="16" t="inlineStr">
        <is>
          <t>PO-128-09725711145594079</t>
        </is>
      </c>
      <c r="C4225" s="16" t="inlineStr">
        <is>
          <t>Shipped</t>
        </is>
      </c>
      <c r="D4225" s="16" t="inlineStr">
        <is>
          <t>128-09725669202554079</t>
        </is>
      </c>
      <c r="E4225" s="16" t="inlineStr">
        <is>
          <t>Shipped</t>
        </is>
      </c>
      <c r="F4225" s="16" t="inlineStr">
        <is>
          <t>LV54W25</t>
        </is>
      </c>
      <c r="G4225" s="16" t="inlineStr">
        <is>
          <t>TIANLAI Lámpara Ventilador E27 2 en 1, Silenciosa, LED Alta Luminosidad 180°, Instalación Rápida, Ahorro Energético para Dormitorio y Interiores Pequeños</t>
        </is>
      </c>
      <c r="H4225" s="16" t="inlineStr">
        <is>
          <t>1 Pieza</t>
        </is>
      </c>
      <c r="I4225" s="16" t="n">
        <v>1</v>
      </c>
      <c r="J4225" s="17" t="n">
        <v>75.8</v>
      </c>
      <c r="K4225" s="17" t="n">
        <v>79.98</v>
      </c>
      <c r="L4225" s="17" t="n">
        <v>25.86</v>
      </c>
      <c r="M4225" s="17" t="n">
        <v>0</v>
      </c>
      <c r="N4225" s="17">
        <f>K4225*0.08+L4225*0.08</f>
        <v/>
      </c>
      <c r="O4225" s="17">
        <f>-(K4225*0.025+L4225*0.025)</f>
        <v/>
      </c>
      <c r="P4225" s="17">
        <f>32</f>
        <v/>
      </c>
      <c r="Q4225" s="17">
        <f>J4225+L4225+N4225+O4225-P4225-M4225</f>
        <v/>
      </c>
    </row>
    <row r="4226">
      <c r="A4226" s="16" t="inlineStr">
        <is>
          <t>5.8-5.14</t>
        </is>
      </c>
      <c r="B4226" s="16" t="inlineStr">
        <is>
          <t>PO-128-10263660954230870</t>
        </is>
      </c>
      <c r="C4226" s="16" t="inlineStr">
        <is>
          <t>Shipped</t>
        </is>
      </c>
      <c r="D4226" s="16" t="inlineStr">
        <is>
          <t>128-10263765811830870</t>
        </is>
      </c>
      <c r="E4226" s="16" t="inlineStr">
        <is>
          <t>Shipped</t>
        </is>
      </c>
      <c r="F4226" s="16" t="inlineStr">
        <is>
          <t>TL1412N17C</t>
        </is>
      </c>
      <c r="G4226" s="16" t="inlineStr">
        <is>
          <t>Linkbits, Soporte de Pared Fijo para TV y Monitor de 14"-43", Ultra Delgado 2.3cm, Fuerte Capacidad de Peso de 25KG, Fácil Instalación con Accesorios Completos</t>
        </is>
      </c>
      <c r="H4226" s="16" t="inlineStr">
        <is>
          <t>NEGRO</t>
        </is>
      </c>
      <c r="I4226" s="16" t="n">
        <v>1</v>
      </c>
      <c r="J4226" s="17" t="n">
        <v>36.84</v>
      </c>
      <c r="K4226" s="17" t="n">
        <v>48.53</v>
      </c>
      <c r="L4226" s="17" t="n">
        <v>25.86</v>
      </c>
      <c r="M4226" s="17" t="n">
        <v>0</v>
      </c>
      <c r="N4226" s="17">
        <f>K4226*0.08+L4226*0.08</f>
        <v/>
      </c>
      <c r="O4226" s="17">
        <f>-(K4226*0.025+L4226*0.025)</f>
        <v/>
      </c>
      <c r="P4226" s="17">
        <f>32</f>
        <v/>
      </c>
      <c r="Q4226" s="17">
        <f>J4226+L4226+N4226+O4226-P4226-M4226</f>
        <v/>
      </c>
    </row>
    <row r="4227">
      <c r="A4227" s="16" t="inlineStr">
        <is>
          <t>5.8-5.14</t>
        </is>
      </c>
      <c r="B4227" s="16" t="inlineStr">
        <is>
          <t>PO-128-10119980575351537</t>
        </is>
      </c>
      <c r="C4227" s="16" t="inlineStr">
        <is>
          <t>Shipped</t>
        </is>
      </c>
      <c r="D4227" s="16" t="inlineStr">
        <is>
          <t>128-10119938632311537</t>
        </is>
      </c>
      <c r="E4227" s="16" t="inlineStr">
        <is>
          <t>Shipped</t>
        </is>
      </c>
      <c r="F4227" s="16" t="inlineStr">
        <is>
          <t>LV64W25</t>
        </is>
      </c>
      <c r="G422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27" s="16" t="inlineStr">
        <is>
          <t>Blanco</t>
        </is>
      </c>
      <c r="I4227" s="16" t="n">
        <v>1</v>
      </c>
      <c r="J4227" s="17" t="n">
        <v>119</v>
      </c>
      <c r="K4227" s="17" t="n">
        <v>109.82</v>
      </c>
      <c r="L4227" s="17" t="n">
        <v>25.86</v>
      </c>
      <c r="M4227" s="17" t="n">
        <v>0</v>
      </c>
      <c r="N4227" s="17">
        <f>K4227*0.08+L4227*0.08</f>
        <v/>
      </c>
      <c r="O4227" s="17">
        <f>-(K4227*0.025+L4227*0.025)</f>
        <v/>
      </c>
      <c r="P4227" s="17">
        <f>32</f>
        <v/>
      </c>
      <c r="Q4227" s="17">
        <f>J4227+L4227+N4227+O4227-P4227-M4227</f>
        <v/>
      </c>
    </row>
    <row r="4228">
      <c r="A4228" s="16" t="inlineStr">
        <is>
          <t>5.8-5.14</t>
        </is>
      </c>
      <c r="B4228" s="16" t="inlineStr">
        <is>
          <t>PO-128-10279275623030715</t>
        </is>
      </c>
      <c r="C4228" s="16" t="inlineStr">
        <is>
          <t>Shipped</t>
        </is>
      </c>
      <c r="D4228" s="16" t="inlineStr">
        <is>
          <t>128-10279273656950715</t>
        </is>
      </c>
      <c r="E4228" s="16" t="inlineStr">
        <is>
          <t>Shipped</t>
        </is>
      </c>
      <c r="F4228" s="16" t="inlineStr">
        <is>
          <t>LV54W25</t>
        </is>
      </c>
      <c r="G4228" s="16" t="inlineStr">
        <is>
          <t>TIANLAI Lámpara Ventilador E27 2 en 1, Silenciosa, LED Alta Luminosidad 180°, Instalación Rápida, Ahorro Energético para Dormitorio y Interiores Pequeños</t>
        </is>
      </c>
      <c r="H4228" s="16" t="inlineStr">
        <is>
          <t>1 Pieza</t>
        </is>
      </c>
      <c r="I4228" s="16" t="n">
        <v>1</v>
      </c>
      <c r="J4228" s="17" t="n">
        <v>75.8</v>
      </c>
      <c r="K4228" s="17" t="n">
        <v>82.87</v>
      </c>
      <c r="L4228" s="17" t="n">
        <v>25.86</v>
      </c>
      <c r="M4228" s="17" t="n">
        <v>0</v>
      </c>
      <c r="N4228" s="17">
        <f>K4228*0.08+L4228*0.08</f>
        <v/>
      </c>
      <c r="O4228" s="17">
        <f>-(K4228*0.025+L4228*0.025)</f>
        <v/>
      </c>
      <c r="P4228" s="17">
        <f>32</f>
        <v/>
      </c>
      <c r="Q4228" s="17">
        <f>J4228+L4228+N4228+O4228-P4228-M4228</f>
        <v/>
      </c>
    </row>
    <row r="4229">
      <c r="A4229" s="16" t="inlineStr">
        <is>
          <t>5.8-5.14</t>
        </is>
      </c>
      <c r="B4229" s="16" t="inlineStr">
        <is>
          <t>PO-128-10183653417590133</t>
        </is>
      </c>
      <c r="C4229" s="16" t="inlineStr">
        <is>
          <t>Shipped</t>
        </is>
      </c>
      <c r="D4229" s="16" t="inlineStr">
        <is>
          <t>128-10183637688950133</t>
        </is>
      </c>
      <c r="E4229" s="16" t="inlineStr">
        <is>
          <t>Shipped</t>
        </is>
      </c>
      <c r="F4229" s="16" t="inlineStr">
        <is>
          <t>KTS-2031</t>
        </is>
      </c>
      <c r="G4229" s="16" t="inlineStr">
        <is>
          <t>Bocina inalámbrica de 3 pulgadas con linterna multifuncional y panel solar integrado.Altavoz Portátil con Linterna LED 4 Modos, Radio FM, Bluetooth, Carga Solar, Ideal para Apagones, Emergencias, Campo y Exteriores</t>
        </is>
      </c>
      <c r="H4229" s="16" t="inlineStr">
        <is>
          <t>NEGRO</t>
        </is>
      </c>
      <c r="I4229" s="16" t="n">
        <v>1</v>
      </c>
      <c r="J4229" s="17" t="n">
        <v>78</v>
      </c>
      <c r="K4229" s="17" t="n">
        <v>87.22</v>
      </c>
      <c r="L4229" s="17" t="n">
        <v>25.86</v>
      </c>
      <c r="M4229" s="17" t="n">
        <v>0</v>
      </c>
      <c r="N4229" s="17">
        <f>K4229*0.08+L4229*0.08</f>
        <v/>
      </c>
      <c r="O4229" s="17">
        <f>-(K4229*0.025+L4229*0.025)</f>
        <v/>
      </c>
      <c r="P4229" s="17">
        <f>32</f>
        <v/>
      </c>
      <c r="Q4229" s="17">
        <f>J4229+L4229+N4229+O4229-P4229-M4229</f>
        <v/>
      </c>
    </row>
    <row r="4230">
      <c r="A4230" s="16" t="inlineStr">
        <is>
          <t>5.8-5.14</t>
        </is>
      </c>
      <c r="B4230" s="16" t="inlineStr">
        <is>
          <t>PO-128-09759756718713746</t>
        </is>
      </c>
      <c r="C4230" s="16" t="inlineStr">
        <is>
          <t>Shipped</t>
        </is>
      </c>
      <c r="D4230" s="16" t="inlineStr">
        <is>
          <t>128-09759777690233746</t>
        </is>
      </c>
      <c r="E4230" s="16" t="inlineStr">
        <is>
          <t>Shipped</t>
        </is>
      </c>
      <c r="F4230" s="16" t="inlineStr">
        <is>
          <t>LV54W25</t>
        </is>
      </c>
      <c r="G4230" s="16" t="inlineStr">
        <is>
          <t>TIANLAI Lámpara Ventilador E27 2 en 1, Silenciosa, LED Alta Luminosidad 180°, Instalación Rápida, Ahorro Energético para Dormitorio y Interiores Pequeños</t>
        </is>
      </c>
      <c r="H4230" s="16" t="inlineStr">
        <is>
          <t>1 Pieza</t>
        </is>
      </c>
      <c r="I4230" s="16" t="n">
        <v>2</v>
      </c>
      <c r="J4230" s="17" t="n">
        <v>151.6</v>
      </c>
      <c r="K4230" s="17" t="n">
        <v>130.67</v>
      </c>
      <c r="L4230" s="17" t="n">
        <v>25.86</v>
      </c>
      <c r="M4230" s="17" t="n">
        <v>0</v>
      </c>
      <c r="N4230" s="17">
        <f>K4230*0.08+L4230*0.08</f>
        <v/>
      </c>
      <c r="O4230" s="17">
        <f>-(K4230*0.025+L4230*0.025)</f>
        <v/>
      </c>
      <c r="P4230" s="17">
        <f>32</f>
        <v/>
      </c>
      <c r="Q4230" s="17">
        <f>J4230+L4230+N4230+O4230-P4230-M4230</f>
        <v/>
      </c>
    </row>
    <row r="4231">
      <c r="A4231" s="16" t="inlineStr">
        <is>
          <t>5.8-5.14</t>
        </is>
      </c>
      <c r="B4231" s="16" t="inlineStr">
        <is>
          <t>PO-128-15432258051192769</t>
        </is>
      </c>
      <c r="C4231" s="16" t="inlineStr">
        <is>
          <t>Shipped</t>
        </is>
      </c>
      <c r="D4231" s="16" t="inlineStr">
        <is>
          <t>128-15432237079672769</t>
        </is>
      </c>
      <c r="E4231" s="16" t="inlineStr">
        <is>
          <t>Shipped</t>
        </is>
      </c>
      <c r="F4231" s="16" t="inlineStr">
        <is>
          <t>LV64W25</t>
        </is>
      </c>
      <c r="G423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31" s="16" t="inlineStr">
        <is>
          <t>Blanco</t>
        </is>
      </c>
      <c r="I4231" s="16" t="n">
        <v>1</v>
      </c>
      <c r="J4231" s="17" t="n">
        <v>119</v>
      </c>
      <c r="K4231" s="17" t="n">
        <v>117.8</v>
      </c>
      <c r="L4231" s="17" t="n">
        <v>25.86</v>
      </c>
      <c r="M4231" s="17" t="n">
        <v>0</v>
      </c>
      <c r="N4231" s="17">
        <f>K4231*0.08+L4231*0.08</f>
        <v/>
      </c>
      <c r="O4231" s="17">
        <f>-(K4231*0.025+L4231*0.025)</f>
        <v/>
      </c>
      <c r="P4231" s="17">
        <f>32</f>
        <v/>
      </c>
      <c r="Q4231" s="17">
        <f>J4231+L4231+N4231+O4231-P4231-M4231</f>
        <v/>
      </c>
    </row>
    <row r="4232">
      <c r="A4232" s="16" t="inlineStr">
        <is>
          <t>5.8-5.14</t>
        </is>
      </c>
      <c r="B4232" s="16" t="inlineStr">
        <is>
          <t>PO-128-15599737889911707</t>
        </is>
      </c>
      <c r="C4232" s="16" t="inlineStr">
        <is>
          <t>Shipped</t>
        </is>
      </c>
      <c r="D4232" s="16" t="inlineStr">
        <is>
          <t>128-15599758861431707</t>
        </is>
      </c>
      <c r="E4232" s="16" t="inlineStr">
        <is>
          <t>Shipped</t>
        </is>
      </c>
      <c r="F4232" s="16" t="inlineStr">
        <is>
          <t>VB349T</t>
        </is>
      </c>
      <c r="G4232" s="16" t="inlineStr">
        <is>
          <t>LINKBITS Altavoz Portátil de Doble Altavoz - 3 Pulgadas, Sonido HD, Emparejamiento Rápido de Bluetooth, Conectividad TWS, Reproducción Multimodo (Micro SD/USB/Radio FM) - Perfecto para Oficina, Viajes y Espacios Pequeños</t>
        </is>
      </c>
      <c r="H4232" s="16" t="inlineStr">
        <is>
          <t>NEGRO</t>
        </is>
      </c>
      <c r="I4232" s="16" t="n">
        <v>1</v>
      </c>
      <c r="J4232" s="17" t="n">
        <v>81</v>
      </c>
      <c r="K4232" s="17" t="n">
        <v>80.11</v>
      </c>
      <c r="L4232" s="17" t="n">
        <v>25.86</v>
      </c>
      <c r="M4232" s="17" t="n">
        <v>0</v>
      </c>
      <c r="N4232" s="17">
        <f>K4232*0.08+L4232*0.08</f>
        <v/>
      </c>
      <c r="O4232" s="17">
        <f>-(K4232*0.025+L4232*0.025)</f>
        <v/>
      </c>
      <c r="P4232" s="17">
        <f>32</f>
        <v/>
      </c>
      <c r="Q4232" s="17">
        <f>J4232+L4232+N4232+O4232-P4232-M4232</f>
        <v/>
      </c>
    </row>
    <row r="4233">
      <c r="A4233" s="16" t="inlineStr">
        <is>
          <t>5.8-5.14</t>
        </is>
      </c>
      <c r="B4233" s="16" t="inlineStr">
        <is>
          <t>PO-128-15383663875192995</t>
        </is>
      </c>
      <c r="C4233" s="16" t="inlineStr">
        <is>
          <t>Shipped</t>
        </is>
      </c>
      <c r="D4233" s="16" t="inlineStr">
        <is>
          <t>128-15383621932152995</t>
        </is>
      </c>
      <c r="E4233" s="16" t="inlineStr">
        <is>
          <t>Shipped</t>
        </is>
      </c>
      <c r="F4233" s="16" t="inlineStr">
        <is>
          <t>LV64W25</t>
        </is>
      </c>
      <c r="G423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33" s="16" t="inlineStr">
        <is>
          <t>Blanco</t>
        </is>
      </c>
      <c r="I4233" s="16" t="n">
        <v>1</v>
      </c>
      <c r="J4233" s="17" t="n">
        <v>119</v>
      </c>
      <c r="K4233" s="17" t="n">
        <v>94.18000000000001</v>
      </c>
      <c r="L4233" s="17" t="n">
        <v>25.86</v>
      </c>
      <c r="M4233" s="17" t="n">
        <v>0</v>
      </c>
      <c r="N4233" s="17">
        <f>K4233*0.08+L4233*0.08</f>
        <v/>
      </c>
      <c r="O4233" s="17">
        <f>-(K4233*0.025+L4233*0.025)</f>
        <v/>
      </c>
      <c r="P4233" s="17">
        <f>32</f>
        <v/>
      </c>
      <c r="Q4233" s="17">
        <f>J4233+L4233+N4233+O4233-P4233-M4233</f>
        <v/>
      </c>
    </row>
    <row r="4234">
      <c r="A4234" s="16" t="inlineStr">
        <is>
          <t>5.8-5.14</t>
        </is>
      </c>
      <c r="B4234" s="16" t="inlineStr">
        <is>
          <t>PO-128-15763292636790666</t>
        </is>
      </c>
      <c r="C4234" s="16" t="inlineStr">
        <is>
          <t>Shipped</t>
        </is>
      </c>
      <c r="D4234" s="16" t="inlineStr">
        <is>
          <t>128-15763360794230666</t>
        </is>
      </c>
      <c r="E4234" s="16" t="inlineStr">
        <is>
          <t>Shipped</t>
        </is>
      </c>
      <c r="F4234" s="16" t="inlineStr">
        <is>
          <t>B03W10-10PZS</t>
        </is>
      </c>
      <c r="G423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234" s="16" t="inlineStr">
        <is>
          <t>B03W10</t>
        </is>
      </c>
      <c r="I4234" s="16" t="n">
        <v>3</v>
      </c>
      <c r="J4234" s="17" t="n">
        <v>210</v>
      </c>
      <c r="K4234" s="17" t="n">
        <v>186.14</v>
      </c>
      <c r="L4234" s="17" t="n">
        <v>0</v>
      </c>
      <c r="M4234" s="17" t="n">
        <v>0</v>
      </c>
      <c r="N4234" s="17">
        <f>K4234*0.08+L4234*0.08</f>
        <v/>
      </c>
      <c r="O4234" s="17">
        <f>-(K4234*0.025+L4234*0.025)</f>
        <v/>
      </c>
      <c r="P4234" s="17">
        <f>32</f>
        <v/>
      </c>
      <c r="Q4234" s="17">
        <f>J4234+L4234+N4234+O4234-P4234-M4234</f>
        <v/>
      </c>
    </row>
    <row r="4235">
      <c r="A4235" s="16" t="inlineStr">
        <is>
          <t>5.8-5.14</t>
        </is>
      </c>
      <c r="B4235" s="16" t="inlineStr">
        <is>
          <t>PO-128-15796870270070594</t>
        </is>
      </c>
      <c r="C4235" s="16" t="inlineStr">
        <is>
          <t>Shipped</t>
        </is>
      </c>
      <c r="D4235" s="16" t="inlineStr">
        <is>
          <t>128-15796891241590594</t>
        </is>
      </c>
      <c r="E4235" s="16" t="inlineStr">
        <is>
          <t>Shipped</t>
        </is>
      </c>
      <c r="F4235" s="16" t="inlineStr">
        <is>
          <t>LV54W25</t>
        </is>
      </c>
      <c r="G4235" s="16" t="inlineStr">
        <is>
          <t>TIANLAI Lámpara Ventilador E27 2 en 1, Silenciosa, LED Alta Luminosidad 180°, Instalación Rápida, Ahorro Energético para Dormitorio y Interiores Pequeños</t>
        </is>
      </c>
      <c r="H4235" s="16" t="inlineStr">
        <is>
          <t>1 Pieza</t>
        </is>
      </c>
      <c r="I4235" s="16" t="n">
        <v>2</v>
      </c>
      <c r="J4235" s="17" t="n">
        <v>151.6</v>
      </c>
      <c r="K4235" s="17" t="n">
        <v>159.96</v>
      </c>
      <c r="L4235" s="17" t="n">
        <v>25.86</v>
      </c>
      <c r="M4235" s="17" t="n">
        <v>0</v>
      </c>
      <c r="N4235" s="17">
        <f>K4235*0.08+L4235*0.08</f>
        <v/>
      </c>
      <c r="O4235" s="17">
        <f>-(K4235*0.025+L4235*0.025)</f>
        <v/>
      </c>
      <c r="P4235" s="17">
        <f>32</f>
        <v/>
      </c>
      <c r="Q4235" s="17">
        <f>J4235+L4235+N4235+O4235-P4235-M4235</f>
        <v/>
      </c>
    </row>
    <row r="4236">
      <c r="A4236" s="16" t="inlineStr">
        <is>
          <t>5.8-5.14</t>
        </is>
      </c>
      <c r="B4236" s="16" t="inlineStr">
        <is>
          <t>PO-128-15604252060791742</t>
        </is>
      </c>
      <c r="C4236" s="16" t="inlineStr">
        <is>
          <t>Shipped</t>
        </is>
      </c>
      <c r="D4236" s="16" t="inlineStr">
        <is>
          <t>128-15604304489591742</t>
        </is>
      </c>
      <c r="E4236" s="16" t="inlineStr">
        <is>
          <t>Shipped</t>
        </is>
      </c>
      <c r="F4236" s="16" t="inlineStr">
        <is>
          <t>KTS-2031</t>
        </is>
      </c>
      <c r="G4236" s="16" t="inlineStr">
        <is>
          <t>Bocina inalámbrica de 3 pulgadas con linterna multifuncional y panel solar integrado.Altavoz Portátil con Linterna LED 4 Modos, Radio FM, Bluetooth, Carga Solar, Ideal para Apagones, Emergencias, Campo y Exteriores</t>
        </is>
      </c>
      <c r="H4236" s="16" t="inlineStr">
        <is>
          <t>NEGRO</t>
        </is>
      </c>
      <c r="I4236" s="16" t="n">
        <v>1</v>
      </c>
      <c r="J4236" s="17" t="n">
        <v>78</v>
      </c>
      <c r="K4236" s="17" t="n">
        <v>87.22</v>
      </c>
      <c r="L4236" s="17" t="n">
        <v>25.86</v>
      </c>
      <c r="M4236" s="17" t="n">
        <v>0</v>
      </c>
      <c r="N4236" s="17">
        <f>K4236*0.08+L4236*0.08</f>
        <v/>
      </c>
      <c r="O4236" s="17">
        <f>-(K4236*0.025+L4236*0.025)</f>
        <v/>
      </c>
      <c r="P4236" s="17">
        <f>32</f>
        <v/>
      </c>
      <c r="Q4236" s="17">
        <f>J4236+L4236+N4236+O4236-P4236-M4236</f>
        <v/>
      </c>
    </row>
    <row r="4237">
      <c r="A4237" s="16" t="inlineStr">
        <is>
          <t>5.8-5.14</t>
        </is>
      </c>
      <c r="B4237" s="16" t="inlineStr">
        <is>
          <t>PO-128-15590268964471891</t>
        </is>
      </c>
      <c r="C4237" s="16" t="inlineStr">
        <is>
          <t>Shipped</t>
        </is>
      </c>
      <c r="D4237" s="16" t="inlineStr">
        <is>
          <t>128-15590289935991891</t>
        </is>
      </c>
      <c r="E4237" s="16" t="inlineStr">
        <is>
          <t>Shipped</t>
        </is>
      </c>
      <c r="F4237" s="16" t="inlineStr">
        <is>
          <t>TL1412N17C</t>
        </is>
      </c>
      <c r="G4237" s="16" t="inlineStr">
        <is>
          <t>Linkbits, Soporte de Pared Fijo para TV y Monitor de 14"-43", Ultra Delgado 2.3cm, Fuerte Capacidad de Peso de 25KG, Fácil Instalación con Accesorios Completos</t>
        </is>
      </c>
      <c r="H4237" s="16" t="inlineStr">
        <is>
          <t>NEGRO</t>
        </is>
      </c>
      <c r="I4237" s="16" t="n">
        <v>1</v>
      </c>
      <c r="J4237" s="17" t="n">
        <v>36.84</v>
      </c>
      <c r="K4237" s="17" t="n">
        <v>48.53</v>
      </c>
      <c r="L4237" s="17" t="n">
        <v>25.86</v>
      </c>
      <c r="M4237" s="17" t="n">
        <v>0</v>
      </c>
      <c r="N4237" s="17">
        <f>K4237*0.08+L4237*0.08</f>
        <v/>
      </c>
      <c r="O4237" s="17">
        <f>-(K4237*0.025+L4237*0.025)</f>
        <v/>
      </c>
      <c r="P4237" s="17">
        <f>32</f>
        <v/>
      </c>
      <c r="Q4237" s="17">
        <f>J4237+L4237+N4237+O4237-P4237-M4237</f>
        <v/>
      </c>
    </row>
    <row r="4238">
      <c r="A4238" s="16" t="inlineStr">
        <is>
          <t>5.8-5.14</t>
        </is>
      </c>
      <c r="B4238" s="16" t="inlineStr">
        <is>
          <t>PO-128-15259582254713796</t>
        </is>
      </c>
      <c r="C4238" s="16" t="inlineStr">
        <is>
          <t>Shipped</t>
        </is>
      </c>
      <c r="D4238" s="16" t="inlineStr">
        <is>
          <t>128-15259561283193796</t>
        </is>
      </c>
      <c r="E4238" s="16" t="inlineStr">
        <is>
          <t>Shipped</t>
        </is>
      </c>
      <c r="F4238" s="16" t="inlineStr">
        <is>
          <t>LV54W25</t>
        </is>
      </c>
      <c r="G4238" s="16" t="inlineStr">
        <is>
          <t>TIANLAI Lámpara Ventilador E27 2 en 1, Silenciosa, LED Alta Luminosidad 180°, Instalación Rápida, Ahorro Energético para Dormitorio y Interiores Pequeños</t>
        </is>
      </c>
      <c r="H4238" s="16" t="inlineStr">
        <is>
          <t>1 Pieza</t>
        </is>
      </c>
      <c r="I4238" s="16" t="n">
        <v>1</v>
      </c>
      <c r="J4238" s="17" t="n">
        <v>75.8</v>
      </c>
      <c r="K4238" s="17" t="n">
        <v>72.04000000000001</v>
      </c>
      <c r="L4238" s="17" t="n">
        <v>25.86</v>
      </c>
      <c r="M4238" s="17" t="n">
        <v>0</v>
      </c>
      <c r="N4238" s="17">
        <f>K4238*0.08+L4238*0.08</f>
        <v/>
      </c>
      <c r="O4238" s="17">
        <f>-(K4238*0.025+L4238*0.025)</f>
        <v/>
      </c>
      <c r="P4238" s="17">
        <f>32</f>
        <v/>
      </c>
      <c r="Q4238" s="17">
        <f>J4238+L4238+N4238+O4238-P4238-M4238</f>
        <v/>
      </c>
    </row>
    <row r="4239">
      <c r="A4239" s="16" t="inlineStr">
        <is>
          <t>5.8-5.14</t>
        </is>
      </c>
      <c r="B4239" s="16" t="inlineStr">
        <is>
          <t>PO-128-15614387489911555</t>
        </is>
      </c>
      <c r="C4239" s="16" t="inlineStr">
        <is>
          <t>Shipped</t>
        </is>
      </c>
      <c r="D4239" s="16" t="inlineStr">
        <is>
          <t>128-15614554279031555</t>
        </is>
      </c>
      <c r="E4239" s="16" t="inlineStr">
        <is>
          <t>Shipped</t>
        </is>
      </c>
      <c r="F4239" s="16" t="inlineStr">
        <is>
          <t>LV54W25</t>
        </is>
      </c>
      <c r="G4239" s="16" t="inlineStr">
        <is>
          <t>TIANLAI Lámpara Ventilador E27 2 en 1, Silenciosa, LED Alta Luminosidad 180°, Instalación Rápida, Ahorro Energético para Dormitorio y Interiores Pequeños</t>
        </is>
      </c>
      <c r="H4239" s="16" t="inlineStr">
        <is>
          <t>1 Pieza</t>
        </is>
      </c>
      <c r="I4239" s="16" t="n">
        <v>1</v>
      </c>
      <c r="J4239" s="17" t="n">
        <v>75.8</v>
      </c>
      <c r="K4239" s="17" t="n">
        <v>26.53</v>
      </c>
      <c r="L4239" s="17" t="n">
        <v>25.86</v>
      </c>
      <c r="M4239" s="17" t="n">
        <v>0</v>
      </c>
      <c r="N4239" s="17">
        <f>K4239*0.08+L4239*0.08</f>
        <v/>
      </c>
      <c r="O4239" s="17">
        <f>-(K4239*0.025+L4239*0.025)</f>
        <v/>
      </c>
      <c r="P4239" s="17">
        <f>32</f>
        <v/>
      </c>
      <c r="Q4239" s="17">
        <f>J4239+L4239+N4239+O4239-P4239-M4239</f>
        <v/>
      </c>
    </row>
    <row r="4240">
      <c r="A4240" s="16" t="inlineStr">
        <is>
          <t>5.8-5.14</t>
        </is>
      </c>
      <c r="B4240" s="16" t="inlineStr">
        <is>
          <t>PO-128-15304344241272507</t>
        </is>
      </c>
      <c r="C4240" s="16" t="inlineStr">
        <is>
          <t>Shipped</t>
        </is>
      </c>
      <c r="D4240" s="16" t="inlineStr">
        <is>
          <t>128-15304511951992507</t>
        </is>
      </c>
      <c r="E4240" s="16" t="inlineStr">
        <is>
          <t>Shipped</t>
        </is>
      </c>
      <c r="F4240" s="16" t="inlineStr">
        <is>
          <t>KTS-2031</t>
        </is>
      </c>
      <c r="G4240" s="16" t="inlineStr">
        <is>
          <t>Bocina inalámbrica de 3 pulgadas con linterna multifuncional y panel solar integrado.Altavoz Portátil con Linterna LED 4 Modos, Radio FM, Bluetooth, Carga Solar, Ideal para Apagones, Emergencias, Campo y Exteriores</t>
        </is>
      </c>
      <c r="H4240" s="16" t="inlineStr">
        <is>
          <t>NEGRO</t>
        </is>
      </c>
      <c r="I4240" s="16" t="n">
        <v>1</v>
      </c>
      <c r="J4240" s="17" t="n">
        <v>78</v>
      </c>
      <c r="K4240" s="17" t="n">
        <v>87.22</v>
      </c>
      <c r="L4240" s="17" t="n">
        <v>25.86</v>
      </c>
      <c r="M4240" s="17" t="n">
        <v>0</v>
      </c>
      <c r="N4240" s="17">
        <f>K4240*0.08+L4240*0.08</f>
        <v/>
      </c>
      <c r="O4240" s="17">
        <f>-(K4240*0.025+L4240*0.025)</f>
        <v/>
      </c>
      <c r="P4240" s="17">
        <f>32</f>
        <v/>
      </c>
      <c r="Q4240" s="17">
        <f>J4240+L4240+N4240+O4240-P4240-M4240</f>
        <v/>
      </c>
    </row>
    <row r="4241">
      <c r="A4241" s="16" t="inlineStr">
        <is>
          <t>5.8-5.14</t>
        </is>
      </c>
      <c r="B4241" s="16" t="inlineStr">
        <is>
          <t>PO-128-15362597901432094</t>
        </is>
      </c>
      <c r="C4241" s="16" t="inlineStr">
        <is>
          <t>Shipped</t>
        </is>
      </c>
      <c r="D4241" s="16" t="inlineStr">
        <is>
          <t>128-15362587415672094</t>
        </is>
      </c>
      <c r="E4241" s="16" t="inlineStr">
        <is>
          <t>Shipped</t>
        </is>
      </c>
      <c r="F4241" s="16" t="inlineStr">
        <is>
          <t>KTS-2031</t>
        </is>
      </c>
      <c r="G4241" s="16" t="inlineStr">
        <is>
          <t>Bocina inalámbrica de 3 pulgadas con linterna multifuncional y panel solar integrado.Altavoz Portátil con Linterna LED 4 Modos, Radio FM, Bluetooth, Carga Solar, Ideal para Apagones, Emergencias, Campo y Exteriores</t>
        </is>
      </c>
      <c r="H4241" s="16" t="inlineStr">
        <is>
          <t>NEGRO</t>
        </is>
      </c>
      <c r="I4241" s="16" t="n">
        <v>1</v>
      </c>
      <c r="J4241" s="17" t="n">
        <v>78</v>
      </c>
      <c r="K4241" s="17" t="n">
        <v>87.22</v>
      </c>
      <c r="L4241" s="17" t="n">
        <v>25.86</v>
      </c>
      <c r="M4241" s="17" t="n">
        <v>0</v>
      </c>
      <c r="N4241" s="17">
        <f>K4241*0.08+L4241*0.08</f>
        <v/>
      </c>
      <c r="O4241" s="17">
        <f>-(K4241*0.025+L4241*0.025)</f>
        <v/>
      </c>
      <c r="P4241" s="17">
        <f>32</f>
        <v/>
      </c>
      <c r="Q4241" s="17">
        <f>J4241+L4241+N4241+O4241-P4241-M4241</f>
        <v/>
      </c>
    </row>
    <row r="4242">
      <c r="A4242" s="16" t="inlineStr">
        <is>
          <t>5.8-5.14</t>
        </is>
      </c>
      <c r="B4242" s="16" t="inlineStr">
        <is>
          <t>PO-128-15407398078072853</t>
        </is>
      </c>
      <c r="C4242" s="16" t="inlineStr">
        <is>
          <t>Shipped</t>
        </is>
      </c>
      <c r="D4242" s="16" t="inlineStr">
        <is>
          <t>128-15407502935672853</t>
        </is>
      </c>
      <c r="E4242" s="16" t="inlineStr">
        <is>
          <t>Shipped</t>
        </is>
      </c>
      <c r="F4242" s="16" t="inlineStr">
        <is>
          <t>KTS-2031</t>
        </is>
      </c>
      <c r="G4242" s="16" t="inlineStr">
        <is>
          <t>Bocina inalámbrica de 3 pulgadas con linterna multifuncional y panel solar integrado.Altavoz Portátil con Linterna LED 4 Modos, Radio FM, Bluetooth, Carga Solar, Ideal para Apagones, Emergencias, Campo y Exteriores</t>
        </is>
      </c>
      <c r="H4242" s="16" t="inlineStr">
        <is>
          <t>NEGRO</t>
        </is>
      </c>
      <c r="I4242" s="16" t="n">
        <v>3</v>
      </c>
      <c r="J4242" s="17" t="n">
        <v>234</v>
      </c>
      <c r="K4242" s="17" t="n">
        <v>261.66</v>
      </c>
      <c r="L4242" s="17" t="n">
        <v>0</v>
      </c>
      <c r="M4242" s="17" t="n">
        <v>0</v>
      </c>
      <c r="N4242" s="17">
        <f>K4242*0.08+L4242*0.08</f>
        <v/>
      </c>
      <c r="O4242" s="17">
        <f>-(K4242*0.025+L4242*0.025)</f>
        <v/>
      </c>
      <c r="P4242" s="17">
        <f>32</f>
        <v/>
      </c>
      <c r="Q4242" s="17">
        <f>J4242+L4242+N4242+O4242-P4242-M4242</f>
        <v/>
      </c>
    </row>
    <row r="4243">
      <c r="A4243" s="16" t="inlineStr">
        <is>
          <t>5.8-5.14</t>
        </is>
      </c>
      <c r="B4243" s="16" t="inlineStr">
        <is>
          <t>PO-128-15163678223993216</t>
        </is>
      </c>
      <c r="C4243" s="16" t="inlineStr">
        <is>
          <t>Shipped</t>
        </is>
      </c>
      <c r="D4243" s="16" t="inlineStr">
        <is>
          <t>128-15163688709753216</t>
        </is>
      </c>
      <c r="E4243" s="16" t="inlineStr">
        <is>
          <t>Shipped</t>
        </is>
      </c>
      <c r="F4243" s="16" t="inlineStr">
        <is>
          <t>KTS-1936</t>
        </is>
      </c>
      <c r="G4243" s="16" t="inlineStr">
        <is>
          <t>Espejo con Luz para Makeup，Espejo con Luz LED y Bocina Bluetooth，Espejo para Maquillaje con Aumentos y Luces LED de Intensidad Ajustable，Lente de Aumento 10X+Reproductor TF+ TWS，espejo de portátil y para estudiantes, oficina, dormitorio, mejor regalo</t>
        </is>
      </c>
      <c r="H4243" s="16" t="inlineStr">
        <is>
          <t>BLANCO</t>
        </is>
      </c>
      <c r="I4243" s="16" t="n">
        <v>1</v>
      </c>
      <c r="J4243" s="17" t="n">
        <v>217.75</v>
      </c>
      <c r="K4243" s="17" t="n">
        <v>245.58</v>
      </c>
      <c r="L4243" s="17" t="n">
        <v>25.86</v>
      </c>
      <c r="M4243" s="17" t="n">
        <v>0</v>
      </c>
      <c r="N4243" s="17">
        <f>K4243*0.08+L4243*0.08</f>
        <v/>
      </c>
      <c r="O4243" s="17">
        <f>-(K4243*0.025+L4243*0.025)</f>
        <v/>
      </c>
      <c r="P4243" s="17">
        <f>32</f>
        <v/>
      </c>
      <c r="Q4243" s="17">
        <f>J4243+L4243+N4243+O4243-P4243-M4243</f>
        <v/>
      </c>
    </row>
    <row r="4244">
      <c r="A4244" s="16" t="inlineStr">
        <is>
          <t>5.8-5.14</t>
        </is>
      </c>
      <c r="B4244" s="16" t="inlineStr">
        <is>
          <t>PO-128-15464280855671424</t>
        </is>
      </c>
      <c r="C4244" s="16" t="inlineStr">
        <is>
          <t>Shipped</t>
        </is>
      </c>
      <c r="D4244" s="16" t="inlineStr">
        <is>
          <t>128-15464307070071424</t>
        </is>
      </c>
      <c r="E4244" s="16" t="inlineStr">
        <is>
          <t>Shipped</t>
        </is>
      </c>
      <c r="F4244" s="16" t="inlineStr">
        <is>
          <t>KTS-2031</t>
        </is>
      </c>
      <c r="G4244" s="16" t="inlineStr">
        <is>
          <t>Bocina inalámbrica de 3 pulgadas con linterna multifuncional y panel solar integrado.Altavoz Portátil con Linterna LED 4 Modos, Radio FM, Bluetooth, Carga Solar, Ideal para Apagones, Emergencias, Campo y Exteriores</t>
        </is>
      </c>
      <c r="H4244" s="16" t="inlineStr">
        <is>
          <t>NEGRO</t>
        </is>
      </c>
      <c r="I4244" s="16" t="n">
        <v>1</v>
      </c>
      <c r="J4244" s="17" t="n">
        <v>78</v>
      </c>
      <c r="K4244" s="17" t="n">
        <v>74.15000000000001</v>
      </c>
      <c r="L4244" s="17" t="n">
        <v>25.86</v>
      </c>
      <c r="M4244" s="17" t="n">
        <v>0</v>
      </c>
      <c r="N4244" s="17">
        <f>K4244*0.08+L4244*0.08</f>
        <v/>
      </c>
      <c r="O4244" s="17">
        <f>-(K4244*0.025+L4244*0.025)</f>
        <v/>
      </c>
      <c r="P4244" s="17">
        <f>32</f>
        <v/>
      </c>
      <c r="Q4244" s="17">
        <f>J4244+L4244+N4244+O4244-P4244-M4244</f>
        <v/>
      </c>
    </row>
    <row r="4245">
      <c r="A4245" s="16" t="inlineStr">
        <is>
          <t>5.8-5.14</t>
        </is>
      </c>
      <c r="B4245" s="16" t="inlineStr">
        <is>
          <t>PO-128-15319218312312355</t>
        </is>
      </c>
      <c r="C4245" s="16" t="inlineStr">
        <is>
          <t>Shipped</t>
        </is>
      </c>
      <c r="D4245" s="16" t="inlineStr">
        <is>
          <t>128-15319239283832355</t>
        </is>
      </c>
      <c r="E4245" s="16" t="inlineStr">
        <is>
          <t>Shipped</t>
        </is>
      </c>
      <c r="F4245" s="16" t="inlineStr">
        <is>
          <t>LV64W25</t>
        </is>
      </c>
      <c r="G424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45" s="16" t="inlineStr">
        <is>
          <t>Blanco</t>
        </is>
      </c>
      <c r="I4245" s="16" t="n">
        <v>1</v>
      </c>
      <c r="J4245" s="17" t="n">
        <v>119</v>
      </c>
      <c r="K4245" s="17" t="n">
        <v>137.28</v>
      </c>
      <c r="L4245" s="17" t="n">
        <v>25.86</v>
      </c>
      <c r="M4245" s="17" t="n">
        <v>0</v>
      </c>
      <c r="N4245" s="17">
        <f>K4245*0.08+L4245*0.08</f>
        <v/>
      </c>
      <c r="O4245" s="17">
        <f>-(K4245*0.025+L4245*0.025)</f>
        <v/>
      </c>
      <c r="P4245" s="17">
        <f>32</f>
        <v/>
      </c>
      <c r="Q4245" s="17">
        <f>J4245+L4245+N4245+O4245-P4245-M4245</f>
        <v/>
      </c>
    </row>
    <row r="4246">
      <c r="A4246" s="16" t="inlineStr">
        <is>
          <t>5.8-5.14</t>
        </is>
      </c>
      <c r="B4246" s="16" t="inlineStr">
        <is>
          <t>PO-128-15766571625590646</t>
        </is>
      </c>
      <c r="C4246" s="16" t="inlineStr">
        <is>
          <t>Shipped</t>
        </is>
      </c>
      <c r="D4246" s="16" t="inlineStr">
        <is>
          <t>128-15766707940470646</t>
        </is>
      </c>
      <c r="E4246" s="16" t="inlineStr">
        <is>
          <t>Shipped</t>
        </is>
      </c>
      <c r="F4246" s="16" t="inlineStr">
        <is>
          <t>LV64W25</t>
        </is>
      </c>
      <c r="G424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46" s="16" t="inlineStr">
        <is>
          <t>Blanco</t>
        </is>
      </c>
      <c r="I4246" s="16" t="n">
        <v>2</v>
      </c>
      <c r="J4246" s="17" t="n">
        <v>238</v>
      </c>
      <c r="K4246" s="17" t="n">
        <v>197.14</v>
      </c>
      <c r="L4246" s="17" t="n">
        <v>0</v>
      </c>
      <c r="M4246" s="17" t="n">
        <v>0</v>
      </c>
      <c r="N4246" s="17">
        <f>K4246*0.08+L4246*0.08</f>
        <v/>
      </c>
      <c r="O4246" s="17">
        <f>-(K4246*0.025+L4246*0.025)</f>
        <v/>
      </c>
      <c r="P4246" s="17">
        <f>32</f>
        <v/>
      </c>
      <c r="Q4246" s="17">
        <f>J4246+L4246+N4246+O4246-P4246-M4246</f>
        <v/>
      </c>
    </row>
    <row r="4247">
      <c r="A4247" s="16" t="inlineStr">
        <is>
          <t>5.8-5.14</t>
        </is>
      </c>
      <c r="B4247" s="16" t="inlineStr">
        <is>
          <t>PO-128-15126793231993500</t>
        </is>
      </c>
      <c r="C4247" s="16" t="inlineStr">
        <is>
          <t>Shipped</t>
        </is>
      </c>
      <c r="D4247" s="16" t="inlineStr">
        <is>
          <t>128-15126740803193500</t>
        </is>
      </c>
      <c r="E4247" s="16" t="inlineStr">
        <is>
          <t>Shipped</t>
        </is>
      </c>
      <c r="F4247" s="16" t="inlineStr">
        <is>
          <t>LV64W25</t>
        </is>
      </c>
      <c r="G424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47" s="16" t="inlineStr">
        <is>
          <t>Blanco</t>
        </is>
      </c>
      <c r="I4247" s="16" t="n">
        <v>1</v>
      </c>
      <c r="J4247" s="17" t="n">
        <v>119</v>
      </c>
      <c r="K4247" s="17" t="n">
        <v>137.28</v>
      </c>
      <c r="L4247" s="17" t="n">
        <v>25.86</v>
      </c>
      <c r="M4247" s="17" t="n">
        <v>0</v>
      </c>
      <c r="N4247" s="17">
        <f>K4247*0.08+L4247*0.08</f>
        <v/>
      </c>
      <c r="O4247" s="17">
        <f>-(K4247*0.025+L4247*0.025)</f>
        <v/>
      </c>
      <c r="P4247" s="17">
        <f>32</f>
        <v/>
      </c>
      <c r="Q4247" s="17">
        <f>J4247+L4247+N4247+O4247-P4247-M4247</f>
        <v/>
      </c>
    </row>
    <row r="4248">
      <c r="A4248" s="16" t="inlineStr">
        <is>
          <t>5.8-5.14</t>
        </is>
      </c>
      <c r="B4248" s="16" t="inlineStr">
        <is>
          <t>PO-128-15397461834872846</t>
        </is>
      </c>
      <c r="C4248" s="16" t="inlineStr">
        <is>
          <t>Shipped</t>
        </is>
      </c>
      <c r="D4248" s="16" t="inlineStr">
        <is>
          <t>128-15397495913592846</t>
        </is>
      </c>
      <c r="E4248" s="16" t="inlineStr">
        <is>
          <t>Shipped</t>
        </is>
      </c>
      <c r="F4248" s="16" t="inlineStr">
        <is>
          <t>MB-174-N</t>
        </is>
      </c>
      <c r="G4248" s="16" t="inlineStr">
        <is>
          <t>LINK BITS MB-174 Mini Bocina Bluetooth Soporte para Celular Integrado TWS Luz Ambiental 5W 80dB Sonido Claro Carga TYPE-C Material ABS Portátil Ideal como Regalo para Hogar Oficina Exterior Picnic</t>
        </is>
      </c>
      <c r="H4248" s="16" t="inlineStr">
        <is>
          <t>NEGRO</t>
        </is>
      </c>
      <c r="I4248" s="16" t="n">
        <v>1</v>
      </c>
      <c r="J4248" s="17" t="n">
        <v>94.5</v>
      </c>
      <c r="K4248" s="17" t="n">
        <v>95.66</v>
      </c>
      <c r="L4248" s="17" t="n">
        <v>25.86</v>
      </c>
      <c r="M4248" s="17" t="n">
        <v>0</v>
      </c>
      <c r="N4248" s="17">
        <f>K4248*0.08+L4248*0.08</f>
        <v/>
      </c>
      <c r="O4248" s="17">
        <f>-(K4248*0.025+L4248*0.025)</f>
        <v/>
      </c>
      <c r="P4248" s="17">
        <f>32</f>
        <v/>
      </c>
      <c r="Q4248" s="17">
        <f>J4248+L4248+N4248+O4248-P4248-M4248</f>
        <v/>
      </c>
    </row>
    <row r="4249">
      <c r="A4249" s="16" t="inlineStr">
        <is>
          <t>5.8-5.14</t>
        </is>
      </c>
      <c r="B4249" s="16" t="inlineStr">
        <is>
          <t>PO-128-15742205340790792</t>
        </is>
      </c>
      <c r="C4249" s="16" t="inlineStr">
        <is>
          <t>Shipped</t>
        </is>
      </c>
      <c r="D4249" s="16" t="inlineStr">
        <is>
          <t>128-15742152911990792</t>
        </is>
      </c>
      <c r="E4249" s="16" t="inlineStr">
        <is>
          <t>Shipped</t>
        </is>
      </c>
      <c r="F4249" s="16" t="inlineStr">
        <is>
          <t>KTS-2031</t>
        </is>
      </c>
      <c r="G4249" s="16" t="inlineStr">
        <is>
          <t>Bocina inalámbrica de 3 pulgadas con linterna multifuncional y panel solar integrado.Altavoz Portátil con Linterna LED 4 Modos, Radio FM, Bluetooth, Carga Solar, Ideal para Apagones, Emergencias, Campo y Exteriores</t>
        </is>
      </c>
      <c r="H4249" s="16" t="inlineStr">
        <is>
          <t>NEGRO</t>
        </is>
      </c>
      <c r="I4249" s="16" t="n">
        <v>1</v>
      </c>
      <c r="J4249" s="17" t="n">
        <v>78</v>
      </c>
      <c r="K4249" s="17" t="n">
        <v>82.44</v>
      </c>
      <c r="L4249" s="17" t="n">
        <v>25.86</v>
      </c>
      <c r="M4249" s="17" t="n">
        <v>0</v>
      </c>
      <c r="N4249" s="17">
        <f>K4249*0.08+L4249*0.08</f>
        <v/>
      </c>
      <c r="O4249" s="17">
        <f>-(K4249*0.025+L4249*0.025)</f>
        <v/>
      </c>
      <c r="P4249" s="17">
        <f>32</f>
        <v/>
      </c>
      <c r="Q4249" s="17">
        <f>J4249+L4249+N4249+O4249-P4249-M4249</f>
        <v/>
      </c>
    </row>
    <row r="4250">
      <c r="A4250" s="16" t="inlineStr">
        <is>
          <t>5.8-5.14</t>
        </is>
      </c>
      <c r="B4250" s="16" t="inlineStr">
        <is>
          <t>PO-128-15614349888631554</t>
        </is>
      </c>
      <c r="C4250" s="16" t="inlineStr">
        <is>
          <t>Shipped</t>
        </is>
      </c>
      <c r="D4250" s="16" t="inlineStr">
        <is>
          <t>128-15614383967351554</t>
        </is>
      </c>
      <c r="E4250" s="16" t="inlineStr">
        <is>
          <t>Shipped</t>
        </is>
      </c>
      <c r="F4250" s="16" t="inlineStr">
        <is>
          <t>KTS-2031</t>
        </is>
      </c>
      <c r="G4250" s="16" t="inlineStr">
        <is>
          <t>Bocina inalámbrica de 3 pulgadas con linterna multifuncional y panel solar integrado.Altavoz Portátil con Linterna LED 4 Modos, Radio FM, Bluetooth, Carga Solar, Ideal para Apagones, Emergencias, Campo y Exteriores</t>
        </is>
      </c>
      <c r="H4250" s="16" t="inlineStr">
        <is>
          <t>NEGRO</t>
        </is>
      </c>
      <c r="I4250" s="16" t="n">
        <v>1</v>
      </c>
      <c r="J4250" s="17" t="n">
        <v>78</v>
      </c>
      <c r="K4250" s="17" t="n">
        <v>87.22</v>
      </c>
      <c r="L4250" s="17" t="n">
        <v>25.86</v>
      </c>
      <c r="M4250" s="17" t="n">
        <v>0</v>
      </c>
      <c r="N4250" s="17">
        <f>K4250*0.08+L4250*0.08</f>
        <v/>
      </c>
      <c r="O4250" s="17">
        <f>-(K4250*0.025+L4250*0.025)</f>
        <v/>
      </c>
      <c r="P4250" s="17">
        <f>32</f>
        <v/>
      </c>
      <c r="Q4250" s="17">
        <f>J4250+L4250+N4250+O4250-P4250-M4250</f>
        <v/>
      </c>
    </row>
    <row r="4251">
      <c r="A4251" s="16" t="inlineStr">
        <is>
          <t>5.8-5.14</t>
        </is>
      </c>
      <c r="B4251" s="16" t="inlineStr">
        <is>
          <t>PO-128-15162623739513222</t>
        </is>
      </c>
      <c r="C4251" s="16" t="inlineStr">
        <is>
          <t>Shipped</t>
        </is>
      </c>
      <c r="D4251" s="16" t="inlineStr">
        <is>
          <t>128-15162665682553222</t>
        </is>
      </c>
      <c r="E4251" s="16" t="inlineStr">
        <is>
          <t>Shipped</t>
        </is>
      </c>
      <c r="F4251" s="16" t="inlineStr">
        <is>
          <t>LV64W25</t>
        </is>
      </c>
      <c r="G425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51" s="16" t="inlineStr">
        <is>
          <t>Blanco</t>
        </is>
      </c>
      <c r="I4251" s="16" t="n">
        <v>3</v>
      </c>
      <c r="J4251" s="17" t="n">
        <v>357</v>
      </c>
      <c r="K4251" s="17" t="n">
        <v>370.67</v>
      </c>
      <c r="L4251" s="17" t="n">
        <v>0</v>
      </c>
      <c r="M4251" s="17" t="n">
        <v>0</v>
      </c>
      <c r="N4251" s="17">
        <f>K4251*0.08+L4251*0.08</f>
        <v/>
      </c>
      <c r="O4251" s="17">
        <f>-(K4251*0.025+L4251*0.025)</f>
        <v/>
      </c>
      <c r="P4251" s="17">
        <f>32</f>
        <v/>
      </c>
      <c r="Q4251" s="17">
        <f>J4251+L4251+N4251+O4251-P4251-M4251</f>
        <v/>
      </c>
    </row>
    <row r="4252">
      <c r="A4252" s="16" t="inlineStr">
        <is>
          <t>5.8-5.14</t>
        </is>
      </c>
      <c r="B4252" s="16" t="inlineStr">
        <is>
          <t>PO-128-15591083318391692</t>
        </is>
      </c>
      <c r="C4252" s="16" t="inlineStr">
        <is>
          <t>Shipped</t>
        </is>
      </c>
      <c r="D4252" s="16" t="inlineStr">
        <is>
          <t>128-15591219633271692</t>
        </is>
      </c>
      <c r="E4252" s="16" t="inlineStr">
        <is>
          <t>Shipped</t>
        </is>
      </c>
      <c r="F4252" s="16" t="inlineStr">
        <is>
          <t>KTS-2031</t>
        </is>
      </c>
      <c r="G4252" s="16" t="inlineStr">
        <is>
          <t>Bocina inalámbrica de 3 pulgadas con linterna multifuncional y panel solar integrado.Altavoz Portátil con Linterna LED 4 Modos, Radio FM, Bluetooth, Carga Solar, Ideal para Apagones, Emergencias, Campo y Exteriores</t>
        </is>
      </c>
      <c r="H4252" s="16" t="inlineStr">
        <is>
          <t>NEGRO</t>
        </is>
      </c>
      <c r="I4252" s="16" t="n">
        <v>1</v>
      </c>
      <c r="J4252" s="17" t="n">
        <v>78</v>
      </c>
      <c r="K4252" s="17" t="n">
        <v>87.22</v>
      </c>
      <c r="L4252" s="17" t="n">
        <v>25.86</v>
      </c>
      <c r="M4252" s="17" t="n">
        <v>0</v>
      </c>
      <c r="N4252" s="17">
        <f>K4252*0.08+L4252*0.08</f>
        <v/>
      </c>
      <c r="O4252" s="17">
        <f>-(K4252*0.025+L4252*0.025)</f>
        <v/>
      </c>
      <c r="P4252" s="17">
        <f>32</f>
        <v/>
      </c>
      <c r="Q4252" s="17">
        <f>J4252+L4252+N4252+O4252-P4252-M4252</f>
        <v/>
      </c>
    </row>
    <row r="4253">
      <c r="A4253" s="16" t="inlineStr">
        <is>
          <t>5.8-5.14</t>
        </is>
      </c>
      <c r="B4253" s="16" t="inlineStr">
        <is>
          <t>PO-128-15269993659513606</t>
        </is>
      </c>
      <c r="C4253" s="16" t="inlineStr">
        <is>
          <t>Shipped</t>
        </is>
      </c>
      <c r="D4253" s="16" t="inlineStr">
        <is>
          <t>128-15269981207673606</t>
        </is>
      </c>
      <c r="E4253" s="16" t="inlineStr">
        <is>
          <t>Shipped</t>
        </is>
      </c>
      <c r="F4253" s="16" t="inlineStr">
        <is>
          <t>VB349T</t>
        </is>
      </c>
      <c r="G4253" s="16" t="inlineStr">
        <is>
          <t>LINKBITS Altavoz Portátil de Doble Altavoz - 3 Pulgadas, Sonido HD, Emparejamiento Rápido de Bluetooth, Conectividad TWS, Reproducción Multimodo (Micro SD/USB/Radio FM) - Perfecto para Oficina, Viajes y Espacios Pequeños</t>
        </is>
      </c>
      <c r="H4253" s="16" t="inlineStr">
        <is>
          <t>NEGRO</t>
        </is>
      </c>
      <c r="I4253" s="16" t="n">
        <v>1</v>
      </c>
      <c r="J4253" s="17" t="n">
        <v>81</v>
      </c>
      <c r="K4253" s="17" t="n">
        <v>89.91</v>
      </c>
      <c r="L4253" s="17" t="n">
        <v>25.86</v>
      </c>
      <c r="M4253" s="17" t="n">
        <v>0</v>
      </c>
      <c r="N4253" s="17">
        <f>K4253*0.08+L4253*0.08</f>
        <v/>
      </c>
      <c r="O4253" s="17">
        <f>-(K4253*0.025+L4253*0.025)</f>
        <v/>
      </c>
      <c r="P4253" s="17">
        <f>32</f>
        <v/>
      </c>
      <c r="Q4253" s="17">
        <f>J4253+L4253+N4253+O4253-P4253-M4253</f>
        <v/>
      </c>
    </row>
    <row r="4254">
      <c r="A4254" s="16" t="inlineStr">
        <is>
          <t>5.8-5.14</t>
        </is>
      </c>
      <c r="B4254" s="16" t="inlineStr">
        <is>
          <t>PO-128-15790590142070569</t>
        </is>
      </c>
      <c r="C4254" s="16" t="inlineStr">
        <is>
          <t>Shipped</t>
        </is>
      </c>
      <c r="D4254" s="16" t="inlineStr">
        <is>
          <t>128-15790632085110569</t>
        </is>
      </c>
      <c r="E4254" s="16" t="inlineStr">
        <is>
          <t>Shipped</t>
        </is>
      </c>
      <c r="F4254" s="16" t="inlineStr">
        <is>
          <t>KTS-2031</t>
        </is>
      </c>
      <c r="G4254" s="16" t="inlineStr">
        <is>
          <t>Bocina inalámbrica de 3 pulgadas con linterna multifuncional y panel solar integrado.Altavoz Portátil con Linterna LED 4 Modos, Radio FM, Bluetooth, Carga Solar, Ideal para Apagones, Emergencias, Campo y Exteriores</t>
        </is>
      </c>
      <c r="H4254" s="16" t="inlineStr">
        <is>
          <t>NEGRO</t>
        </is>
      </c>
      <c r="I4254" s="16" t="n">
        <v>1</v>
      </c>
      <c r="J4254" s="17" t="n">
        <v>78</v>
      </c>
      <c r="K4254" s="17" t="n">
        <v>26.88</v>
      </c>
      <c r="L4254" s="17" t="n">
        <v>25.86</v>
      </c>
      <c r="M4254" s="17" t="n">
        <v>0</v>
      </c>
      <c r="N4254" s="17">
        <f>K4254*0.08+L4254*0.08</f>
        <v/>
      </c>
      <c r="O4254" s="17">
        <f>-(K4254*0.025+L4254*0.025)</f>
        <v/>
      </c>
      <c r="P4254" s="17">
        <f>32</f>
        <v/>
      </c>
      <c r="Q4254" s="17">
        <f>J4254+L4254+N4254+O4254-P4254-M4254</f>
        <v/>
      </c>
    </row>
    <row r="4255">
      <c r="A4255" s="16" t="inlineStr">
        <is>
          <t>5.8-5.14</t>
        </is>
      </c>
      <c r="B4255" s="16" t="inlineStr">
        <is>
          <t>PO-128-15729497183350933</t>
        </is>
      </c>
      <c r="C4255" s="16" t="inlineStr">
        <is>
          <t>Shipped</t>
        </is>
      </c>
      <c r="D4255" s="16" t="inlineStr">
        <is>
          <t>128-15729528640630933</t>
        </is>
      </c>
      <c r="E4255" s="16" t="inlineStr">
        <is>
          <t>Shipped</t>
        </is>
      </c>
      <c r="F4255" s="16" t="inlineStr">
        <is>
          <t>LV54W25</t>
        </is>
      </c>
      <c r="G4255" s="16" t="inlineStr">
        <is>
          <t>TIANLAI Lámpara Ventilador E27 2 en 1, Silenciosa, LED Alta Luminosidad 180°, Instalación Rápida, Ahorro Energético para Dormitorio y Interiores Pequeños</t>
        </is>
      </c>
      <c r="H4255" s="16" t="inlineStr">
        <is>
          <t>1 Pieza</t>
        </is>
      </c>
      <c r="I4255" s="16" t="n">
        <v>1</v>
      </c>
      <c r="J4255" s="17" t="n">
        <v>75.8</v>
      </c>
      <c r="K4255" s="17" t="n">
        <v>69.48</v>
      </c>
      <c r="L4255" s="17" t="n">
        <v>25.86</v>
      </c>
      <c r="M4255" s="17" t="n">
        <v>0</v>
      </c>
      <c r="N4255" s="17">
        <f>K4255*0.08+L4255*0.08</f>
        <v/>
      </c>
      <c r="O4255" s="17">
        <f>-(K4255*0.025+L4255*0.025)</f>
        <v/>
      </c>
      <c r="P4255" s="17">
        <f>32</f>
        <v/>
      </c>
      <c r="Q4255" s="17">
        <f>J4255+L4255+N4255+O4255-P4255-M4255</f>
        <v/>
      </c>
    </row>
    <row r="4256">
      <c r="A4256" s="16" t="inlineStr">
        <is>
          <t>5.8-5.14</t>
        </is>
      </c>
      <c r="B4256" s="16" t="inlineStr">
        <is>
          <t>PO-128-15210199186554029</t>
        </is>
      </c>
      <c r="C4256" s="16" t="inlineStr">
        <is>
          <t>Shipped</t>
        </is>
      </c>
      <c r="D4256" s="16" t="inlineStr">
        <is>
          <t>128-15210157243514029</t>
        </is>
      </c>
      <c r="E4256" s="16" t="inlineStr">
        <is>
          <t>Shipped</t>
        </is>
      </c>
      <c r="F4256" s="16" t="inlineStr">
        <is>
          <t>KTS-2031</t>
        </is>
      </c>
      <c r="G4256" s="16" t="inlineStr">
        <is>
          <t>Bocina inalámbrica de 3 pulgadas con linterna multifuncional y panel solar integrado.Altavoz Portátil con Linterna LED 4 Modos, Radio FM, Bluetooth, Carga Solar, Ideal para Apagones, Emergencias, Campo y Exteriores</t>
        </is>
      </c>
      <c r="H4256" s="16" t="inlineStr">
        <is>
          <t>NEGRO</t>
        </is>
      </c>
      <c r="I4256" s="16" t="n">
        <v>1</v>
      </c>
      <c r="J4256" s="17" t="n">
        <v>78</v>
      </c>
      <c r="K4256" s="17" t="n">
        <v>87.22</v>
      </c>
      <c r="L4256" s="17" t="n">
        <v>25.86</v>
      </c>
      <c r="M4256" s="17" t="n">
        <v>0</v>
      </c>
      <c r="N4256" s="17">
        <f>K4256*0.08+L4256*0.08</f>
        <v/>
      </c>
      <c r="O4256" s="17">
        <f>-(K4256*0.025+L4256*0.025)</f>
        <v/>
      </c>
      <c r="P4256" s="17">
        <f>32</f>
        <v/>
      </c>
      <c r="Q4256" s="17">
        <f>J4256+L4256+N4256+O4256-P4256-M4256</f>
        <v/>
      </c>
    </row>
    <row r="4257">
      <c r="A4257" s="16" t="inlineStr">
        <is>
          <t>5.8-5.14</t>
        </is>
      </c>
      <c r="B4257" s="16" t="inlineStr">
        <is>
          <t>PO-128-15360127606392111</t>
        </is>
      </c>
      <c r="C4257" s="16" t="inlineStr">
        <is>
          <t>Shipped</t>
        </is>
      </c>
      <c r="D4257" s="16" t="inlineStr">
        <is>
          <t>128-15360106634872111</t>
        </is>
      </c>
      <c r="E4257" s="16" t="inlineStr">
        <is>
          <t>Shipped</t>
        </is>
      </c>
      <c r="F4257" s="16" t="inlineStr">
        <is>
          <t>LV64W25</t>
        </is>
      </c>
      <c r="G425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57" s="16" t="inlineStr">
        <is>
          <t>Blanco</t>
        </is>
      </c>
      <c r="I4257" s="16" t="n">
        <v>1</v>
      </c>
      <c r="J4257" s="17" t="n">
        <v>119</v>
      </c>
      <c r="K4257" s="17" t="n">
        <v>116.69</v>
      </c>
      <c r="L4257" s="17" t="n">
        <v>25.86</v>
      </c>
      <c r="M4257" s="17" t="n">
        <v>0</v>
      </c>
      <c r="N4257" s="17">
        <f>K4257*0.08+L4257*0.08</f>
        <v/>
      </c>
      <c r="O4257" s="17">
        <f>-(K4257*0.025+L4257*0.025)</f>
        <v/>
      </c>
      <c r="P4257" s="17">
        <f>32</f>
        <v/>
      </c>
      <c r="Q4257" s="17">
        <f>J4257+L4257+N4257+O4257-P4257-M4257</f>
        <v/>
      </c>
    </row>
    <row r="4258">
      <c r="A4258" s="16" t="inlineStr">
        <is>
          <t>5.8-5.14</t>
        </is>
      </c>
      <c r="B4258" s="16" t="inlineStr">
        <is>
          <t>PO-128-15762557865590670</t>
        </is>
      </c>
      <c r="C4258" s="16" t="inlineStr">
        <is>
          <t>Shipped</t>
        </is>
      </c>
      <c r="D4258" s="16" t="inlineStr">
        <is>
          <t>128-15762578837110670</t>
        </is>
      </c>
      <c r="E4258" s="16" t="inlineStr">
        <is>
          <t>Shipped</t>
        </is>
      </c>
      <c r="F4258" s="16" t="inlineStr">
        <is>
          <t>LV64W25</t>
        </is>
      </c>
      <c r="G425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58" s="16" t="inlineStr">
        <is>
          <t>Blanco</t>
        </is>
      </c>
      <c r="I4258" s="16" t="n">
        <v>1</v>
      </c>
      <c r="J4258" s="17" t="n">
        <v>119</v>
      </c>
      <c r="K4258" s="17" t="n">
        <v>115.03</v>
      </c>
      <c r="L4258" s="17" t="n">
        <v>25.86</v>
      </c>
      <c r="M4258" s="17" t="n">
        <v>0</v>
      </c>
      <c r="N4258" s="17">
        <f>K4258*0.08+L4258*0.08</f>
        <v/>
      </c>
      <c r="O4258" s="17">
        <f>-(K4258*0.025+L4258*0.025)</f>
        <v/>
      </c>
      <c r="P4258" s="17">
        <f>32</f>
        <v/>
      </c>
      <c r="Q4258" s="17">
        <f>J4258+L4258+N4258+O4258-P4258-M4258</f>
        <v/>
      </c>
    </row>
    <row r="4259">
      <c r="A4259" s="16" t="inlineStr">
        <is>
          <t>5.8-5.14</t>
        </is>
      </c>
      <c r="B4259" s="16" t="inlineStr">
        <is>
          <t>PO-128-15161799163513229</t>
        </is>
      </c>
      <c r="C4259" s="16" t="inlineStr">
        <is>
          <t>Shipped</t>
        </is>
      </c>
      <c r="D4259" s="16" t="inlineStr">
        <is>
          <t>128-15161830620793229</t>
        </is>
      </c>
      <c r="E4259" s="16" t="inlineStr">
        <is>
          <t>Shipped</t>
        </is>
      </c>
      <c r="F4259" s="16" t="inlineStr">
        <is>
          <t>LV64W25</t>
        </is>
      </c>
      <c r="G425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59" s="16" t="inlineStr">
        <is>
          <t>Blanco</t>
        </is>
      </c>
      <c r="I4259" s="16" t="n">
        <v>1</v>
      </c>
      <c r="J4259" s="17" t="n">
        <v>119</v>
      </c>
      <c r="K4259" s="17" t="n">
        <v>137.28</v>
      </c>
      <c r="L4259" s="17" t="n">
        <v>25.86</v>
      </c>
      <c r="M4259" s="17" t="n">
        <v>0</v>
      </c>
      <c r="N4259" s="17">
        <f>K4259*0.08+L4259*0.08</f>
        <v/>
      </c>
      <c r="O4259" s="17">
        <f>-(K4259*0.025+L4259*0.025)</f>
        <v/>
      </c>
      <c r="P4259" s="17">
        <f>32</f>
        <v/>
      </c>
      <c r="Q4259" s="17">
        <f>J4259+L4259+N4259+O4259-P4259-M4259</f>
        <v/>
      </c>
    </row>
    <row r="4260">
      <c r="A4260" s="16" t="inlineStr">
        <is>
          <t>5.8-5.14</t>
        </is>
      </c>
      <c r="B4260" s="16" t="inlineStr">
        <is>
          <t>PO-128-15248550935673734</t>
        </is>
      </c>
      <c r="C4260" s="16" t="inlineStr">
        <is>
          <t>Shipped</t>
        </is>
      </c>
      <c r="D4260" s="16" t="inlineStr">
        <is>
          <t>128-15248592878713734</t>
        </is>
      </c>
      <c r="E4260" s="16" t="inlineStr">
        <is>
          <t>Shipped</t>
        </is>
      </c>
      <c r="F4260" s="16" t="inlineStr">
        <is>
          <t>LV64W25</t>
        </is>
      </c>
      <c r="G426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60" s="16" t="inlineStr">
        <is>
          <t>Blanco</t>
        </is>
      </c>
      <c r="I4260" s="16" t="n">
        <v>1</v>
      </c>
      <c r="J4260" s="17" t="n">
        <v>119</v>
      </c>
      <c r="K4260" s="17" t="n">
        <v>94.18000000000001</v>
      </c>
      <c r="L4260" s="17" t="n">
        <v>25.86</v>
      </c>
      <c r="M4260" s="17" t="n">
        <v>0</v>
      </c>
      <c r="N4260" s="17">
        <f>K4260*0.08+L4260*0.08</f>
        <v/>
      </c>
      <c r="O4260" s="17">
        <f>-(K4260*0.025+L4260*0.025)</f>
        <v/>
      </c>
      <c r="P4260" s="17">
        <f>32</f>
        <v/>
      </c>
      <c r="Q4260" s="17">
        <f>J4260+L4260+N4260+O4260-P4260-M4260</f>
        <v/>
      </c>
    </row>
    <row r="4261">
      <c r="A4261" s="16" t="inlineStr">
        <is>
          <t>5.8-5.14</t>
        </is>
      </c>
      <c r="B4261" s="16" t="inlineStr">
        <is>
          <t>PO-128-15628932583031661</t>
        </is>
      </c>
      <c r="C4261" s="16" t="inlineStr">
        <is>
          <t>Shipped</t>
        </is>
      </c>
      <c r="D4261" s="16" t="inlineStr">
        <is>
          <t>128-15628953554551661</t>
        </is>
      </c>
      <c r="E4261" s="16" t="inlineStr">
        <is>
          <t>Shipped</t>
        </is>
      </c>
      <c r="F4261" s="16" t="inlineStr">
        <is>
          <t>LV54W25</t>
        </is>
      </c>
      <c r="G4261" s="16" t="inlineStr">
        <is>
          <t>TIANLAI Lámpara Ventilador E27 2 en 1, Silenciosa, LED Alta Luminosidad 180°, Instalación Rápida, Ahorro Energético para Dormitorio y Interiores Pequeños</t>
        </is>
      </c>
      <c r="H4261" s="16" t="inlineStr">
        <is>
          <t>1 Pieza</t>
        </is>
      </c>
      <c r="I4261" s="16" t="n">
        <v>2</v>
      </c>
      <c r="J4261" s="17" t="n">
        <v>151.6</v>
      </c>
      <c r="K4261" s="17" t="n">
        <v>159.96</v>
      </c>
      <c r="L4261" s="17" t="n">
        <v>25.86</v>
      </c>
      <c r="M4261" s="17" t="n">
        <v>0</v>
      </c>
      <c r="N4261" s="17">
        <f>K4261*0.08+L4261*0.08</f>
        <v/>
      </c>
      <c r="O4261" s="17">
        <f>-(K4261*0.025+L4261*0.025)</f>
        <v/>
      </c>
      <c r="P4261" s="17">
        <f>32</f>
        <v/>
      </c>
      <c r="Q4261" s="17">
        <f>J4261+L4261+N4261+O4261-P4261-M4261</f>
        <v/>
      </c>
    </row>
    <row r="4262">
      <c r="A4262" s="16" t="inlineStr">
        <is>
          <t>5.8-5.14</t>
        </is>
      </c>
      <c r="B4262" s="16" t="inlineStr">
        <is>
          <t>PO-128-15762806008950671</t>
        </is>
      </c>
      <c r="C4262" s="16" t="inlineStr">
        <is>
          <t>Shipped</t>
        </is>
      </c>
      <c r="D4262" s="16" t="inlineStr">
        <is>
          <t>128-15762826980470671</t>
        </is>
      </c>
      <c r="E4262" s="16" t="inlineStr">
        <is>
          <t>Shipped</t>
        </is>
      </c>
      <c r="F4262" s="16" t="inlineStr">
        <is>
          <t>LV54W25</t>
        </is>
      </c>
      <c r="G4262" s="16" t="inlineStr">
        <is>
          <t>TIANLAI Lámpara Ventilador E27 2 en 1, Silenciosa, LED Alta Luminosidad 180°, Instalación Rápida, Ahorro Energético para Dormitorio y Interiores Pequeños</t>
        </is>
      </c>
      <c r="H4262" s="16" t="inlineStr">
        <is>
          <t>1 Pieza</t>
        </is>
      </c>
      <c r="I4262" s="16" t="n">
        <v>2</v>
      </c>
      <c r="J4262" s="17" t="n">
        <v>151.6</v>
      </c>
      <c r="K4262" s="17" t="n">
        <v>127.97</v>
      </c>
      <c r="L4262" s="17" t="n">
        <v>25.86</v>
      </c>
      <c r="M4262" s="17" t="n">
        <v>0</v>
      </c>
      <c r="N4262" s="17">
        <f>K4262*0.08+L4262*0.08</f>
        <v/>
      </c>
      <c r="O4262" s="17">
        <f>-(K4262*0.025+L4262*0.025)</f>
        <v/>
      </c>
      <c r="P4262" s="17">
        <f>32</f>
        <v/>
      </c>
      <c r="Q4262" s="17">
        <f>J4262+L4262+N4262+O4262-P4262-M4262</f>
        <v/>
      </c>
    </row>
    <row r="4263">
      <c r="A4263" s="16" t="inlineStr">
        <is>
          <t>5.8-5.14</t>
        </is>
      </c>
      <c r="B4263" s="16" t="inlineStr">
        <is>
          <t>PO-128-15287468833913694</t>
        </is>
      </c>
      <c r="C4263" s="16" t="inlineStr">
        <is>
          <t>Shipped</t>
        </is>
      </c>
      <c r="D4263" s="16" t="inlineStr">
        <is>
          <t>128-15287432133753694</t>
        </is>
      </c>
      <c r="E4263" s="16" t="inlineStr">
        <is>
          <t>Shipped</t>
        </is>
      </c>
      <c r="F4263" s="16" t="inlineStr">
        <is>
          <t>VB349T</t>
        </is>
      </c>
      <c r="G4263" s="16" t="inlineStr">
        <is>
          <t>LINKBITS Altavoz Portátil de Doble Altavoz - 3 Pulgadas, Sonido HD, Emparejamiento Rápido de Bluetooth, Conectividad TWS, Reproducción Multimodo (Micro SD/USB/Radio FM) - Perfecto para Oficina, Viajes y Espacios Pequeños</t>
        </is>
      </c>
      <c r="H4263" s="16" t="inlineStr">
        <is>
          <t>NEGRO</t>
        </is>
      </c>
      <c r="I4263" s="16" t="n">
        <v>1</v>
      </c>
      <c r="J4263" s="17" t="n">
        <v>81</v>
      </c>
      <c r="K4263" s="17" t="n">
        <v>75.41</v>
      </c>
      <c r="L4263" s="17" t="n">
        <v>25.86</v>
      </c>
      <c r="M4263" s="17" t="n">
        <v>0</v>
      </c>
      <c r="N4263" s="17">
        <f>K4263*0.08+L4263*0.08</f>
        <v/>
      </c>
      <c r="O4263" s="17">
        <f>-(K4263*0.025+L4263*0.025)</f>
        <v/>
      </c>
      <c r="P4263" s="17">
        <f>32</f>
        <v/>
      </c>
      <c r="Q4263" s="17">
        <f>J4263+L4263+N4263+O4263-P4263-M4263</f>
        <v/>
      </c>
    </row>
    <row r="4264">
      <c r="A4264" s="16" t="inlineStr">
        <is>
          <t>5.8-5.14</t>
        </is>
      </c>
      <c r="B4264" s="16" t="inlineStr">
        <is>
          <t>PO-128-15591701896311691</t>
        </is>
      </c>
      <c r="C4264" s="16" t="inlineStr">
        <is>
          <t>Shipped</t>
        </is>
      </c>
      <c r="D4264" s="16" t="inlineStr">
        <is>
          <t>128-15591659953271691</t>
        </is>
      </c>
      <c r="E4264" s="16" t="inlineStr">
        <is>
          <t>Shipped</t>
        </is>
      </c>
      <c r="F4264" s="16" t="inlineStr">
        <is>
          <t>LV54W25</t>
        </is>
      </c>
      <c r="G4264" s="16" t="inlineStr">
        <is>
          <t>TIANLAI Lámpara Ventilador E27 2 en 1, Silenciosa, LED Alta Luminosidad 180°, Instalación Rápida, Ahorro Energético para Dormitorio y Interiores Pequeños</t>
        </is>
      </c>
      <c r="H4264" s="16" t="inlineStr">
        <is>
          <t>1 Pieza</t>
        </is>
      </c>
      <c r="I4264" s="16" t="n">
        <v>1</v>
      </c>
      <c r="J4264" s="17" t="n">
        <v>75.8</v>
      </c>
      <c r="K4264" s="17" t="n">
        <v>79.98</v>
      </c>
      <c r="L4264" s="17" t="n">
        <v>25.86</v>
      </c>
      <c r="M4264" s="17" t="n">
        <v>0</v>
      </c>
      <c r="N4264" s="17">
        <f>K4264*0.08+L4264*0.08</f>
        <v/>
      </c>
      <c r="O4264" s="17">
        <f>-(K4264*0.025+L4264*0.025)</f>
        <v/>
      </c>
      <c r="P4264" s="17">
        <f>32</f>
        <v/>
      </c>
      <c r="Q4264" s="17">
        <f>J4264+L4264+N4264+O4264-P4264-M4264</f>
        <v/>
      </c>
    </row>
    <row r="4265">
      <c r="A4265" s="16" t="inlineStr">
        <is>
          <t>5.8-5.14</t>
        </is>
      </c>
      <c r="B4265" s="16" t="inlineStr">
        <is>
          <t>PO-128-15626235848311613</t>
        </is>
      </c>
      <c r="C4265" s="16" t="inlineStr">
        <is>
          <t>Shipped</t>
        </is>
      </c>
      <c r="D4265" s="16" t="inlineStr">
        <is>
          <t>128-15626246334071613</t>
        </is>
      </c>
      <c r="E4265" s="16" t="inlineStr">
        <is>
          <t>Shipped</t>
        </is>
      </c>
      <c r="F4265" s="16" t="inlineStr">
        <is>
          <t>KTS-2031</t>
        </is>
      </c>
      <c r="G4265" s="16" t="inlineStr">
        <is>
          <t>Bocina inalámbrica de 3 pulgadas con linterna multifuncional y panel solar integrado.Altavoz Portátil con Linterna LED 4 Modos, Radio FM, Bluetooth, Carga Solar, Ideal para Apagones, Emergencias, Campo y Exteriores</t>
        </is>
      </c>
      <c r="H4265" s="16" t="inlineStr">
        <is>
          <t>NEGRO</t>
        </is>
      </c>
      <c r="I4265" s="16" t="n">
        <v>1</v>
      </c>
      <c r="J4265" s="17" t="n">
        <v>78</v>
      </c>
      <c r="K4265" s="17" t="n">
        <v>69.78</v>
      </c>
      <c r="L4265" s="17" t="n">
        <v>25.86</v>
      </c>
      <c r="M4265" s="17" t="n">
        <v>0</v>
      </c>
      <c r="N4265" s="17">
        <f>K4265*0.08+L4265*0.08</f>
        <v/>
      </c>
      <c r="O4265" s="17">
        <f>-(K4265*0.025+L4265*0.025)</f>
        <v/>
      </c>
      <c r="P4265" s="17">
        <f>32</f>
        <v/>
      </c>
      <c r="Q4265" s="17">
        <f>J4265+L4265+N4265+O4265-P4265-M4265</f>
        <v/>
      </c>
    </row>
    <row r="4266">
      <c r="A4266" s="16" t="inlineStr">
        <is>
          <t>5.8-5.14</t>
        </is>
      </c>
      <c r="B4266" s="16" t="inlineStr">
        <is>
          <t>PO-128-15297115356792487</t>
        </is>
      </c>
      <c r="C4266" s="16" t="inlineStr">
        <is>
          <t>Shipped</t>
        </is>
      </c>
      <c r="D4266" s="16" t="inlineStr">
        <is>
          <t>128-15297073413752487</t>
        </is>
      </c>
      <c r="E4266" s="16" t="inlineStr">
        <is>
          <t>Shipped</t>
        </is>
      </c>
      <c r="F4266" s="16" t="inlineStr">
        <is>
          <t>LV64W25</t>
        </is>
      </c>
      <c r="G426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66" s="16" t="inlineStr">
        <is>
          <t>Blanco</t>
        </is>
      </c>
      <c r="I4266" s="16" t="n">
        <v>1</v>
      </c>
      <c r="J4266" s="17" t="n">
        <v>120</v>
      </c>
      <c r="K4266" s="17" t="n">
        <v>95.18000000000001</v>
      </c>
      <c r="L4266" s="17" t="n">
        <v>25.86</v>
      </c>
      <c r="M4266" s="17" t="n">
        <v>0</v>
      </c>
      <c r="N4266" s="17">
        <f>K4266*0.08+L4266*0.08</f>
        <v/>
      </c>
      <c r="O4266" s="17">
        <f>-(K4266*0.025+L4266*0.025)</f>
        <v/>
      </c>
      <c r="P4266" s="17">
        <f>32</f>
        <v/>
      </c>
      <c r="Q4266" s="17">
        <f>J4266+L4266+N4266+O4266-P4266-M4266</f>
        <v/>
      </c>
    </row>
    <row r="4267">
      <c r="A4267" s="16" t="inlineStr">
        <is>
          <t>5.8-5.14</t>
        </is>
      </c>
      <c r="B4267" s="16" t="inlineStr">
        <is>
          <t>PO-128-15353691233912277</t>
        </is>
      </c>
      <c r="C4267" s="16" t="inlineStr">
        <is>
          <t>Shipped</t>
        </is>
      </c>
      <c r="D4267" s="16" t="inlineStr">
        <is>
          <t>128-15353712205432277</t>
        </is>
      </c>
      <c r="E4267" s="16" t="inlineStr">
        <is>
          <t>Shipped</t>
        </is>
      </c>
      <c r="F4267" s="16" t="inlineStr">
        <is>
          <t>LV64W25</t>
        </is>
      </c>
      <c r="G426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67" s="16" t="inlineStr">
        <is>
          <t>Blanco</t>
        </is>
      </c>
      <c r="I4267" s="16" t="n">
        <v>1</v>
      </c>
      <c r="J4267" s="17" t="n">
        <v>120</v>
      </c>
      <c r="K4267" s="17" t="n">
        <v>138.28</v>
      </c>
      <c r="L4267" s="17" t="n">
        <v>25.86</v>
      </c>
      <c r="M4267" s="17" t="n">
        <v>0</v>
      </c>
      <c r="N4267" s="17">
        <f>K4267*0.08+L4267*0.08</f>
        <v/>
      </c>
      <c r="O4267" s="17">
        <f>-(K4267*0.025+L4267*0.025)</f>
        <v/>
      </c>
      <c r="P4267" s="17">
        <f>32</f>
        <v/>
      </c>
      <c r="Q4267" s="17">
        <f>J4267+L4267+N4267+O4267-P4267-M4267</f>
        <v/>
      </c>
    </row>
    <row r="4268">
      <c r="A4268" s="16" t="inlineStr">
        <is>
          <t>5.8-5.14</t>
        </is>
      </c>
      <c r="B4268" s="16" t="inlineStr">
        <is>
          <t>PO-128-15200919923833186</t>
        </is>
      </c>
      <c r="C4268" s="16" t="inlineStr">
        <is>
          <t>Shipped</t>
        </is>
      </c>
      <c r="D4268" s="16" t="inlineStr">
        <is>
          <t>128-15200988081273186</t>
        </is>
      </c>
      <c r="E4268" s="16" t="inlineStr">
        <is>
          <t>Shipped</t>
        </is>
      </c>
      <c r="F4268" s="16" t="inlineStr">
        <is>
          <t>KTS-2031</t>
        </is>
      </c>
      <c r="G4268" s="16" t="inlineStr">
        <is>
          <t>Bocina inalámbrica de 3 pulgadas con linterna multifuncional y panel solar integrado.Altavoz Portátil con Linterna LED 4 Modos, Radio FM, Bluetooth, Carga Solar, Ideal para Apagones, Emergencias, Campo y Exteriores</t>
        </is>
      </c>
      <c r="H4268" s="16" t="inlineStr">
        <is>
          <t>NEGRO</t>
        </is>
      </c>
      <c r="I4268" s="16" t="n">
        <v>1</v>
      </c>
      <c r="J4268" s="17" t="n">
        <v>78</v>
      </c>
      <c r="K4268" s="17" t="n">
        <v>87.22</v>
      </c>
      <c r="L4268" s="17" t="n">
        <v>25.86</v>
      </c>
      <c r="M4268" s="17" t="n">
        <v>0</v>
      </c>
      <c r="N4268" s="17">
        <f>K4268*0.08+L4268*0.08</f>
        <v/>
      </c>
      <c r="O4268" s="17">
        <f>-(K4268*0.025+L4268*0.025)</f>
        <v/>
      </c>
      <c r="P4268" s="17">
        <f>32</f>
        <v/>
      </c>
      <c r="Q4268" s="17">
        <f>J4268+L4268+N4268+O4268-P4268-M4268</f>
        <v/>
      </c>
    </row>
    <row r="4269">
      <c r="A4269" s="16" t="inlineStr">
        <is>
          <t>5.8-5.14</t>
        </is>
      </c>
      <c r="B4269" s="16" t="inlineStr">
        <is>
          <t>PO-128-15540870843511096</t>
        </is>
      </c>
      <c r="C4269" s="16" t="inlineStr">
        <is>
          <t>Shipped</t>
        </is>
      </c>
      <c r="D4269" s="16" t="inlineStr">
        <is>
          <t>128-15540828900471096</t>
        </is>
      </c>
      <c r="E4269" s="16" t="inlineStr">
        <is>
          <t>Shipped</t>
        </is>
      </c>
      <c r="F4269" s="16" t="inlineStr">
        <is>
          <t>VB349T</t>
        </is>
      </c>
      <c r="G4269" s="16" t="inlineStr">
        <is>
          <t>LINKBITS Altavoz Portátil de Doble Altavoz - 3 Pulgadas, Sonido HD, Emparejamiento Rápido de Bluetooth, Conectividad TWS, Reproducción Multimodo (Micro SD/USB/Radio FM) - Perfecto para Oficina, Viajes y Espacios Pequeños</t>
        </is>
      </c>
      <c r="H4269" s="16" t="inlineStr">
        <is>
          <t>NEGRO</t>
        </is>
      </c>
      <c r="I4269" s="16" t="n">
        <v>1</v>
      </c>
      <c r="J4269" s="17" t="n">
        <v>81</v>
      </c>
      <c r="K4269" s="17" t="n">
        <v>94.25</v>
      </c>
      <c r="L4269" s="17" t="n">
        <v>25.86</v>
      </c>
      <c r="M4269" s="17" t="n">
        <v>0</v>
      </c>
      <c r="N4269" s="17">
        <f>K4269*0.08+L4269*0.08</f>
        <v/>
      </c>
      <c r="O4269" s="17">
        <f>-(K4269*0.025+L4269*0.025)</f>
        <v/>
      </c>
      <c r="P4269" s="17">
        <f>32</f>
        <v/>
      </c>
      <c r="Q4269" s="17">
        <f>J4269+L4269+N4269+O4269-P4269-M4269</f>
        <v/>
      </c>
    </row>
    <row r="4270">
      <c r="A4270" s="16" t="inlineStr">
        <is>
          <t>5.8-5.14</t>
        </is>
      </c>
      <c r="B4270" s="16" t="inlineStr">
        <is>
          <t>PO-128-15252859612793772</t>
        </is>
      </c>
      <c r="C4270" s="16" t="inlineStr">
        <is>
          <t>Shipped</t>
        </is>
      </c>
      <c r="D4270" s="16" t="inlineStr">
        <is>
          <t>128-15252922527353772</t>
        </is>
      </c>
      <c r="E4270" s="16" t="inlineStr">
        <is>
          <t>Shipped</t>
        </is>
      </c>
      <c r="F4270" s="16" t="inlineStr">
        <is>
          <t>B03W10-10PZS</t>
        </is>
      </c>
      <c r="G427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270" s="16" t="inlineStr">
        <is>
          <t>B03W10</t>
        </is>
      </c>
      <c r="I4270" s="16" t="n">
        <v>1</v>
      </c>
      <c r="J4270" s="17" t="n">
        <v>70</v>
      </c>
      <c r="K4270" s="17" t="n">
        <v>37.51</v>
      </c>
      <c r="L4270" s="17" t="n">
        <v>12.51</v>
      </c>
      <c r="M4270" s="17" t="n">
        <v>0</v>
      </c>
      <c r="N4270" s="17">
        <f>K4270*0.08+L4270*0.08</f>
        <v/>
      </c>
      <c r="O4270" s="17">
        <f>-(K4270*0.025+L4270*0.025)</f>
        <v/>
      </c>
      <c r="P4270" s="17">
        <f>32</f>
        <v/>
      </c>
      <c r="Q4270" s="17">
        <f>J4270+L4270+N4270+O4270-P4270-M4270</f>
        <v/>
      </c>
    </row>
    <row r="4271">
      <c r="A4271" s="16" t="inlineStr">
        <is>
          <t>5.8-5.14</t>
        </is>
      </c>
      <c r="B4271" s="16" t="inlineStr">
        <is>
          <t>PO-128-15252859612793772</t>
        </is>
      </c>
      <c r="C4271" s="16" t="inlineStr">
        <is>
          <t>Shipped</t>
        </is>
      </c>
      <c r="D4271" s="16" t="inlineStr">
        <is>
          <t>128-15252964470393772</t>
        </is>
      </c>
      <c r="E4271" s="16" t="inlineStr">
        <is>
          <t>Shipped</t>
        </is>
      </c>
      <c r="F4271" s="16" t="inlineStr">
        <is>
          <t>LV54W25</t>
        </is>
      </c>
      <c r="G4271" s="16" t="inlineStr">
        <is>
          <t>TIANLAI Lámpara Ventilador E27 2 en 1, Silenciosa, LED Alta Luminosidad 180°, Instalación Rápida, Ahorro Energético para Dormitorio y Interiores Pequeños</t>
        </is>
      </c>
      <c r="H4271" s="16" t="inlineStr">
        <is>
          <t>1 Pieza</t>
        </is>
      </c>
      <c r="I4271" s="16" t="n">
        <v>1</v>
      </c>
      <c r="J4271" s="17" t="n">
        <v>79</v>
      </c>
      <c r="K4271" s="17" t="n">
        <v>40.02</v>
      </c>
      <c r="L4271" s="17" t="n">
        <v>13.35</v>
      </c>
      <c r="M4271" s="17" t="n">
        <v>0</v>
      </c>
      <c r="N4271" s="17">
        <f>K4271*0.08+L4271*0.08</f>
        <v/>
      </c>
      <c r="O4271" s="17">
        <f>-(K4271*0.025+L4271*0.025)</f>
        <v/>
      </c>
      <c r="P4271" s="17">
        <f>32</f>
        <v/>
      </c>
      <c r="Q4271" s="17">
        <f>J4271+L4271+N4271+O4271-P4271-M4271</f>
        <v/>
      </c>
    </row>
    <row r="4272">
      <c r="A4272" s="16" t="inlineStr">
        <is>
          <t>5.8-5.14</t>
        </is>
      </c>
      <c r="B4272" s="16" t="inlineStr">
        <is>
          <t>PO-128-15246879050873936</t>
        </is>
      </c>
      <c r="C4272" s="16" t="inlineStr">
        <is>
          <t>Shipped</t>
        </is>
      </c>
      <c r="D4272" s="16" t="inlineStr">
        <is>
          <t>128-15246826622073936</t>
        </is>
      </c>
      <c r="E4272" s="16" t="inlineStr">
        <is>
          <t>Shipped</t>
        </is>
      </c>
      <c r="F4272" s="16" t="inlineStr">
        <is>
          <t>LV54W25</t>
        </is>
      </c>
      <c r="G4272" s="16" t="inlineStr">
        <is>
          <t>TIANLAI Lámpara Ventilador E27 2 en 1, Silenciosa, LED Alta Luminosidad 180°, Instalación Rápida, Ahorro Energético para Dormitorio y Interiores Pequeños</t>
        </is>
      </c>
      <c r="H4272" s="16" t="inlineStr">
        <is>
          <t>1 Pieza</t>
        </is>
      </c>
      <c r="I4272" s="16" t="n">
        <v>1</v>
      </c>
      <c r="J4272" s="17" t="n">
        <v>79</v>
      </c>
      <c r="K4272" s="17" t="n">
        <v>82.73</v>
      </c>
      <c r="L4272" s="17" t="n">
        <v>25.86</v>
      </c>
      <c r="M4272" s="17" t="n">
        <v>0</v>
      </c>
      <c r="N4272" s="17">
        <f>K4272*0.08+L4272*0.08</f>
        <v/>
      </c>
      <c r="O4272" s="17">
        <f>-(K4272*0.025+L4272*0.025)</f>
        <v/>
      </c>
      <c r="P4272" s="17">
        <f>32</f>
        <v/>
      </c>
      <c r="Q4272" s="17">
        <f>J4272+L4272+N4272+O4272-P4272-M4272</f>
        <v/>
      </c>
    </row>
    <row r="4273">
      <c r="A4273" s="16" t="inlineStr">
        <is>
          <t>5.8-5.14</t>
        </is>
      </c>
      <c r="B4273" s="16" t="inlineStr">
        <is>
          <t>PO-128-15558584387192014</t>
        </is>
      </c>
      <c r="C4273" s="16" t="inlineStr">
        <is>
          <t>Shipped</t>
        </is>
      </c>
      <c r="D4273" s="16" t="inlineStr">
        <is>
          <t>128-15558563415672014</t>
        </is>
      </c>
      <c r="E4273" s="16" t="inlineStr">
        <is>
          <t>Shipped</t>
        </is>
      </c>
      <c r="F4273" s="16" t="inlineStr">
        <is>
          <t>LV64W25</t>
        </is>
      </c>
      <c r="G427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73" s="16" t="inlineStr">
        <is>
          <t>Blanco</t>
        </is>
      </c>
      <c r="I4273" s="16" t="n">
        <v>1</v>
      </c>
      <c r="J4273" s="17" t="n">
        <v>120</v>
      </c>
      <c r="K4273" s="17" t="n">
        <v>138.28</v>
      </c>
      <c r="L4273" s="17" t="n">
        <v>25.86</v>
      </c>
      <c r="M4273" s="17" t="n">
        <v>0</v>
      </c>
      <c r="N4273" s="17">
        <f>K4273*0.08+L4273*0.08</f>
        <v/>
      </c>
      <c r="O4273" s="17">
        <f>-(K4273*0.025+L4273*0.025)</f>
        <v/>
      </c>
      <c r="P4273" s="17">
        <f>32</f>
        <v/>
      </c>
      <c r="Q4273" s="17">
        <f>J4273+L4273+N4273+O4273-P4273-M4273</f>
        <v/>
      </c>
    </row>
    <row r="4274">
      <c r="A4274" s="16" t="inlineStr">
        <is>
          <t>5.8-5.14</t>
        </is>
      </c>
      <c r="B4274" s="16" t="inlineStr">
        <is>
          <t>PO-128-15367499095672131</t>
        </is>
      </c>
      <c r="C4274" s="16" t="inlineStr">
        <is>
          <t>Shipped</t>
        </is>
      </c>
      <c r="D4274" s="16" t="inlineStr">
        <is>
          <t>128-15367541038712131</t>
        </is>
      </c>
      <c r="E4274" s="16" t="inlineStr">
        <is>
          <t>Shipped</t>
        </is>
      </c>
      <c r="F4274" s="16" t="inlineStr">
        <is>
          <t>LV54W25</t>
        </is>
      </c>
      <c r="G4274" s="16" t="inlineStr">
        <is>
          <t>TIANLAI Lámpara Ventilador E27 2 en 1, Silenciosa, LED Alta Luminosidad 180°, Instalación Rápida, Ahorro Energético para Dormitorio y Interiores Pequeños</t>
        </is>
      </c>
      <c r="H4274" s="16" t="inlineStr">
        <is>
          <t>1 Pieza</t>
        </is>
      </c>
      <c r="I4274" s="16" t="n">
        <v>1</v>
      </c>
      <c r="J4274" s="17" t="n">
        <v>79</v>
      </c>
      <c r="K4274" s="17" t="n">
        <v>70.31999999999999</v>
      </c>
      <c r="L4274" s="17" t="n">
        <v>25.86</v>
      </c>
      <c r="M4274" s="17" t="n">
        <v>0</v>
      </c>
      <c r="N4274" s="17">
        <f>K4274*0.08+L4274*0.08</f>
        <v/>
      </c>
      <c r="O4274" s="17">
        <f>-(K4274*0.025+L4274*0.025)</f>
        <v/>
      </c>
      <c r="P4274" s="17">
        <f>32</f>
        <v/>
      </c>
      <c r="Q4274" s="17">
        <f>J4274+L4274+N4274+O4274-P4274-M4274</f>
        <v/>
      </c>
    </row>
    <row r="4275">
      <c r="A4275" s="16" t="inlineStr">
        <is>
          <t>5.8-5.14</t>
        </is>
      </c>
      <c r="B4275" s="16" t="inlineStr">
        <is>
          <t>PO-128-15510438628471215</t>
        </is>
      </c>
      <c r="C4275" s="16" t="inlineStr">
        <is>
          <t>Shipped</t>
        </is>
      </c>
      <c r="D4275" s="16" t="inlineStr">
        <is>
          <t>128-15510417656951215</t>
        </is>
      </c>
      <c r="E4275" s="16" t="inlineStr">
        <is>
          <t>Shipped</t>
        </is>
      </c>
      <c r="F4275" s="16" t="inlineStr">
        <is>
          <t>KTS-2031</t>
        </is>
      </c>
      <c r="G4275" s="16" t="inlineStr">
        <is>
          <t>Bocina inalámbrica de 3 pulgadas con linterna multifuncional y panel solar integrado.Altavoz Portátil con Linterna LED 4 Modos, Radio FM, Bluetooth, Carga Solar, Ideal para Apagones, Emergencias, Campo y Exteriores</t>
        </is>
      </c>
      <c r="H4275" s="16" t="inlineStr">
        <is>
          <t>NEGRO</t>
        </is>
      </c>
      <c r="I4275" s="16" t="n">
        <v>1</v>
      </c>
      <c r="J4275" s="17" t="n">
        <v>78</v>
      </c>
      <c r="K4275" s="17" t="n">
        <v>87.22</v>
      </c>
      <c r="L4275" s="17" t="n">
        <v>25.86</v>
      </c>
      <c r="M4275" s="17" t="n">
        <v>0</v>
      </c>
      <c r="N4275" s="17">
        <f>K4275*0.08+L4275*0.08</f>
        <v/>
      </c>
      <c r="O4275" s="17">
        <f>-(K4275*0.025+L4275*0.025)</f>
        <v/>
      </c>
      <c r="P4275" s="17">
        <f>32</f>
        <v/>
      </c>
      <c r="Q4275" s="17">
        <f>J4275+L4275+N4275+O4275-P4275-M4275</f>
        <v/>
      </c>
    </row>
    <row r="4276">
      <c r="A4276" s="16" t="inlineStr">
        <is>
          <t>5.8-5.14</t>
        </is>
      </c>
      <c r="B4276" s="16" t="inlineStr">
        <is>
          <t>PO-128-15644050168950419</t>
        </is>
      </c>
      <c r="C4276" s="16" t="inlineStr">
        <is>
          <t>Shipped</t>
        </is>
      </c>
      <c r="D4276" s="16" t="inlineStr">
        <is>
          <t>128-15644008225910419</t>
        </is>
      </c>
      <c r="E4276" s="16" t="inlineStr">
        <is>
          <t>Shipped</t>
        </is>
      </c>
      <c r="F4276" s="16" t="inlineStr">
        <is>
          <t>LV64W25</t>
        </is>
      </c>
      <c r="G4276"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76" s="16" t="inlineStr">
        <is>
          <t>Blanco</t>
        </is>
      </c>
      <c r="I4276" s="16" t="n">
        <v>2</v>
      </c>
      <c r="J4276" s="17" t="n">
        <v>240</v>
      </c>
      <c r="K4276" s="17" t="n">
        <v>233.46</v>
      </c>
      <c r="L4276" s="17" t="n">
        <v>0</v>
      </c>
      <c r="M4276" s="17" t="n">
        <v>0</v>
      </c>
      <c r="N4276" s="17">
        <f>K4276*0.08+L4276*0.08</f>
        <v/>
      </c>
      <c r="O4276" s="17">
        <f>-(K4276*0.025+L4276*0.025)</f>
        <v/>
      </c>
      <c r="P4276" s="17">
        <f>32</f>
        <v/>
      </c>
      <c r="Q4276" s="17">
        <f>J4276+L4276+N4276+O4276-P4276-M4276</f>
        <v/>
      </c>
    </row>
    <row r="4277">
      <c r="A4277" s="16" t="inlineStr">
        <is>
          <t>5.8-5.14</t>
        </is>
      </c>
      <c r="B4277" s="16" t="inlineStr">
        <is>
          <t>PO-128-15789313050230513</t>
        </is>
      </c>
      <c r="C4277" s="16" t="inlineStr">
        <is>
          <t>Shipped</t>
        </is>
      </c>
      <c r="D4277" s="16" t="inlineStr">
        <is>
          <t>128-15789334021750513</t>
        </is>
      </c>
      <c r="E4277" s="16" t="inlineStr">
        <is>
          <t>Shipped</t>
        </is>
      </c>
      <c r="F4277" s="16" t="inlineStr">
        <is>
          <t>LV54W25</t>
        </is>
      </c>
      <c r="G4277" s="16" t="inlineStr">
        <is>
          <t>TIANLAI Lámpara Ventilador E27 2 en 1, Silenciosa, LED Alta Luminosidad 180°, Instalación Rápida, Ahorro Energético para Dormitorio y Interiores Pequeños</t>
        </is>
      </c>
      <c r="H4277" s="16" t="inlineStr">
        <is>
          <t>1 Pieza</t>
        </is>
      </c>
      <c r="I4277" s="16" t="n">
        <v>1</v>
      </c>
      <c r="J4277" s="17" t="n">
        <v>79</v>
      </c>
      <c r="K4277" s="17" t="n">
        <v>57.41</v>
      </c>
      <c r="L4277" s="17" t="n">
        <v>25.86</v>
      </c>
      <c r="M4277" s="17" t="n">
        <v>0</v>
      </c>
      <c r="N4277" s="17">
        <f>K4277*0.08+L4277*0.08</f>
        <v/>
      </c>
      <c r="O4277" s="17">
        <f>-(K4277*0.025+L4277*0.025)</f>
        <v/>
      </c>
      <c r="P4277" s="17">
        <f>32</f>
        <v/>
      </c>
      <c r="Q4277" s="17">
        <f>J4277+L4277+N4277+O4277-P4277-M4277</f>
        <v/>
      </c>
    </row>
    <row r="4278">
      <c r="A4278" s="16" t="inlineStr">
        <is>
          <t>5.8-5.14</t>
        </is>
      </c>
      <c r="B4278" s="16" t="inlineStr">
        <is>
          <t>PO-128-15513251840631196</t>
        </is>
      </c>
      <c r="C4278" s="16" t="inlineStr">
        <is>
          <t>Shipped</t>
        </is>
      </c>
      <c r="D4278" s="16" t="inlineStr">
        <is>
          <t>128-15513356698231196</t>
        </is>
      </c>
      <c r="E4278" s="16" t="inlineStr">
        <is>
          <t>Shipped</t>
        </is>
      </c>
      <c r="F4278" s="16" t="inlineStr">
        <is>
          <t>LV64W25</t>
        </is>
      </c>
      <c r="G427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78" s="16" t="inlineStr">
        <is>
          <t>Blanco</t>
        </is>
      </c>
      <c r="I4278" s="16" t="n">
        <v>2</v>
      </c>
      <c r="J4278" s="17" t="n">
        <v>240</v>
      </c>
      <c r="K4278" s="17" t="n">
        <v>276.56</v>
      </c>
      <c r="L4278" s="17" t="n">
        <v>0</v>
      </c>
      <c r="M4278" s="17" t="n">
        <v>0</v>
      </c>
      <c r="N4278" s="17">
        <f>K4278*0.08+L4278*0.08</f>
        <v/>
      </c>
      <c r="O4278" s="17">
        <f>-(K4278*0.025+L4278*0.025)</f>
        <v/>
      </c>
      <c r="P4278" s="17">
        <f>32</f>
        <v/>
      </c>
      <c r="Q4278" s="17">
        <f>J4278+L4278+N4278+O4278-P4278-M4278</f>
        <v/>
      </c>
    </row>
    <row r="4279">
      <c r="A4279" s="16" t="inlineStr">
        <is>
          <t>5.8-5.14</t>
        </is>
      </c>
      <c r="B4279" s="16" t="inlineStr">
        <is>
          <t>PO-128-15759064515190885</t>
        </is>
      </c>
      <c r="C4279" s="16" t="inlineStr">
        <is>
          <t>Shipped</t>
        </is>
      </c>
      <c r="D4279" s="16" t="inlineStr">
        <is>
          <t>128-15759075000950885</t>
        </is>
      </c>
      <c r="E4279" s="16" t="inlineStr">
        <is>
          <t>Shipped</t>
        </is>
      </c>
      <c r="F4279" s="16" t="inlineStr">
        <is>
          <t>LV54W25</t>
        </is>
      </c>
      <c r="G4279" s="16" t="inlineStr">
        <is>
          <t>TIANLAI Lámpara Ventilador E27 2 en 1, Silenciosa, LED Alta Luminosidad 180°, Instalación Rápida, Ahorro Energético para Dormitorio y Interiores Pequeños</t>
        </is>
      </c>
      <c r="H4279" s="16" t="inlineStr">
        <is>
          <t>1 Pieza</t>
        </is>
      </c>
      <c r="I4279" s="16" t="n">
        <v>1</v>
      </c>
      <c r="J4279" s="17" t="n">
        <v>79</v>
      </c>
      <c r="K4279" s="17" t="n">
        <v>82.73</v>
      </c>
      <c r="L4279" s="17" t="n">
        <v>25.86</v>
      </c>
      <c r="M4279" s="17" t="n">
        <v>0</v>
      </c>
      <c r="N4279" s="17">
        <f>K4279*0.08+L4279*0.08</f>
        <v/>
      </c>
      <c r="O4279" s="17">
        <f>-(K4279*0.025+L4279*0.025)</f>
        <v/>
      </c>
      <c r="P4279" s="17">
        <f>32</f>
        <v/>
      </c>
      <c r="Q4279" s="17">
        <f>J4279+L4279+N4279+O4279-P4279-M4279</f>
        <v/>
      </c>
    </row>
    <row r="4280">
      <c r="A4280" s="16" t="inlineStr">
        <is>
          <t>5.8-5.14</t>
        </is>
      </c>
      <c r="B4280" s="16" t="inlineStr">
        <is>
          <t>PO-128-15712690442870072</t>
        </is>
      </c>
      <c r="C4280" s="16" t="inlineStr">
        <is>
          <t>Shipped</t>
        </is>
      </c>
      <c r="D4280" s="16" t="inlineStr">
        <is>
          <t>128-15712648499830072</t>
        </is>
      </c>
      <c r="E4280" s="16" t="inlineStr">
        <is>
          <t>Shipped</t>
        </is>
      </c>
      <c r="F4280" s="16" t="inlineStr">
        <is>
          <t>LV64W25</t>
        </is>
      </c>
      <c r="G428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0" s="16" t="inlineStr">
        <is>
          <t>Blanco</t>
        </is>
      </c>
      <c r="I4280" s="16" t="n">
        <v>1</v>
      </c>
      <c r="J4280" s="17" t="n">
        <v>120</v>
      </c>
      <c r="K4280" s="17" t="n">
        <v>110.62</v>
      </c>
      <c r="L4280" s="17" t="n">
        <v>25.86</v>
      </c>
      <c r="M4280" s="17" t="n">
        <v>0</v>
      </c>
      <c r="N4280" s="17">
        <f>K4280*0.08+L4280*0.08</f>
        <v/>
      </c>
      <c r="O4280" s="17">
        <f>-(K4280*0.025+L4280*0.025)</f>
        <v/>
      </c>
      <c r="P4280" s="17">
        <f>32</f>
        <v/>
      </c>
      <c r="Q4280" s="17">
        <f>J4280+L4280+N4280+O4280-P4280-M4280</f>
        <v/>
      </c>
    </row>
    <row r="4281">
      <c r="A4281" s="16" t="inlineStr">
        <is>
          <t>5.8-5.14</t>
        </is>
      </c>
      <c r="B4281" s="16" t="inlineStr">
        <is>
          <t>PO-128-15784938087030539</t>
        </is>
      </c>
      <c r="C4281" s="16" t="inlineStr">
        <is>
          <t>Shipped</t>
        </is>
      </c>
      <c r="D4281" s="16" t="inlineStr">
        <is>
          <t>128-15784948572790539</t>
        </is>
      </c>
      <c r="E4281" s="16" t="inlineStr">
        <is>
          <t>Shipped</t>
        </is>
      </c>
      <c r="F4281" s="16" t="inlineStr">
        <is>
          <t>KTS-1936</t>
        </is>
      </c>
      <c r="G4281" s="16" t="inlineStr">
        <is>
          <t>Espejo con Luz para Makeup，Espejo con Luz LED y Bocina Bluetooth，Espejo para Maquillaje con Aumentos y Luces LED de Intensidad Ajustable，Lente de Aumento 10X+Reproductor TF+ TWS，espejo de portátil y para estudiantes, oficina, dormitorio, mejor regalo</t>
        </is>
      </c>
      <c r="H4281" s="16" t="inlineStr">
        <is>
          <t>BLANCO</t>
        </is>
      </c>
      <c r="I4281" s="16" t="n">
        <v>1</v>
      </c>
      <c r="J4281" s="17" t="n">
        <v>217.75</v>
      </c>
      <c r="K4281" s="17" t="n">
        <v>245.58</v>
      </c>
      <c r="L4281" s="17" t="n">
        <v>25.86</v>
      </c>
      <c r="M4281" s="17" t="n">
        <v>0</v>
      </c>
      <c r="N4281" s="17">
        <f>K4281*0.08+L4281*0.08</f>
        <v/>
      </c>
      <c r="O4281" s="17">
        <f>-(K4281*0.025+L4281*0.025)</f>
        <v/>
      </c>
      <c r="P4281" s="17">
        <f>32</f>
        <v/>
      </c>
      <c r="Q4281" s="17">
        <f>J4281+L4281+N4281+O4281-P4281-M4281</f>
        <v/>
      </c>
    </row>
    <row r="4282">
      <c r="A4282" s="16" t="inlineStr">
        <is>
          <t>5.8-5.14</t>
        </is>
      </c>
      <c r="B4282" s="16" t="inlineStr">
        <is>
          <t>PO-128-15346099108472259</t>
        </is>
      </c>
      <c r="C4282" s="16" t="inlineStr">
        <is>
          <t>Shipped</t>
        </is>
      </c>
      <c r="D4282" s="16" t="inlineStr">
        <is>
          <t>128-15346071911032259</t>
        </is>
      </c>
      <c r="E4282" s="16" t="inlineStr">
        <is>
          <t>Shipped</t>
        </is>
      </c>
      <c r="F4282" s="16" t="inlineStr">
        <is>
          <t>TL1455N20B</t>
        </is>
      </c>
      <c r="G4282" s="16" t="inlineStr">
        <is>
          <t>LINK BITS Soporte para TV 14 A 55 Pulgadas, Base para TV Pantalla Articulado Inclinable y Giratorio, MAX VESA 400×400 mm, Soporta hasta 18kg, adaptarse a la mayoría de los televisores de 14 Pulgadas/20 Pulgadas/32 Pulgadas/42 Pulgadas/55 pulgadas</t>
        </is>
      </c>
      <c r="H4282" s="16" t="inlineStr">
        <is>
          <t>TL1455N20B</t>
        </is>
      </c>
      <c r="I4282" s="16" t="n">
        <v>1</v>
      </c>
      <c r="J4282" s="17" t="n">
        <v>80</v>
      </c>
      <c r="K4282" s="17" t="n">
        <v>61.69</v>
      </c>
      <c r="L4282" s="17" t="n">
        <v>25.86</v>
      </c>
      <c r="M4282" s="17" t="n">
        <v>0</v>
      </c>
      <c r="N4282" s="17">
        <f>K4282*0.08+L4282*0.08</f>
        <v/>
      </c>
      <c r="O4282" s="17">
        <f>-(K4282*0.025+L4282*0.025)</f>
        <v/>
      </c>
      <c r="P4282" s="17">
        <f>32</f>
        <v/>
      </c>
      <c r="Q4282" s="17">
        <f>J4282+L4282+N4282+O4282-P4282-M4282</f>
        <v/>
      </c>
    </row>
    <row r="4283">
      <c r="A4283" s="16" t="inlineStr">
        <is>
          <t>5.8-5.14</t>
        </is>
      </c>
      <c r="B4283" s="16" t="inlineStr">
        <is>
          <t>PO-128-15721884170870915</t>
        </is>
      </c>
      <c r="C4283" s="16" t="inlineStr">
        <is>
          <t>Shipped</t>
        </is>
      </c>
      <c r="D4283" s="16" t="inlineStr">
        <is>
          <t>128-15721920871030915</t>
        </is>
      </c>
      <c r="E4283" s="16" t="inlineStr">
        <is>
          <t>Shipped</t>
        </is>
      </c>
      <c r="F4283" s="16" t="inlineStr">
        <is>
          <t>LV64W25</t>
        </is>
      </c>
      <c r="G428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3" s="16" t="inlineStr">
        <is>
          <t>Blanco</t>
        </is>
      </c>
      <c r="I4283" s="16" t="n">
        <v>1</v>
      </c>
      <c r="J4283" s="17" t="n">
        <v>120</v>
      </c>
      <c r="K4283" s="17" t="n">
        <v>117.54</v>
      </c>
      <c r="L4283" s="17" t="n">
        <v>25.86</v>
      </c>
      <c r="M4283" s="17" t="n">
        <v>0</v>
      </c>
      <c r="N4283" s="17">
        <f>K4283*0.08+L4283*0.08</f>
        <v/>
      </c>
      <c r="O4283" s="17">
        <f>-(K4283*0.025+L4283*0.025)</f>
        <v/>
      </c>
      <c r="P4283" s="17">
        <f>32</f>
        <v/>
      </c>
      <c r="Q4283" s="17">
        <f>J4283+L4283+N4283+O4283-P4283-M4283</f>
        <v/>
      </c>
    </row>
    <row r="4284">
      <c r="A4284" s="16" t="inlineStr">
        <is>
          <t>5.8-5.14</t>
        </is>
      </c>
      <c r="B4284" s="16" t="inlineStr">
        <is>
          <t>PO-128-15615754875511547</t>
        </is>
      </c>
      <c r="C4284" s="16" t="inlineStr">
        <is>
          <t>Shipped</t>
        </is>
      </c>
      <c r="D4284" s="16" t="inlineStr">
        <is>
          <t>128-15615859733111547</t>
        </is>
      </c>
      <c r="E4284" s="16" t="inlineStr">
        <is>
          <t>Shipped</t>
        </is>
      </c>
      <c r="F4284" s="16" t="inlineStr">
        <is>
          <t>LV64W25</t>
        </is>
      </c>
      <c r="G428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4" s="16" t="inlineStr">
        <is>
          <t>Blanco</t>
        </is>
      </c>
      <c r="I4284" s="16" t="n">
        <v>1</v>
      </c>
      <c r="J4284" s="17" t="n">
        <v>120</v>
      </c>
      <c r="K4284" s="17" t="n">
        <v>55.52</v>
      </c>
      <c r="L4284" s="17" t="n">
        <v>25.86</v>
      </c>
      <c r="M4284" s="17" t="n">
        <v>0</v>
      </c>
      <c r="N4284" s="17">
        <f>K4284*0.08+L4284*0.08</f>
        <v/>
      </c>
      <c r="O4284" s="17">
        <f>-(K4284*0.025+L4284*0.025)</f>
        <v/>
      </c>
      <c r="P4284" s="17">
        <f>32</f>
        <v/>
      </c>
      <c r="Q4284" s="17">
        <f>J4284+L4284+N4284+O4284-P4284-M4284</f>
        <v/>
      </c>
    </row>
    <row r="4285">
      <c r="A4285" s="16" t="inlineStr">
        <is>
          <t>5.8-5.14</t>
        </is>
      </c>
      <c r="B4285" s="16" t="inlineStr">
        <is>
          <t>PO-128-15413243710072880</t>
        </is>
      </c>
      <c r="C4285" s="16" t="inlineStr">
        <is>
          <t>Shipped</t>
        </is>
      </c>
      <c r="D4285" s="16" t="inlineStr">
        <is>
          <t>128-15413296138872880</t>
        </is>
      </c>
      <c r="E4285" s="16" t="inlineStr">
        <is>
          <t>Shipped</t>
        </is>
      </c>
      <c r="F4285" s="16" t="inlineStr">
        <is>
          <t>LV64W25</t>
        </is>
      </c>
      <c r="G4285"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5" s="16" t="inlineStr">
        <is>
          <t>Blanco</t>
        </is>
      </c>
      <c r="I4285" s="16" t="n">
        <v>3</v>
      </c>
      <c r="J4285" s="17" t="n">
        <v>360</v>
      </c>
      <c r="K4285" s="17" t="n">
        <v>374.55</v>
      </c>
      <c r="L4285" s="17" t="n">
        <v>0</v>
      </c>
      <c r="M4285" s="17" t="n">
        <v>0</v>
      </c>
      <c r="N4285" s="17">
        <f>K4285*0.08+L4285*0.08</f>
        <v/>
      </c>
      <c r="O4285" s="17">
        <f>-(K4285*0.025+L4285*0.025)</f>
        <v/>
      </c>
      <c r="P4285" s="17">
        <f>32</f>
        <v/>
      </c>
      <c r="Q4285" s="17">
        <f>J4285+L4285+N4285+O4285-P4285-M4285</f>
        <v/>
      </c>
    </row>
    <row r="4286">
      <c r="A4286" s="16" t="inlineStr">
        <is>
          <t>5.8-5.14</t>
        </is>
      </c>
      <c r="B4286" s="16" t="inlineStr">
        <is>
          <t>PO-128-15718875136630101</t>
        </is>
      </c>
      <c r="C4286" s="16" t="inlineStr">
        <is>
          <t>Shipped</t>
        </is>
      </c>
      <c r="D4286" s="16" t="inlineStr">
        <is>
          <t>128-15718848922230101</t>
        </is>
      </c>
      <c r="E4286" s="16" t="inlineStr">
        <is>
          <t>Shipped</t>
        </is>
      </c>
      <c r="F4286" s="16" t="inlineStr">
        <is>
          <t>TL1412N17C</t>
        </is>
      </c>
      <c r="G4286" s="16" t="inlineStr">
        <is>
          <t>Linkbits, Soporte de Pared Fijo para TV y Monitor de 14"-43", Ultra Delgado 2.3cm, Fuerte Capacidad de Peso de 25KG, Fácil Instalación con Accesorios Completos</t>
        </is>
      </c>
      <c r="H4286" s="16" t="inlineStr">
        <is>
          <t>NEGRO</t>
        </is>
      </c>
      <c r="I4286" s="16" t="n">
        <v>10</v>
      </c>
      <c r="J4286" s="17" t="n">
        <v>368.4</v>
      </c>
      <c r="K4286" s="17" t="n">
        <v>458.68</v>
      </c>
      <c r="L4286" s="17" t="n">
        <v>0</v>
      </c>
      <c r="M4286" s="17" t="n">
        <v>0</v>
      </c>
      <c r="N4286" s="17">
        <f>K4286*0.08+L4286*0.08</f>
        <v/>
      </c>
      <c r="O4286" s="17">
        <f>-(K4286*0.025+L4286*0.025)</f>
        <v/>
      </c>
      <c r="P4286" s="17">
        <f>32</f>
        <v/>
      </c>
      <c r="Q4286" s="17">
        <f>J4286+L4286+N4286+O4286-P4286-M4286</f>
        <v/>
      </c>
    </row>
    <row r="4287">
      <c r="A4287" s="16" t="inlineStr">
        <is>
          <t>5.8-5.14</t>
        </is>
      </c>
      <c r="B4287" s="16" t="inlineStr">
        <is>
          <t>PO-128-15308812954232545</t>
        </is>
      </c>
      <c r="C4287" s="16" t="inlineStr">
        <is>
          <t>Shipped</t>
        </is>
      </c>
      <c r="D4287" s="16" t="inlineStr">
        <is>
          <t>128-15308833925752545</t>
        </is>
      </c>
      <c r="E4287" s="16" t="inlineStr">
        <is>
          <t>Shipped</t>
        </is>
      </c>
      <c r="F4287" s="16" t="inlineStr">
        <is>
          <t>LV64W25</t>
        </is>
      </c>
      <c r="G4287"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7" s="16" t="inlineStr">
        <is>
          <t>Blanco</t>
        </is>
      </c>
      <c r="I4287" s="16" t="n">
        <v>1</v>
      </c>
      <c r="J4287" s="17" t="n">
        <v>120</v>
      </c>
      <c r="K4287" s="17" t="n">
        <v>77.94</v>
      </c>
      <c r="L4287" s="17" t="n">
        <v>25.86</v>
      </c>
      <c r="M4287" s="17" t="n">
        <v>0</v>
      </c>
      <c r="N4287" s="17">
        <f>K4287*0.08+L4287*0.08</f>
        <v/>
      </c>
      <c r="O4287" s="17">
        <f>-(K4287*0.025+L4287*0.025)</f>
        <v/>
      </c>
      <c r="P4287" s="17">
        <f>32</f>
        <v/>
      </c>
      <c r="Q4287" s="17">
        <f>J4287+L4287+N4287+O4287-P4287-M4287</f>
        <v/>
      </c>
    </row>
    <row r="4288">
      <c r="A4288" s="16" t="inlineStr">
        <is>
          <t>5.8-5.14</t>
        </is>
      </c>
      <c r="B4288" s="16" t="inlineStr">
        <is>
          <t>PO-128-15434639585912755</t>
        </is>
      </c>
      <c r="C4288" s="16" t="inlineStr">
        <is>
          <t>Shipped</t>
        </is>
      </c>
      <c r="D4288" s="16" t="inlineStr">
        <is>
          <t>128-15434692014712755</t>
        </is>
      </c>
      <c r="E4288" s="16" t="inlineStr">
        <is>
          <t>Shipped</t>
        </is>
      </c>
      <c r="F4288" s="16" t="inlineStr">
        <is>
          <t>LV64W25</t>
        </is>
      </c>
      <c r="G4288"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88" s="16" t="inlineStr">
        <is>
          <t>Blanco</t>
        </is>
      </c>
      <c r="I4288" s="16" t="n">
        <v>1</v>
      </c>
      <c r="J4288" s="17" t="n">
        <v>120</v>
      </c>
      <c r="K4288" s="17" t="n">
        <v>138.28</v>
      </c>
      <c r="L4288" s="17" t="n">
        <v>25.86</v>
      </c>
      <c r="M4288" s="17" t="n">
        <v>0</v>
      </c>
      <c r="N4288" s="17">
        <f>K4288*0.08+L4288*0.08</f>
        <v/>
      </c>
      <c r="O4288" s="17">
        <f>-(K4288*0.025+L4288*0.025)</f>
        <v/>
      </c>
      <c r="P4288" s="17">
        <f>32</f>
        <v/>
      </c>
      <c r="Q4288" s="17">
        <f>J4288+L4288+N4288+O4288-P4288-M4288</f>
        <v/>
      </c>
    </row>
    <row r="4289">
      <c r="A4289" s="16" t="inlineStr">
        <is>
          <t>5.8-5.14</t>
        </is>
      </c>
      <c r="B4289" s="16" t="inlineStr">
        <is>
          <t>PO-128-15467541873271471</t>
        </is>
      </c>
      <c r="C4289" s="16" t="inlineStr">
        <is>
          <t>Shipped</t>
        </is>
      </c>
      <c r="D4289" s="16" t="inlineStr">
        <is>
          <t>128-15467562844791471</t>
        </is>
      </c>
      <c r="E4289" s="16" t="inlineStr">
        <is>
          <t>Shipped</t>
        </is>
      </c>
      <c r="F4289" s="16" t="inlineStr">
        <is>
          <t>LV54W25</t>
        </is>
      </c>
      <c r="G4289" s="16" t="inlineStr">
        <is>
          <t>TIANLAI Lámpara Ventilador E27 2 en 1, Silenciosa, LED Alta Luminosidad 180°, Instalación Rápida, Ahorro Energético para Dormitorio y Interiores Pequeños</t>
        </is>
      </c>
      <c r="H4289" s="16" t="inlineStr">
        <is>
          <t>1 Pieza</t>
        </is>
      </c>
      <c r="I4289" s="16" t="n">
        <v>1</v>
      </c>
      <c r="J4289" s="17" t="n">
        <v>79</v>
      </c>
      <c r="K4289" s="17" t="n">
        <v>29.28</v>
      </c>
      <c r="L4289" s="17" t="n">
        <v>25.86</v>
      </c>
      <c r="M4289" s="17" t="n">
        <v>0</v>
      </c>
      <c r="N4289" s="17">
        <f>K4289*0.08+L4289*0.08</f>
        <v/>
      </c>
      <c r="O4289" s="17">
        <f>-(K4289*0.025+L4289*0.025)</f>
        <v/>
      </c>
      <c r="P4289" s="17">
        <f>32</f>
        <v/>
      </c>
      <c r="Q4289" s="17">
        <f>J4289+L4289+N4289+O4289-P4289-M4289</f>
        <v/>
      </c>
    </row>
    <row r="4290">
      <c r="A4290" s="16" t="inlineStr">
        <is>
          <t>5.8-5.14</t>
        </is>
      </c>
      <c r="B4290" s="16" t="inlineStr">
        <is>
          <t>PO-128-15727575573110945</t>
        </is>
      </c>
      <c r="C4290" s="16" t="inlineStr">
        <is>
          <t>Shipped</t>
        </is>
      </c>
      <c r="D4290" s="16" t="inlineStr">
        <is>
          <t>128-15727489065590945</t>
        </is>
      </c>
      <c r="E4290" s="16" t="inlineStr">
        <is>
          <t>Shipped</t>
        </is>
      </c>
      <c r="F4290" s="16" t="inlineStr">
        <is>
          <t>TL2663N18C</t>
        </is>
      </c>
      <c r="G4290" s="16" t="inlineStr">
        <is>
          <t>Linkbits，Soporte de pared fijo para televisores de 26"-63", Ultra-Delgado Compatible con VESA 400x400mm, Capacidad de Peso Fuerte de 25KG, Instalación Fácil Sin Electricidad</t>
        </is>
      </c>
      <c r="H4290" s="16" t="inlineStr">
        <is>
          <t>NEGRO</t>
        </is>
      </c>
      <c r="I4290" s="16" t="n">
        <v>1</v>
      </c>
      <c r="J4290" s="17" t="n">
        <v>55.5</v>
      </c>
      <c r="K4290" s="17" t="n">
        <v>70.48999999999999</v>
      </c>
      <c r="L4290" s="17" t="n">
        <v>25.86</v>
      </c>
      <c r="M4290" s="17" t="n">
        <v>0</v>
      </c>
      <c r="N4290" s="17">
        <f>K4290*0.08+L4290*0.08</f>
        <v/>
      </c>
      <c r="O4290" s="17">
        <f>-(K4290*0.025+L4290*0.025)</f>
        <v/>
      </c>
      <c r="P4290" s="17">
        <f>32</f>
        <v/>
      </c>
      <c r="Q4290" s="17">
        <f>J4290+L4290+N4290+O4290-P4290-M4290</f>
        <v/>
      </c>
    </row>
    <row r="4291">
      <c r="A4291" s="16" t="inlineStr">
        <is>
          <t>5.8-5.14</t>
        </is>
      </c>
      <c r="B4291" s="16" t="inlineStr">
        <is>
          <t>PO-128-15435604593272813</t>
        </is>
      </c>
      <c r="C4291" s="16" t="inlineStr">
        <is>
          <t>Shipped</t>
        </is>
      </c>
      <c r="D4291" s="16" t="inlineStr">
        <is>
          <t>128-15435573135992813</t>
        </is>
      </c>
      <c r="E4291" s="16" t="inlineStr">
        <is>
          <t>Shipped</t>
        </is>
      </c>
      <c r="F4291" s="16" t="inlineStr">
        <is>
          <t>LV64W25</t>
        </is>
      </c>
      <c r="G4291"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291" s="16" t="inlineStr">
        <is>
          <t>Blanco</t>
        </is>
      </c>
      <c r="I4291" s="16" t="n">
        <v>1</v>
      </c>
      <c r="J4291" s="17" t="n">
        <v>120</v>
      </c>
      <c r="K4291" s="17" t="n">
        <v>138.28</v>
      </c>
      <c r="L4291" s="17" t="n">
        <v>25.86</v>
      </c>
      <c r="M4291" s="17" t="n">
        <v>0</v>
      </c>
      <c r="N4291" s="17">
        <f>K4291*0.08+L4291*0.08</f>
        <v/>
      </c>
      <c r="O4291" s="17">
        <f>-(K4291*0.025+L4291*0.025)</f>
        <v/>
      </c>
      <c r="P4291" s="17">
        <f>32</f>
        <v/>
      </c>
      <c r="Q4291" s="17">
        <f>J4291+L4291+N4291+O4291-P4291-M4291</f>
        <v/>
      </c>
    </row>
    <row r="4292">
      <c r="A4292" s="16" t="inlineStr">
        <is>
          <t>5.8-5.14</t>
        </is>
      </c>
      <c r="B4292" s="16" t="inlineStr">
        <is>
          <t>PO-128-15313478277752325</t>
        </is>
      </c>
      <c r="C4292" s="16" t="inlineStr">
        <is>
          <t>Shipped</t>
        </is>
      </c>
      <c r="D4292" s="16" t="inlineStr">
        <is>
          <t>128-15313457306232325</t>
        </is>
      </c>
      <c r="E4292" s="16" t="inlineStr">
        <is>
          <t>Shipped</t>
        </is>
      </c>
      <c r="F4292" s="16" t="inlineStr">
        <is>
          <t>KTS-2031</t>
        </is>
      </c>
      <c r="G4292" s="16" t="inlineStr">
        <is>
          <t>Bocina inalámbrica de 3 pulgadas con linterna multifuncional y panel solar integrado.Altavoz Portátil con Linterna LED 4 Modos, Radio FM, Bluetooth, Carga Solar, Ideal para Apagones, Emergencias, Campo y Exteriores</t>
        </is>
      </c>
      <c r="H4292" s="16" t="inlineStr">
        <is>
          <t>NEGRO</t>
        </is>
      </c>
      <c r="I4292" s="16" t="n">
        <v>1</v>
      </c>
      <c r="J4292" s="17" t="n">
        <v>78</v>
      </c>
      <c r="K4292" s="17" t="n">
        <v>64.09</v>
      </c>
      <c r="L4292" s="17" t="n">
        <v>25.86</v>
      </c>
      <c r="M4292" s="17" t="n">
        <v>0</v>
      </c>
      <c r="N4292" s="17">
        <f>K4292*0.08+L4292*0.08</f>
        <v/>
      </c>
      <c r="O4292" s="17">
        <f>-(K4292*0.025+L4292*0.025)</f>
        <v/>
      </c>
      <c r="P4292" s="17">
        <f>32</f>
        <v/>
      </c>
      <c r="Q4292" s="17">
        <f>J4292+L4292+N4292+O4292-P4292-M4292</f>
        <v/>
      </c>
    </row>
    <row r="4293">
      <c r="A4293" s="16" t="inlineStr">
        <is>
          <t>5.8-5.14</t>
        </is>
      </c>
      <c r="B4293" s="16" t="inlineStr">
        <is>
          <t>PO-128-15268078065273810</t>
        </is>
      </c>
      <c r="C4293" s="16" t="inlineStr">
        <is>
          <t>Shipped</t>
        </is>
      </c>
      <c r="D4293" s="16" t="inlineStr">
        <is>
          <t>128-15268036122233810</t>
        </is>
      </c>
      <c r="E4293" s="16" t="inlineStr">
        <is>
          <t>Shipped</t>
        </is>
      </c>
      <c r="F4293" s="16" t="inlineStr">
        <is>
          <t>VB349T</t>
        </is>
      </c>
      <c r="G4293" s="16" t="inlineStr">
        <is>
          <t>LINKBITS Altavoz Portátil de Doble Altavoz - 3 Pulgadas, Sonido HD, Emparejamiento Rápido de Bluetooth, Conectividad TWS, Reproducción Multimodo (Micro SD/USB/Radio FM) - Perfecto para Oficina, Viajes y Espacios Pequeños</t>
        </is>
      </c>
      <c r="H4293" s="16" t="inlineStr">
        <is>
          <t>NEGRO</t>
        </is>
      </c>
      <c r="I4293" s="16" t="n">
        <v>1</v>
      </c>
      <c r="J4293" s="17" t="n">
        <v>81</v>
      </c>
      <c r="K4293" s="17" t="n">
        <v>94.25</v>
      </c>
      <c r="L4293" s="17" t="n">
        <v>25.86</v>
      </c>
      <c r="M4293" s="17" t="n">
        <v>0</v>
      </c>
      <c r="N4293" s="17">
        <f>K4293*0.08+L4293*0.08</f>
        <v/>
      </c>
      <c r="O4293" s="17">
        <f>-(K4293*0.025+L4293*0.025)</f>
        <v/>
      </c>
      <c r="P4293" s="17">
        <f>32</f>
        <v/>
      </c>
      <c r="Q4293" s="17">
        <f>J4293+L4293+N4293+O4293-P4293-M4293</f>
        <v/>
      </c>
    </row>
    <row r="4294">
      <c r="A4294" s="16" t="inlineStr">
        <is>
          <t>5.8-5.14</t>
        </is>
      </c>
      <c r="B4294" s="16" t="inlineStr">
        <is>
          <t>PO-128-15503781673591383</t>
        </is>
      </c>
      <c r="C4294" s="16" t="inlineStr">
        <is>
          <t>Shipped</t>
        </is>
      </c>
      <c r="D4294" s="16" t="inlineStr">
        <is>
          <t>128-15503802645111383</t>
        </is>
      </c>
      <c r="E4294" s="16" t="inlineStr">
        <is>
          <t>Shipped</t>
        </is>
      </c>
      <c r="F4294" s="16" t="inlineStr">
        <is>
          <t>KTS-2031</t>
        </is>
      </c>
      <c r="G4294" s="16" t="inlineStr">
        <is>
          <t>Bocina inalámbrica de 3 pulgadas con linterna multifuncional y panel solar integrado.Altavoz Portátil con Linterna LED 4 Modos, Radio FM, Bluetooth, Carga Solar, Ideal para Apagones, Emergencias, Campo y Exteriores</t>
        </is>
      </c>
      <c r="H4294" s="16" t="inlineStr">
        <is>
          <t>NEGRO</t>
        </is>
      </c>
      <c r="I4294" s="16" t="n">
        <v>1</v>
      </c>
      <c r="J4294" s="17" t="n">
        <v>78</v>
      </c>
      <c r="K4294" s="17" t="n">
        <v>87.22</v>
      </c>
      <c r="L4294" s="17" t="n">
        <v>25.86</v>
      </c>
      <c r="M4294" s="17" t="n">
        <v>0</v>
      </c>
      <c r="N4294" s="17">
        <f>K4294*0.08+L4294*0.08</f>
        <v/>
      </c>
      <c r="O4294" s="17">
        <f>-(K4294*0.025+L4294*0.025)</f>
        <v/>
      </c>
      <c r="P4294" s="17">
        <f>32</f>
        <v/>
      </c>
      <c r="Q4294" s="17">
        <f>J4294+L4294+N4294+O4294-P4294-M4294</f>
        <v/>
      </c>
    </row>
    <row r="4295">
      <c r="A4295" s="16" t="inlineStr">
        <is>
          <t>5.8-5.14</t>
        </is>
      </c>
      <c r="B4295" s="16" t="inlineStr">
        <is>
          <t>PO-128-15195516017273154</t>
        </is>
      </c>
      <c r="C4295" s="16" t="inlineStr">
        <is>
          <t>Shipped</t>
        </is>
      </c>
      <c r="D4295" s="16" t="inlineStr">
        <is>
          <t>128-15195484559993154</t>
        </is>
      </c>
      <c r="E4295" s="16" t="inlineStr">
        <is>
          <t>Shipped</t>
        </is>
      </c>
      <c r="F4295" s="16" t="inlineStr">
        <is>
          <t>VB349T</t>
        </is>
      </c>
      <c r="G4295" s="16" t="inlineStr">
        <is>
          <t>LINKBITS Altavoz Portátil de Doble Altavoz - 3 Pulgadas, Sonido HD, Emparejamiento Rápido de Bluetooth, Conectividad TWS, Reproducción Multimodo (Micro SD/USB/Radio FM) - Perfecto para Oficina, Viajes y Espacios Pequeños</t>
        </is>
      </c>
      <c r="H4295" s="16" t="inlineStr">
        <is>
          <t>NEGRO</t>
        </is>
      </c>
      <c r="I4295" s="16" t="n">
        <v>1</v>
      </c>
      <c r="J4295" s="17" t="n">
        <v>81</v>
      </c>
      <c r="K4295" s="17" t="n">
        <v>81.14</v>
      </c>
      <c r="L4295" s="17" t="n">
        <v>25.86</v>
      </c>
      <c r="M4295" s="17" t="n">
        <v>0</v>
      </c>
      <c r="N4295" s="17">
        <f>K4295*0.08+L4295*0.08</f>
        <v/>
      </c>
      <c r="O4295" s="17">
        <f>-(K4295*0.025+L4295*0.025)</f>
        <v/>
      </c>
      <c r="P4295" s="17">
        <f>32</f>
        <v/>
      </c>
      <c r="Q4295" s="17">
        <f>J4295+L4295+N4295+O4295-P4295-M4295</f>
        <v/>
      </c>
    </row>
    <row r="4296">
      <c r="A4296" s="16" t="inlineStr">
        <is>
          <t>5.8-5.14</t>
        </is>
      </c>
      <c r="B4296" s="16" t="inlineStr">
        <is>
          <t>PO-128-15253896755833766</t>
        </is>
      </c>
      <c r="C4296" s="16" t="inlineStr">
        <is>
          <t>Shipped</t>
        </is>
      </c>
      <c r="D4296" s="16" t="inlineStr">
        <is>
          <t>128-15253901998713766</t>
        </is>
      </c>
      <c r="E4296" s="16" t="inlineStr">
        <is>
          <t>Shipped</t>
        </is>
      </c>
      <c r="F4296" s="16" t="inlineStr">
        <is>
          <t>BSC04</t>
        </is>
      </c>
      <c r="G4296" s="16" t="inlineStr">
        <is>
          <t>TIANLAI Báscula Digital BSC04/BSC07, Alta Precisión, Fácil Operación, Ligera y Portátil, Función Tara, Unidad Dual oz/g, Ideal para Cocina, Control de Porciones, Sellos y Objetos Pequeños, Uso en Hogar y Viaje</t>
        </is>
      </c>
      <c r="H4296" s="16" t="inlineStr">
        <is>
          <t>5g/White</t>
        </is>
      </c>
      <c r="I4296" s="16" t="n">
        <v>1</v>
      </c>
      <c r="J4296" s="17" t="n">
        <v>58</v>
      </c>
      <c r="K4296" s="17" t="n">
        <v>53.15</v>
      </c>
      <c r="L4296" s="17" t="n">
        <v>25.86</v>
      </c>
      <c r="M4296" s="17" t="n">
        <v>0</v>
      </c>
      <c r="N4296" s="17">
        <f>K4296*0.08+L4296*0.08</f>
        <v/>
      </c>
      <c r="O4296" s="17">
        <f>-(K4296*0.025+L4296*0.025)</f>
        <v/>
      </c>
      <c r="P4296" s="17">
        <f>32</f>
        <v/>
      </c>
      <c r="Q4296" s="17">
        <f>J4296+L4296+N4296+O4296-P4296-M4296</f>
        <v/>
      </c>
    </row>
    <row r="4297">
      <c r="A4297" s="16" t="inlineStr">
        <is>
          <t>5.8-5.14</t>
        </is>
      </c>
      <c r="B4297" s="16" t="inlineStr">
        <is>
          <t>PO-128-15658211635830268</t>
        </is>
      </c>
      <c r="C4297" s="16" t="inlineStr">
        <is>
          <t>Shipped</t>
        </is>
      </c>
      <c r="D4297" s="16" t="inlineStr">
        <is>
          <t>128-15658316493430268</t>
        </is>
      </c>
      <c r="E4297" s="16" t="inlineStr">
        <is>
          <t>Shipped</t>
        </is>
      </c>
      <c r="F4297" s="16" t="inlineStr">
        <is>
          <t>TL1412N17C</t>
        </is>
      </c>
      <c r="G4297" s="16" t="inlineStr">
        <is>
          <t>Linkbits, Soporte de Pared Fijo para TV y Monitor de 14"-43", Ultra Delgado 2.3cm, Fuerte Capacidad de Peso de 25KG, Fácil Instalación con Accesorios Completos</t>
        </is>
      </c>
      <c r="H4297" s="16" t="inlineStr">
        <is>
          <t>NEGRO</t>
        </is>
      </c>
      <c r="I4297" s="16" t="n">
        <v>1</v>
      </c>
      <c r="J4297" s="17" t="n">
        <v>36.84</v>
      </c>
      <c r="K4297" s="17" t="n">
        <v>5.43</v>
      </c>
      <c r="L4297" s="17" t="n">
        <v>25.86</v>
      </c>
      <c r="M4297" s="17" t="n">
        <v>0</v>
      </c>
      <c r="N4297" s="17">
        <f>K4297*0.08+L4297*0.08</f>
        <v/>
      </c>
      <c r="O4297" s="17">
        <f>-(K4297*0.025+L4297*0.025)</f>
        <v/>
      </c>
      <c r="P4297" s="17">
        <f>32</f>
        <v/>
      </c>
      <c r="Q4297" s="17">
        <f>J4297+L4297+N4297+O4297-P4297-M4297</f>
        <v/>
      </c>
    </row>
    <row r="4298">
      <c r="A4298" s="16" t="inlineStr">
        <is>
          <t>5.8-5.14</t>
        </is>
      </c>
      <c r="B4298" s="16" t="inlineStr">
        <is>
          <t>PO-128-15464595374711422</t>
        </is>
      </c>
      <c r="C4298" s="16" t="inlineStr">
        <is>
          <t>Shipped</t>
        </is>
      </c>
      <c r="D4298" s="16" t="inlineStr">
        <is>
          <t>128-15464700232311422</t>
        </is>
      </c>
      <c r="E4298" s="16" t="inlineStr">
        <is>
          <t>Shipped</t>
        </is>
      </c>
      <c r="F4298" s="16" t="inlineStr">
        <is>
          <t>LV54W25</t>
        </is>
      </c>
      <c r="G4298" s="16" t="inlineStr">
        <is>
          <t>TIANLAI Lámpara Ventilador E27 2 en 1, Silenciosa, LED Alta Luminosidad 180°, Instalación Rápida, Ahorro Energético para Dormitorio y Interiores Pequeños</t>
        </is>
      </c>
      <c r="H4298" s="16" t="inlineStr">
        <is>
          <t>1 Pieza</t>
        </is>
      </c>
      <c r="I4298" s="16" t="n">
        <v>1</v>
      </c>
      <c r="J4298" s="17" t="n">
        <v>79</v>
      </c>
      <c r="K4298" s="17" t="n">
        <v>82.73</v>
      </c>
      <c r="L4298" s="17" t="n">
        <v>25.86</v>
      </c>
      <c r="M4298" s="17" t="n">
        <v>0</v>
      </c>
      <c r="N4298" s="17">
        <f>K4298*0.08+L4298*0.08</f>
        <v/>
      </c>
      <c r="O4298" s="17">
        <f>-(K4298*0.025+L4298*0.025)</f>
        <v/>
      </c>
      <c r="P4298" s="17">
        <f>32</f>
        <v/>
      </c>
      <c r="Q4298" s="17">
        <f>J4298+L4298+N4298+O4298-P4298-M4298</f>
        <v/>
      </c>
    </row>
    <row r="4299">
      <c r="A4299" s="16" t="inlineStr">
        <is>
          <t>5.8-5.14</t>
        </is>
      </c>
      <c r="B4299" s="16" t="inlineStr">
        <is>
          <t>PO-128-15122155100793465</t>
        </is>
      </c>
      <c r="C4299" s="16" t="inlineStr">
        <is>
          <t>Shipped</t>
        </is>
      </c>
      <c r="D4299" s="16" t="inlineStr">
        <is>
          <t>128-15122291415673465</t>
        </is>
      </c>
      <c r="E4299" s="16" t="inlineStr">
        <is>
          <t>Shipped</t>
        </is>
      </c>
      <c r="F4299" s="16" t="inlineStr">
        <is>
          <t>B03W10-10PZS</t>
        </is>
      </c>
      <c r="G429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299" s="16" t="inlineStr">
        <is>
          <t>B03W10</t>
        </is>
      </c>
      <c r="I4299" s="16" t="n">
        <v>1</v>
      </c>
      <c r="J4299" s="17" t="n">
        <v>70</v>
      </c>
      <c r="K4299" s="17" t="n">
        <v>34.46</v>
      </c>
      <c r="L4299" s="17" t="n">
        <v>25.86</v>
      </c>
      <c r="M4299" s="17" t="n">
        <v>0</v>
      </c>
      <c r="N4299" s="17">
        <f>K4299*0.08+L4299*0.08</f>
        <v/>
      </c>
      <c r="O4299" s="17">
        <f>-(K4299*0.025+L4299*0.025)</f>
        <v/>
      </c>
      <c r="P4299" s="17">
        <f>32</f>
        <v/>
      </c>
      <c r="Q4299" s="17">
        <f>J4299+L4299+N4299+O4299-P4299-M4299</f>
        <v/>
      </c>
    </row>
    <row r="4300">
      <c r="A4300" s="16" t="inlineStr">
        <is>
          <t>5.8-5.14</t>
        </is>
      </c>
      <c r="B4300" s="16" t="inlineStr">
        <is>
          <t>PO-128-15490358211191335</t>
        </is>
      </c>
      <c r="C4300" s="16" t="inlineStr">
        <is>
          <t>Shipped</t>
        </is>
      </c>
      <c r="D4300" s="16" t="inlineStr">
        <is>
          <t>128-15490379182711335</t>
        </is>
      </c>
      <c r="E4300" s="16" t="inlineStr">
        <is>
          <t>Shipped</t>
        </is>
      </c>
      <c r="F4300" s="16" t="inlineStr">
        <is>
          <t>LV54W25</t>
        </is>
      </c>
      <c r="G4300" s="16" t="inlineStr">
        <is>
          <t>TIANLAI Lámpara Ventilador E27 2 en 1, Silenciosa, LED Alta Luminosidad 180°, Instalación Rápida, Ahorro Energético para Dormitorio y Interiores Pequeños</t>
        </is>
      </c>
      <c r="H4300" s="16" t="inlineStr">
        <is>
          <t>1 Pieza</t>
        </is>
      </c>
      <c r="I4300" s="16" t="n">
        <v>1</v>
      </c>
      <c r="J4300" s="17" t="n">
        <v>79</v>
      </c>
      <c r="K4300" s="17" t="n">
        <v>65.43000000000001</v>
      </c>
      <c r="L4300" s="17" t="n">
        <v>25.86</v>
      </c>
      <c r="M4300" s="17" t="n">
        <v>0</v>
      </c>
      <c r="N4300" s="17">
        <f>K4300*0.08+L4300*0.08</f>
        <v/>
      </c>
      <c r="O4300" s="17">
        <f>-(K4300*0.025+L4300*0.025)</f>
        <v/>
      </c>
      <c r="P4300" s="17">
        <f>32</f>
        <v/>
      </c>
      <c r="Q4300" s="17">
        <f>J4300+L4300+N4300+O4300-P4300-M4300</f>
        <v/>
      </c>
    </row>
    <row r="4301">
      <c r="A4301" s="16" t="inlineStr">
        <is>
          <t>5.8-5.14</t>
        </is>
      </c>
      <c r="B4301" s="16" t="inlineStr">
        <is>
          <t>PO-128-15342628967032215</t>
        </is>
      </c>
      <c r="C4301" s="16" t="inlineStr">
        <is>
          <t>Shipped</t>
        </is>
      </c>
      <c r="D4301" s="16" t="inlineStr">
        <is>
          <t>128-15342649938552215</t>
        </is>
      </c>
      <c r="E4301" s="16" t="inlineStr">
        <is>
          <t>Shipped</t>
        </is>
      </c>
      <c r="F4301" s="16" t="inlineStr">
        <is>
          <t>LV54W25</t>
        </is>
      </c>
      <c r="G4301" s="16" t="inlineStr">
        <is>
          <t>TIANLAI Lámpara Ventilador E27 2 en 1, Silenciosa, LED Alta Luminosidad 180°, Instalación Rápida, Ahorro Energético para Dormitorio y Interiores Pequeños</t>
        </is>
      </c>
      <c r="H4301" s="16" t="inlineStr">
        <is>
          <t>1 Pieza</t>
        </is>
      </c>
      <c r="I4301" s="16" t="n">
        <v>1</v>
      </c>
      <c r="J4301" s="17" t="n">
        <v>79</v>
      </c>
      <c r="K4301" s="17" t="n">
        <v>96.2</v>
      </c>
      <c r="L4301" s="17" t="n">
        <v>25.86</v>
      </c>
      <c r="M4301" s="17" t="n">
        <v>0</v>
      </c>
      <c r="N4301" s="17">
        <f>K4301*0.08+L4301*0.08</f>
        <v/>
      </c>
      <c r="O4301" s="17">
        <f>-(K4301*0.025+L4301*0.025)</f>
        <v/>
      </c>
      <c r="P4301" s="17">
        <f>32</f>
        <v/>
      </c>
      <c r="Q4301" s="17">
        <f>J4301+L4301+N4301+O4301-P4301-M4301</f>
        <v/>
      </c>
    </row>
    <row r="4302">
      <c r="A4302" s="16" t="inlineStr">
        <is>
          <t>5.8-5.14</t>
        </is>
      </c>
      <c r="B4302" s="16" t="inlineStr">
        <is>
          <t>PO-128-15451492823672652</t>
        </is>
      </c>
      <c r="C4302" s="16" t="inlineStr">
        <is>
          <t>Shipped</t>
        </is>
      </c>
      <c r="D4302" s="16" t="inlineStr">
        <is>
          <t>128-15451545252472652</t>
        </is>
      </c>
      <c r="E4302" s="16" t="inlineStr">
        <is>
          <t>Shipped</t>
        </is>
      </c>
      <c r="F4302" s="16" t="inlineStr">
        <is>
          <t>LV54W25</t>
        </is>
      </c>
      <c r="G4302" s="16" t="inlineStr">
        <is>
          <t>TIANLAI Lámpara Ventilador E27 2 en 1, Silenciosa, LED Alta Luminosidad 180°, Instalación Rápida, Ahorro Energético para Dormitorio y Interiores Pequeños</t>
        </is>
      </c>
      <c r="H4302" s="16" t="inlineStr">
        <is>
          <t>1 Pieza</t>
        </is>
      </c>
      <c r="I4302" s="16" t="n">
        <v>1</v>
      </c>
      <c r="J4302" s="17" t="n">
        <v>79</v>
      </c>
      <c r="K4302" s="17" t="n">
        <v>43.86</v>
      </c>
      <c r="L4302" s="17" t="n">
        <v>25.86</v>
      </c>
      <c r="M4302" s="17" t="n">
        <v>0</v>
      </c>
      <c r="N4302" s="17">
        <f>K4302*0.08+L4302*0.08</f>
        <v/>
      </c>
      <c r="O4302" s="17">
        <f>-(K4302*0.025+L4302*0.025)</f>
        <v/>
      </c>
      <c r="P4302" s="17">
        <f>32</f>
        <v/>
      </c>
      <c r="Q4302" s="17">
        <f>J4302+L4302+N4302+O4302-P4302-M4302</f>
        <v/>
      </c>
    </row>
    <row r="4303">
      <c r="A4303" s="16" t="inlineStr">
        <is>
          <t>5.8-5.14</t>
        </is>
      </c>
      <c r="B4303" s="16" t="inlineStr">
        <is>
          <t>PO-128-15798079908470589</t>
        </is>
      </c>
      <c r="C4303" s="16" t="inlineStr">
        <is>
          <t>Shipped</t>
        </is>
      </c>
      <c r="D4303" s="16" t="inlineStr">
        <is>
          <t>128-15798058936950589</t>
        </is>
      </c>
      <c r="E4303" s="16" t="inlineStr">
        <is>
          <t>Shipped</t>
        </is>
      </c>
      <c r="F4303" s="16" t="inlineStr">
        <is>
          <t>LV64W25</t>
        </is>
      </c>
      <c r="G430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303" s="16" t="inlineStr">
        <is>
          <t>Blanco</t>
        </is>
      </c>
      <c r="I4303" s="16" t="n">
        <v>3</v>
      </c>
      <c r="J4303" s="17" t="n">
        <v>473.79</v>
      </c>
      <c r="K4303" s="17" t="n">
        <v>528.66</v>
      </c>
      <c r="L4303" s="17" t="n">
        <v>0</v>
      </c>
      <c r="M4303" s="17" t="n">
        <v>0</v>
      </c>
      <c r="N4303" s="17">
        <f>K4303*0.08+L4303*0.08</f>
        <v/>
      </c>
      <c r="O4303" s="17">
        <f>-(K4303*0.025+L4303*0.025)</f>
        <v/>
      </c>
      <c r="P4303" s="17">
        <f>32</f>
        <v/>
      </c>
      <c r="Q4303" s="17">
        <f>J4303+L4303+N4303+O4303-P4303-M4303</f>
        <v/>
      </c>
    </row>
    <row r="4304">
      <c r="A4304" s="16" t="inlineStr">
        <is>
          <t>5.8-5.14</t>
        </is>
      </c>
      <c r="B4304" s="16" t="inlineStr">
        <is>
          <t>PO-128-15652446116470497</t>
        </is>
      </c>
      <c r="C4304" s="16" t="inlineStr">
        <is>
          <t>Shipped</t>
        </is>
      </c>
      <c r="D4304" s="16" t="inlineStr">
        <is>
          <t>128-15652404173430497</t>
        </is>
      </c>
      <c r="E4304" s="16" t="inlineStr">
        <is>
          <t>Shipped</t>
        </is>
      </c>
      <c r="F4304" s="16" t="inlineStr">
        <is>
          <t>KTS-2031</t>
        </is>
      </c>
      <c r="G4304" s="16" t="inlineStr">
        <is>
          <t>Bocina inalámbrica de 3 pulgadas con linterna multifuncional y panel solar integrado.Altavoz Portátil con Linterna LED 4 Modos, Radio FM, Bluetooth, Carga Solar, Ideal para Apagones, Emergencias, Campo y Exteriores</t>
        </is>
      </c>
      <c r="H4304" s="16" t="inlineStr">
        <is>
          <t>NEGRO</t>
        </is>
      </c>
      <c r="I4304" s="16" t="n">
        <v>1</v>
      </c>
      <c r="J4304" s="17" t="n">
        <v>78</v>
      </c>
      <c r="K4304" s="17" t="n">
        <v>1.01</v>
      </c>
      <c r="L4304" s="17" t="n">
        <v>25.86</v>
      </c>
      <c r="M4304" s="17" t="n">
        <v>0</v>
      </c>
      <c r="N4304" s="17">
        <f>K4304*0.08+L4304*0.08</f>
        <v/>
      </c>
      <c r="O4304" s="17">
        <f>-(K4304*0.025+L4304*0.025)</f>
        <v/>
      </c>
      <c r="P4304" s="17">
        <f>32</f>
        <v/>
      </c>
      <c r="Q4304" s="17">
        <f>J4304+L4304+N4304+O4304-P4304-M4304</f>
        <v/>
      </c>
    </row>
    <row r="4305">
      <c r="A4305" s="16" t="inlineStr">
        <is>
          <t>5.8-5.14</t>
        </is>
      </c>
      <c r="B4305" s="16" t="inlineStr">
        <is>
          <t>PO-128-15549708288631941</t>
        </is>
      </c>
      <c r="C4305" s="16" t="inlineStr">
        <is>
          <t>Shipped</t>
        </is>
      </c>
      <c r="D4305" s="16" t="inlineStr">
        <is>
          <t>128-15549676831351941</t>
        </is>
      </c>
      <c r="E4305" s="16" t="inlineStr">
        <is>
          <t>Shipped</t>
        </is>
      </c>
      <c r="F4305" s="16" t="inlineStr">
        <is>
          <t>i12-B</t>
        </is>
      </c>
      <c r="G4305" s="16" t="inlineStr">
        <is>
          <t>Auriculares Inalámbricos TWS - Ideales para Usuarios Android e iPhone, Entusiastas del Deporte &amp; Música, Controles Táctiles, Audífonos Para Correr y Jugar</t>
        </is>
      </c>
      <c r="H4305" s="16" t="inlineStr">
        <is>
          <t>Blanco</t>
        </is>
      </c>
      <c r="I4305" s="16" t="n">
        <v>5</v>
      </c>
      <c r="J4305" s="17" t="n">
        <v>224</v>
      </c>
      <c r="K4305" s="17" t="n">
        <v>234.76</v>
      </c>
      <c r="L4305" s="17" t="n">
        <v>0</v>
      </c>
      <c r="M4305" s="17" t="n">
        <v>0</v>
      </c>
      <c r="N4305" s="17">
        <f>K4305*0.08+L4305*0.08</f>
        <v/>
      </c>
      <c r="O4305" s="17">
        <f>-(K4305*0.025+L4305*0.025)</f>
        <v/>
      </c>
      <c r="P4305" s="17">
        <f>32</f>
        <v/>
      </c>
      <c r="Q4305" s="17">
        <f>J4305+L4305+N4305+O4305-P4305-M4305</f>
        <v/>
      </c>
    </row>
    <row r="4306">
      <c r="A4306" s="16" t="inlineStr">
        <is>
          <t>5.8-5.14</t>
        </is>
      </c>
      <c r="B4306" s="16" t="inlineStr">
        <is>
          <t>PO-128-15707604808310038</t>
        </is>
      </c>
      <c r="C4306" s="16" t="inlineStr">
        <is>
          <t>Shipped</t>
        </is>
      </c>
      <c r="D4306" s="16" t="inlineStr">
        <is>
          <t>128-15707547136630038</t>
        </is>
      </c>
      <c r="E4306" s="16" t="inlineStr">
        <is>
          <t>Shipped</t>
        </is>
      </c>
      <c r="F4306" s="16" t="inlineStr">
        <is>
          <t>LV54W25</t>
        </is>
      </c>
      <c r="G4306" s="16" t="inlineStr">
        <is>
          <t>TIANLAI Lámpara Ventilador E27 2 en 1, Silenciosa, LED Alta Luminosidad 180°, Instalación Rápida, Ahorro Energético para Dormitorio y Interiores Pequeños</t>
        </is>
      </c>
      <c r="H4306" s="16" t="inlineStr">
        <is>
          <t>1 Pieza</t>
        </is>
      </c>
      <c r="I4306" s="16" t="n">
        <v>3</v>
      </c>
      <c r="J4306" s="17" t="n">
        <v>237</v>
      </c>
      <c r="K4306" s="17" t="n">
        <v>220.82</v>
      </c>
      <c r="L4306" s="17" t="n">
        <v>0</v>
      </c>
      <c r="M4306" s="17" t="n">
        <v>0</v>
      </c>
      <c r="N4306" s="17">
        <f>K4306*0.08+L4306*0.08</f>
        <v/>
      </c>
      <c r="O4306" s="17">
        <f>-(K4306*0.025+L4306*0.025)</f>
        <v/>
      </c>
      <c r="P4306" s="17">
        <f>32</f>
        <v/>
      </c>
      <c r="Q4306" s="17">
        <f>J4306+L4306+N4306+O4306-P4306-M4306</f>
        <v/>
      </c>
    </row>
    <row r="4307">
      <c r="A4307" s="16" t="inlineStr">
        <is>
          <t>5.8-5.14</t>
        </is>
      </c>
      <c r="B4307" s="16" t="inlineStr">
        <is>
          <t>PO-128-15572778230391802</t>
        </is>
      </c>
      <c r="C4307" s="16" t="inlineStr">
        <is>
          <t>Shipped</t>
        </is>
      </c>
      <c r="D4307" s="16" t="inlineStr">
        <is>
          <t>128-15572736287351802</t>
        </is>
      </c>
      <c r="E4307" s="16" t="inlineStr">
        <is>
          <t>Shipped</t>
        </is>
      </c>
      <c r="F4307" s="16" t="inlineStr">
        <is>
          <t>KTS-2031</t>
        </is>
      </c>
      <c r="G4307" s="16" t="inlineStr">
        <is>
          <t>Bocina inalámbrica de 3 pulgadas con linterna multifuncional y panel solar integrado.Altavoz Portátil con Linterna LED 4 Modos, Radio FM, Bluetooth, Carga Solar, Ideal para Apagones, Emergencias, Campo y Exteriores</t>
        </is>
      </c>
      <c r="H4307" s="16" t="inlineStr">
        <is>
          <t>NEGRO</t>
        </is>
      </c>
      <c r="I4307" s="16" t="n">
        <v>3</v>
      </c>
      <c r="J4307" s="17" t="n">
        <v>234</v>
      </c>
      <c r="K4307" s="17" t="n">
        <v>261.66</v>
      </c>
      <c r="L4307" s="17" t="n">
        <v>0</v>
      </c>
      <c r="M4307" s="17" t="n">
        <v>0</v>
      </c>
      <c r="N4307" s="17">
        <f>K4307*0.08+L4307*0.08</f>
        <v/>
      </c>
      <c r="O4307" s="17">
        <f>-(K4307*0.025+L4307*0.025)</f>
        <v/>
      </c>
      <c r="P4307" s="17">
        <f>32</f>
        <v/>
      </c>
      <c r="Q4307" s="17">
        <f>J4307+L4307+N4307+O4307-P4307-M4307</f>
        <v/>
      </c>
    </row>
    <row r="4308">
      <c r="A4308" s="16" t="inlineStr">
        <is>
          <t>5.8-5.14</t>
        </is>
      </c>
      <c r="B4308" s="16" t="inlineStr">
        <is>
          <t>PO-128-15625910293111615</t>
        </is>
      </c>
      <c r="C4308" s="16" t="inlineStr">
        <is>
          <t>Shipped</t>
        </is>
      </c>
      <c r="D4308" s="16" t="inlineStr">
        <is>
          <t>128-15625931264631615</t>
        </is>
      </c>
      <c r="E4308" s="16" t="inlineStr">
        <is>
          <t>Shipped</t>
        </is>
      </c>
      <c r="F4308" s="16" t="inlineStr">
        <is>
          <t>B03W10-10PZS</t>
        </is>
      </c>
      <c r="G4308"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08" s="16" t="inlineStr">
        <is>
          <t>B03W10</t>
        </is>
      </c>
      <c r="I4308" s="16" t="n">
        <v>3</v>
      </c>
      <c r="J4308" s="17" t="n">
        <v>210</v>
      </c>
      <c r="K4308" s="17" t="n">
        <v>232.68</v>
      </c>
      <c r="L4308" s="17" t="n">
        <v>0</v>
      </c>
      <c r="M4308" s="17" t="n">
        <v>0</v>
      </c>
      <c r="N4308" s="17">
        <f>K4308*0.08+L4308*0.08</f>
        <v/>
      </c>
      <c r="O4308" s="17">
        <f>-(K4308*0.025+L4308*0.025)</f>
        <v/>
      </c>
      <c r="P4308" s="17">
        <f>32</f>
        <v/>
      </c>
      <c r="Q4308" s="17">
        <f>J4308+L4308+N4308+O4308-P4308-M4308</f>
        <v/>
      </c>
    </row>
    <row r="4309">
      <c r="A4309" s="16" t="inlineStr">
        <is>
          <t>5.8-5.14</t>
        </is>
      </c>
      <c r="B4309" s="16" t="inlineStr">
        <is>
          <t>PO-128-04761041464950836</t>
        </is>
      </c>
      <c r="C4309" s="16" t="inlineStr">
        <is>
          <t>Shipped</t>
        </is>
      </c>
      <c r="D4309" s="16" t="inlineStr">
        <is>
          <t>128-04761096515190836</t>
        </is>
      </c>
      <c r="E4309" s="16" t="inlineStr">
        <is>
          <t>Shipped</t>
        </is>
      </c>
      <c r="F4309" s="16" t="inlineStr">
        <is>
          <t>LV54W25</t>
        </is>
      </c>
      <c r="G4309" s="16" t="inlineStr">
        <is>
          <t>TIANLAI Lámpara Ventilador E27 2 en 1, Silenciosa, LED Alta Luminosidad 180°, Instalación Rápida, Ahorro Energético para Dormitorio y Interiores Pequeños</t>
        </is>
      </c>
      <c r="H4309" s="16" t="inlineStr">
        <is>
          <t>1 Pieza</t>
        </is>
      </c>
      <c r="I4309" s="16" t="n">
        <v>1</v>
      </c>
      <c r="J4309" s="17" t="n">
        <v>79</v>
      </c>
      <c r="K4309" s="17" t="n">
        <v>81.78</v>
      </c>
      <c r="L4309" s="17" t="n">
        <v>25.86</v>
      </c>
      <c r="M4309" s="17" t="n">
        <v>0</v>
      </c>
      <c r="N4309" s="17">
        <f>K4309*0.08+L4309*0.08</f>
        <v/>
      </c>
      <c r="O4309" s="17">
        <f>-(K4309*0.025+L4309*0.025)</f>
        <v/>
      </c>
      <c r="P4309" s="17">
        <f>32</f>
        <v/>
      </c>
      <c r="Q4309" s="17">
        <f>J4309+L4309+N4309+O4309-P4309-M4309</f>
        <v/>
      </c>
    </row>
    <row r="4310">
      <c r="A4310" s="16" t="inlineStr">
        <is>
          <t>5.8-5.14</t>
        </is>
      </c>
      <c r="B4310" s="16" t="inlineStr">
        <is>
          <t>PO-128-04732748188790943</t>
        </is>
      </c>
      <c r="C4310" s="16" t="inlineStr">
        <is>
          <t>Shipped</t>
        </is>
      </c>
      <c r="D4310" s="16" t="inlineStr">
        <is>
          <t>128-04732727217270943</t>
        </is>
      </c>
      <c r="E4310" s="16" t="inlineStr">
        <is>
          <t>Shipped</t>
        </is>
      </c>
      <c r="F4310" s="16" t="inlineStr">
        <is>
          <t>LV54W25</t>
        </is>
      </c>
      <c r="G4310" s="16" t="inlineStr">
        <is>
          <t>TIANLAI Lámpara Ventilador E27 2 en 1, Silenciosa, LED Alta Luminosidad 180°, Instalación Rápida, Ahorro Energético para Dormitorio y Interiores Pequeños</t>
        </is>
      </c>
      <c r="H4310" s="16" t="inlineStr">
        <is>
          <t>1 Pieza</t>
        </is>
      </c>
      <c r="I4310" s="16" t="n">
        <v>2</v>
      </c>
      <c r="J4310" s="17" t="n">
        <v>158</v>
      </c>
      <c r="K4310" s="17" t="n">
        <v>153.9</v>
      </c>
      <c r="L4310" s="17" t="n">
        <v>25.86</v>
      </c>
      <c r="M4310" s="17" t="n">
        <v>0</v>
      </c>
      <c r="N4310" s="17">
        <f>K4310*0.08+L4310*0.08</f>
        <v/>
      </c>
      <c r="O4310" s="17">
        <f>-(K4310*0.025+L4310*0.025)</f>
        <v/>
      </c>
      <c r="P4310" s="17">
        <f>32</f>
        <v/>
      </c>
      <c r="Q4310" s="17">
        <f>J4310+L4310+N4310+O4310-P4310-M4310</f>
        <v/>
      </c>
    </row>
    <row r="4311">
      <c r="A4311" s="16" t="inlineStr">
        <is>
          <t>5.8-5.14</t>
        </is>
      </c>
      <c r="B4311" s="16" t="inlineStr">
        <is>
          <t>PO-128-04808827886710616</t>
        </is>
      </c>
      <c r="C4311" s="16" t="inlineStr">
        <is>
          <t>Shipped</t>
        </is>
      </c>
      <c r="D4311" s="16" t="inlineStr">
        <is>
          <t>128-04808785943670616</t>
        </is>
      </c>
      <c r="E4311" s="16" t="inlineStr">
        <is>
          <t>Shipped</t>
        </is>
      </c>
      <c r="F4311" s="16" t="inlineStr">
        <is>
          <t>TL2663N18C</t>
        </is>
      </c>
      <c r="G4311" s="16" t="inlineStr">
        <is>
          <t>Linkbits，Soporte de pared fijo para televisores de 26"-63", Ultra-Delgado Compatible con VESA 400x400mm, Capacidad de Peso Fuerte de 25KG, Instalación Fácil Sin Electricidad</t>
        </is>
      </c>
      <c r="H4311" s="16" t="inlineStr">
        <is>
          <t>NEGRO</t>
        </is>
      </c>
      <c r="I4311" s="16" t="n">
        <v>1</v>
      </c>
      <c r="J4311" s="17" t="n">
        <v>55.5</v>
      </c>
      <c r="K4311" s="17" t="n">
        <v>70.48999999999999</v>
      </c>
      <c r="L4311" s="17" t="n">
        <v>25.86</v>
      </c>
      <c r="M4311" s="17" t="n">
        <v>0</v>
      </c>
      <c r="N4311" s="17">
        <f>K4311*0.08+L4311*0.08</f>
        <v/>
      </c>
      <c r="O4311" s="17">
        <f>-(K4311*0.025+L4311*0.025)</f>
        <v/>
      </c>
      <c r="P4311" s="17">
        <f>32</f>
        <v/>
      </c>
      <c r="Q4311" s="17">
        <f>J4311+L4311+N4311+O4311-P4311-M4311</f>
        <v/>
      </c>
    </row>
    <row r="4312">
      <c r="A4312" s="16" t="inlineStr">
        <is>
          <t>5.8-5.14</t>
        </is>
      </c>
      <c r="B4312" s="16" t="inlineStr">
        <is>
          <t>PO-128-04259447096953762</t>
        </is>
      </c>
      <c r="C4312" s="16" t="inlineStr">
        <is>
          <t>Shipped</t>
        </is>
      </c>
      <c r="D4312" s="16" t="inlineStr">
        <is>
          <t>128-04259473311353762</t>
        </is>
      </c>
      <c r="E4312" s="16" t="inlineStr">
        <is>
          <t>Shipped</t>
        </is>
      </c>
      <c r="F4312" s="16" t="inlineStr">
        <is>
          <t>LV54W25</t>
        </is>
      </c>
      <c r="G4312" s="16" t="inlineStr">
        <is>
          <t>TIANLAI Lámpara Ventilador E27 2 en 1, Silenciosa, LED Alta Luminosidad 180°, Instalación Rápida, Ahorro Energético para Dormitorio y Interiores Pequeños</t>
        </is>
      </c>
      <c r="H4312" s="16" t="inlineStr">
        <is>
          <t>1 Pieza</t>
        </is>
      </c>
      <c r="I4312" s="16" t="n">
        <v>3</v>
      </c>
      <c r="J4312" s="17" t="n">
        <v>237</v>
      </c>
      <c r="K4312" s="17" t="n">
        <v>198.56</v>
      </c>
      <c r="L4312" s="17" t="n">
        <v>0</v>
      </c>
      <c r="M4312" s="17" t="n">
        <v>6.63</v>
      </c>
      <c r="N4312" s="17">
        <f>K4312*0.08+L4312*0.08</f>
        <v/>
      </c>
      <c r="O4312" s="17">
        <f>-(K4312*0.025+L4312*0.025)</f>
        <v/>
      </c>
      <c r="P4312" s="17">
        <f>32</f>
        <v/>
      </c>
      <c r="Q4312" s="17">
        <f>J4312+L4312+N4312+O4312-P4312-M4312</f>
        <v/>
      </c>
    </row>
    <row r="4313">
      <c r="A4313" s="16" t="inlineStr">
        <is>
          <t>5.8-5.14</t>
        </is>
      </c>
      <c r="B4313" s="16" t="inlineStr">
        <is>
          <t>PO-128-04124570209913478</t>
        </is>
      </c>
      <c r="C4313" s="16" t="inlineStr">
        <is>
          <t>Shipped</t>
        </is>
      </c>
      <c r="D4313" s="16" t="inlineStr">
        <is>
          <t>128-04124612152953478</t>
        </is>
      </c>
      <c r="E4313" s="16" t="inlineStr">
        <is>
          <t>Shipped</t>
        </is>
      </c>
      <c r="F4313" s="16" t="inlineStr">
        <is>
          <t>LV54W25</t>
        </is>
      </c>
      <c r="G4313" s="16" t="inlineStr">
        <is>
          <t>TIANLAI Lámpara Ventilador E27 2 en 1, Silenciosa, LED Alta Luminosidad 180°, Instalación Rápida, Ahorro Energético para Dormitorio y Interiores Pequeños</t>
        </is>
      </c>
      <c r="H4313" s="16" t="inlineStr">
        <is>
          <t>1 Pieza</t>
        </is>
      </c>
      <c r="I4313" s="16" t="n">
        <v>1</v>
      </c>
      <c r="J4313" s="17" t="n">
        <v>79</v>
      </c>
      <c r="K4313" s="17" t="n">
        <v>38.68</v>
      </c>
      <c r="L4313" s="17" t="n">
        <v>25.86</v>
      </c>
      <c r="M4313" s="17" t="n">
        <v>0</v>
      </c>
      <c r="N4313" s="17">
        <f>K4313*0.08+L4313*0.08</f>
        <v/>
      </c>
      <c r="O4313" s="17">
        <f>-(K4313*0.025+L4313*0.025)</f>
        <v/>
      </c>
      <c r="P4313" s="17">
        <f>32</f>
        <v/>
      </c>
      <c r="Q4313" s="17">
        <f>J4313+L4313+N4313+O4313-P4313-M4313</f>
        <v/>
      </c>
    </row>
    <row r="4314">
      <c r="A4314" s="16" t="inlineStr">
        <is>
          <t>5.8-5.14</t>
        </is>
      </c>
      <c r="B4314" s="16" t="inlineStr">
        <is>
          <t>PO-128-04200610655353155</t>
        </is>
      </c>
      <c r="C4314" s="16" t="inlineStr">
        <is>
          <t>Shipped</t>
        </is>
      </c>
      <c r="D4314" s="16" t="inlineStr">
        <is>
          <t>128-04200592305273155</t>
        </is>
      </c>
      <c r="E4314" s="16" t="inlineStr">
        <is>
          <t>Shipped</t>
        </is>
      </c>
      <c r="F4314" s="16" t="inlineStr">
        <is>
          <t>TL2663N18C</t>
        </is>
      </c>
      <c r="G4314" s="16" t="inlineStr">
        <is>
          <t>Linkbits，Soporte de pared fijo para televisores de 26"-63", Ultra-Delgado Compatible con VESA 400x400mm, Capacidad de Peso Fuerte de 25KG, Instalación Fácil Sin Electricidad</t>
        </is>
      </c>
      <c r="H4314" s="16" t="inlineStr">
        <is>
          <t>NEGRO</t>
        </is>
      </c>
      <c r="I4314" s="16" t="n">
        <v>1</v>
      </c>
      <c r="J4314" s="17" t="n">
        <v>55.5</v>
      </c>
      <c r="K4314" s="17" t="n">
        <v>67.28</v>
      </c>
      <c r="L4314" s="17" t="n">
        <v>25.86</v>
      </c>
      <c r="M4314" s="17" t="n">
        <v>0</v>
      </c>
      <c r="N4314" s="17">
        <f>K4314*0.08+L4314*0.08</f>
        <v/>
      </c>
      <c r="O4314" s="17">
        <f>-(K4314*0.025+L4314*0.025)</f>
        <v/>
      </c>
      <c r="P4314" s="17">
        <f>32</f>
        <v/>
      </c>
      <c r="Q4314" s="17">
        <f>J4314+L4314+N4314+O4314-P4314-M4314</f>
        <v/>
      </c>
    </row>
    <row r="4315">
      <c r="A4315" s="16" t="inlineStr">
        <is>
          <t>5.8-5.14</t>
        </is>
      </c>
      <c r="B4315" s="16" t="inlineStr">
        <is>
          <t>PO-128-04712568026230039</t>
        </is>
      </c>
      <c r="C4315" s="16" t="inlineStr">
        <is>
          <t>Shipped</t>
        </is>
      </c>
      <c r="D4315" s="16" t="inlineStr">
        <is>
          <t>128-04712704341110039</t>
        </is>
      </c>
      <c r="E4315" s="16" t="inlineStr">
        <is>
          <t>Shipped</t>
        </is>
      </c>
      <c r="F4315" s="16" t="inlineStr">
        <is>
          <t>VB349T</t>
        </is>
      </c>
      <c r="G4315" s="16" t="inlineStr">
        <is>
          <t>LINKBITS Altavoz Portátil de Doble Altavoz - 3 Pulgadas, Sonido HD, Emparejamiento Rápido de Bluetooth, Conectividad TWS, Reproducción Multimodo (Micro SD/USB/Radio FM) - Perfecto para Oficina, Viajes y Espacios Pequeños</t>
        </is>
      </c>
      <c r="H4315" s="16" t="inlineStr">
        <is>
          <t>NEGRO</t>
        </is>
      </c>
      <c r="I4315" s="16" t="n">
        <v>1</v>
      </c>
      <c r="J4315" s="17" t="n">
        <v>81</v>
      </c>
      <c r="K4315" s="17" t="n">
        <v>94.25</v>
      </c>
      <c r="L4315" s="17" t="n">
        <v>25.86</v>
      </c>
      <c r="M4315" s="17" t="n">
        <v>0</v>
      </c>
      <c r="N4315" s="17">
        <f>K4315*0.08+L4315*0.08</f>
        <v/>
      </c>
      <c r="O4315" s="17">
        <f>-(K4315*0.025+L4315*0.025)</f>
        <v/>
      </c>
      <c r="P4315" s="17">
        <f>32</f>
        <v/>
      </c>
      <c r="Q4315" s="17">
        <f>J4315+L4315+N4315+O4315-P4315-M4315</f>
        <v/>
      </c>
    </row>
    <row r="4316">
      <c r="A4316" s="16" t="inlineStr">
        <is>
          <t>5.8-5.14</t>
        </is>
      </c>
      <c r="B4316" s="16" t="inlineStr">
        <is>
          <t>PO-128-04390479475832983</t>
        </is>
      </c>
      <c r="C4316" s="16" t="inlineStr">
        <is>
          <t>Shipped</t>
        </is>
      </c>
      <c r="D4316" s="16" t="inlineStr">
        <is>
          <t>128-04390521418872983</t>
        </is>
      </c>
      <c r="E4316" s="16" t="inlineStr">
        <is>
          <t>Shipped</t>
        </is>
      </c>
      <c r="F4316" s="16" t="inlineStr">
        <is>
          <t>i12-B</t>
        </is>
      </c>
      <c r="G4316" s="16" t="inlineStr">
        <is>
          <t>Auriculares Inalámbricos TWS - Ideales para Usuarios Android e iPhone, Entusiastas del Deporte &amp; Música, Controles Táctiles, Audífonos Para Correr y Jugar</t>
        </is>
      </c>
      <c r="H4316" s="16" t="inlineStr">
        <is>
          <t>Blanco</t>
        </is>
      </c>
      <c r="I4316" s="16" t="n">
        <v>1</v>
      </c>
      <c r="J4316" s="17" t="n">
        <v>44.8</v>
      </c>
      <c r="K4316" s="17" t="n">
        <v>17.88</v>
      </c>
      <c r="L4316" s="17" t="n">
        <v>25.86</v>
      </c>
      <c r="M4316" s="17" t="n">
        <v>0</v>
      </c>
      <c r="N4316" s="17">
        <f>K4316*0.08+L4316*0.08</f>
        <v/>
      </c>
      <c r="O4316" s="17">
        <f>-(K4316*0.025+L4316*0.025)</f>
        <v/>
      </c>
      <c r="P4316" s="17">
        <f>32</f>
        <v/>
      </c>
      <c r="Q4316" s="17">
        <f>J4316+L4316+N4316+O4316-P4316-M4316</f>
        <v/>
      </c>
    </row>
    <row r="4317">
      <c r="A4317" s="16" t="inlineStr">
        <is>
          <t>5.8-5.14</t>
        </is>
      </c>
      <c r="B4317" s="16" t="inlineStr">
        <is>
          <t>PO-128-04681890258550156</t>
        </is>
      </c>
      <c r="C4317" s="16" t="inlineStr">
        <is>
          <t>Shipped</t>
        </is>
      </c>
      <c r="D4317" s="16" t="inlineStr">
        <is>
          <t>128-04681995116150156</t>
        </is>
      </c>
      <c r="E4317" s="16" t="inlineStr">
        <is>
          <t>Shipped</t>
        </is>
      </c>
      <c r="F4317" s="16" t="inlineStr">
        <is>
          <t>B03W10-10PZS</t>
        </is>
      </c>
      <c r="G431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17" s="16" t="inlineStr">
        <is>
          <t>B03W10</t>
        </is>
      </c>
      <c r="I4317" s="16" t="n">
        <v>1</v>
      </c>
      <c r="J4317" s="17" t="n">
        <v>70</v>
      </c>
      <c r="K4317" s="17" t="n">
        <v>34.46</v>
      </c>
      <c r="L4317" s="17" t="n">
        <v>25.86</v>
      </c>
      <c r="M4317" s="17" t="n">
        <v>0</v>
      </c>
      <c r="N4317" s="17">
        <f>K4317*0.08+L4317*0.08</f>
        <v/>
      </c>
      <c r="O4317" s="17">
        <f>-(K4317*0.025+L4317*0.025)</f>
        <v/>
      </c>
      <c r="P4317" s="17">
        <f>32</f>
        <v/>
      </c>
      <c r="Q4317" s="17">
        <f>J4317+L4317+N4317+O4317-P4317-M4317</f>
        <v/>
      </c>
    </row>
    <row r="4318">
      <c r="A4318" s="16" t="inlineStr">
        <is>
          <t>5.8-5.14</t>
        </is>
      </c>
      <c r="B4318" s="16" t="inlineStr">
        <is>
          <t>PO-128-04727211349110910</t>
        </is>
      </c>
      <c r="C4318" s="16" t="inlineStr">
        <is>
          <t>Shipped</t>
        </is>
      </c>
      <c r="D4318" s="16" t="inlineStr">
        <is>
          <t>128-04727232320630910</t>
        </is>
      </c>
      <c r="E4318" s="16" t="inlineStr">
        <is>
          <t>Shipped</t>
        </is>
      </c>
      <c r="F4318" s="16" t="inlineStr">
        <is>
          <t>TL2663N18C</t>
        </is>
      </c>
      <c r="G4318" s="16" t="inlineStr">
        <is>
          <t>Linkbits，Soporte de pared fijo para televisores de 26"-63", Ultra-Delgado Compatible con VESA 400x400mm, Capacidad de Peso Fuerte de 25KG, Instalación Fácil Sin Electricidad</t>
        </is>
      </c>
      <c r="H4318" s="16" t="inlineStr">
        <is>
          <t>NEGRO</t>
        </is>
      </c>
      <c r="I4318" s="16" t="n">
        <v>1</v>
      </c>
      <c r="J4318" s="17" t="n">
        <v>55.5</v>
      </c>
      <c r="K4318" s="17" t="n">
        <v>70.48999999999999</v>
      </c>
      <c r="L4318" s="17" t="n">
        <v>25.86</v>
      </c>
      <c r="M4318" s="17" t="n">
        <v>0</v>
      </c>
      <c r="N4318" s="17">
        <f>K4318*0.08+L4318*0.08</f>
        <v/>
      </c>
      <c r="O4318" s="17">
        <f>-(K4318*0.025+L4318*0.025)</f>
        <v/>
      </c>
      <c r="P4318" s="17">
        <f>32</f>
        <v/>
      </c>
      <c r="Q4318" s="17">
        <f>J4318+L4318+N4318+O4318-P4318-M4318</f>
        <v/>
      </c>
    </row>
    <row r="4319">
      <c r="A4319" s="16" t="inlineStr">
        <is>
          <t>5.8-5.14</t>
        </is>
      </c>
      <c r="B4319" s="16" t="inlineStr">
        <is>
          <t>PO-128-04298080026232444</t>
        </is>
      </c>
      <c r="C4319" s="16" t="inlineStr">
        <is>
          <t>Shipped</t>
        </is>
      </c>
      <c r="D4319" s="16" t="inlineStr">
        <is>
          <t>128-04298148183672444</t>
        </is>
      </c>
      <c r="E4319" s="16" t="inlineStr">
        <is>
          <t>Shipped</t>
        </is>
      </c>
      <c r="F4319" s="16" t="inlineStr">
        <is>
          <t>TL2663N18C</t>
        </is>
      </c>
      <c r="G4319" s="16" t="inlineStr">
        <is>
          <t>Linkbits，Soporte de pared fijo para televisores de 26"-63", Ultra-Delgado Compatible con VESA 400x400mm, Capacidad de Peso Fuerte de 25KG, Instalación Fácil Sin Electricidad</t>
        </is>
      </c>
      <c r="H4319" s="16" t="inlineStr">
        <is>
          <t>NEGRO</t>
        </is>
      </c>
      <c r="I4319" s="16" t="n">
        <v>1</v>
      </c>
      <c r="J4319" s="17" t="n">
        <v>55.5</v>
      </c>
      <c r="K4319" s="17" t="n">
        <v>17.04</v>
      </c>
      <c r="L4319" s="17" t="n">
        <v>25.86</v>
      </c>
      <c r="M4319" s="17" t="n">
        <v>0</v>
      </c>
      <c r="N4319" s="17">
        <f>K4319*0.08+L4319*0.08</f>
        <v/>
      </c>
      <c r="O4319" s="17">
        <f>-(K4319*0.025+L4319*0.025)</f>
        <v/>
      </c>
      <c r="P4319" s="17">
        <f>32</f>
        <v/>
      </c>
      <c r="Q4319" s="17">
        <f>J4319+L4319+N4319+O4319-P4319-M4319</f>
        <v/>
      </c>
    </row>
    <row r="4320">
      <c r="A4320" s="16" t="inlineStr">
        <is>
          <t>5.8-5.14</t>
        </is>
      </c>
      <c r="B4320" s="16" t="inlineStr">
        <is>
          <t>PO-128-04404534124152835</t>
        </is>
      </c>
      <c r="C4320" s="16" t="inlineStr">
        <is>
          <t>Shipped</t>
        </is>
      </c>
      <c r="D4320" s="16" t="inlineStr">
        <is>
          <t>128-04404542643832835</t>
        </is>
      </c>
      <c r="E4320" s="16" t="inlineStr">
        <is>
          <t>Shipped</t>
        </is>
      </c>
      <c r="F4320" s="16" t="inlineStr">
        <is>
          <t>LV64W25</t>
        </is>
      </c>
      <c r="G432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320" s="16" t="inlineStr">
        <is>
          <t>Blanco</t>
        </is>
      </c>
      <c r="I4320" s="16" t="n">
        <v>1</v>
      </c>
      <c r="J4320" s="17" t="n">
        <v>157.93</v>
      </c>
      <c r="K4320" s="17" t="n">
        <v>176.22</v>
      </c>
      <c r="L4320" s="17" t="n">
        <v>25.86</v>
      </c>
      <c r="M4320" s="17" t="n">
        <v>0</v>
      </c>
      <c r="N4320" s="17">
        <f>K4320*0.08+L4320*0.08</f>
        <v/>
      </c>
      <c r="O4320" s="17">
        <f>-(K4320*0.025+L4320*0.025)</f>
        <v/>
      </c>
      <c r="P4320" s="17">
        <f>32</f>
        <v/>
      </c>
      <c r="Q4320" s="17">
        <f>J4320+L4320+N4320+O4320-P4320-M4320</f>
        <v/>
      </c>
    </row>
    <row r="4321">
      <c r="A4321" s="16" t="inlineStr">
        <is>
          <t>5.8-5.14</t>
        </is>
      </c>
      <c r="B4321" s="16" t="inlineStr">
        <is>
          <t>PO-128-04573194911352020</t>
        </is>
      </c>
      <c r="C4321" s="16" t="inlineStr">
        <is>
          <t>Shipped</t>
        </is>
      </c>
      <c r="D4321" s="16" t="inlineStr">
        <is>
          <t>128-04573236854392020</t>
        </is>
      </c>
      <c r="E4321" s="16" t="inlineStr">
        <is>
          <t>Shipped</t>
        </is>
      </c>
      <c r="F4321" s="16" t="inlineStr">
        <is>
          <t>LV54W25</t>
        </is>
      </c>
      <c r="G4321" s="16" t="inlineStr">
        <is>
          <t>TIANLAI Lámpara Ventilador E27 2 en 1, Silenciosa, LED Alta Luminosidad 180°, Instalación Rápida, Ahorro Energético para Dormitorio y Interiores Pequeños</t>
        </is>
      </c>
      <c r="H4321" s="16" t="inlineStr">
        <is>
          <t>1 Pieza</t>
        </is>
      </c>
      <c r="I4321" s="16" t="n">
        <v>1</v>
      </c>
      <c r="J4321" s="17" t="n">
        <v>79</v>
      </c>
      <c r="K4321" s="17" t="n">
        <v>82.73</v>
      </c>
      <c r="L4321" s="17" t="n">
        <v>25.86</v>
      </c>
      <c r="M4321" s="17" t="n">
        <v>0</v>
      </c>
      <c r="N4321" s="17">
        <f>K4321*0.08+L4321*0.08</f>
        <v/>
      </c>
      <c r="O4321" s="17">
        <f>-(K4321*0.025+L4321*0.025)</f>
        <v/>
      </c>
      <c r="P4321" s="17">
        <f>32</f>
        <v/>
      </c>
      <c r="Q4321" s="17">
        <f>J4321+L4321+N4321+O4321-P4321-M4321</f>
        <v/>
      </c>
    </row>
    <row r="4322">
      <c r="A4322" s="16" t="inlineStr">
        <is>
          <t>5.8-5.14</t>
        </is>
      </c>
      <c r="B4322" s="16" t="inlineStr">
        <is>
          <t>PO-128-04407841354872878</t>
        </is>
      </c>
      <c r="C4322" s="16" t="inlineStr">
        <is>
          <t>Shipped</t>
        </is>
      </c>
      <c r="D4322" s="16" t="inlineStr">
        <is>
          <t>128-04407799411832878</t>
        </is>
      </c>
      <c r="E4322" s="16" t="inlineStr">
        <is>
          <t>Shipped</t>
        </is>
      </c>
      <c r="F4322" s="16" t="inlineStr">
        <is>
          <t>LV54W25</t>
        </is>
      </c>
      <c r="G4322" s="16" t="inlineStr">
        <is>
          <t>TIANLAI Lámpara Ventilador E27 2 en 1, Silenciosa, LED Alta Luminosidad 180°, Instalación Rápida, Ahorro Energético para Dormitorio y Interiores Pequeños</t>
        </is>
      </c>
      <c r="H4322" s="16" t="inlineStr">
        <is>
          <t>1 Pieza</t>
        </is>
      </c>
      <c r="I4322" s="16" t="n">
        <v>1</v>
      </c>
      <c r="J4322" s="17" t="n">
        <v>79</v>
      </c>
      <c r="K4322" s="17" t="n">
        <v>81.78</v>
      </c>
      <c r="L4322" s="17" t="n">
        <v>25.86</v>
      </c>
      <c r="M4322" s="17" t="n">
        <v>0</v>
      </c>
      <c r="N4322" s="17">
        <f>K4322*0.08+L4322*0.08</f>
        <v/>
      </c>
      <c r="O4322" s="17">
        <f>-(K4322*0.025+L4322*0.025)</f>
        <v/>
      </c>
      <c r="P4322" s="17">
        <f>32</f>
        <v/>
      </c>
      <c r="Q4322" s="17">
        <f>J4322+L4322+N4322+O4322-P4322-M4322</f>
        <v/>
      </c>
    </row>
    <row r="4323">
      <c r="A4323" s="16" t="inlineStr">
        <is>
          <t>5.8-5.14</t>
        </is>
      </c>
      <c r="B4323" s="16" t="inlineStr">
        <is>
          <t>PO-128-04517408722551203</t>
        </is>
      </c>
      <c r="C4323" s="16" t="inlineStr">
        <is>
          <t>Shipped</t>
        </is>
      </c>
      <c r="D4323" s="16" t="inlineStr">
        <is>
          <t>128-04517419208311203</t>
        </is>
      </c>
      <c r="E4323" s="16" t="inlineStr">
        <is>
          <t>Shipped</t>
        </is>
      </c>
      <c r="F4323" s="16" t="inlineStr">
        <is>
          <t>LV54W25</t>
        </is>
      </c>
      <c r="G4323" s="16" t="inlineStr">
        <is>
          <t>TIANLAI Lámpara Ventilador E27 2 en 1, Silenciosa, LED Alta Luminosidad 180°, Instalación Rápida, Ahorro Energético para Dormitorio y Interiores Pequeños</t>
        </is>
      </c>
      <c r="H4323" s="16" t="inlineStr">
        <is>
          <t>1 Pieza</t>
        </is>
      </c>
      <c r="I4323" s="16" t="n">
        <v>1</v>
      </c>
      <c r="J4323" s="17" t="n">
        <v>79</v>
      </c>
      <c r="K4323" s="17" t="n">
        <v>81.78</v>
      </c>
      <c r="L4323" s="17" t="n">
        <v>25.86</v>
      </c>
      <c r="M4323" s="17" t="n">
        <v>0</v>
      </c>
      <c r="N4323" s="17">
        <f>K4323*0.08+L4323*0.08</f>
        <v/>
      </c>
      <c r="O4323" s="17">
        <f>-(K4323*0.025+L4323*0.025)</f>
        <v/>
      </c>
      <c r="P4323" s="17">
        <f>32</f>
        <v/>
      </c>
      <c r="Q4323" s="17">
        <f>J4323+L4323+N4323+O4323-P4323-M4323</f>
        <v/>
      </c>
    </row>
    <row r="4324">
      <c r="A4324" s="16" t="inlineStr">
        <is>
          <t>5.8-5.14</t>
        </is>
      </c>
      <c r="B4324" s="16" t="inlineStr">
        <is>
          <t>PO-128-04239739623033880</t>
        </is>
      </c>
      <c r="C4324" s="16" t="inlineStr">
        <is>
          <t>Shipped</t>
        </is>
      </c>
      <c r="D4324" s="16" t="inlineStr">
        <is>
          <t>128-04239750108793880</t>
        </is>
      </c>
      <c r="E4324" s="16" t="inlineStr">
        <is>
          <t>Shipped</t>
        </is>
      </c>
      <c r="F4324" s="16" t="inlineStr">
        <is>
          <t>VA371T</t>
        </is>
      </c>
      <c r="G4324" s="16" t="inlineStr">
        <is>
          <t>Linkbits Bocina Bluetooth Portátil 3" de Alta Gama，Hi-Res Audio y Graves Potentes，Luces LED + Soporte USB/TF/FM/TWS，Ideal para Hogar y Aire Libre</t>
        </is>
      </c>
      <c r="H4324" s="16" t="inlineStr">
        <is>
          <t>VA371T</t>
        </is>
      </c>
      <c r="I4324" s="16" t="n">
        <v>1</v>
      </c>
      <c r="J4324" s="17" t="n">
        <v>45.8</v>
      </c>
      <c r="K4324" s="17" t="n">
        <v>54.17</v>
      </c>
      <c r="L4324" s="17" t="n">
        <v>25.86</v>
      </c>
      <c r="M4324" s="17" t="n">
        <v>0</v>
      </c>
      <c r="N4324" s="17">
        <f>K4324*0.08+L4324*0.08</f>
        <v/>
      </c>
      <c r="O4324" s="17">
        <f>-(K4324*0.025+L4324*0.025)</f>
        <v/>
      </c>
      <c r="P4324" s="17">
        <f>32</f>
        <v/>
      </c>
      <c r="Q4324" s="17">
        <f>J4324+L4324+N4324+O4324-P4324-M4324</f>
        <v/>
      </c>
    </row>
    <row r="4325">
      <c r="A4325" s="16" t="inlineStr">
        <is>
          <t>5.8-5.14</t>
        </is>
      </c>
      <c r="B4325" s="16" t="inlineStr">
        <is>
          <t>PO-128-04708083646070000</t>
        </is>
      </c>
      <c r="C4325" s="16" t="inlineStr">
        <is>
          <t>Shipped</t>
        </is>
      </c>
      <c r="D4325" s="16" t="inlineStr">
        <is>
          <t>128-04708125589110000</t>
        </is>
      </c>
      <c r="E4325" s="16" t="inlineStr">
        <is>
          <t>Shipped</t>
        </is>
      </c>
      <c r="F4325" s="16" t="inlineStr">
        <is>
          <t>LV54W25</t>
        </is>
      </c>
      <c r="G4325" s="16" t="inlineStr">
        <is>
          <t>TIANLAI Lámpara Ventilador E27 2 en 1, Silenciosa, LED Alta Luminosidad 180°, Instalación Rápida, Ahorro Energético para Dormitorio y Interiores Pequeños</t>
        </is>
      </c>
      <c r="H4325" s="16" t="inlineStr">
        <is>
          <t>1 Pieza</t>
        </is>
      </c>
      <c r="I4325" s="16" t="n">
        <v>3</v>
      </c>
      <c r="J4325" s="17" t="n">
        <v>237</v>
      </c>
      <c r="K4325" s="17" t="n">
        <v>248.19</v>
      </c>
      <c r="L4325" s="17" t="n">
        <v>0</v>
      </c>
      <c r="M4325" s="17" t="n">
        <v>0</v>
      </c>
      <c r="N4325" s="17">
        <f>K4325*0.08+L4325*0.08</f>
        <v/>
      </c>
      <c r="O4325" s="17">
        <f>-(K4325*0.025+L4325*0.025)</f>
        <v/>
      </c>
      <c r="P4325" s="17">
        <f>32</f>
        <v/>
      </c>
      <c r="Q4325" s="17">
        <f>J4325+L4325+N4325+O4325-P4325-M4325</f>
        <v/>
      </c>
    </row>
    <row r="4326">
      <c r="A4326" s="16" t="inlineStr">
        <is>
          <t>5.8-5.14</t>
        </is>
      </c>
      <c r="B4326" s="16" t="inlineStr">
        <is>
          <t>PO-128-04575184543351816</t>
        </is>
      </c>
      <c r="C4326" s="16" t="inlineStr">
        <is>
          <t>Shipped</t>
        </is>
      </c>
      <c r="D4326" s="16" t="inlineStr">
        <is>
          <t>128-04575174057591816</t>
        </is>
      </c>
      <c r="E4326" s="16" t="inlineStr">
        <is>
          <t>Shipped</t>
        </is>
      </c>
      <c r="F4326" s="16" t="inlineStr">
        <is>
          <t>KTS-2031</t>
        </is>
      </c>
      <c r="G4326" s="16" t="inlineStr">
        <is>
          <t>Bocina inalámbrica de 3 pulgadas con linterna multifuncional y panel solar integrado.Altavoz Portátil con Linterna LED 4 Modos, Radio FM, Bluetooth, Carga Solar, Ideal para Apagones, Emergencias, Campo y Exteriores</t>
        </is>
      </c>
      <c r="H4326" s="16" t="inlineStr">
        <is>
          <t>NEGRO</t>
        </is>
      </c>
      <c r="I4326" s="16" t="n">
        <v>1</v>
      </c>
      <c r="J4326" s="17" t="n">
        <v>78</v>
      </c>
      <c r="K4326" s="17" t="n">
        <v>69.78</v>
      </c>
      <c r="L4326" s="17" t="n">
        <v>25.86</v>
      </c>
      <c r="M4326" s="17" t="n">
        <v>0</v>
      </c>
      <c r="N4326" s="17">
        <f>K4326*0.08+L4326*0.08</f>
        <v/>
      </c>
      <c r="O4326" s="17">
        <f>-(K4326*0.025+L4326*0.025)</f>
        <v/>
      </c>
      <c r="P4326" s="17">
        <f>32</f>
        <v/>
      </c>
      <c r="Q4326" s="17">
        <f>J4326+L4326+N4326+O4326-P4326-M4326</f>
        <v/>
      </c>
    </row>
    <row r="4327">
      <c r="A4327" s="16" t="inlineStr">
        <is>
          <t>5.8-5.14</t>
        </is>
      </c>
      <c r="B4327" s="16" t="inlineStr">
        <is>
          <t>PO-128-04765076094070876</t>
        </is>
      </c>
      <c r="C4327" s="16" t="inlineStr">
        <is>
          <t>Shipped</t>
        </is>
      </c>
      <c r="D4327" s="16" t="inlineStr">
        <is>
          <t>128-04765086579830876</t>
        </is>
      </c>
      <c r="E4327" s="16" t="inlineStr">
        <is>
          <t>Shipped</t>
        </is>
      </c>
      <c r="F4327" s="16" t="inlineStr">
        <is>
          <t>B03W10-10PZS</t>
        </is>
      </c>
      <c r="G432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27" s="16" t="inlineStr">
        <is>
          <t>B03W10</t>
        </is>
      </c>
      <c r="I4327" s="16" t="n">
        <v>1</v>
      </c>
      <c r="J4327" s="17" t="n">
        <v>70</v>
      </c>
      <c r="K4327" s="17" t="n">
        <v>59.06</v>
      </c>
      <c r="L4327" s="17" t="n">
        <v>25.86</v>
      </c>
      <c r="M4327" s="17" t="n">
        <v>0</v>
      </c>
      <c r="N4327" s="17">
        <f>K4327*0.08+L4327*0.08</f>
        <v/>
      </c>
      <c r="O4327" s="17">
        <f>-(K4327*0.025+L4327*0.025)</f>
        <v/>
      </c>
      <c r="P4327" s="17">
        <f>32</f>
        <v/>
      </c>
      <c r="Q4327" s="17">
        <f>J4327+L4327+N4327+O4327-P4327-M4327</f>
        <v/>
      </c>
    </row>
    <row r="4328">
      <c r="A4328" s="16" t="inlineStr">
        <is>
          <t>5.8-5.14</t>
        </is>
      </c>
      <c r="B4328" s="16" t="inlineStr">
        <is>
          <t>PO-128-04311589235832557</t>
        </is>
      </c>
      <c r="C4328" s="16" t="inlineStr">
        <is>
          <t>Shipped</t>
        </is>
      </c>
      <c r="D4328" s="16" t="inlineStr">
        <is>
          <t>128-04311599721592557</t>
        </is>
      </c>
      <c r="E4328" s="16" t="inlineStr">
        <is>
          <t>Shipped</t>
        </is>
      </c>
      <c r="F4328" s="16" t="inlineStr">
        <is>
          <t>LV54W25</t>
        </is>
      </c>
      <c r="G4328" s="16" t="inlineStr">
        <is>
          <t>TIANLAI Lámpara Ventilador E27 2 en 1, Silenciosa, LED Alta Luminosidad 180°, Instalación Rápida, Ahorro Energético para Dormitorio y Interiores Pequeños</t>
        </is>
      </c>
      <c r="H4328" s="16" t="inlineStr">
        <is>
          <t>1 Pieza</t>
        </is>
      </c>
      <c r="I4328" s="16" t="n">
        <v>1</v>
      </c>
      <c r="J4328" s="17" t="n">
        <v>79</v>
      </c>
      <c r="K4328" s="17" t="n">
        <v>82.73</v>
      </c>
      <c r="L4328" s="17" t="n">
        <v>25.86</v>
      </c>
      <c r="M4328" s="17" t="n">
        <v>0</v>
      </c>
      <c r="N4328" s="17">
        <f>K4328*0.08+L4328*0.08</f>
        <v/>
      </c>
      <c r="O4328" s="17">
        <f>-(K4328*0.025+L4328*0.025)</f>
        <v/>
      </c>
      <c r="P4328" s="17">
        <f>32</f>
        <v/>
      </c>
      <c r="Q4328" s="17">
        <f>J4328+L4328+N4328+O4328-P4328-M4328</f>
        <v/>
      </c>
    </row>
    <row r="4329">
      <c r="A4329" s="16" t="inlineStr">
        <is>
          <t>5.8-5.14</t>
        </is>
      </c>
      <c r="B4329" s="16" t="inlineStr">
        <is>
          <t>PO-128-04484844762231525</t>
        </is>
      </c>
      <c r="C4329" s="16" t="inlineStr">
        <is>
          <t>Shipped</t>
        </is>
      </c>
      <c r="D4329" s="16" t="inlineStr">
        <is>
          <t>128-04484802819191525</t>
        </is>
      </c>
      <c r="E4329" s="16" t="inlineStr">
        <is>
          <t>Shipped</t>
        </is>
      </c>
      <c r="F4329" s="16" t="inlineStr">
        <is>
          <t>LV54W25</t>
        </is>
      </c>
      <c r="G4329" s="16" t="inlineStr">
        <is>
          <t>TIANLAI Lámpara Ventilador E27 2 en 1, Silenciosa, LED Alta Luminosidad 180°, Instalación Rápida, Ahorro Energético para Dormitorio y Interiores Pequeños</t>
        </is>
      </c>
      <c r="H4329" s="16" t="inlineStr">
        <is>
          <t>1 Pieza</t>
        </is>
      </c>
      <c r="I4329" s="16" t="n">
        <v>1</v>
      </c>
      <c r="J4329" s="17" t="n">
        <v>79</v>
      </c>
      <c r="K4329" s="17" t="n">
        <v>82.73</v>
      </c>
      <c r="L4329" s="17" t="n">
        <v>25.86</v>
      </c>
      <c r="M4329" s="17" t="n">
        <v>0</v>
      </c>
      <c r="N4329" s="17">
        <f>K4329*0.08+L4329*0.08</f>
        <v/>
      </c>
      <c r="O4329" s="17">
        <f>-(K4329*0.025+L4329*0.025)</f>
        <v/>
      </c>
      <c r="P4329" s="17">
        <f>32</f>
        <v/>
      </c>
      <c r="Q4329" s="17">
        <f>J4329+L4329+N4329+O4329-P4329-M4329</f>
        <v/>
      </c>
    </row>
    <row r="4330">
      <c r="A4330" s="16" t="inlineStr">
        <is>
          <t>5.8-5.14</t>
        </is>
      </c>
      <c r="B4330" s="16" t="inlineStr">
        <is>
          <t>PO-128-04558129738871982</t>
        </is>
      </c>
      <c r="C4330" s="16" t="inlineStr">
        <is>
          <t>Shipped</t>
        </is>
      </c>
      <c r="D4330" s="16" t="inlineStr">
        <is>
          <t>128-04558182167671982</t>
        </is>
      </c>
      <c r="E4330" s="16" t="inlineStr">
        <is>
          <t>Shipped</t>
        </is>
      </c>
      <c r="F4330" s="16" t="inlineStr">
        <is>
          <t>B03W10-10PZS</t>
        </is>
      </c>
      <c r="G433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30" s="16" t="inlineStr">
        <is>
          <t>B03W10</t>
        </is>
      </c>
      <c r="I4330" s="16" t="n">
        <v>1</v>
      </c>
      <c r="J4330" s="17" t="n">
        <v>70</v>
      </c>
      <c r="K4330" s="17" t="n">
        <v>34.46</v>
      </c>
      <c r="L4330" s="17" t="n">
        <v>25.86</v>
      </c>
      <c r="M4330" s="17" t="n">
        <v>0</v>
      </c>
      <c r="N4330" s="17">
        <f>K4330*0.08+L4330*0.08</f>
        <v/>
      </c>
      <c r="O4330" s="17">
        <f>-(K4330*0.025+L4330*0.025)</f>
        <v/>
      </c>
      <c r="P4330" s="17">
        <f>32</f>
        <v/>
      </c>
      <c r="Q4330" s="17">
        <f>J4330+L4330+N4330+O4330-P4330-M4330</f>
        <v/>
      </c>
    </row>
    <row r="4331">
      <c r="A4331" s="16" t="inlineStr">
        <is>
          <t>5.8-5.14</t>
        </is>
      </c>
      <c r="B4331" s="16" t="inlineStr">
        <is>
          <t>PO-128-04586927649911874</t>
        </is>
      </c>
      <c r="C4331" s="16" t="inlineStr">
        <is>
          <t>Shipped</t>
        </is>
      </c>
      <c r="D4331" s="16" t="inlineStr">
        <is>
          <t>128-04587032507511874</t>
        </is>
      </c>
      <c r="E4331" s="16" t="inlineStr">
        <is>
          <t>Shipped</t>
        </is>
      </c>
      <c r="F4331" s="16" t="inlineStr">
        <is>
          <t>LV54W25</t>
        </is>
      </c>
      <c r="G4331" s="16" t="inlineStr">
        <is>
          <t>TIANLAI Lámpara Ventilador E27 2 en 1, Silenciosa, LED Alta Luminosidad 180°, Instalación Rápida, Ahorro Energético para Dormitorio y Interiores Pequeños</t>
        </is>
      </c>
      <c r="H4331" s="16" t="inlineStr">
        <is>
          <t>1 Pieza</t>
        </is>
      </c>
      <c r="I4331" s="16" t="n">
        <v>2</v>
      </c>
      <c r="J4331" s="17" t="n">
        <v>158</v>
      </c>
      <c r="K4331" s="17" t="n">
        <v>165.46</v>
      </c>
      <c r="L4331" s="17" t="n">
        <v>25.86</v>
      </c>
      <c r="M4331" s="17" t="n">
        <v>0</v>
      </c>
      <c r="N4331" s="17">
        <f>K4331*0.08+L4331*0.08</f>
        <v/>
      </c>
      <c r="O4331" s="17">
        <f>-(K4331*0.025+L4331*0.025)</f>
        <v/>
      </c>
      <c r="P4331" s="17">
        <f>32</f>
        <v/>
      </c>
      <c r="Q4331" s="17">
        <f>J4331+L4331+N4331+O4331-P4331-M4331</f>
        <v/>
      </c>
    </row>
    <row r="4332">
      <c r="A4332" s="16" t="inlineStr">
        <is>
          <t>5.8-5.14</t>
        </is>
      </c>
      <c r="B4332" s="16" t="inlineStr">
        <is>
          <t>PO-128-04538531016311077</t>
        </is>
      </c>
      <c r="C4332" s="16" t="inlineStr">
        <is>
          <t>Shipped</t>
        </is>
      </c>
      <c r="D4332" s="16" t="inlineStr">
        <is>
          <t>128-04538489073271077</t>
        </is>
      </c>
      <c r="E4332" s="16" t="inlineStr">
        <is>
          <t>Shipped</t>
        </is>
      </c>
      <c r="F4332" s="16" t="inlineStr">
        <is>
          <t>LV54W25</t>
        </is>
      </c>
      <c r="G4332" s="16" t="inlineStr">
        <is>
          <t>TIANLAI Lámpara Ventilador E27 2 en 1, Silenciosa, LED Alta Luminosidad 180°, Instalación Rápida, Ahorro Energético para Dormitorio y Interiores Pequeños</t>
        </is>
      </c>
      <c r="H4332" s="16" t="inlineStr">
        <is>
          <t>1 Pieza</t>
        </is>
      </c>
      <c r="I4332" s="16" t="n">
        <v>1</v>
      </c>
      <c r="J4332" s="17" t="n">
        <v>79</v>
      </c>
      <c r="K4332" s="17" t="n">
        <v>82.73</v>
      </c>
      <c r="L4332" s="17" t="n">
        <v>25.86</v>
      </c>
      <c r="M4332" s="17" t="n">
        <v>0</v>
      </c>
      <c r="N4332" s="17">
        <f>K4332*0.08+L4332*0.08</f>
        <v/>
      </c>
      <c r="O4332" s="17">
        <f>-(K4332*0.025+L4332*0.025)</f>
        <v/>
      </c>
      <c r="P4332" s="17">
        <f>32</f>
        <v/>
      </c>
      <c r="Q4332" s="17">
        <f>J4332+L4332+N4332+O4332-P4332-M4332</f>
        <v/>
      </c>
    </row>
    <row r="4333">
      <c r="A4333" s="16" t="inlineStr">
        <is>
          <t>5.8-5.14</t>
        </is>
      </c>
      <c r="B4333" s="16" t="inlineStr">
        <is>
          <t>PO-128-04791003466870530</t>
        </is>
      </c>
      <c r="C4333" s="16" t="inlineStr">
        <is>
          <t>Shipped</t>
        </is>
      </c>
      <c r="D4333" s="16" t="inlineStr">
        <is>
          <t>128-04791055895670530</t>
        </is>
      </c>
      <c r="E4333" s="16" t="inlineStr">
        <is>
          <t>Shipped</t>
        </is>
      </c>
      <c r="F4333" s="16" t="inlineStr">
        <is>
          <t>LV54W25</t>
        </is>
      </c>
      <c r="G4333" s="16" t="inlineStr">
        <is>
          <t>TIANLAI Lámpara Ventilador E27 2 en 1, Silenciosa, LED Alta Luminosidad 180°, Instalación Rápida, Ahorro Energético para Dormitorio y Interiores Pequeños</t>
        </is>
      </c>
      <c r="H4333" s="16" t="inlineStr">
        <is>
          <t>1 Pieza</t>
        </is>
      </c>
      <c r="I4333" s="16" t="n">
        <v>3</v>
      </c>
      <c r="J4333" s="17" t="n">
        <v>237</v>
      </c>
      <c r="K4333" s="17" t="n">
        <v>245.34</v>
      </c>
      <c r="L4333" s="17" t="n">
        <v>0</v>
      </c>
      <c r="M4333" s="17" t="n">
        <v>0</v>
      </c>
      <c r="N4333" s="17">
        <f>K4333*0.08+L4333*0.08</f>
        <v/>
      </c>
      <c r="O4333" s="17">
        <f>-(K4333*0.025+L4333*0.025)</f>
        <v/>
      </c>
      <c r="P4333" s="17">
        <f>32</f>
        <v/>
      </c>
      <c r="Q4333" s="17">
        <f>J4333+L4333+N4333+O4333-P4333-M4333</f>
        <v/>
      </c>
    </row>
    <row r="4334">
      <c r="A4334" s="16" t="inlineStr">
        <is>
          <t>5.8-5.14</t>
        </is>
      </c>
      <c r="B4334" s="16" t="inlineStr">
        <is>
          <t>PO-128-04211139374713986</t>
        </is>
      </c>
      <c r="C4334" s="16" t="inlineStr">
        <is>
          <t>Shipped</t>
        </is>
      </c>
      <c r="D4334" s="16" t="inlineStr">
        <is>
          <t>128-04211181317753986</t>
        </is>
      </c>
      <c r="E4334" s="16" t="inlineStr">
        <is>
          <t>Shipped</t>
        </is>
      </c>
      <c r="F4334" s="16" t="inlineStr">
        <is>
          <t>TLCD04-10P-R</t>
        </is>
      </c>
      <c r="G433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334" s="16" t="inlineStr">
        <is>
          <t>ROJO/pantalla de 10.5 pulgadas</t>
        </is>
      </c>
      <c r="I4334" s="16" t="n">
        <v>1</v>
      </c>
      <c r="J4334" s="17" t="n">
        <v>35</v>
      </c>
      <c r="K4334" s="17" t="n">
        <v>47.25</v>
      </c>
      <c r="L4334" s="17" t="n">
        <v>25.86</v>
      </c>
      <c r="M4334" s="17" t="n">
        <v>0</v>
      </c>
      <c r="N4334" s="17">
        <f>K4334*0.08+L4334*0.08</f>
        <v/>
      </c>
      <c r="O4334" s="17">
        <f>-(K4334*0.025+L4334*0.025)</f>
        <v/>
      </c>
      <c r="P4334" s="17">
        <f>32</f>
        <v/>
      </c>
      <c r="Q4334" s="17">
        <f>J4334+L4334+N4334+O4334-P4334-M4334</f>
        <v/>
      </c>
    </row>
    <row r="4335">
      <c r="A4335" s="16" t="inlineStr">
        <is>
          <t>5.8-5.14</t>
        </is>
      </c>
      <c r="B4335" s="16" t="inlineStr">
        <is>
          <t>PO-128-04126441682553469</t>
        </is>
      </c>
      <c r="C4335" s="16" t="inlineStr">
        <is>
          <t>Shipped</t>
        </is>
      </c>
      <c r="D4335" s="16" t="inlineStr">
        <is>
          <t>128-04126521636473469</t>
        </is>
      </c>
      <c r="E4335" s="16" t="inlineStr">
        <is>
          <t>Shipped</t>
        </is>
      </c>
      <c r="F4335" s="16" t="inlineStr">
        <is>
          <t>LV54W25</t>
        </is>
      </c>
      <c r="G4335" s="16" t="inlineStr">
        <is>
          <t>TIANLAI Lámpara Ventilador E27 2 en 1, Silenciosa, LED Alta Luminosidad 180°, Instalación Rápida, Ahorro Energético para Dormitorio y Interiores Pequeños</t>
        </is>
      </c>
      <c r="H4335" s="16" t="inlineStr">
        <is>
          <t>1 Pieza</t>
        </is>
      </c>
      <c r="I4335" s="16" t="n">
        <v>3</v>
      </c>
      <c r="J4335" s="17" t="n">
        <v>237</v>
      </c>
      <c r="K4335" s="17" t="n">
        <v>196.28</v>
      </c>
      <c r="L4335" s="17" t="n">
        <v>0</v>
      </c>
      <c r="M4335" s="17" t="n">
        <v>0</v>
      </c>
      <c r="N4335" s="17">
        <f>K4335*0.08+L4335*0.08</f>
        <v/>
      </c>
      <c r="O4335" s="17">
        <f>-(K4335*0.025+L4335*0.025)</f>
        <v/>
      </c>
      <c r="P4335" s="17">
        <f>32</f>
        <v/>
      </c>
      <c r="Q4335" s="17">
        <f>J4335+L4335+N4335+O4335-P4335-M4335</f>
        <v/>
      </c>
    </row>
    <row r="4336">
      <c r="A4336" s="16" t="inlineStr">
        <is>
          <t>5.8-5.14</t>
        </is>
      </c>
      <c r="B4336" s="16" t="inlineStr">
        <is>
          <t>PO-128-04183466020473321</t>
        </is>
      </c>
      <c r="C4336" s="16" t="inlineStr">
        <is>
          <t>Shipped</t>
        </is>
      </c>
      <c r="D4336" s="16" t="inlineStr">
        <is>
          <t>128-04183445048953321</t>
        </is>
      </c>
      <c r="E4336" s="16" t="inlineStr">
        <is>
          <t>Shipped</t>
        </is>
      </c>
      <c r="F4336" s="16" t="inlineStr">
        <is>
          <t>SA428T</t>
        </is>
      </c>
      <c r="G4336"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336" s="16" t="inlineStr">
        <is>
          <t>SA428T</t>
        </is>
      </c>
      <c r="I4336" s="16" t="n">
        <v>1</v>
      </c>
      <c r="J4336" s="17" t="n">
        <v>86.22</v>
      </c>
      <c r="K4336" s="17" t="n">
        <v>101.66</v>
      </c>
      <c r="L4336" s="17" t="n">
        <v>25.86</v>
      </c>
      <c r="M4336" s="17" t="n">
        <v>0</v>
      </c>
      <c r="N4336" s="17">
        <f>K4336*0.08+L4336*0.08</f>
        <v/>
      </c>
      <c r="O4336" s="17">
        <f>-(K4336*0.025+L4336*0.025)</f>
        <v/>
      </c>
      <c r="P4336" s="17">
        <f>32</f>
        <v/>
      </c>
      <c r="Q4336" s="17">
        <f>J4336+L4336+N4336+O4336-P4336-M4336</f>
        <v/>
      </c>
    </row>
    <row r="4337">
      <c r="A4337" s="16" t="inlineStr">
        <is>
          <t>5.8-5.14</t>
        </is>
      </c>
      <c r="B4337" s="16" t="inlineStr">
        <is>
          <t>PO-128-04366301269112103</t>
        </is>
      </c>
      <c r="C4337" s="16" t="inlineStr">
        <is>
          <t>Shipped</t>
        </is>
      </c>
      <c r="D4337" s="16" t="inlineStr">
        <is>
          <t>128-04366322240632103</t>
        </is>
      </c>
      <c r="E4337" s="16" t="inlineStr">
        <is>
          <t>Shipped</t>
        </is>
      </c>
      <c r="F4337" s="16" t="inlineStr">
        <is>
          <t>KTS-2031</t>
        </is>
      </c>
      <c r="G4337" s="16" t="inlineStr">
        <is>
          <t>Bocina inalámbrica de 3 pulgadas con linterna multifuncional y panel solar integrado.Altavoz Portátil con Linterna LED 4 Modos, Radio FM, Bluetooth, Carga Solar, Ideal para Apagones, Emergencias, Campo y Exteriores</t>
        </is>
      </c>
      <c r="H4337" s="16" t="inlineStr">
        <is>
          <t>NEGRO</t>
        </is>
      </c>
      <c r="I4337" s="16" t="n">
        <v>1</v>
      </c>
      <c r="J4337" s="17" t="n">
        <v>78</v>
      </c>
      <c r="K4337" s="17" t="n">
        <v>87.22</v>
      </c>
      <c r="L4337" s="17" t="n">
        <v>25.86</v>
      </c>
      <c r="M4337" s="17" t="n">
        <v>0</v>
      </c>
      <c r="N4337" s="17">
        <f>K4337*0.08+L4337*0.08</f>
        <v/>
      </c>
      <c r="O4337" s="17">
        <f>-(K4337*0.025+L4337*0.025)</f>
        <v/>
      </c>
      <c r="P4337" s="17">
        <f>32</f>
        <v/>
      </c>
      <c r="Q4337" s="17">
        <f>J4337+L4337+N4337+O4337-P4337-M4337</f>
        <v/>
      </c>
    </row>
    <row r="4338">
      <c r="A4338" s="16" t="inlineStr">
        <is>
          <t>5.8-5.14</t>
        </is>
      </c>
      <c r="B4338" s="16" t="inlineStr">
        <is>
          <t>PO-128-04699643971190242</t>
        </is>
      </c>
      <c r="C4338" s="16" t="inlineStr">
        <is>
          <t>Shipped</t>
        </is>
      </c>
      <c r="D4338" s="16" t="inlineStr">
        <is>
          <t>128-04699712128630242</t>
        </is>
      </c>
      <c r="E4338" s="16" t="inlineStr">
        <is>
          <t>Shipped</t>
        </is>
      </c>
      <c r="F4338" s="16" t="inlineStr">
        <is>
          <t>TL2663N18C</t>
        </is>
      </c>
      <c r="G4338" s="16" t="inlineStr">
        <is>
          <t>Linkbits，Soporte de pared fijo para televisores de 26"-63", Ultra-Delgado Compatible con VESA 400x400mm, Capacidad de Peso Fuerte de 25KG, Instalación Fácil Sin Electricidad</t>
        </is>
      </c>
      <c r="H4338" s="16" t="inlineStr">
        <is>
          <t>NEGRO</t>
        </is>
      </c>
      <c r="I4338" s="16" t="n">
        <v>1</v>
      </c>
      <c r="J4338" s="17" t="n">
        <v>55.5</v>
      </c>
      <c r="K4338" s="17" t="n">
        <v>70.48999999999999</v>
      </c>
      <c r="L4338" s="17" t="n">
        <v>25.86</v>
      </c>
      <c r="M4338" s="17" t="n">
        <v>0</v>
      </c>
      <c r="N4338" s="17">
        <f>K4338*0.08+L4338*0.08</f>
        <v/>
      </c>
      <c r="O4338" s="17">
        <f>-(K4338*0.025+L4338*0.025)</f>
        <v/>
      </c>
      <c r="P4338" s="17">
        <f>32</f>
        <v/>
      </c>
      <c r="Q4338" s="17">
        <f>J4338+L4338+N4338+O4338-P4338-M4338</f>
        <v/>
      </c>
    </row>
    <row r="4339">
      <c r="A4339" s="16" t="inlineStr">
        <is>
          <t>5.8-5.14</t>
        </is>
      </c>
      <c r="B4339" s="16" t="inlineStr">
        <is>
          <t>PO-128-04406667044472823</t>
        </is>
      </c>
      <c r="C4339" s="16" t="inlineStr">
        <is>
          <t>Shipped</t>
        </is>
      </c>
      <c r="D4339" s="16" t="inlineStr">
        <is>
          <t>128-04406625101432823</t>
        </is>
      </c>
      <c r="E4339" s="16" t="inlineStr">
        <is>
          <t>Shipped</t>
        </is>
      </c>
      <c r="F4339" s="16" t="inlineStr">
        <is>
          <t>KTS-2031</t>
        </is>
      </c>
      <c r="G4339" s="16" t="inlineStr">
        <is>
          <t>Bocina inalámbrica de 3 pulgadas con linterna multifuncional y panel solar integrado.Altavoz Portátil con Linterna LED 4 Modos, Radio FM, Bluetooth, Carga Solar, Ideal para Apagones, Emergencias, Campo y Exteriores</t>
        </is>
      </c>
      <c r="H4339" s="16" t="inlineStr">
        <is>
          <t>NEGRO</t>
        </is>
      </c>
      <c r="I4339" s="16" t="n">
        <v>1</v>
      </c>
      <c r="J4339" s="17" t="n">
        <v>78</v>
      </c>
      <c r="K4339" s="17" t="n">
        <v>87.22</v>
      </c>
      <c r="L4339" s="17" t="n">
        <v>25.86</v>
      </c>
      <c r="M4339" s="17" t="n">
        <v>0</v>
      </c>
      <c r="N4339" s="17">
        <f>K4339*0.08+L4339*0.08</f>
        <v/>
      </c>
      <c r="O4339" s="17">
        <f>-(K4339*0.025+L4339*0.025)</f>
        <v/>
      </c>
      <c r="P4339" s="17">
        <f>32</f>
        <v/>
      </c>
      <c r="Q4339" s="17">
        <f>J4339+L4339+N4339+O4339-P4339-M4339</f>
        <v/>
      </c>
    </row>
    <row r="4340">
      <c r="A4340" s="16" t="inlineStr">
        <is>
          <t>5.8-5.14</t>
        </is>
      </c>
      <c r="B4340" s="16" t="inlineStr">
        <is>
          <t>PO-128-04629151870071625</t>
        </is>
      </c>
      <c r="C4340" s="16" t="inlineStr">
        <is>
          <t>Shipped</t>
        </is>
      </c>
      <c r="D4340" s="16" t="inlineStr">
        <is>
          <t>128-04629109927031625</t>
        </is>
      </c>
      <c r="E4340" s="16" t="inlineStr">
        <is>
          <t>Shipped</t>
        </is>
      </c>
      <c r="F4340" s="16" t="inlineStr">
        <is>
          <t>KTS-2031</t>
        </is>
      </c>
      <c r="G4340" s="16" t="inlineStr">
        <is>
          <t>Bocina inalámbrica de 3 pulgadas con linterna multifuncional y panel solar integrado.Altavoz Portátil con Linterna LED 4 Modos, Radio FM, Bluetooth, Carga Solar, Ideal para Apagones, Emergencias, Campo y Exteriores</t>
        </is>
      </c>
      <c r="H4340" s="16" t="inlineStr">
        <is>
          <t>NEGRO</t>
        </is>
      </c>
      <c r="I4340" s="16" t="n">
        <v>1</v>
      </c>
      <c r="J4340" s="17" t="n">
        <v>78</v>
      </c>
      <c r="K4340" s="17" t="n">
        <v>87.22</v>
      </c>
      <c r="L4340" s="17" t="n">
        <v>25.86</v>
      </c>
      <c r="M4340" s="17" t="n">
        <v>0</v>
      </c>
      <c r="N4340" s="17">
        <f>K4340*0.08+L4340*0.08</f>
        <v/>
      </c>
      <c r="O4340" s="17">
        <f>-(K4340*0.025+L4340*0.025)</f>
        <v/>
      </c>
      <c r="P4340" s="17">
        <f>32</f>
        <v/>
      </c>
      <c r="Q4340" s="17">
        <f>J4340+L4340+N4340+O4340-P4340-M4340</f>
        <v/>
      </c>
    </row>
    <row r="4341">
      <c r="A4341" s="16" t="inlineStr">
        <is>
          <t>5.8-5.14</t>
        </is>
      </c>
      <c r="B4341" s="16" t="inlineStr">
        <is>
          <t>PO-128-04513544638071160</t>
        </is>
      </c>
      <c r="C4341" s="16" t="inlineStr">
        <is>
          <t>Shipped</t>
        </is>
      </c>
      <c r="D4341" s="16" t="inlineStr">
        <is>
          <t>128-04513502695031160</t>
        </is>
      </c>
      <c r="E4341" s="16" t="inlineStr">
        <is>
          <t>Shipped</t>
        </is>
      </c>
      <c r="F4341" s="16" t="inlineStr">
        <is>
          <t>TLCD06-12P-A</t>
        </is>
      </c>
      <c r="G434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341" s="16" t="inlineStr">
        <is>
          <t>AZUL/pantalla de 12 pulgadas</t>
        </is>
      </c>
      <c r="I4341" s="16" t="n">
        <v>1</v>
      </c>
      <c r="J4341" s="17" t="n">
        <v>35</v>
      </c>
      <c r="K4341" s="17" t="n">
        <v>35.26</v>
      </c>
      <c r="L4341" s="17" t="n">
        <v>25.86</v>
      </c>
      <c r="M4341" s="17" t="n">
        <v>0</v>
      </c>
      <c r="N4341" s="17">
        <f>K4341*0.08+L4341*0.08</f>
        <v/>
      </c>
      <c r="O4341" s="17">
        <f>-(K4341*0.025+L4341*0.025)</f>
        <v/>
      </c>
      <c r="P4341" s="17">
        <f>32</f>
        <v/>
      </c>
      <c r="Q4341" s="17">
        <f>J4341+L4341+N4341+O4341-P4341-M4341</f>
        <v/>
      </c>
    </row>
    <row r="4342">
      <c r="A4342" s="16" t="inlineStr">
        <is>
          <t>5.8-5.14</t>
        </is>
      </c>
      <c r="B4342" s="16" t="inlineStr">
        <is>
          <t>PO-128-04372641106552128</t>
        </is>
      </c>
      <c r="C4342" s="16" t="inlineStr">
        <is>
          <t>Shipped</t>
        </is>
      </c>
      <c r="D4342" s="16" t="inlineStr">
        <is>
          <t>128-04372630620792128</t>
        </is>
      </c>
      <c r="E4342" s="16" t="inlineStr">
        <is>
          <t>Shipped</t>
        </is>
      </c>
      <c r="F4342" s="16" t="inlineStr">
        <is>
          <t>TL1455N20B</t>
        </is>
      </c>
      <c r="G4342" s="16" t="inlineStr">
        <is>
          <t>LINK BITS Soporte para TV 14 A 55 Pulgadas, Base para TV Pantalla Articulado Inclinable y Giratorio, MAX VESA 400×400 mm, Soporta hasta 18kg, adaptarse a la mayoría de los televisores de 14 Pulgadas/20 Pulgadas/32 Pulgadas/42 Pulgadas/55 pulgadas</t>
        </is>
      </c>
      <c r="H4342" s="16" t="inlineStr">
        <is>
          <t>TL1455N20B</t>
        </is>
      </c>
      <c r="I4342" s="16" t="n">
        <v>1</v>
      </c>
      <c r="J4342" s="17" t="n">
        <v>72</v>
      </c>
      <c r="K4342" s="17" t="n">
        <v>94.81</v>
      </c>
      <c r="L4342" s="17" t="n">
        <v>25.86</v>
      </c>
      <c r="M4342" s="17" t="n">
        <v>0</v>
      </c>
      <c r="N4342" s="17">
        <f>K4342*0.08+L4342*0.08</f>
        <v/>
      </c>
      <c r="O4342" s="17">
        <f>-(K4342*0.025+L4342*0.025)</f>
        <v/>
      </c>
      <c r="P4342" s="17">
        <f>32</f>
        <v/>
      </c>
      <c r="Q4342" s="17">
        <f>J4342+L4342+N4342+O4342-P4342-M4342</f>
        <v/>
      </c>
    </row>
    <row r="4343">
      <c r="A4343" s="16" t="inlineStr">
        <is>
          <t>5.8-5.14</t>
        </is>
      </c>
      <c r="B4343" s="16" t="inlineStr">
        <is>
          <t>PO-128-04606860309111757</t>
        </is>
      </c>
      <c r="C4343" s="16" t="inlineStr">
        <is>
          <t>Shipped</t>
        </is>
      </c>
      <c r="D4343" s="16" t="inlineStr">
        <is>
          <t>128-04607020216951757</t>
        </is>
      </c>
      <c r="E4343" s="16" t="inlineStr">
        <is>
          <t>Shipped</t>
        </is>
      </c>
      <c r="F4343" s="16" t="inlineStr">
        <is>
          <t>LV54W25</t>
        </is>
      </c>
      <c r="G4343" s="16" t="inlineStr">
        <is>
          <t>TIANLAI Lámpara Ventilador E27 2 en 1, Silenciosa, LED Alta Luminosidad 180°, Instalación Rápida, Ahorro Energético para Dormitorio y Interiores Pequeños</t>
        </is>
      </c>
      <c r="H4343" s="16" t="inlineStr">
        <is>
          <t>1 Pieza</t>
        </is>
      </c>
      <c r="I4343" s="16" t="n">
        <v>9</v>
      </c>
      <c r="J4343" s="17" t="n">
        <v>684</v>
      </c>
      <c r="K4343" s="17" t="n">
        <v>721.4400000000001</v>
      </c>
      <c r="L4343" s="17" t="n">
        <v>0</v>
      </c>
      <c r="M4343" s="17" t="n">
        <v>0</v>
      </c>
      <c r="N4343" s="17">
        <f>K4343*0.08+L4343*0.08</f>
        <v/>
      </c>
      <c r="O4343" s="17">
        <f>-(K4343*0.025+L4343*0.025)</f>
        <v/>
      </c>
      <c r="P4343" s="17">
        <f>32</f>
        <v/>
      </c>
      <c r="Q4343" s="17">
        <f>J4343+L4343+N4343+O4343-P4343-M4343</f>
        <v/>
      </c>
    </row>
    <row r="4344">
      <c r="A4344" s="16" t="inlineStr">
        <is>
          <t>5.8-5.14</t>
        </is>
      </c>
      <c r="B4344" s="16" t="inlineStr">
        <is>
          <t>PO-128-04275971584633600</t>
        </is>
      </c>
      <c r="C4344" s="16" t="inlineStr">
        <is>
          <t>Shipped</t>
        </is>
      </c>
      <c r="D4344" s="16" t="inlineStr">
        <is>
          <t>128-04275929641593600</t>
        </is>
      </c>
      <c r="E4344" s="16" t="inlineStr">
        <is>
          <t>Shipped</t>
        </is>
      </c>
      <c r="F4344" s="16" t="inlineStr">
        <is>
          <t>KTS-2031</t>
        </is>
      </c>
      <c r="G4344" s="16" t="inlineStr">
        <is>
          <t>Bocina inalámbrica de 3 pulgadas con linterna multifuncional y panel solar integrado.Altavoz Portátil con Linterna LED 4 Modos, Radio FM, Bluetooth, Carga Solar, Ideal para Apagones, Emergencias, Campo y Exteriores</t>
        </is>
      </c>
      <c r="H4344" s="16" t="inlineStr">
        <is>
          <t>NEGRO</t>
        </is>
      </c>
      <c r="I4344" s="16" t="n">
        <v>1</v>
      </c>
      <c r="J4344" s="17" t="n">
        <v>75</v>
      </c>
      <c r="K4344" s="17" t="n">
        <v>41.12</v>
      </c>
      <c r="L4344" s="17" t="n">
        <v>25.86</v>
      </c>
      <c r="M4344" s="17" t="n">
        <v>0</v>
      </c>
      <c r="N4344" s="17">
        <f>K4344*0.08+L4344*0.08</f>
        <v/>
      </c>
      <c r="O4344" s="17">
        <f>-(K4344*0.025+L4344*0.025)</f>
        <v/>
      </c>
      <c r="P4344" s="17">
        <f>32</f>
        <v/>
      </c>
      <c r="Q4344" s="17">
        <f>J4344+L4344+N4344+O4344-P4344-M4344</f>
        <v/>
      </c>
    </row>
    <row r="4345">
      <c r="A4345" s="16" t="inlineStr">
        <is>
          <t>5.8-5.14</t>
        </is>
      </c>
      <c r="B4345" s="16" t="inlineStr">
        <is>
          <t>PO-128-04451365653112618</t>
        </is>
      </c>
      <c r="C4345" s="16" t="inlineStr">
        <is>
          <t>Shipped</t>
        </is>
      </c>
      <c r="D4345" s="16" t="inlineStr">
        <is>
          <t>128-04451344681592618</t>
        </is>
      </c>
      <c r="E4345" s="16" t="inlineStr">
        <is>
          <t>Shipped</t>
        </is>
      </c>
      <c r="F4345" s="16" t="inlineStr">
        <is>
          <t>VA371T</t>
        </is>
      </c>
      <c r="G4345" s="16" t="inlineStr">
        <is>
          <t>Linkbits Bocina Bluetooth Portátil 3" de Alta Gama，Hi-Res Audio y Graves Potentes，Luces LED + Soporte USB/TF/FM/TWS，Ideal para Hogar y Aire Libre</t>
        </is>
      </c>
      <c r="H4345" s="16" t="inlineStr">
        <is>
          <t>VA371T</t>
        </is>
      </c>
      <c r="I4345" s="16" t="n">
        <v>1</v>
      </c>
      <c r="J4345" s="17" t="n">
        <v>41.32</v>
      </c>
      <c r="K4345" s="17" t="n">
        <v>49.7</v>
      </c>
      <c r="L4345" s="17" t="n">
        <v>25.86</v>
      </c>
      <c r="M4345" s="17" t="n">
        <v>0</v>
      </c>
      <c r="N4345" s="17">
        <f>K4345*0.08+L4345*0.08</f>
        <v/>
      </c>
      <c r="O4345" s="17">
        <f>-(K4345*0.025+L4345*0.025)</f>
        <v/>
      </c>
      <c r="P4345" s="17">
        <f>32</f>
        <v/>
      </c>
      <c r="Q4345" s="17">
        <f>J4345+L4345+N4345+O4345-P4345-M4345</f>
        <v/>
      </c>
    </row>
    <row r="4346">
      <c r="A4346" s="16" t="inlineStr">
        <is>
          <t>5.8-5.14</t>
        </is>
      </c>
      <c r="B4346" s="16" t="inlineStr">
        <is>
          <t>PO-128-04779120374390731</t>
        </is>
      </c>
      <c r="C4346" s="16" t="inlineStr">
        <is>
          <t>Shipped</t>
        </is>
      </c>
      <c r="D4346" s="16" t="inlineStr">
        <is>
          <t>128-04779154453110731</t>
        </is>
      </c>
      <c r="E4346" s="16" t="inlineStr">
        <is>
          <t>Shipped</t>
        </is>
      </c>
      <c r="F4346" s="16" t="inlineStr">
        <is>
          <t>KTS-2031</t>
        </is>
      </c>
      <c r="G4346" s="16" t="inlineStr">
        <is>
          <t>Bocina inalámbrica de 3 pulgadas con linterna multifuncional y panel solar integrado.Altavoz Portátil con Linterna LED 4 Modos, Radio FM, Bluetooth, Carga Solar, Ideal para Apagones, Emergencias, Campo y Exteriores</t>
        </is>
      </c>
      <c r="H4346" s="16" t="inlineStr">
        <is>
          <t>NEGRO</t>
        </is>
      </c>
      <c r="I4346" s="16" t="n">
        <v>2</v>
      </c>
      <c r="J4346" s="17" t="n">
        <v>150</v>
      </c>
      <c r="K4346" s="17" t="n">
        <v>168.44</v>
      </c>
      <c r="L4346" s="17" t="n">
        <v>25.86</v>
      </c>
      <c r="M4346" s="17" t="n">
        <v>0</v>
      </c>
      <c r="N4346" s="17">
        <f>K4346*0.08+L4346*0.08</f>
        <v/>
      </c>
      <c r="O4346" s="17">
        <f>-(K4346*0.025+L4346*0.025)</f>
        <v/>
      </c>
      <c r="P4346" s="17">
        <f>32</f>
        <v/>
      </c>
      <c r="Q4346" s="17">
        <f>J4346+L4346+N4346+O4346-P4346-M4346</f>
        <v/>
      </c>
    </row>
    <row r="4347">
      <c r="A4347" s="16" t="inlineStr">
        <is>
          <t>5.8-5.14</t>
        </is>
      </c>
      <c r="B4347" s="16" t="inlineStr">
        <is>
          <t>PO-128-04788396329590739</t>
        </is>
      </c>
      <c r="C4347" s="16" t="inlineStr">
        <is>
          <t>Shipped</t>
        </is>
      </c>
      <c r="D4347" s="16" t="inlineStr">
        <is>
          <t>128-04788427786870739</t>
        </is>
      </c>
      <c r="E4347" s="16" t="inlineStr">
        <is>
          <t>Shipped</t>
        </is>
      </c>
      <c r="F4347" s="16" t="inlineStr">
        <is>
          <t>LV54W25</t>
        </is>
      </c>
      <c r="G4347" s="16" t="inlineStr">
        <is>
          <t>TIANLAI Lámpara Ventilador E27 2 en 1, Silenciosa, LED Alta Luminosidad 180°, Instalación Rápida, Ahorro Energético para Dormitorio y Interiores Pequeños</t>
        </is>
      </c>
      <c r="H4347" s="16" t="inlineStr">
        <is>
          <t>1 Pieza</t>
        </is>
      </c>
      <c r="I4347" s="16" t="n">
        <v>1</v>
      </c>
      <c r="J4347" s="17" t="n">
        <v>76</v>
      </c>
      <c r="K4347" s="17" t="n">
        <v>80.16</v>
      </c>
      <c r="L4347" s="17" t="n">
        <v>25.86</v>
      </c>
      <c r="M4347" s="17" t="n">
        <v>0</v>
      </c>
      <c r="N4347" s="17">
        <f>K4347*0.08+L4347*0.08</f>
        <v/>
      </c>
      <c r="O4347" s="17">
        <f>-(K4347*0.025+L4347*0.025)</f>
        <v/>
      </c>
      <c r="P4347" s="17">
        <f>32</f>
        <v/>
      </c>
      <c r="Q4347" s="17">
        <f>J4347+L4347+N4347+O4347-P4347-M4347</f>
        <v/>
      </c>
    </row>
    <row r="4348">
      <c r="A4348" s="16" t="inlineStr">
        <is>
          <t>5.8-5.14</t>
        </is>
      </c>
      <c r="B4348" s="16" t="inlineStr">
        <is>
          <t>PO-128-04625527450231580</t>
        </is>
      </c>
      <c r="C4348" s="16" t="inlineStr">
        <is>
          <t>Shipped</t>
        </is>
      </c>
      <c r="D4348" s="16" t="inlineStr">
        <is>
          <t>128-04625490750071580</t>
        </is>
      </c>
      <c r="E4348" s="16" t="inlineStr">
        <is>
          <t>Shipped</t>
        </is>
      </c>
      <c r="F4348" s="16" t="inlineStr">
        <is>
          <t>LV54W25</t>
        </is>
      </c>
      <c r="G4348" s="16" t="inlineStr">
        <is>
          <t>TIANLAI Lámpara Ventilador E27 2 en 1, Silenciosa, LED Alta Luminosidad 180°, Instalación Rápida, Ahorro Energético para Dormitorio y Interiores Pequeños</t>
        </is>
      </c>
      <c r="H4348" s="16" t="inlineStr">
        <is>
          <t>1 Pieza</t>
        </is>
      </c>
      <c r="I4348" s="16" t="n">
        <v>1</v>
      </c>
      <c r="J4348" s="17" t="n">
        <v>76</v>
      </c>
      <c r="K4348" s="17" t="n">
        <v>72.11</v>
      </c>
      <c r="L4348" s="17" t="n">
        <v>25.86</v>
      </c>
      <c r="M4348" s="17" t="n">
        <v>0</v>
      </c>
      <c r="N4348" s="17">
        <f>K4348*0.08+L4348*0.08</f>
        <v/>
      </c>
      <c r="O4348" s="17">
        <f>-(K4348*0.025+L4348*0.025)</f>
        <v/>
      </c>
      <c r="P4348" s="17">
        <f>32</f>
        <v/>
      </c>
      <c r="Q4348" s="17">
        <f>J4348+L4348+N4348+O4348-P4348-M4348</f>
        <v/>
      </c>
    </row>
    <row r="4349">
      <c r="A4349" s="16" t="inlineStr">
        <is>
          <t>5.8-5.14</t>
        </is>
      </c>
      <c r="B4349" s="16" t="inlineStr">
        <is>
          <t>PO-128-04155339889273361</t>
        </is>
      </c>
      <c r="C4349" s="16" t="inlineStr">
        <is>
          <t>Shipped</t>
        </is>
      </c>
      <c r="D4349" s="16" t="inlineStr">
        <is>
          <t>128-04155297946233361</t>
        </is>
      </c>
      <c r="E4349" s="16" t="inlineStr">
        <is>
          <t>Shipped</t>
        </is>
      </c>
      <c r="F4349" s="16" t="inlineStr">
        <is>
          <t>KTS-2031</t>
        </is>
      </c>
      <c r="G4349" s="16" t="inlineStr">
        <is>
          <t>Bocina inalámbrica de 3 pulgadas con linterna multifuncional y panel solar integrado.Altavoz Portátil con Linterna LED 4 Modos, Radio FM, Bluetooth, Carga Solar, Ideal para Apagones, Emergencias, Campo y Exteriores</t>
        </is>
      </c>
      <c r="H4349" s="16" t="inlineStr">
        <is>
          <t>NEGRO</t>
        </is>
      </c>
      <c r="I4349" s="16" t="n">
        <v>1</v>
      </c>
      <c r="J4349" s="17" t="n">
        <v>75</v>
      </c>
      <c r="K4349" s="17" t="n">
        <v>84.22</v>
      </c>
      <c r="L4349" s="17" t="n">
        <v>25.86</v>
      </c>
      <c r="M4349" s="17" t="n">
        <v>0</v>
      </c>
      <c r="N4349" s="17">
        <f>K4349*0.08+L4349*0.08</f>
        <v/>
      </c>
      <c r="O4349" s="17">
        <f>-(K4349*0.025+L4349*0.025)</f>
        <v/>
      </c>
      <c r="P4349" s="17">
        <f>32</f>
        <v/>
      </c>
      <c r="Q4349" s="17">
        <f>J4349+L4349+N4349+O4349-P4349-M4349</f>
        <v/>
      </c>
    </row>
    <row r="4350">
      <c r="A4350" s="16" t="inlineStr">
        <is>
          <t>5.8-5.14</t>
        </is>
      </c>
      <c r="B4350" s="16" t="inlineStr">
        <is>
          <t>PO-128-04149019894393332</t>
        </is>
      </c>
      <c r="C4350" s="16" t="inlineStr">
        <is>
          <t>Shipped</t>
        </is>
      </c>
      <c r="D4350" s="16" t="inlineStr">
        <is>
          <t>128-04149156209273332</t>
        </is>
      </c>
      <c r="E4350" s="16" t="inlineStr">
        <is>
          <t>Shipped</t>
        </is>
      </c>
      <c r="F4350" s="16" t="inlineStr">
        <is>
          <t>LV54W25</t>
        </is>
      </c>
      <c r="G4350" s="16" t="inlineStr">
        <is>
          <t>TIANLAI Lámpara Ventilador E27 2 en 1, Silenciosa, LED Alta Luminosidad 180°, Instalación Rápida, Ahorro Energético para Dormitorio y Interiores Pequeños</t>
        </is>
      </c>
      <c r="H4350" s="16" t="inlineStr">
        <is>
          <t>1 Pieza</t>
        </is>
      </c>
      <c r="I4350" s="16" t="n">
        <v>3</v>
      </c>
      <c r="J4350" s="17" t="n">
        <v>228</v>
      </c>
      <c r="K4350" s="17" t="n">
        <v>240.48</v>
      </c>
      <c r="L4350" s="17" t="n">
        <v>0</v>
      </c>
      <c r="M4350" s="17" t="n">
        <v>0</v>
      </c>
      <c r="N4350" s="17">
        <f>K4350*0.08+L4350*0.08</f>
        <v/>
      </c>
      <c r="O4350" s="17">
        <f>-(K4350*0.025+L4350*0.025)</f>
        <v/>
      </c>
      <c r="P4350" s="17">
        <f>32</f>
        <v/>
      </c>
      <c r="Q4350" s="17">
        <f>J4350+L4350+N4350+O4350-P4350-M4350</f>
        <v/>
      </c>
    </row>
    <row r="4351">
      <c r="A4351" s="16" t="inlineStr">
        <is>
          <t>5.8-5.14</t>
        </is>
      </c>
      <c r="B4351" s="16" t="inlineStr">
        <is>
          <t>PO-128-04664032901750265</t>
        </is>
      </c>
      <c r="C4351" s="16" t="inlineStr">
        <is>
          <t>Shipped</t>
        </is>
      </c>
      <c r="D4351" s="16" t="inlineStr">
        <is>
          <t>128-04663990958710265</t>
        </is>
      </c>
      <c r="E4351" s="16" t="inlineStr">
        <is>
          <t>Shipped</t>
        </is>
      </c>
      <c r="F4351" s="16" t="inlineStr">
        <is>
          <t>TL1412N17C</t>
        </is>
      </c>
      <c r="G4351" s="16" t="inlineStr">
        <is>
          <t>Linkbits, Soporte de Pared Fijo para TV y Monitor de 14"-43", Ultra Delgado 2.3cm, Fuerte Capacidad de Peso de 25KG, Fácil Instalación con Accesorios Completos</t>
        </is>
      </c>
      <c r="H4351" s="16" t="inlineStr">
        <is>
          <t>NEGRO</t>
        </is>
      </c>
      <c r="I4351" s="16" t="n">
        <v>1</v>
      </c>
      <c r="J4351" s="17" t="n">
        <v>36</v>
      </c>
      <c r="K4351" s="17" t="n">
        <v>47.7</v>
      </c>
      <c r="L4351" s="17" t="n">
        <v>25.86</v>
      </c>
      <c r="M4351" s="17" t="n">
        <v>0</v>
      </c>
      <c r="N4351" s="17">
        <f>K4351*0.08+L4351*0.08</f>
        <v/>
      </c>
      <c r="O4351" s="17">
        <f>-(K4351*0.025+L4351*0.025)</f>
        <v/>
      </c>
      <c r="P4351" s="17">
        <f>32</f>
        <v/>
      </c>
      <c r="Q4351" s="17">
        <f>J4351+L4351+N4351+O4351-P4351-M4351</f>
        <v/>
      </c>
    </row>
    <row r="4352">
      <c r="A4352" s="16" t="inlineStr">
        <is>
          <t>5.8-5.14</t>
        </is>
      </c>
      <c r="B4352" s="16" t="inlineStr">
        <is>
          <t>PO-128-04222328361594049</t>
        </is>
      </c>
      <c r="C4352" s="16" t="inlineStr">
        <is>
          <t>Shipped</t>
        </is>
      </c>
      <c r="D4352" s="16" t="inlineStr">
        <is>
          <t>128-04222375547514049</t>
        </is>
      </c>
      <c r="E4352" s="16" t="inlineStr">
        <is>
          <t>Shipped</t>
        </is>
      </c>
      <c r="F4352" s="16" t="inlineStr">
        <is>
          <t>BSC04</t>
        </is>
      </c>
      <c r="G4352" s="16" t="inlineStr">
        <is>
          <t>TIANLAI Báscula Digital BSC04/BSC07, Alta Precisión, Fácil Operación, Ligera y Portátil, Función Tara, Unidad Dual oz/g, Ideal para Cocina, Control de Porciones, Sellos y Objetos Pequeños, Uso en Hogar y Viaje</t>
        </is>
      </c>
      <c r="H4352" s="16" t="inlineStr">
        <is>
          <t>5g/White</t>
        </is>
      </c>
      <c r="I4352" s="16" t="n">
        <v>1</v>
      </c>
      <c r="J4352" s="17" t="n">
        <v>57.5</v>
      </c>
      <c r="K4352" s="17" t="n">
        <v>73.78</v>
      </c>
      <c r="L4352" s="17" t="n">
        <v>25.86</v>
      </c>
      <c r="M4352" s="17" t="n">
        <v>0</v>
      </c>
      <c r="N4352" s="17">
        <f>K4352*0.08+L4352*0.08</f>
        <v/>
      </c>
      <c r="O4352" s="17">
        <f>-(K4352*0.025+L4352*0.025)</f>
        <v/>
      </c>
      <c r="P4352" s="17">
        <f>32</f>
        <v/>
      </c>
      <c r="Q4352" s="17">
        <f>J4352+L4352+N4352+O4352-P4352-M4352</f>
        <v/>
      </c>
    </row>
    <row r="4353">
      <c r="A4353" s="16" t="inlineStr">
        <is>
          <t>5.8-5.14</t>
        </is>
      </c>
      <c r="B4353" s="16" t="inlineStr">
        <is>
          <t>PO-128-16739023862392082</t>
        </is>
      </c>
      <c r="C4353" s="16" t="inlineStr">
        <is>
          <t>Shipped</t>
        </is>
      </c>
      <c r="D4353" s="16" t="inlineStr">
        <is>
          <t>128-16739065805432082</t>
        </is>
      </c>
      <c r="E4353" s="16" t="inlineStr">
        <is>
          <t>Shipped</t>
        </is>
      </c>
      <c r="F4353" s="16" t="inlineStr">
        <is>
          <t>LV54W25</t>
        </is>
      </c>
      <c r="G4353" s="16" t="inlineStr">
        <is>
          <t>TIANLAI Lámpara Ventilador E27 2 en 1, Silenciosa, LED Alta Luminosidad 180°, Instalación Rápida, Ahorro Energético para Dormitorio y Interiores Pequeños</t>
        </is>
      </c>
      <c r="H4353" s="16" t="inlineStr">
        <is>
          <t>1 Pieza</t>
        </is>
      </c>
      <c r="I4353" s="16" t="n">
        <v>1</v>
      </c>
      <c r="J4353" s="17" t="n">
        <v>76</v>
      </c>
      <c r="K4353" s="17" t="n">
        <v>80.16</v>
      </c>
      <c r="L4353" s="17" t="n">
        <v>25.86</v>
      </c>
      <c r="M4353" s="17" t="n">
        <v>0</v>
      </c>
      <c r="N4353" s="17">
        <f>K4353*0.08+L4353*0.08</f>
        <v/>
      </c>
      <c r="O4353" s="17">
        <f>-(K4353*0.025+L4353*0.025)</f>
        <v/>
      </c>
      <c r="P4353" s="17">
        <f>32</f>
        <v/>
      </c>
      <c r="Q4353" s="17">
        <f>J4353+L4353+N4353+O4353-P4353-M4353</f>
        <v/>
      </c>
    </row>
    <row r="4354">
      <c r="A4354" s="16" t="inlineStr">
        <is>
          <t>5.8-5.14</t>
        </is>
      </c>
      <c r="B4354" s="16" t="inlineStr">
        <is>
          <t>PO-128-16756562299513002</t>
        </is>
      </c>
      <c r="C4354" s="16" t="inlineStr">
        <is>
          <t>Shipped</t>
        </is>
      </c>
      <c r="D4354" s="16" t="inlineStr">
        <is>
          <t>128-16756520356473002</t>
        </is>
      </c>
      <c r="E4354" s="16" t="inlineStr">
        <is>
          <t>Shipped</t>
        </is>
      </c>
      <c r="F4354" s="16" t="inlineStr">
        <is>
          <t>LV54W25</t>
        </is>
      </c>
      <c r="G4354" s="16" t="inlineStr">
        <is>
          <t>TIANLAI Lámpara Ventilador E27 2 en 1, Silenciosa, LED Alta Luminosidad 180°, Instalación Rápida, Ahorro Energético para Dormitorio y Interiores Pequeños</t>
        </is>
      </c>
      <c r="H4354" s="16" t="inlineStr">
        <is>
          <t>1 Pieza</t>
        </is>
      </c>
      <c r="I4354" s="16" t="n">
        <v>3</v>
      </c>
      <c r="J4354" s="17" t="n">
        <v>228</v>
      </c>
      <c r="K4354" s="17" t="n">
        <v>240.48</v>
      </c>
      <c r="L4354" s="17" t="n">
        <v>0</v>
      </c>
      <c r="M4354" s="17" t="n">
        <v>0</v>
      </c>
      <c r="N4354" s="17">
        <f>K4354*0.08+L4354*0.08</f>
        <v/>
      </c>
      <c r="O4354" s="17">
        <f>-(K4354*0.025+L4354*0.025)</f>
        <v/>
      </c>
      <c r="P4354" s="17">
        <f>32</f>
        <v/>
      </c>
      <c r="Q4354" s="17">
        <f>J4354+L4354+N4354+O4354-P4354-M4354</f>
        <v/>
      </c>
    </row>
    <row r="4355">
      <c r="A4355" s="16" t="inlineStr">
        <is>
          <t>5.8-5.14</t>
        </is>
      </c>
      <c r="B4355" s="16" t="inlineStr">
        <is>
          <t>PO-128-17159418230390536</t>
        </is>
      </c>
      <c r="C4355" s="16" t="inlineStr">
        <is>
          <t>Shipped</t>
        </is>
      </c>
      <c r="D4355" s="16" t="inlineStr">
        <is>
          <t>128-17159554545270536</t>
        </is>
      </c>
      <c r="E4355" s="16" t="inlineStr">
        <is>
          <t>Shipped</t>
        </is>
      </c>
      <c r="F4355" s="16" t="inlineStr">
        <is>
          <t>SA428T</t>
        </is>
      </c>
      <c r="G4355"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355" s="16" t="inlineStr">
        <is>
          <t>SA428T</t>
        </is>
      </c>
      <c r="I4355" s="16" t="n">
        <v>1</v>
      </c>
      <c r="J4355" s="17" t="n">
        <v>79.59</v>
      </c>
      <c r="K4355" s="17" t="n">
        <v>51.93</v>
      </c>
      <c r="L4355" s="17" t="n">
        <v>25.86</v>
      </c>
      <c r="M4355" s="17" t="n">
        <v>0</v>
      </c>
      <c r="N4355" s="17">
        <f>K4355*0.08+L4355*0.08</f>
        <v/>
      </c>
      <c r="O4355" s="17">
        <f>-(K4355*0.025+L4355*0.025)</f>
        <v/>
      </c>
      <c r="P4355" s="17">
        <f>32</f>
        <v/>
      </c>
      <c r="Q4355" s="17">
        <f>J4355+L4355+N4355+O4355-P4355-M4355</f>
        <v/>
      </c>
    </row>
    <row r="4356">
      <c r="A4356" s="16" t="inlineStr">
        <is>
          <t>5.8-5.14</t>
        </is>
      </c>
      <c r="B4356" s="16" t="inlineStr">
        <is>
          <t>PO-128-17012373443190391</t>
        </is>
      </c>
      <c r="C4356" s="16" t="inlineStr">
        <is>
          <t>Shipped</t>
        </is>
      </c>
      <c r="D4356" s="16" t="inlineStr">
        <is>
          <t>128-17012352471670391</t>
        </is>
      </c>
      <c r="E4356" s="16" t="inlineStr">
        <is>
          <t>Shipped</t>
        </is>
      </c>
      <c r="F4356" s="16" t="inlineStr">
        <is>
          <t>VB349T</t>
        </is>
      </c>
      <c r="G4356" s="16" t="inlineStr">
        <is>
          <t>LINKBITS Altavoz Portátil de Doble Altavoz - 3 Pulgadas, Sonido HD, Emparejamiento Rápido de Bluetooth, Conectividad TWS, Reproducción Multimodo (Micro SD/USB/Radio FM) - Perfecto para Oficina, Viajes y Espacios Pequeños</t>
        </is>
      </c>
      <c r="H4356" s="16" t="inlineStr">
        <is>
          <t>NEGRO</t>
        </is>
      </c>
      <c r="I4356" s="16" t="n">
        <v>1</v>
      </c>
      <c r="J4356" s="17" t="n">
        <v>79</v>
      </c>
      <c r="K4356" s="17" t="n">
        <v>92.25</v>
      </c>
      <c r="L4356" s="17" t="n">
        <v>25.86</v>
      </c>
      <c r="M4356" s="17" t="n">
        <v>0</v>
      </c>
      <c r="N4356" s="17">
        <f>K4356*0.08+L4356*0.08</f>
        <v/>
      </c>
      <c r="O4356" s="17">
        <f>-(K4356*0.025+L4356*0.025)</f>
        <v/>
      </c>
      <c r="P4356" s="17">
        <f>32</f>
        <v/>
      </c>
      <c r="Q4356" s="17">
        <f>J4356+L4356+N4356+O4356-P4356-M4356</f>
        <v/>
      </c>
    </row>
    <row r="4357">
      <c r="A4357" s="16" t="inlineStr">
        <is>
          <t>5.8-5.14</t>
        </is>
      </c>
      <c r="B4357" s="16" t="inlineStr">
        <is>
          <t>PO-128-17067971303030251</t>
        </is>
      </c>
      <c r="C4357" s="16" t="inlineStr">
        <is>
          <t>Shipped</t>
        </is>
      </c>
      <c r="D4357" s="16" t="inlineStr">
        <is>
          <t>128-17068123346550251</t>
        </is>
      </c>
      <c r="E4357" s="16" t="inlineStr">
        <is>
          <t>Shipped</t>
        </is>
      </c>
      <c r="F4357" s="16" t="inlineStr">
        <is>
          <t>LV54W25</t>
        </is>
      </c>
      <c r="G4357" s="16" t="inlineStr">
        <is>
          <t>TIANLAI Lámpara Ventilador E27 2 en 1, Silenciosa, LED Alta Luminosidad 180°, Instalación Rápida, Ahorro Energético para Dormitorio y Interiores Pequeños</t>
        </is>
      </c>
      <c r="H4357" s="16" t="inlineStr">
        <is>
          <t>1 Pieza</t>
        </is>
      </c>
      <c r="I4357" s="16" t="n">
        <v>3</v>
      </c>
      <c r="J4357" s="17" t="n">
        <v>228</v>
      </c>
      <c r="K4357" s="17" t="n">
        <v>188.76</v>
      </c>
      <c r="L4357" s="17" t="n">
        <v>0</v>
      </c>
      <c r="M4357" s="17" t="n">
        <v>0.42</v>
      </c>
      <c r="N4357" s="17">
        <f>K4357*0.08+L4357*0.08</f>
        <v/>
      </c>
      <c r="O4357" s="17">
        <f>-(K4357*0.025+L4357*0.025)</f>
        <v/>
      </c>
      <c r="P4357" s="17">
        <f>32</f>
        <v/>
      </c>
      <c r="Q4357" s="17">
        <f>J4357+L4357+N4357+O4357-P4357-M4357</f>
        <v/>
      </c>
    </row>
    <row r="4358">
      <c r="A4358" s="16" t="inlineStr">
        <is>
          <t>5.8-5.14</t>
        </is>
      </c>
      <c r="B4358" s="16" t="inlineStr">
        <is>
          <t>PO-128-16704946688632415</t>
        </is>
      </c>
      <c r="C4358" s="16" t="inlineStr">
        <is>
          <t>Shipped</t>
        </is>
      </c>
      <c r="D4358" s="16" t="inlineStr">
        <is>
          <t>128-16705051546232415</t>
        </is>
      </c>
      <c r="E4358" s="16" t="inlineStr">
        <is>
          <t>Shipped</t>
        </is>
      </c>
      <c r="F4358" s="16" t="inlineStr">
        <is>
          <t>KTS-2031</t>
        </is>
      </c>
      <c r="G4358" s="16" t="inlineStr">
        <is>
          <t>Bocina inalámbrica de 3 pulgadas con linterna multifuncional y panel solar integrado.Altavoz Portátil con Linterna LED 4 Modos, Radio FM, Bluetooth, Carga Solar, Ideal para Apagones, Emergencias, Campo y Exteriores</t>
        </is>
      </c>
      <c r="H4358" s="16" t="inlineStr">
        <is>
          <t>NEGRO</t>
        </is>
      </c>
      <c r="I4358" s="16" t="n">
        <v>1</v>
      </c>
      <c r="J4358" s="17" t="n">
        <v>75</v>
      </c>
      <c r="K4358" s="17" t="n">
        <v>1.46</v>
      </c>
      <c r="L4358" s="17" t="n">
        <v>25.86</v>
      </c>
      <c r="M4358" s="17" t="n">
        <v>0</v>
      </c>
      <c r="N4358" s="17">
        <f>K4358*0.08+L4358*0.08</f>
        <v/>
      </c>
      <c r="O4358" s="17">
        <f>-(K4358*0.025+L4358*0.025)</f>
        <v/>
      </c>
      <c r="P4358" s="17">
        <f>32</f>
        <v/>
      </c>
      <c r="Q4358" s="17">
        <f>J4358+L4358+N4358+O4358-P4358-M4358</f>
        <v/>
      </c>
    </row>
    <row r="4359">
      <c r="A4359" s="16" t="inlineStr">
        <is>
          <t>5.8-5.14</t>
        </is>
      </c>
      <c r="B4359" s="16" t="inlineStr">
        <is>
          <t>PO-128-17155531274870752</t>
        </is>
      </c>
      <c r="C4359" s="16" t="inlineStr">
        <is>
          <t>Shipped</t>
        </is>
      </c>
      <c r="D4359" s="16" t="inlineStr">
        <is>
          <t>128-17155489331830752</t>
        </is>
      </c>
      <c r="E4359" s="16" t="inlineStr">
        <is>
          <t>Shipped</t>
        </is>
      </c>
      <c r="F4359" s="16" t="inlineStr">
        <is>
          <t>LV54W25</t>
        </is>
      </c>
      <c r="G4359" s="16" t="inlineStr">
        <is>
          <t>TIANLAI Lámpara Ventilador E27 2 en 1, Silenciosa, LED Alta Luminosidad 180°, Instalación Rápida, Ahorro Energético para Dormitorio y Interiores Pequeños</t>
        </is>
      </c>
      <c r="H4359" s="16" t="inlineStr">
        <is>
          <t>1 Pieza</t>
        </is>
      </c>
      <c r="I4359" s="16" t="n">
        <v>3</v>
      </c>
      <c r="J4359" s="17" t="n">
        <v>228</v>
      </c>
      <c r="K4359" s="17" t="n">
        <v>240.48</v>
      </c>
      <c r="L4359" s="17" t="n">
        <v>0</v>
      </c>
      <c r="M4359" s="17" t="n">
        <v>0</v>
      </c>
      <c r="N4359" s="17">
        <f>K4359*0.08+L4359*0.08</f>
        <v/>
      </c>
      <c r="O4359" s="17">
        <f>-(K4359*0.025+L4359*0.025)</f>
        <v/>
      </c>
      <c r="P4359" s="17">
        <f>32</f>
        <v/>
      </c>
      <c r="Q4359" s="17">
        <f>J4359+L4359+N4359+O4359-P4359-M4359</f>
        <v/>
      </c>
    </row>
    <row r="4360">
      <c r="A4360" s="16" t="inlineStr">
        <is>
          <t>5.8-5.14</t>
        </is>
      </c>
      <c r="B4360" s="16" t="inlineStr">
        <is>
          <t>PO-128-16802614794872729</t>
        </is>
      </c>
      <c r="C4360" s="16" t="inlineStr">
        <is>
          <t>Shipped</t>
        </is>
      </c>
      <c r="D4360" s="16" t="inlineStr">
        <is>
          <t>128-16802656737912729</t>
        </is>
      </c>
      <c r="E4360" s="16" t="inlineStr">
        <is>
          <t>Shipped</t>
        </is>
      </c>
      <c r="F4360" s="16" t="inlineStr">
        <is>
          <t>KTS-2031</t>
        </is>
      </c>
      <c r="G4360" s="16" t="inlineStr">
        <is>
          <t>Bocina inalámbrica de 3 pulgadas con linterna multifuncional y panel solar integrado.Altavoz Portátil con Linterna LED 4 Modos, Radio FM, Bluetooth, Carga Solar, Ideal para Apagones, Emergencias, Campo y Exteriores</t>
        </is>
      </c>
      <c r="H4360" s="16" t="inlineStr">
        <is>
          <t>NEGRO</t>
        </is>
      </c>
      <c r="I4360" s="16" t="n">
        <v>1</v>
      </c>
      <c r="J4360" s="17" t="n">
        <v>75</v>
      </c>
      <c r="K4360" s="17" t="n">
        <v>1.46</v>
      </c>
      <c r="L4360" s="17" t="n">
        <v>25.86</v>
      </c>
      <c r="M4360" s="17" t="n">
        <v>0</v>
      </c>
      <c r="N4360" s="17">
        <f>K4360*0.08+L4360*0.08</f>
        <v/>
      </c>
      <c r="O4360" s="17">
        <f>-(K4360*0.025+L4360*0.025)</f>
        <v/>
      </c>
      <c r="P4360" s="17">
        <f>32</f>
        <v/>
      </c>
      <c r="Q4360" s="17">
        <f>J4360+L4360+N4360+O4360-P4360-M4360</f>
        <v/>
      </c>
    </row>
    <row r="4361">
      <c r="A4361" s="16" t="inlineStr">
        <is>
          <t>5.8-5.14</t>
        </is>
      </c>
      <c r="B4361" s="16" t="inlineStr">
        <is>
          <t>PO-128-17071198362230230</t>
        </is>
      </c>
      <c r="C4361" s="16" t="inlineStr">
        <is>
          <t>Shipped</t>
        </is>
      </c>
      <c r="D4361" s="16" t="inlineStr">
        <is>
          <t>128-17071240305270230</t>
        </is>
      </c>
      <c r="E4361" s="16" t="inlineStr">
        <is>
          <t>Shipped</t>
        </is>
      </c>
      <c r="F4361" s="16" t="inlineStr">
        <is>
          <t>KTS-2031</t>
        </is>
      </c>
      <c r="G4361" s="16" t="inlineStr">
        <is>
          <t>Bocina inalámbrica de 3 pulgadas con linterna multifuncional y panel solar integrado.Altavoz Portátil con Linterna LED 4 Modos, Radio FM, Bluetooth, Carga Solar, Ideal para Apagones, Emergencias, Campo y Exteriores</t>
        </is>
      </c>
      <c r="H4361" s="16" t="inlineStr">
        <is>
          <t>NEGRO</t>
        </is>
      </c>
      <c r="I4361" s="16" t="n">
        <v>1</v>
      </c>
      <c r="J4361" s="17" t="n">
        <v>75</v>
      </c>
      <c r="K4361" s="17" t="n">
        <v>41.12</v>
      </c>
      <c r="L4361" s="17" t="n">
        <v>25.86</v>
      </c>
      <c r="M4361" s="17" t="n">
        <v>0</v>
      </c>
      <c r="N4361" s="17">
        <f>K4361*0.08+L4361*0.08</f>
        <v/>
      </c>
      <c r="O4361" s="17">
        <f>-(K4361*0.025+L4361*0.025)</f>
        <v/>
      </c>
      <c r="P4361" s="17">
        <f>32</f>
        <v/>
      </c>
      <c r="Q4361" s="17">
        <f>J4361+L4361+N4361+O4361-P4361-M4361</f>
        <v/>
      </c>
    </row>
    <row r="4362">
      <c r="A4362" s="16" t="inlineStr">
        <is>
          <t>5.8-5.14</t>
        </is>
      </c>
      <c r="B4362" s="16" t="inlineStr">
        <is>
          <t>PO-128-17046984356470377</t>
        </is>
      </c>
      <c r="C4362" s="16" t="inlineStr">
        <is>
          <t>Shipped</t>
        </is>
      </c>
      <c r="D4362" s="16" t="inlineStr">
        <is>
          <t>128-17046963384950377</t>
        </is>
      </c>
      <c r="E4362" s="16" t="inlineStr">
        <is>
          <t>Shipped</t>
        </is>
      </c>
      <c r="F4362" s="16" t="inlineStr">
        <is>
          <t>BG-115-B</t>
        </is>
      </c>
      <c r="G4362" s="16" t="inlineStr">
        <is>
          <t>LINK BITS Audífonos Inalámbricos con Luces Multicolor, Recargables y en Adorable Forma de Orejas de Gato - Conecta a Celulares y PCs, Tiene Radio FM, Tarjeta TF y AUX - 7 Horas de Reproducción, Plegables y Perfectos para Trabajo, Juegos y Estudio</t>
        </is>
      </c>
      <c r="H4362" s="16" t="inlineStr">
        <is>
          <t>blanco</t>
        </is>
      </c>
      <c r="I4362" s="16" t="n">
        <v>1</v>
      </c>
      <c r="J4362" s="17" t="n">
        <v>75</v>
      </c>
      <c r="K4362" s="17" t="n">
        <v>85.72</v>
      </c>
      <c r="L4362" s="17" t="n">
        <v>25.86</v>
      </c>
      <c r="M4362" s="17" t="n">
        <v>0</v>
      </c>
      <c r="N4362" s="17">
        <f>K4362*0.08+L4362*0.08</f>
        <v/>
      </c>
      <c r="O4362" s="17">
        <f>-(K4362*0.025+L4362*0.025)</f>
        <v/>
      </c>
      <c r="P4362" s="17">
        <f>32</f>
        <v/>
      </c>
      <c r="Q4362" s="17">
        <f>J4362+L4362+N4362+O4362-P4362-M4362</f>
        <v/>
      </c>
    </row>
    <row r="4363">
      <c r="A4363" s="16" t="inlineStr">
        <is>
          <t>5.8-5.14</t>
        </is>
      </c>
      <c r="B4363" s="16" t="inlineStr">
        <is>
          <t>PO-128-16798700647032750</t>
        </is>
      </c>
      <c r="C4363" s="16" t="inlineStr">
        <is>
          <t>Shipped</t>
        </is>
      </c>
      <c r="D4363" s="16" t="inlineStr">
        <is>
          <t>128-16798768804472750</t>
        </is>
      </c>
      <c r="E4363" s="16" t="inlineStr">
        <is>
          <t>Shipped</t>
        </is>
      </c>
      <c r="F4363" s="16" t="inlineStr">
        <is>
          <t>LV54W25</t>
        </is>
      </c>
      <c r="G4363" s="16" t="inlineStr">
        <is>
          <t>TIANLAI Lámpara Ventilador E27 2 en 1, Silenciosa, LED Alta Luminosidad 180°, Instalación Rápida, Ahorro Energético para Dormitorio y Interiores Pequeños</t>
        </is>
      </c>
      <c r="H4363" s="16" t="inlineStr">
        <is>
          <t>1 Pieza</t>
        </is>
      </c>
      <c r="I4363" s="16" t="n">
        <v>3</v>
      </c>
      <c r="J4363" s="17" t="n">
        <v>228</v>
      </c>
      <c r="K4363" s="17" t="n">
        <v>219.79</v>
      </c>
      <c r="L4363" s="17" t="n">
        <v>0</v>
      </c>
      <c r="M4363" s="17" t="n">
        <v>0</v>
      </c>
      <c r="N4363" s="17">
        <f>K4363*0.08+L4363*0.08</f>
        <v/>
      </c>
      <c r="O4363" s="17">
        <f>-(K4363*0.025+L4363*0.025)</f>
        <v/>
      </c>
      <c r="P4363" s="17">
        <f>32</f>
        <v/>
      </c>
      <c r="Q4363" s="17">
        <f>J4363+L4363+N4363+O4363-P4363-M4363</f>
        <v/>
      </c>
    </row>
    <row r="4364">
      <c r="A4364" s="16" t="inlineStr">
        <is>
          <t>5.8-5.14</t>
        </is>
      </c>
      <c r="B4364" s="16" t="inlineStr">
        <is>
          <t>PO-128-17074537687670018</t>
        </is>
      </c>
      <c r="C4364" s="16" t="inlineStr">
        <is>
          <t>Shipped</t>
        </is>
      </c>
      <c r="D4364" s="16" t="inlineStr">
        <is>
          <t>128-17074642545270018</t>
        </is>
      </c>
      <c r="E4364" s="16" t="inlineStr">
        <is>
          <t>Shipped</t>
        </is>
      </c>
      <c r="F4364" s="16" t="inlineStr">
        <is>
          <t>i12-B</t>
        </is>
      </c>
      <c r="G4364" s="16" t="inlineStr">
        <is>
          <t>Auriculares Inalámbricos TWS - Ideales para Usuarios Android e iPhone, Entusiastas del Deporte &amp; Música, Controles Táctiles, Audífonos Para Correr y Jugar</t>
        </is>
      </c>
      <c r="H4364" s="16" t="inlineStr">
        <is>
          <t>Blanco</t>
        </is>
      </c>
      <c r="I4364" s="16" t="n">
        <v>1</v>
      </c>
      <c r="J4364" s="17" t="n">
        <v>42</v>
      </c>
      <c r="K4364" s="17" t="n">
        <v>6.46</v>
      </c>
      <c r="L4364" s="17" t="n">
        <v>25.86</v>
      </c>
      <c r="M4364" s="17" t="n">
        <v>0</v>
      </c>
      <c r="N4364" s="17">
        <f>K4364*0.08+L4364*0.08</f>
        <v/>
      </c>
      <c r="O4364" s="17">
        <f>-(K4364*0.025+L4364*0.025)</f>
        <v/>
      </c>
      <c r="P4364" s="17">
        <f>32</f>
        <v/>
      </c>
      <c r="Q4364" s="17">
        <f>J4364+L4364+N4364+O4364-P4364-M4364</f>
        <v/>
      </c>
    </row>
    <row r="4365">
      <c r="A4365" s="16" t="inlineStr">
        <is>
          <t>5.8-5.14</t>
        </is>
      </c>
      <c r="B4365" s="16" t="inlineStr">
        <is>
          <t>PO-128-17040502866550351</t>
        </is>
      </c>
      <c r="C4365" s="16" t="inlineStr">
        <is>
          <t>Shipped</t>
        </is>
      </c>
      <c r="D4365" s="16" t="inlineStr">
        <is>
          <t>128-17040487137910351</t>
        </is>
      </c>
      <c r="E4365" s="16" t="inlineStr">
        <is>
          <t>Shipped</t>
        </is>
      </c>
      <c r="F4365" s="16" t="inlineStr">
        <is>
          <t>B03W10-10PZS</t>
        </is>
      </c>
      <c r="G4365"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65" s="16" t="inlineStr">
        <is>
          <t>B03W10</t>
        </is>
      </c>
      <c r="I4365" s="16" t="n">
        <v>1</v>
      </c>
      <c r="J4365" s="17" t="n">
        <v>66</v>
      </c>
      <c r="K4365" s="17" t="n">
        <v>74.12</v>
      </c>
      <c r="L4365" s="17" t="n">
        <v>25.86</v>
      </c>
      <c r="M4365" s="17" t="n">
        <v>0</v>
      </c>
      <c r="N4365" s="17">
        <f>K4365*0.08+L4365*0.08</f>
        <v/>
      </c>
      <c r="O4365" s="17">
        <f>-(K4365*0.025+L4365*0.025)</f>
        <v/>
      </c>
      <c r="P4365" s="17">
        <f>32</f>
        <v/>
      </c>
      <c r="Q4365" s="17">
        <f>J4365+L4365+N4365+O4365-P4365-M4365</f>
        <v/>
      </c>
    </row>
    <row r="4366">
      <c r="A4366" s="16" t="inlineStr">
        <is>
          <t>5.8-5.14</t>
        </is>
      </c>
      <c r="B4366" s="16" t="inlineStr">
        <is>
          <t>PO-128-17021930977910460</t>
        </is>
      </c>
      <c r="C4366" s="16" t="inlineStr">
        <is>
          <t>Shipped</t>
        </is>
      </c>
      <c r="D4366" s="16" t="inlineStr">
        <is>
          <t>128-17021983406710460</t>
        </is>
      </c>
      <c r="E4366" s="16" t="inlineStr">
        <is>
          <t>Shipped</t>
        </is>
      </c>
      <c r="F4366" s="16" t="inlineStr">
        <is>
          <t>B03W10-10PZS</t>
        </is>
      </c>
      <c r="G436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366" s="16" t="inlineStr">
        <is>
          <t>B03W10</t>
        </is>
      </c>
      <c r="I4366" s="16" t="n">
        <v>1</v>
      </c>
      <c r="J4366" s="17" t="n">
        <v>66</v>
      </c>
      <c r="K4366" s="17" t="n">
        <v>74.12</v>
      </c>
      <c r="L4366" s="17" t="n">
        <v>25.86</v>
      </c>
      <c r="M4366" s="17" t="n">
        <v>0</v>
      </c>
      <c r="N4366" s="17">
        <f>K4366*0.08+L4366*0.08</f>
        <v/>
      </c>
      <c r="O4366" s="17">
        <f>-(K4366*0.025+L4366*0.025)</f>
        <v/>
      </c>
      <c r="P4366" s="17">
        <f>32</f>
        <v/>
      </c>
      <c r="Q4366" s="17">
        <f>J4366+L4366+N4366+O4366-P4366-M4366</f>
        <v/>
      </c>
    </row>
    <row r="4367">
      <c r="A4367" s="16" t="inlineStr">
        <is>
          <t>5.8-5.14</t>
        </is>
      </c>
      <c r="B4367" s="16" t="inlineStr">
        <is>
          <t>PO-128-17021947935350460</t>
        </is>
      </c>
      <c r="C4367" s="16" t="inlineStr">
        <is>
          <t>Shipped</t>
        </is>
      </c>
      <c r="D4367" s="16" t="inlineStr">
        <is>
          <t>128-17021968906870460</t>
        </is>
      </c>
      <c r="E4367" s="16" t="inlineStr">
        <is>
          <t>Shipped</t>
        </is>
      </c>
      <c r="F4367" s="16" t="inlineStr">
        <is>
          <t>SB428T</t>
        </is>
      </c>
      <c r="G4367" s="16" t="inlineStr">
        <is>
          <t>LINK BITS La bocina es tu compañero ideal para reuniones en México! Equipada con 2 altavoces de 4 pulgadas y potencia 5W×2, USB y TF, funciona sin internet—perfecta para picnics, fiestas en el jardín o relajación en la terraza.</t>
        </is>
      </c>
      <c r="H4367" s="16" t="inlineStr">
        <is>
          <t>SB428T</t>
        </is>
      </c>
      <c r="I4367" s="16" t="n">
        <v>3</v>
      </c>
      <c r="J4367" s="17" t="n">
        <v>285</v>
      </c>
      <c r="K4367" s="17" t="n">
        <v>272.4</v>
      </c>
      <c r="L4367" s="17" t="n">
        <v>0</v>
      </c>
      <c r="M4367" s="17" t="n">
        <v>0</v>
      </c>
      <c r="N4367" s="17">
        <f>K4367*0.08+L4367*0.08</f>
        <v/>
      </c>
      <c r="O4367" s="17">
        <f>-(K4367*0.025+L4367*0.025)</f>
        <v/>
      </c>
      <c r="P4367" s="17">
        <f>32</f>
        <v/>
      </c>
      <c r="Q4367" s="17">
        <f>J4367+L4367+N4367+O4367-P4367-M4367</f>
        <v/>
      </c>
    </row>
    <row r="4368">
      <c r="A4368" s="16" t="inlineStr">
        <is>
          <t>5.8-5.14</t>
        </is>
      </c>
      <c r="B4368" s="16" t="inlineStr">
        <is>
          <t>PO-128-17021947935350460</t>
        </is>
      </c>
      <c r="C4368" s="16" t="inlineStr">
        <is>
          <t>Shipped</t>
        </is>
      </c>
      <c r="D4368" s="16" t="inlineStr">
        <is>
          <t>128-17021885020790460</t>
        </is>
      </c>
      <c r="E4368" s="16" t="inlineStr">
        <is>
          <t>Shipped</t>
        </is>
      </c>
      <c r="F4368" s="16" t="inlineStr">
        <is>
          <t>SA323T</t>
        </is>
      </c>
      <c r="G4368"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4368" s="16" t="inlineStr">
        <is>
          <t>AZUL/SA323T</t>
        </is>
      </c>
      <c r="I4368" s="16" t="n">
        <v>3</v>
      </c>
      <c r="J4368" s="17" t="n">
        <v>135</v>
      </c>
      <c r="K4368" s="17" t="n">
        <v>129.69</v>
      </c>
      <c r="L4368" s="17" t="n">
        <v>0</v>
      </c>
      <c r="M4368" s="17" t="n">
        <v>0</v>
      </c>
      <c r="N4368" s="17">
        <f>K4368*0.08+L4368*0.08</f>
        <v/>
      </c>
      <c r="O4368" s="17">
        <f>-(K4368*0.025+L4368*0.025)</f>
        <v/>
      </c>
      <c r="P4368" s="17">
        <f>32</f>
        <v/>
      </c>
      <c r="Q4368" s="17">
        <f>J4368+L4368+N4368+O4368-P4368-M4368</f>
        <v/>
      </c>
    </row>
    <row r="4369">
      <c r="A4369" s="16" t="inlineStr">
        <is>
          <t>5.8-5.14</t>
        </is>
      </c>
      <c r="B4369" s="16" t="inlineStr">
        <is>
          <t>PO-128-16675066931832465</t>
        </is>
      </c>
      <c r="C4369" s="16" t="inlineStr">
        <is>
          <t>Shipped</t>
        </is>
      </c>
      <c r="D4369" s="16" t="inlineStr">
        <is>
          <t>128-16675087903352465</t>
        </is>
      </c>
      <c r="E4369" s="16" t="inlineStr">
        <is>
          <t>Shipped</t>
        </is>
      </c>
      <c r="F4369" s="16" t="inlineStr">
        <is>
          <t>LV54W25</t>
        </is>
      </c>
      <c r="G4369" s="16" t="inlineStr">
        <is>
          <t>TIANLAI Lámpara Ventilador E27 2 en 1, Silenciosa, LED Alta Luminosidad 180°, Instalación Rápida, Ahorro Energético para Dormitorio y Interiores Pequeños</t>
        </is>
      </c>
      <c r="H4369" s="16" t="inlineStr">
        <is>
          <t>1 Pieza</t>
        </is>
      </c>
      <c r="I4369" s="16" t="n">
        <v>1</v>
      </c>
      <c r="J4369" s="17" t="n">
        <v>76</v>
      </c>
      <c r="K4369" s="17" t="n">
        <v>71.44</v>
      </c>
      <c r="L4369" s="17" t="n">
        <v>25.86</v>
      </c>
      <c r="M4369" s="17" t="n">
        <v>0</v>
      </c>
      <c r="N4369" s="17">
        <f>K4369*0.08+L4369*0.08</f>
        <v/>
      </c>
      <c r="O4369" s="17">
        <f>-(K4369*0.025+L4369*0.025)</f>
        <v/>
      </c>
      <c r="P4369" s="17">
        <f>32</f>
        <v/>
      </c>
      <c r="Q4369" s="17">
        <f>J4369+L4369+N4369+O4369-P4369-M4369</f>
        <v/>
      </c>
    </row>
    <row r="4370">
      <c r="A4370" s="16" t="inlineStr">
        <is>
          <t>5.8-5.14</t>
        </is>
      </c>
      <c r="B4370" s="16" t="inlineStr">
        <is>
          <t>PO-128-16727463311992281</t>
        </is>
      </c>
      <c r="C4370" s="16" t="inlineStr">
        <is>
          <t>Shipped</t>
        </is>
      </c>
      <c r="D4370" s="16" t="inlineStr">
        <is>
          <t>128-16727505255032281</t>
        </is>
      </c>
      <c r="E4370" s="16" t="inlineStr">
        <is>
          <t>Shipped</t>
        </is>
      </c>
      <c r="F4370" s="16" t="inlineStr">
        <is>
          <t>KTS-2031</t>
        </is>
      </c>
      <c r="G4370" s="16" t="inlineStr">
        <is>
          <t>Bocina inalámbrica de 3 pulgadas con linterna multifuncional y panel solar integrado.Altavoz Portátil con Linterna LED 4 Modos, Radio FM, Bluetooth, Carga Solar, Ideal para Apagones, Emergencias, Campo y Exteriores</t>
        </is>
      </c>
      <c r="H4370" s="16" t="inlineStr">
        <is>
          <t>NEGRO</t>
        </is>
      </c>
      <c r="I4370" s="16" t="n">
        <v>1</v>
      </c>
      <c r="J4370" s="17" t="n">
        <v>75</v>
      </c>
      <c r="K4370" s="17" t="n">
        <v>1.46</v>
      </c>
      <c r="L4370" s="17" t="n">
        <v>25.86</v>
      </c>
      <c r="M4370" s="17" t="n">
        <v>0</v>
      </c>
      <c r="N4370" s="17">
        <f>K4370*0.08+L4370*0.08</f>
        <v/>
      </c>
      <c r="O4370" s="17">
        <f>-(K4370*0.025+L4370*0.025)</f>
        <v/>
      </c>
      <c r="P4370" s="17">
        <f>32</f>
        <v/>
      </c>
      <c r="Q4370" s="17">
        <f>J4370+L4370+N4370+O4370-P4370-M4370</f>
        <v/>
      </c>
    </row>
    <row r="4371">
      <c r="A4371" s="16" t="inlineStr">
        <is>
          <t>5.8-5.14</t>
        </is>
      </c>
      <c r="B4371" s="16" t="inlineStr">
        <is>
          <t>PO-128-16757679575672997</t>
        </is>
      </c>
      <c r="C4371" s="16" t="inlineStr">
        <is>
          <t>Shipped</t>
        </is>
      </c>
      <c r="D4371" s="16" t="inlineStr">
        <is>
          <t>128-16757747733112997</t>
        </is>
      </c>
      <c r="E4371" s="16" t="inlineStr">
        <is>
          <t>Shipped</t>
        </is>
      </c>
      <c r="F4371" s="16" t="inlineStr">
        <is>
          <t>TLCD06-12P-N</t>
        </is>
      </c>
      <c r="G437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371" s="16" t="inlineStr">
        <is>
          <t>NEGRO/pantalla de 12 pulgadas</t>
        </is>
      </c>
      <c r="I4371" s="16" t="n">
        <v>1</v>
      </c>
      <c r="J4371" s="17" t="n">
        <v>32</v>
      </c>
      <c r="K4371" s="17" t="n">
        <v>44.01</v>
      </c>
      <c r="L4371" s="17" t="n">
        <v>25.86</v>
      </c>
      <c r="M4371" s="17" t="n">
        <v>0</v>
      </c>
      <c r="N4371" s="17">
        <f>K4371*0.08+L4371*0.08</f>
        <v/>
      </c>
      <c r="O4371" s="17">
        <f>-(K4371*0.025+L4371*0.025)</f>
        <v/>
      </c>
      <c r="P4371" s="17">
        <f>32</f>
        <v/>
      </c>
      <c r="Q4371" s="17">
        <f>J4371+L4371+N4371+O4371-P4371-M4371</f>
        <v/>
      </c>
    </row>
    <row r="4372">
      <c r="A4372" s="16" t="inlineStr">
        <is>
          <t>5.8-5.14</t>
        </is>
      </c>
      <c r="B4372" s="16" t="inlineStr">
        <is>
          <t>PO-128-17102892160630939</t>
        </is>
      </c>
      <c r="C4372" s="16" t="inlineStr">
        <is>
          <t>Shipped</t>
        </is>
      </c>
      <c r="D4372" s="16" t="inlineStr">
        <is>
          <t>128-17102997018230939</t>
        </is>
      </c>
      <c r="E4372" s="16" t="inlineStr">
        <is>
          <t>Shipped</t>
        </is>
      </c>
      <c r="F4372" s="16" t="inlineStr">
        <is>
          <t>LV54W25</t>
        </is>
      </c>
      <c r="G4372" s="16" t="inlineStr">
        <is>
          <t>TIANLAI Lámpara Ventilador E27 2 en 1, Silenciosa, LED Alta Luminosidad 180°, Instalación Rápida, Ahorro Energético para Dormitorio y Interiores Pequeños</t>
        </is>
      </c>
      <c r="H4372" s="16" t="inlineStr">
        <is>
          <t>1 Pieza</t>
        </is>
      </c>
      <c r="I4372" s="16" t="n">
        <v>1</v>
      </c>
      <c r="J4372" s="17" t="n">
        <v>76</v>
      </c>
      <c r="K4372" s="17" t="n">
        <v>37.06</v>
      </c>
      <c r="L4372" s="17" t="n">
        <v>25.86</v>
      </c>
      <c r="M4372" s="17" t="n">
        <v>0</v>
      </c>
      <c r="N4372" s="17">
        <f>K4372*0.08+L4372*0.08</f>
        <v/>
      </c>
      <c r="O4372" s="17">
        <f>-(K4372*0.025+L4372*0.025)</f>
        <v/>
      </c>
      <c r="P4372" s="17">
        <f>32</f>
        <v/>
      </c>
      <c r="Q4372" s="17">
        <f>J4372+L4372+N4372+O4372-P4372-M4372</f>
        <v/>
      </c>
    </row>
    <row r="4373">
      <c r="A4373" s="16" t="inlineStr">
        <is>
          <t>5.8-5.14</t>
        </is>
      </c>
      <c r="B4373" s="16" t="inlineStr">
        <is>
          <t>PO-128-17170243779190600</t>
        </is>
      </c>
      <c r="C4373" s="16" t="inlineStr">
        <is>
          <t>Shipped</t>
        </is>
      </c>
      <c r="D4373" s="16" t="inlineStr">
        <is>
          <t>128-17170264750710600</t>
        </is>
      </c>
      <c r="E4373" s="16" t="inlineStr">
        <is>
          <t>Shipped</t>
        </is>
      </c>
      <c r="F4373" s="16" t="inlineStr">
        <is>
          <t>i12-B</t>
        </is>
      </c>
      <c r="G4373" s="16" t="inlineStr">
        <is>
          <t>Auriculares Inalámbricos TWS - Ideales para Usuarios Android e iPhone, Entusiastas del Deporte &amp; Música, Controles Táctiles, Audífonos Para Correr y Jugar</t>
        </is>
      </c>
      <c r="H4373" s="16" t="inlineStr">
        <is>
          <t>Blanco</t>
        </is>
      </c>
      <c r="I4373" s="16" t="n">
        <v>1</v>
      </c>
      <c r="J4373" s="17" t="n">
        <v>42</v>
      </c>
      <c r="K4373" s="17" t="n">
        <v>58.18</v>
      </c>
      <c r="L4373" s="17" t="n">
        <v>25.86</v>
      </c>
      <c r="M4373" s="17" t="n">
        <v>0</v>
      </c>
      <c r="N4373" s="17">
        <f>K4373*0.08+L4373*0.08</f>
        <v/>
      </c>
      <c r="O4373" s="17">
        <f>-(K4373*0.025+L4373*0.025)</f>
        <v/>
      </c>
      <c r="P4373" s="17">
        <f>32</f>
        <v/>
      </c>
      <c r="Q4373" s="17">
        <f>J4373+L4373+N4373+O4373-P4373-M4373</f>
        <v/>
      </c>
    </row>
    <row r="4374">
      <c r="A4374" s="16" t="inlineStr">
        <is>
          <t>5.8-5.14</t>
        </is>
      </c>
      <c r="B4374" s="16" t="inlineStr">
        <is>
          <t>PO-128-16602591478393857</t>
        </is>
      </c>
      <c r="C4374" s="16" t="inlineStr">
        <is>
          <t>Shipped</t>
        </is>
      </c>
      <c r="D4374" s="16" t="inlineStr">
        <is>
          <t>128-16602696335993857</t>
        </is>
      </c>
      <c r="E4374" s="16" t="inlineStr">
        <is>
          <t>Shipped</t>
        </is>
      </c>
      <c r="F4374" s="16" t="inlineStr">
        <is>
          <t>SA323T</t>
        </is>
      </c>
      <c r="G4374"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4374" s="16" t="inlineStr">
        <is>
          <t>AZUL/SA323T</t>
        </is>
      </c>
      <c r="I4374" s="16" t="n">
        <v>1</v>
      </c>
      <c r="J4374" s="17" t="n">
        <v>45</v>
      </c>
      <c r="K4374" s="17" t="n">
        <v>0.59</v>
      </c>
      <c r="L4374" s="17" t="n">
        <v>25.86</v>
      </c>
      <c r="M4374" s="17" t="n">
        <v>0</v>
      </c>
      <c r="N4374" s="17">
        <f>K4374*0.08+L4374*0.08</f>
        <v/>
      </c>
      <c r="O4374" s="17">
        <f>-(K4374*0.025+L4374*0.025)</f>
        <v/>
      </c>
      <c r="P4374" s="17">
        <f>32</f>
        <v/>
      </c>
      <c r="Q4374" s="17">
        <f>J4374+L4374+N4374+O4374-P4374-M4374</f>
        <v/>
      </c>
    </row>
    <row r="4375">
      <c r="A4375" s="16" t="inlineStr">
        <is>
          <t>5.8-5.14</t>
        </is>
      </c>
      <c r="B4375" s="16" t="inlineStr">
        <is>
          <t>PO-128-16727299707512280</t>
        </is>
      </c>
      <c r="C4375" s="16" t="inlineStr">
        <is>
          <t>Shipped</t>
        </is>
      </c>
      <c r="D4375" s="16" t="inlineStr">
        <is>
          <t>128-16727362622072280</t>
        </is>
      </c>
      <c r="E4375" s="16" t="inlineStr">
        <is>
          <t>Shipped</t>
        </is>
      </c>
      <c r="F4375" s="16" t="inlineStr">
        <is>
          <t>MB-174-G</t>
        </is>
      </c>
      <c r="G4375" s="16" t="inlineStr">
        <is>
          <t>LINK BITS MB-174 Mini Bocina Bluetooth Soporte para Celular Integrado TWS Luz Ambiental 5W 80dB Sonido Claro Carga TYPE-C Material ABS Portátil Ideal como Regalo para Hogar Oficina Exterior Picnic</t>
        </is>
      </c>
      <c r="H4375" s="16" t="inlineStr">
        <is>
          <t>GRIS</t>
        </is>
      </c>
      <c r="I4375" s="16" t="n">
        <v>1</v>
      </c>
      <c r="J4375" s="17" t="n">
        <v>92.5</v>
      </c>
      <c r="K4375" s="17" t="n">
        <v>110.54</v>
      </c>
      <c r="L4375" s="17" t="n">
        <v>0</v>
      </c>
      <c r="M4375" s="17" t="n">
        <v>0</v>
      </c>
      <c r="N4375" s="17">
        <f>K4375*0.08+L4375*0.08</f>
        <v/>
      </c>
      <c r="O4375" s="17">
        <f>-(K4375*0.025+L4375*0.025)</f>
        <v/>
      </c>
      <c r="P4375" s="17">
        <f>32</f>
        <v/>
      </c>
      <c r="Q4375" s="17">
        <f>J4375+L4375+N4375+O4375-P4375-M4375</f>
        <v/>
      </c>
    </row>
    <row r="4376">
      <c r="A4376" s="16" t="inlineStr">
        <is>
          <t>5.8-5.14</t>
        </is>
      </c>
      <c r="B4376" s="16" t="inlineStr">
        <is>
          <t>PO-128-16727299707512280</t>
        </is>
      </c>
      <c r="C4376" s="16" t="inlineStr">
        <is>
          <t>Shipped</t>
        </is>
      </c>
      <c r="D4376" s="16" t="inlineStr">
        <is>
          <t>128-16727341650552280</t>
        </is>
      </c>
      <c r="E4376" s="16" t="inlineStr">
        <is>
          <t>Shipped</t>
        </is>
      </c>
      <c r="F4376" s="16" t="inlineStr">
        <is>
          <t>LV54W25</t>
        </is>
      </c>
      <c r="G4376" s="16" t="inlineStr">
        <is>
          <t>TIANLAI Lámpara Ventilador E27 2 en 1, Silenciosa, LED Alta Luminosidad 180°, Instalación Rápida, Ahorro Energético para Dormitorio y Interiores Pequeños</t>
        </is>
      </c>
      <c r="H4376" s="16" t="inlineStr">
        <is>
          <t>1 Pieza</t>
        </is>
      </c>
      <c r="I4376" s="16" t="n">
        <v>2</v>
      </c>
      <c r="J4376" s="17" t="n">
        <v>152</v>
      </c>
      <c r="K4376" s="17" t="n">
        <v>160.32</v>
      </c>
      <c r="L4376" s="17" t="n">
        <v>0</v>
      </c>
      <c r="M4376" s="17" t="n">
        <v>0</v>
      </c>
      <c r="N4376" s="17">
        <f>K4376*0.08+L4376*0.08</f>
        <v/>
      </c>
      <c r="O4376" s="17">
        <f>-(K4376*0.025+L4376*0.025)</f>
        <v/>
      </c>
      <c r="P4376" s="17">
        <f>32</f>
        <v/>
      </c>
      <c r="Q4376" s="17">
        <f>J4376+L4376+N4376+O4376-P4376-M4376</f>
        <v/>
      </c>
    </row>
    <row r="4377">
      <c r="A4377" s="16" t="inlineStr">
        <is>
          <t>5.8-5.14</t>
        </is>
      </c>
      <c r="B4377" s="16" t="inlineStr">
        <is>
          <t>PO-128-17099383071350958</t>
        </is>
      </c>
      <c r="C4377" s="16" t="inlineStr">
        <is>
          <t>Shipped</t>
        </is>
      </c>
      <c r="D4377" s="16" t="inlineStr">
        <is>
          <t>128-17099421082230958</t>
        </is>
      </c>
      <c r="E4377" s="16" t="inlineStr">
        <is>
          <t>Shipped</t>
        </is>
      </c>
      <c r="F4377" s="16" t="inlineStr">
        <is>
          <t>KTS-2031</t>
        </is>
      </c>
      <c r="G4377" s="16" t="inlineStr">
        <is>
          <t>Bocina inalámbrica de 3 pulgadas con linterna multifuncional y panel solar integrado.Altavoz Portátil con Linterna LED 4 Modos, Radio FM, Bluetooth, Carga Solar, Ideal para Apagones, Emergencias, Campo y Exteriores</t>
        </is>
      </c>
      <c r="H4377" s="16" t="inlineStr">
        <is>
          <t>NEGRO</t>
        </is>
      </c>
      <c r="I4377" s="16" t="n">
        <v>4</v>
      </c>
      <c r="J4377" s="17" t="n">
        <v>300</v>
      </c>
      <c r="K4377" s="17" t="n">
        <v>336.88</v>
      </c>
      <c r="L4377" s="17" t="n">
        <v>0</v>
      </c>
      <c r="M4377" s="17" t="n">
        <v>0</v>
      </c>
      <c r="N4377" s="17">
        <f>K4377*0.08+L4377*0.08</f>
        <v/>
      </c>
      <c r="O4377" s="17">
        <f>-(K4377*0.025+L4377*0.025)</f>
        <v/>
      </c>
      <c r="P4377" s="17">
        <f>32</f>
        <v/>
      </c>
      <c r="Q4377" s="17">
        <f>J4377+L4377+N4377+O4377-P4377-M4377</f>
        <v/>
      </c>
    </row>
    <row r="4378">
      <c r="A4378" s="16" t="inlineStr">
        <is>
          <t>5.8-5.14</t>
        </is>
      </c>
      <c r="B4378" s="16" t="inlineStr">
        <is>
          <t>PO-128-16493758239353480</t>
        </is>
      </c>
      <c r="C4378" s="16" t="inlineStr">
        <is>
          <t>Shipped</t>
        </is>
      </c>
      <c r="D4378" s="16" t="inlineStr">
        <is>
          <t>128-16493705810553480</t>
        </is>
      </c>
      <c r="E4378" s="16" t="inlineStr">
        <is>
          <t>Shipped</t>
        </is>
      </c>
      <c r="F4378" s="16" t="inlineStr">
        <is>
          <t>KTS-2031</t>
        </is>
      </c>
      <c r="G4378" s="16" t="inlineStr">
        <is>
          <t>Bocina inalámbrica de 3 pulgadas con linterna multifuncional y panel solar integrado.Altavoz Portátil con Linterna LED 4 Modos, Radio FM, Bluetooth, Carga Solar, Ideal para Apagones, Emergencias, Campo y Exteriores</t>
        </is>
      </c>
      <c r="H4378" s="16" t="inlineStr">
        <is>
          <t>NEGRO</t>
        </is>
      </c>
      <c r="I4378" s="16" t="n">
        <v>1</v>
      </c>
      <c r="J4378" s="17" t="n">
        <v>75</v>
      </c>
      <c r="K4378" s="17" t="n">
        <v>76.69</v>
      </c>
      <c r="L4378" s="17" t="n">
        <v>25.86</v>
      </c>
      <c r="M4378" s="17" t="n">
        <v>0</v>
      </c>
      <c r="N4378" s="17">
        <f>K4378*0.08+L4378*0.08</f>
        <v/>
      </c>
      <c r="O4378" s="17">
        <f>-(K4378*0.025+L4378*0.025)</f>
        <v/>
      </c>
      <c r="P4378" s="17">
        <f>32</f>
        <v/>
      </c>
      <c r="Q4378" s="17">
        <f>J4378+L4378+N4378+O4378-P4378-M4378</f>
        <v/>
      </c>
    </row>
    <row r="4379">
      <c r="A4379" s="16" t="inlineStr">
        <is>
          <t>5.8-5.14</t>
        </is>
      </c>
      <c r="B4379" s="16" t="inlineStr">
        <is>
          <t>PO-128-16714579896952228</t>
        </is>
      </c>
      <c r="C4379" s="16" t="inlineStr">
        <is>
          <t>Shipped</t>
        </is>
      </c>
      <c r="D4379" s="16" t="inlineStr">
        <is>
          <t>128-16714600868472228</t>
        </is>
      </c>
      <c r="E4379" s="16" t="inlineStr">
        <is>
          <t>Shipped</t>
        </is>
      </c>
      <c r="F4379" s="16" t="inlineStr">
        <is>
          <t>KTS-2031</t>
        </is>
      </c>
      <c r="G4379" s="16" t="inlineStr">
        <is>
          <t>Bocina inalámbrica de 3 pulgadas con linterna multifuncional y panel solar integrado.Altavoz Portátil con Linterna LED 4 Modos, Radio FM, Bluetooth, Carga Solar, Ideal para Apagones, Emergencias, Campo y Exteriores</t>
        </is>
      </c>
      <c r="H4379" s="16" t="inlineStr">
        <is>
          <t>NEGRO</t>
        </is>
      </c>
      <c r="I4379" s="16" t="n">
        <v>5</v>
      </c>
      <c r="J4379" s="17" t="n">
        <v>375</v>
      </c>
      <c r="K4379" s="17" t="n">
        <v>336.9</v>
      </c>
      <c r="L4379" s="17" t="n">
        <v>0</v>
      </c>
      <c r="M4379" s="17" t="n">
        <v>0</v>
      </c>
      <c r="N4379" s="17">
        <f>K4379*0.08+L4379*0.08</f>
        <v/>
      </c>
      <c r="O4379" s="17">
        <f>-(K4379*0.025+L4379*0.025)</f>
        <v/>
      </c>
      <c r="P4379" s="17">
        <f>32</f>
        <v/>
      </c>
      <c r="Q4379" s="17">
        <f>J4379+L4379+N4379+O4379-P4379-M4379</f>
        <v/>
      </c>
    </row>
    <row r="4380">
      <c r="A4380" s="16" t="inlineStr">
        <is>
          <t>5.8-5.14</t>
        </is>
      </c>
      <c r="B4380" s="16" t="inlineStr">
        <is>
          <t>PO-128-16651978865273627</t>
        </is>
      </c>
      <c r="C4380" s="16" t="inlineStr">
        <is>
          <t>Shipped</t>
        </is>
      </c>
      <c r="D4380" s="16" t="inlineStr">
        <is>
          <t>128-16652054887033627</t>
        </is>
      </c>
      <c r="E4380" s="16" t="inlineStr">
        <is>
          <t>Shipped</t>
        </is>
      </c>
      <c r="F4380" s="16" t="inlineStr">
        <is>
          <t>LV54W25</t>
        </is>
      </c>
      <c r="G4380" s="16" t="inlineStr">
        <is>
          <t>TIANLAI Lámpara Ventilador E27 2 en 1, Silenciosa, LED Alta Luminosidad 180°, Instalación Rápida, Ahorro Energético para Dormitorio y Interiores Pequeños</t>
        </is>
      </c>
      <c r="H4380" s="16" t="inlineStr">
        <is>
          <t>1 Pieza</t>
        </is>
      </c>
      <c r="I4380" s="16" t="n">
        <v>2</v>
      </c>
      <c r="J4380" s="17" t="n">
        <v>157</v>
      </c>
      <c r="K4380" s="17" t="n">
        <v>164.6</v>
      </c>
      <c r="L4380" s="17" t="n">
        <v>25.86</v>
      </c>
      <c r="M4380" s="17" t="n">
        <v>0</v>
      </c>
      <c r="N4380" s="17">
        <f>K4380*0.08+L4380*0.08</f>
        <v/>
      </c>
      <c r="O4380" s="17">
        <f>-(K4380*0.025+L4380*0.025)</f>
        <v/>
      </c>
      <c r="P4380" s="17">
        <f>32</f>
        <v/>
      </c>
      <c r="Q4380" s="17">
        <f>J4380+L4380+N4380+O4380-P4380-M4380</f>
        <v/>
      </c>
    </row>
    <row r="4381">
      <c r="A4381" s="16" t="inlineStr">
        <is>
          <t>5.8-5.14</t>
        </is>
      </c>
      <c r="B4381" s="16" t="inlineStr">
        <is>
          <t>PO-128-16640853576313821</t>
        </is>
      </c>
      <c r="C4381" s="16" t="inlineStr">
        <is>
          <t>Shipped</t>
        </is>
      </c>
      <c r="D4381" s="16" t="inlineStr">
        <is>
          <t>128-16640843090553821</t>
        </is>
      </c>
      <c r="E4381" s="16" t="inlineStr">
        <is>
          <t>Shipped</t>
        </is>
      </c>
      <c r="F4381" s="16" t="inlineStr">
        <is>
          <t>TL1412N17C</t>
        </is>
      </c>
      <c r="G4381" s="16" t="inlineStr">
        <is>
          <t>Linkbits, Soporte de Pared Fijo para TV y Monitor de 14"-43", Ultra Delgado 2.3cm, Fuerte Capacidad de Peso de 25KG, Fácil Instalación con Accesorios Completos</t>
        </is>
      </c>
      <c r="H4381" s="16" t="inlineStr">
        <is>
          <t>NEGRO</t>
        </is>
      </c>
      <c r="I4381" s="16" t="n">
        <v>1</v>
      </c>
      <c r="J4381" s="17" t="n">
        <v>36</v>
      </c>
      <c r="K4381" s="17" t="n">
        <v>38.17</v>
      </c>
      <c r="L4381" s="17" t="n">
        <v>25.86</v>
      </c>
      <c r="M4381" s="17" t="n">
        <v>0</v>
      </c>
      <c r="N4381" s="17">
        <f>K4381*0.08+L4381*0.08</f>
        <v/>
      </c>
      <c r="O4381" s="17">
        <f>-(K4381*0.025+L4381*0.025)</f>
        <v/>
      </c>
      <c r="P4381" s="17">
        <f>32</f>
        <v/>
      </c>
      <c r="Q4381" s="17">
        <f>J4381+L4381+N4381+O4381-P4381-M4381</f>
        <v/>
      </c>
    </row>
    <row r="4382">
      <c r="A4382" s="16" t="inlineStr">
        <is>
          <t>5.8-5.14</t>
        </is>
      </c>
      <c r="B4382" s="16" t="inlineStr">
        <is>
          <t>PO-128-16998952766071623</t>
        </is>
      </c>
      <c r="C4382" s="16" t="inlineStr">
        <is>
          <t>Shipped</t>
        </is>
      </c>
      <c r="D4382" s="16" t="inlineStr">
        <is>
          <t>128-16998973737591623</t>
        </is>
      </c>
      <c r="E4382" s="16" t="inlineStr">
        <is>
          <t>Shipped</t>
        </is>
      </c>
      <c r="F4382" s="16" t="inlineStr">
        <is>
          <t>KTS-2031</t>
        </is>
      </c>
      <c r="G4382" s="16" t="inlineStr">
        <is>
          <t>Bocina inalámbrica de 3 pulgadas con linterna multifuncional y panel solar integrado.Altavoz Portátil con Linterna LED 4 Modos, Radio FM, Bluetooth, Carga Solar, Ideal para Apagones, Emergencias, Campo y Exteriores</t>
        </is>
      </c>
      <c r="H4382" s="16" t="inlineStr">
        <is>
          <t>NEGRO</t>
        </is>
      </c>
      <c r="I4382" s="16" t="n">
        <v>1</v>
      </c>
      <c r="J4382" s="17" t="n">
        <v>75</v>
      </c>
      <c r="K4382" s="17" t="n">
        <v>84.22</v>
      </c>
      <c r="L4382" s="17" t="n">
        <v>25.86</v>
      </c>
      <c r="M4382" s="17" t="n">
        <v>0</v>
      </c>
      <c r="N4382" s="17">
        <f>K4382*0.08+L4382*0.08</f>
        <v/>
      </c>
      <c r="O4382" s="17">
        <f>-(K4382*0.025+L4382*0.025)</f>
        <v/>
      </c>
      <c r="P4382" s="17">
        <f>32</f>
        <v/>
      </c>
      <c r="Q4382" s="17">
        <f>J4382+L4382+N4382+O4382-P4382-M4382</f>
        <v/>
      </c>
    </row>
    <row r="4383">
      <c r="A4383" s="16" t="inlineStr">
        <is>
          <t>5.8-5.14</t>
        </is>
      </c>
      <c r="B4383" s="16" t="inlineStr">
        <is>
          <t>PO-128-16634792407673793</t>
        </is>
      </c>
      <c r="C4383" s="16" t="inlineStr">
        <is>
          <t>Shipped</t>
        </is>
      </c>
      <c r="D4383" s="16" t="inlineStr">
        <is>
          <t>128-16634823864953793</t>
        </is>
      </c>
      <c r="E4383" s="16" t="inlineStr">
        <is>
          <t>Shipped</t>
        </is>
      </c>
      <c r="F4383" s="16" t="inlineStr">
        <is>
          <t>LV54W25</t>
        </is>
      </c>
      <c r="G4383" s="16" t="inlineStr">
        <is>
          <t>TIANLAI Lámpara Ventilador E27 2 en 1, Silenciosa, LED Alta Luminosidad 180°, Instalación Rápida, Ahorro Energético para Dormitorio y Interiores Pequeños</t>
        </is>
      </c>
      <c r="H4383" s="16" t="inlineStr">
        <is>
          <t>1 Pieza</t>
        </is>
      </c>
      <c r="I4383" s="16" t="n">
        <v>1</v>
      </c>
      <c r="J4383" s="17" t="n">
        <v>78.5</v>
      </c>
      <c r="K4383" s="17" t="n">
        <v>66.98999999999999</v>
      </c>
      <c r="L4383" s="17" t="n">
        <v>25.86</v>
      </c>
      <c r="M4383" s="17" t="n">
        <v>0</v>
      </c>
      <c r="N4383" s="17">
        <f>K4383*0.08+L4383*0.08</f>
        <v/>
      </c>
      <c r="O4383" s="17">
        <f>-(K4383*0.025+L4383*0.025)</f>
        <v/>
      </c>
      <c r="P4383" s="17">
        <f>32</f>
        <v/>
      </c>
      <c r="Q4383" s="17">
        <f>J4383+L4383+N4383+O4383-P4383-M4383</f>
        <v/>
      </c>
    </row>
    <row r="4384">
      <c r="A4384" s="16" t="inlineStr">
        <is>
          <t>5.8-5.14</t>
        </is>
      </c>
      <c r="B4384" s="16" t="inlineStr">
        <is>
          <t>PO-128-16644665150073607</t>
        </is>
      </c>
      <c r="C4384" s="16" t="inlineStr">
        <is>
          <t>Shipped</t>
        </is>
      </c>
      <c r="D4384" s="16" t="inlineStr">
        <is>
          <t>128-16644670392953607</t>
        </is>
      </c>
      <c r="E4384" s="16" t="inlineStr">
        <is>
          <t>Shipped</t>
        </is>
      </c>
      <c r="F4384" s="16" t="inlineStr">
        <is>
          <t>TLCD04-10P-R</t>
        </is>
      </c>
      <c r="G4384"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384" s="16" t="inlineStr">
        <is>
          <t>ROJO/pantalla de 10.5 pulgadas</t>
        </is>
      </c>
      <c r="I4384" s="16" t="n">
        <v>1</v>
      </c>
      <c r="J4384" s="17" t="n">
        <v>35</v>
      </c>
      <c r="K4384" s="17" t="n">
        <v>47.28</v>
      </c>
      <c r="L4384" s="17" t="n">
        <v>25.86</v>
      </c>
      <c r="M4384" s="17" t="n">
        <v>0</v>
      </c>
      <c r="N4384" s="17">
        <f>K4384*0.08+L4384*0.08</f>
        <v/>
      </c>
      <c r="O4384" s="17">
        <f>-(K4384*0.025+L4384*0.025)</f>
        <v/>
      </c>
      <c r="P4384" s="17">
        <f>32</f>
        <v/>
      </c>
      <c r="Q4384" s="17">
        <f>J4384+L4384+N4384+O4384-P4384-M4384</f>
        <v/>
      </c>
    </row>
    <row r="4385">
      <c r="A4385" s="16" t="inlineStr">
        <is>
          <t>5.8-5.14</t>
        </is>
      </c>
      <c r="B4385" s="16" t="inlineStr">
        <is>
          <t>PO-128-16571407913593147</t>
        </is>
      </c>
      <c r="C4385" s="16" t="inlineStr">
        <is>
          <t>Shipped</t>
        </is>
      </c>
      <c r="D4385" s="16" t="inlineStr">
        <is>
          <t>128-16571449856633147</t>
        </is>
      </c>
      <c r="E4385" s="16" t="inlineStr">
        <is>
          <t>Shipped</t>
        </is>
      </c>
      <c r="F4385" s="16" t="inlineStr">
        <is>
          <t>KTS-2031</t>
        </is>
      </c>
      <c r="G4385" s="16" t="inlineStr">
        <is>
          <t>Bocina inalámbrica de 3 pulgadas con linterna multifuncional y panel solar integrado.Altavoz Portátil con Linterna LED 4 Modos, Radio FM, Bluetooth, Carga Solar, Ideal para Apagones, Emergencias, Campo y Exteriores</t>
        </is>
      </c>
      <c r="H4385" s="16" t="inlineStr">
        <is>
          <t>NEGRO</t>
        </is>
      </c>
      <c r="I4385" s="16" t="n">
        <v>1</v>
      </c>
      <c r="J4385" s="17" t="n">
        <v>75</v>
      </c>
      <c r="K4385" s="17" t="n">
        <v>41.12</v>
      </c>
      <c r="L4385" s="17" t="n">
        <v>25.86</v>
      </c>
      <c r="M4385" s="17" t="n">
        <v>0</v>
      </c>
      <c r="N4385" s="17">
        <f>K4385*0.08+L4385*0.08</f>
        <v/>
      </c>
      <c r="O4385" s="17">
        <f>-(K4385*0.025+L4385*0.025)</f>
        <v/>
      </c>
      <c r="P4385" s="17">
        <f>32</f>
        <v/>
      </c>
      <c r="Q4385" s="17">
        <f>J4385+L4385+N4385+O4385-P4385-M4385</f>
        <v/>
      </c>
    </row>
    <row r="4386">
      <c r="A4386" s="16" t="inlineStr">
        <is>
          <t>5.8-5.14</t>
        </is>
      </c>
      <c r="B4386" s="16" t="inlineStr">
        <is>
          <t>PO-128-17149628795510725</t>
        </is>
      </c>
      <c r="C4386" s="16" t="inlineStr">
        <is>
          <t>Shipped</t>
        </is>
      </c>
      <c r="D4386" s="16" t="inlineStr">
        <is>
          <t>128-17149586852470725</t>
        </is>
      </c>
      <c r="E4386" s="16" t="inlineStr">
        <is>
          <t>Shipped</t>
        </is>
      </c>
      <c r="F4386" s="16" t="inlineStr">
        <is>
          <t>LV54W25</t>
        </is>
      </c>
      <c r="G4386" s="16" t="inlineStr">
        <is>
          <t>TIANLAI Lámpara Ventilador E27 2 en 1, Silenciosa, LED Alta Luminosidad 180°, Instalación Rápida, Ahorro Energético para Dormitorio y Interiores Pequeños</t>
        </is>
      </c>
      <c r="H4386" s="16" t="inlineStr">
        <is>
          <t>1 Pieza</t>
        </is>
      </c>
      <c r="I4386" s="16" t="n">
        <v>3</v>
      </c>
      <c r="J4386" s="17" t="n">
        <v>235.5</v>
      </c>
      <c r="K4386" s="17" t="n">
        <v>164.13</v>
      </c>
      <c r="L4386" s="17" t="n">
        <v>0</v>
      </c>
      <c r="M4386" s="17" t="n">
        <v>0</v>
      </c>
      <c r="N4386" s="17">
        <f>K4386*0.08+L4386*0.08</f>
        <v/>
      </c>
      <c r="O4386" s="17">
        <f>-(K4386*0.025+L4386*0.025)</f>
        <v/>
      </c>
      <c r="P4386" s="17">
        <f>32</f>
        <v/>
      </c>
      <c r="Q4386" s="17">
        <f>J4386+L4386+N4386+O4386-P4386-M4386</f>
        <v/>
      </c>
    </row>
    <row r="4387">
      <c r="A4387" s="16" t="inlineStr">
        <is>
          <t>5.8-5.14</t>
        </is>
      </c>
      <c r="B4387" s="16" t="inlineStr">
        <is>
          <t>PO-128-16681973842552550</t>
        </is>
      </c>
      <c r="C4387" s="16" t="inlineStr">
        <is>
          <t>Shipped</t>
        </is>
      </c>
      <c r="D4387" s="16" t="inlineStr">
        <is>
          <t>128-16682015785592550</t>
        </is>
      </c>
      <c r="E4387" s="16" t="inlineStr">
        <is>
          <t>Shipped</t>
        </is>
      </c>
      <c r="F4387" s="16" t="inlineStr">
        <is>
          <t>LV54W25</t>
        </is>
      </c>
      <c r="G4387" s="16" t="inlineStr">
        <is>
          <t>TIANLAI Lámpara Ventilador E27 2 en 1, Silenciosa, LED Alta Luminosidad 180°, Instalación Rápida, Ahorro Energético para Dormitorio y Interiores Pequeños</t>
        </is>
      </c>
      <c r="H4387" s="16" t="inlineStr">
        <is>
          <t>1 Pieza</t>
        </is>
      </c>
      <c r="I4387" s="16" t="n">
        <v>2</v>
      </c>
      <c r="J4387" s="17" t="n">
        <v>157</v>
      </c>
      <c r="K4387" s="17" t="n">
        <v>164.6</v>
      </c>
      <c r="L4387" s="17" t="n">
        <v>25.86</v>
      </c>
      <c r="M4387" s="17" t="n">
        <v>0</v>
      </c>
      <c r="N4387" s="17">
        <f>K4387*0.08+L4387*0.08</f>
        <v/>
      </c>
      <c r="O4387" s="17">
        <f>-(K4387*0.025+L4387*0.025)</f>
        <v/>
      </c>
      <c r="P4387" s="17">
        <f>32</f>
        <v/>
      </c>
      <c r="Q4387" s="17">
        <f>J4387+L4387+N4387+O4387-P4387-M4387</f>
        <v/>
      </c>
    </row>
    <row r="4388">
      <c r="A4388" s="16" t="inlineStr">
        <is>
          <t>5.8-5.14</t>
        </is>
      </c>
      <c r="B4388" s="16" t="inlineStr">
        <is>
          <t>PO-128-06159067658870760</t>
        </is>
      </c>
      <c r="C4388" s="16" t="inlineStr">
        <is>
          <t>Shipped</t>
        </is>
      </c>
      <c r="D4388" s="16" t="inlineStr">
        <is>
          <t>128-06159025715830760</t>
        </is>
      </c>
      <c r="E4388" s="16" t="inlineStr">
        <is>
          <t>Shipped</t>
        </is>
      </c>
      <c r="F4388" s="16" t="inlineStr">
        <is>
          <t>i12-B</t>
        </is>
      </c>
      <c r="G4388" s="16" t="inlineStr">
        <is>
          <t>Auriculares Inalámbricos TWS - Ideales para Usuarios Android e iPhone, Entusiastas del Deporte &amp; Música, Controles Táctiles, Audífonos Para Correr y Jugar</t>
        </is>
      </c>
      <c r="H4388" s="16" t="inlineStr">
        <is>
          <t>Blanco</t>
        </is>
      </c>
      <c r="I4388" s="16" t="n">
        <v>1</v>
      </c>
      <c r="J4388" s="17" t="n">
        <v>42</v>
      </c>
      <c r="K4388" s="17" t="n">
        <v>58.18</v>
      </c>
      <c r="L4388" s="17" t="n">
        <v>25.86</v>
      </c>
      <c r="M4388" s="17" t="n">
        <v>0</v>
      </c>
      <c r="N4388" s="17">
        <f>K4388*0.08+L4388*0.08</f>
        <v/>
      </c>
      <c r="O4388" s="17">
        <f>-(K4388*0.025+L4388*0.025)</f>
        <v/>
      </c>
      <c r="P4388" s="17">
        <f>32</f>
        <v/>
      </c>
      <c r="Q4388" s="17">
        <f>J4388+L4388+N4388+O4388-P4388-M4388</f>
        <v/>
      </c>
    </row>
    <row r="4389">
      <c r="A4389" s="16" t="inlineStr">
        <is>
          <t>5.8-5.14</t>
        </is>
      </c>
      <c r="B4389" s="16" t="inlineStr">
        <is>
          <t>PO-128-05514501089913578</t>
        </is>
      </c>
      <c r="C4389" s="16" t="inlineStr">
        <is>
          <t>Shipped</t>
        </is>
      </c>
      <c r="D4389" s="16" t="inlineStr">
        <is>
          <t>128-05514459146873578</t>
        </is>
      </c>
      <c r="E4389" s="16" t="inlineStr">
        <is>
          <t>Shipped</t>
        </is>
      </c>
      <c r="F4389" s="16" t="inlineStr">
        <is>
          <t>BSC04</t>
        </is>
      </c>
      <c r="G4389" s="16" t="inlineStr">
        <is>
          <t>TIANLAI Báscula Digital BSC04/BSC07, Alta Precisión, Fácil Operación, Ligera y Portátil, Función Tara, Unidad Dual oz/g, Ideal para Cocina, Control de Porciones, Sellos y Objetos Pequeños, Uso en Hogar y Viaje</t>
        </is>
      </c>
      <c r="H4389" s="16" t="inlineStr">
        <is>
          <t>5g/White</t>
        </is>
      </c>
      <c r="I4389" s="16" t="n">
        <v>1</v>
      </c>
      <c r="J4389" s="17" t="n">
        <v>57.5</v>
      </c>
      <c r="K4389" s="17" t="n">
        <v>73.78</v>
      </c>
      <c r="L4389" s="17" t="n">
        <v>25.86</v>
      </c>
      <c r="M4389" s="17" t="n">
        <v>0</v>
      </c>
      <c r="N4389" s="17">
        <f>K4389*0.08+L4389*0.08</f>
        <v/>
      </c>
      <c r="O4389" s="17">
        <f>-(K4389*0.025+L4389*0.025)</f>
        <v/>
      </c>
      <c r="P4389" s="17">
        <f>32</f>
        <v/>
      </c>
      <c r="Q4389" s="17">
        <f>J4389+L4389+N4389+O4389-P4389-M4389</f>
        <v/>
      </c>
    </row>
    <row r="4390">
      <c r="A4390" s="16" t="inlineStr">
        <is>
          <t>5.8-5.14</t>
        </is>
      </c>
      <c r="B4390" s="16" t="inlineStr">
        <is>
          <t>PO-128-05817435382392796</t>
        </is>
      </c>
      <c r="C4390" s="16" t="inlineStr">
        <is>
          <t>Shipped</t>
        </is>
      </c>
      <c r="D4390" s="16" t="inlineStr">
        <is>
          <t>128-05817487811192796</t>
        </is>
      </c>
      <c r="E4390" s="16" t="inlineStr">
        <is>
          <t>Shipped</t>
        </is>
      </c>
      <c r="F4390" s="16" t="inlineStr">
        <is>
          <t>LV54W25</t>
        </is>
      </c>
      <c r="G4390" s="16" t="inlineStr">
        <is>
          <t>TIANLAI Lámpara Ventilador E27 2 en 1, Silenciosa, LED Alta Luminosidad 180°, Instalación Rápida, Ahorro Energético para Dormitorio y Interiores Pequeños</t>
        </is>
      </c>
      <c r="H4390" s="16" t="inlineStr">
        <is>
          <t>1 Pieza</t>
        </is>
      </c>
      <c r="I4390" s="16" t="n">
        <v>1</v>
      </c>
      <c r="J4390" s="17" t="n">
        <v>78.5</v>
      </c>
      <c r="K4390" s="17" t="n">
        <v>82.3</v>
      </c>
      <c r="L4390" s="17" t="n">
        <v>25.86</v>
      </c>
      <c r="M4390" s="17" t="n">
        <v>0</v>
      </c>
      <c r="N4390" s="17">
        <f>K4390*0.08+L4390*0.08</f>
        <v/>
      </c>
      <c r="O4390" s="17">
        <f>-(K4390*0.025+L4390*0.025)</f>
        <v/>
      </c>
      <c r="P4390" s="17">
        <f>32</f>
        <v/>
      </c>
      <c r="Q4390" s="17">
        <f>J4390+L4390+N4390+O4390-P4390-M4390</f>
        <v/>
      </c>
    </row>
    <row r="4391">
      <c r="A4391" s="16" t="inlineStr">
        <is>
          <t>5.8-5.14</t>
        </is>
      </c>
      <c r="B4391" s="16" t="inlineStr">
        <is>
          <t>PO-128-06107808922230939</t>
        </is>
      </c>
      <c r="C4391" s="16" t="inlineStr">
        <is>
          <t>Shipped</t>
        </is>
      </c>
      <c r="D4391" s="16" t="inlineStr">
        <is>
          <t>128-06107787950710939</t>
        </is>
      </c>
      <c r="E4391" s="16" t="inlineStr">
        <is>
          <t>Shipped</t>
        </is>
      </c>
      <c r="F4391" s="16" t="inlineStr">
        <is>
          <t>lV64W25l</t>
        </is>
      </c>
      <c r="G4391" s="16" t="inlineStr">
        <is>
          <t>TIANLAI Ventilador de Techo Silencioso con Luz LED 3 Colores, Base E27 Fácil Instalación, 3 Velocidades con Control Remoto y Temporizador, Ahorro Energético, Ideal para Dormitorios, Salas, Cocinas, Baños y Apartamentos</t>
        </is>
      </c>
      <c r="H4391" s="16" t="inlineStr">
        <is>
          <t>BLANCO</t>
        </is>
      </c>
      <c r="I4391" s="16" t="n">
        <v>1</v>
      </c>
      <c r="J4391" s="17" t="n">
        <v>120</v>
      </c>
      <c r="K4391" s="17" t="n">
        <v>166.54</v>
      </c>
      <c r="L4391" s="17" t="n">
        <v>25.86</v>
      </c>
      <c r="M4391" s="17" t="n">
        <v>0</v>
      </c>
      <c r="N4391" s="17">
        <f>K4391*0.08+L4391*0.08</f>
        <v/>
      </c>
      <c r="O4391" s="17">
        <f>-(K4391*0.025+L4391*0.025)</f>
        <v/>
      </c>
      <c r="P4391" s="17">
        <f>32</f>
        <v/>
      </c>
      <c r="Q4391" s="17">
        <f>J4391+L4391+N4391+O4391-P4391-M4391</f>
        <v/>
      </c>
    </row>
    <row r="4392">
      <c r="A4392" s="16" t="inlineStr">
        <is>
          <t>5.8-5.14</t>
        </is>
      </c>
      <c r="B4392" s="16" t="inlineStr">
        <is>
          <t>PO-128-06144897055350652</t>
        </is>
      </c>
      <c r="C4392" s="16" t="inlineStr">
        <is>
          <t>Shipped</t>
        </is>
      </c>
      <c r="D4392" s="16" t="inlineStr">
        <is>
          <t>128-06144844626550652</t>
        </is>
      </c>
      <c r="E4392" s="16" t="inlineStr">
        <is>
          <t>Shipped</t>
        </is>
      </c>
      <c r="F4392" s="16" t="inlineStr">
        <is>
          <t>LV54W25</t>
        </is>
      </c>
      <c r="G4392" s="16" t="inlineStr">
        <is>
          <t>TIANLAI Lámpara Ventilador E27 2 en 1, Silenciosa, LED Alta Luminosidad 180°, Instalación Rápida, Ahorro Energético para Dormitorio y Interiores Pequeños</t>
        </is>
      </c>
      <c r="H4392" s="16" t="inlineStr">
        <is>
          <t>1 Pieza</t>
        </is>
      </c>
      <c r="I4392" s="16" t="n">
        <v>3</v>
      </c>
      <c r="J4392" s="17" t="n">
        <v>235.5</v>
      </c>
      <c r="K4392" s="17" t="n">
        <v>228.33</v>
      </c>
      <c r="L4392" s="17" t="n">
        <v>0</v>
      </c>
      <c r="M4392" s="17" t="n">
        <v>0</v>
      </c>
      <c r="N4392" s="17">
        <f>K4392*0.08+L4392*0.08</f>
        <v/>
      </c>
      <c r="O4392" s="17">
        <f>-(K4392*0.025+L4392*0.025)</f>
        <v/>
      </c>
      <c r="P4392" s="17">
        <f>32</f>
        <v/>
      </c>
      <c r="Q4392" s="17">
        <f>J4392+L4392+N4392+O4392-P4392-M4392</f>
        <v/>
      </c>
    </row>
    <row r="4393">
      <c r="A4393" s="16" t="inlineStr">
        <is>
          <t>5.8-5.14</t>
        </is>
      </c>
      <c r="B4393" s="16" t="inlineStr">
        <is>
          <t>PO-128-06106507407990947</t>
        </is>
      </c>
      <c r="C4393" s="16" t="inlineStr">
        <is>
          <t>Shipped</t>
        </is>
      </c>
      <c r="D4393" s="16" t="inlineStr">
        <is>
          <t>128-06106559836790947</t>
        </is>
      </c>
      <c r="E4393" s="16" t="inlineStr">
        <is>
          <t>Shipped</t>
        </is>
      </c>
      <c r="F4393" s="16" t="inlineStr">
        <is>
          <t>LV54W25</t>
        </is>
      </c>
      <c r="G4393" s="16" t="inlineStr">
        <is>
          <t>TIANLAI Lámpara Ventilador E27 2 en 1, Silenciosa, LED Alta Luminosidad 180°, Instalación Rápida, Ahorro Energético para Dormitorio y Interiores Pequeños</t>
        </is>
      </c>
      <c r="H4393" s="16" t="inlineStr">
        <is>
          <t>1 Pieza</t>
        </is>
      </c>
      <c r="I4393" s="16" t="n">
        <v>3</v>
      </c>
      <c r="J4393" s="17" t="n">
        <v>235.5</v>
      </c>
      <c r="K4393" s="17" t="n">
        <v>246.9</v>
      </c>
      <c r="L4393" s="17" t="n">
        <v>0</v>
      </c>
      <c r="M4393" s="17" t="n">
        <v>0</v>
      </c>
      <c r="N4393" s="17">
        <f>K4393*0.08+L4393*0.08</f>
        <v/>
      </c>
      <c r="O4393" s="17">
        <f>-(K4393*0.025+L4393*0.025)</f>
        <v/>
      </c>
      <c r="P4393" s="17">
        <f>32</f>
        <v/>
      </c>
      <c r="Q4393" s="17">
        <f>J4393+L4393+N4393+O4393-P4393-M4393</f>
        <v/>
      </c>
    </row>
    <row r="4394">
      <c r="A4394" s="16" t="inlineStr">
        <is>
          <t>5.8-5.14</t>
        </is>
      </c>
      <c r="B4394" s="16" t="inlineStr">
        <is>
          <t>PO-128-05780168888952826</t>
        </is>
      </c>
      <c r="C4394" s="16" t="inlineStr">
        <is>
          <t>Shipped</t>
        </is>
      </c>
      <c r="D4394" s="16" t="inlineStr">
        <is>
          <t>128-05780210831992826</t>
        </is>
      </c>
      <c r="E4394" s="16" t="inlineStr">
        <is>
          <t>Shipped</t>
        </is>
      </c>
      <c r="F4394" s="16" t="inlineStr">
        <is>
          <t>BG-115-P</t>
        </is>
      </c>
      <c r="G4394" s="16" t="inlineStr">
        <is>
          <t>LINK BITS Audífonos Inalámbricos con Luces Multicolor, Recargables y en Adorable Forma de Orejas de Gato - Conecta a Celulares y PCs, Tiene Radio FM, Tarjeta TF y AUX - 7 Horas de Reproducción, Plegables y Perfectos para Trabajo, Juegos y Estudio</t>
        </is>
      </c>
      <c r="H4394" s="16" t="inlineStr">
        <is>
          <t>rosa</t>
        </is>
      </c>
      <c r="I4394" s="16" t="n">
        <v>1</v>
      </c>
      <c r="J4394" s="17" t="n">
        <v>76</v>
      </c>
      <c r="K4394" s="17" t="n">
        <v>86.73999999999999</v>
      </c>
      <c r="L4394" s="17" t="n">
        <v>25.86</v>
      </c>
      <c r="M4394" s="17" t="n">
        <v>0</v>
      </c>
      <c r="N4394" s="17">
        <f>K4394*0.08+L4394*0.08</f>
        <v/>
      </c>
      <c r="O4394" s="17">
        <f>-(K4394*0.025+L4394*0.025)</f>
        <v/>
      </c>
      <c r="P4394" s="17">
        <f>32</f>
        <v/>
      </c>
      <c r="Q4394" s="17">
        <f>J4394+L4394+N4394+O4394-P4394-M4394</f>
        <v/>
      </c>
    </row>
    <row r="4395">
      <c r="A4395" s="16" t="inlineStr">
        <is>
          <t>5.8-5.14</t>
        </is>
      </c>
      <c r="B4395" s="16" t="inlineStr">
        <is>
          <t>PO-128-05826529408632614</t>
        </is>
      </c>
      <c r="C4395" s="16" t="inlineStr">
        <is>
          <t>Shipped</t>
        </is>
      </c>
      <c r="D4395" s="16" t="inlineStr">
        <is>
          <t>128-05826487465592614</t>
        </is>
      </c>
      <c r="E4395" s="16" t="inlineStr">
        <is>
          <t>Shipped</t>
        </is>
      </c>
      <c r="F4395" s="16" t="inlineStr">
        <is>
          <t>VA371T</t>
        </is>
      </c>
      <c r="G4395" s="16" t="inlineStr">
        <is>
          <t>Linkbits Bocina Bluetooth Portátil 3" de Alta Gama，Hi-Res Audio y Graves Potentes，Luces LED + Soporte USB/TF/FM/TWS，Ideal para Hogar y Aire Libre</t>
        </is>
      </c>
      <c r="H4395" s="16" t="inlineStr">
        <is>
          <t>VA371T</t>
        </is>
      </c>
      <c r="I4395" s="16" t="n">
        <v>1</v>
      </c>
      <c r="J4395" s="17" t="n">
        <v>41.32</v>
      </c>
      <c r="K4395" s="17" t="n">
        <v>6.6</v>
      </c>
      <c r="L4395" s="17" t="n">
        <v>25.86</v>
      </c>
      <c r="M4395" s="17" t="n">
        <v>0</v>
      </c>
      <c r="N4395" s="17">
        <f>K4395*0.08+L4395*0.08</f>
        <v/>
      </c>
      <c r="O4395" s="17">
        <f>-(K4395*0.025+L4395*0.025)</f>
        <v/>
      </c>
      <c r="P4395" s="17">
        <f>32</f>
        <v/>
      </c>
      <c r="Q4395" s="17">
        <f>J4395+L4395+N4395+O4395-P4395-M4395</f>
        <v/>
      </c>
    </row>
    <row r="4396">
      <c r="A4396" s="16" t="inlineStr">
        <is>
          <t>5.8-5.14</t>
        </is>
      </c>
      <c r="B4396" s="16" t="inlineStr">
        <is>
          <t>PO-128-05778856581752834</t>
        </is>
      </c>
      <c r="C4396" s="16" t="inlineStr">
        <is>
          <t>Shipped</t>
        </is>
      </c>
      <c r="D4396" s="16" t="inlineStr">
        <is>
          <t>128-05778877553272834</t>
        </is>
      </c>
      <c r="E4396" s="16" t="inlineStr">
        <is>
          <t>Shipped</t>
        </is>
      </c>
      <c r="F4396" s="16" t="inlineStr">
        <is>
          <t>LV54W25</t>
        </is>
      </c>
      <c r="G4396" s="16" t="inlineStr">
        <is>
          <t>TIANLAI Lámpara Ventilador E27 2 en 1, Silenciosa, LED Alta Luminosidad 180°, Instalación Rápida, Ahorro Energético para Dormitorio y Interiores Pequeños</t>
        </is>
      </c>
      <c r="H4396" s="16" t="inlineStr">
        <is>
          <t>1 Pieza</t>
        </is>
      </c>
      <c r="I4396" s="16" t="n">
        <v>3</v>
      </c>
      <c r="J4396" s="17" t="n">
        <v>235.5</v>
      </c>
      <c r="K4396" s="17" t="n">
        <v>246.9</v>
      </c>
      <c r="L4396" s="17" t="n">
        <v>0</v>
      </c>
      <c r="M4396" s="17" t="n">
        <v>0</v>
      </c>
      <c r="N4396" s="17">
        <f>K4396*0.08+L4396*0.08</f>
        <v/>
      </c>
      <c r="O4396" s="17">
        <f>-(K4396*0.025+L4396*0.025)</f>
        <v/>
      </c>
      <c r="P4396" s="17">
        <f>32</f>
        <v/>
      </c>
      <c r="Q4396" s="17">
        <f>J4396+L4396+N4396+O4396-P4396-M4396</f>
        <v/>
      </c>
    </row>
    <row r="4397">
      <c r="A4397" s="16" t="inlineStr">
        <is>
          <t>5.8-5.14</t>
        </is>
      </c>
      <c r="B4397" s="16" t="inlineStr">
        <is>
          <t>PO-128-05949265603191818</t>
        </is>
      </c>
      <c r="C4397" s="16" t="inlineStr">
        <is>
          <t>Shipped</t>
        </is>
      </c>
      <c r="D4397" s="16" t="inlineStr">
        <is>
          <t>128-05949219727991818</t>
        </is>
      </c>
      <c r="E4397" s="16" t="inlineStr">
        <is>
          <t>Shipped</t>
        </is>
      </c>
      <c r="F4397" s="16" t="inlineStr">
        <is>
          <t>LV54W25</t>
        </is>
      </c>
      <c r="G4397" s="16" t="inlineStr">
        <is>
          <t>TIANLAI Lámpara Ventilador E27 2 en 1, Silenciosa, LED Alta Luminosidad 180°, Instalación Rápida, Ahorro Energético para Dormitorio y Interiores Pequeños</t>
        </is>
      </c>
      <c r="H4397" s="16" t="inlineStr">
        <is>
          <t>1 Pieza</t>
        </is>
      </c>
      <c r="I4397" s="16" t="n">
        <v>2</v>
      </c>
      <c r="J4397" s="17" t="n">
        <v>157</v>
      </c>
      <c r="K4397" s="17" t="n">
        <v>164.6</v>
      </c>
      <c r="L4397" s="17" t="n">
        <v>25.86</v>
      </c>
      <c r="M4397" s="17" t="n">
        <v>0</v>
      </c>
      <c r="N4397" s="17">
        <f>K4397*0.08+L4397*0.08</f>
        <v/>
      </c>
      <c r="O4397" s="17">
        <f>-(K4397*0.025+L4397*0.025)</f>
        <v/>
      </c>
      <c r="P4397" s="17">
        <f>32</f>
        <v/>
      </c>
      <c r="Q4397" s="17">
        <f>J4397+L4397+N4397+O4397-P4397-M4397</f>
        <v/>
      </c>
    </row>
    <row r="4398">
      <c r="A4398" s="16" t="inlineStr">
        <is>
          <t>5.8-5.14</t>
        </is>
      </c>
      <c r="B4398" s="16" t="inlineStr">
        <is>
          <t>PO-128-05713725246072198</t>
        </is>
      </c>
      <c r="C4398" s="16" t="inlineStr">
        <is>
          <t>Shipped</t>
        </is>
      </c>
      <c r="D4398" s="16" t="inlineStr">
        <is>
          <t>128-05713767189112198</t>
        </is>
      </c>
      <c r="E4398" s="16" t="inlineStr">
        <is>
          <t>Shipped</t>
        </is>
      </c>
      <c r="F4398" s="16" t="inlineStr">
        <is>
          <t>LV54W25</t>
        </is>
      </c>
      <c r="G4398" s="16" t="inlineStr">
        <is>
          <t>TIANLAI Lámpara Ventilador E27 2 en 1, Silenciosa, LED Alta Luminosidad 180°, Instalación Rápida, Ahorro Energético para Dormitorio y Interiores Pequeños</t>
        </is>
      </c>
      <c r="H4398" s="16" t="inlineStr">
        <is>
          <t>1 Pieza</t>
        </is>
      </c>
      <c r="I4398" s="16" t="n">
        <v>1</v>
      </c>
      <c r="J4398" s="17" t="n">
        <v>78.5</v>
      </c>
      <c r="K4398" s="17" t="n">
        <v>82.3</v>
      </c>
      <c r="L4398" s="17" t="n">
        <v>25.86</v>
      </c>
      <c r="M4398" s="17" t="n">
        <v>0</v>
      </c>
      <c r="N4398" s="17">
        <f>K4398*0.08+L4398*0.08</f>
        <v/>
      </c>
      <c r="O4398" s="17">
        <f>-(K4398*0.025+L4398*0.025)</f>
        <v/>
      </c>
      <c r="P4398" s="17">
        <f>32</f>
        <v/>
      </c>
      <c r="Q4398" s="17">
        <f>J4398+L4398+N4398+O4398-P4398-M4398</f>
        <v/>
      </c>
    </row>
    <row r="4399">
      <c r="A4399" s="16" t="inlineStr">
        <is>
          <t>5.8-5.14</t>
        </is>
      </c>
      <c r="B4399" s="16" t="inlineStr">
        <is>
          <t>PO-128-06098299710070098</t>
        </is>
      </c>
      <c r="C4399" s="16" t="inlineStr">
        <is>
          <t>Shipped</t>
        </is>
      </c>
      <c r="D4399" s="16" t="inlineStr">
        <is>
          <t>128-06098320681590098</t>
        </is>
      </c>
      <c r="E4399" s="16" t="inlineStr">
        <is>
          <t>Shipped</t>
        </is>
      </c>
      <c r="F4399" s="16" t="inlineStr">
        <is>
          <t>LV54W25</t>
        </is>
      </c>
      <c r="G4399" s="16" t="inlineStr">
        <is>
          <t>TIANLAI Lámpara Ventilador E27 2 en 1, Silenciosa, LED Alta Luminosidad 180°, Instalación Rápida, Ahorro Energético para Dormitorio y Interiores Pequeños</t>
        </is>
      </c>
      <c r="H4399" s="16" t="inlineStr">
        <is>
          <t>1 Pieza</t>
        </is>
      </c>
      <c r="I4399" s="16" t="n">
        <v>1</v>
      </c>
      <c r="J4399" s="17" t="n">
        <v>78.5</v>
      </c>
      <c r="K4399" s="17" t="n">
        <v>95.7</v>
      </c>
      <c r="L4399" s="17" t="n">
        <v>25.86</v>
      </c>
      <c r="M4399" s="17" t="n">
        <v>0</v>
      </c>
      <c r="N4399" s="17">
        <f>K4399*0.08+L4399*0.08</f>
        <v/>
      </c>
      <c r="O4399" s="17">
        <f>-(K4399*0.025+L4399*0.025)</f>
        <v/>
      </c>
      <c r="P4399" s="17">
        <f>32</f>
        <v/>
      </c>
      <c r="Q4399" s="17">
        <f>J4399+L4399+N4399+O4399-P4399-M4399</f>
        <v/>
      </c>
    </row>
    <row r="4400">
      <c r="A4400" s="16" t="inlineStr">
        <is>
          <t>5.8-5.14</t>
        </is>
      </c>
      <c r="B4400" s="16" t="inlineStr">
        <is>
          <t>PO-128-05717668347512177</t>
        </is>
      </c>
      <c r="C4400" s="16" t="inlineStr">
        <is>
          <t>Shipped</t>
        </is>
      </c>
      <c r="D4400" s="16" t="inlineStr">
        <is>
          <t>128-05717647375992177</t>
        </is>
      </c>
      <c r="E4400" s="16" t="inlineStr">
        <is>
          <t>Shipped</t>
        </is>
      </c>
      <c r="F4400" s="16" t="inlineStr">
        <is>
          <t>LV54W25</t>
        </is>
      </c>
      <c r="G4400" s="16" t="inlineStr">
        <is>
          <t>TIANLAI Lámpara Ventilador E27 2 en 1, Silenciosa, LED Alta Luminosidad 180°, Instalación Rápida, Ahorro Energético para Dormitorio y Interiores Pequeños</t>
        </is>
      </c>
      <c r="H4400" s="16" t="inlineStr">
        <is>
          <t>1 Pieza</t>
        </is>
      </c>
      <c r="I4400" s="16" t="n">
        <v>1</v>
      </c>
      <c r="J4400" s="17" t="n">
        <v>78.5</v>
      </c>
      <c r="K4400" s="17" t="n">
        <v>68.97</v>
      </c>
      <c r="L4400" s="17" t="n">
        <v>25.86</v>
      </c>
      <c r="M4400" s="17" t="n">
        <v>0</v>
      </c>
      <c r="N4400" s="17">
        <f>K4400*0.08+L4400*0.08</f>
        <v/>
      </c>
      <c r="O4400" s="17">
        <f>-(K4400*0.025+L4400*0.025)</f>
        <v/>
      </c>
      <c r="P4400" s="17">
        <f>32</f>
        <v/>
      </c>
      <c r="Q4400" s="17">
        <f>J4400+L4400+N4400+O4400-P4400-M4400</f>
        <v/>
      </c>
    </row>
    <row r="4401">
      <c r="A4401" s="16" t="inlineStr">
        <is>
          <t>5.8-5.14</t>
        </is>
      </c>
      <c r="B4401" s="16" t="inlineStr">
        <is>
          <t>PO-128-05640359670393789</t>
        </is>
      </c>
      <c r="C4401" s="16" t="inlineStr">
        <is>
          <t>Shipped</t>
        </is>
      </c>
      <c r="D4401" s="16" t="inlineStr">
        <is>
          <t>128-05640380641913789</t>
        </is>
      </c>
      <c r="E4401" s="16" t="inlineStr">
        <is>
          <t>Shipped</t>
        </is>
      </c>
      <c r="F4401" s="16" t="inlineStr">
        <is>
          <t>KTS-2031</t>
        </is>
      </c>
      <c r="G4401" s="16" t="inlineStr">
        <is>
          <t>Bocina inalámbrica de 3 pulgadas con linterna multifuncional y panel solar integrado.Altavoz Portátil con Linterna LED 4 Modos, Radio FM, Bluetooth, Carga Solar, Ideal para Apagones, Emergencias, Campo y Exteriores</t>
        </is>
      </c>
      <c r="H4401" s="16" t="inlineStr">
        <is>
          <t>NEGRO</t>
        </is>
      </c>
      <c r="I4401" s="16" t="n">
        <v>1</v>
      </c>
      <c r="J4401" s="17" t="n">
        <v>75</v>
      </c>
      <c r="K4401" s="17" t="n">
        <v>84.23</v>
      </c>
      <c r="L4401" s="17" t="n">
        <v>0</v>
      </c>
      <c r="M4401" s="17" t="n">
        <v>0</v>
      </c>
      <c r="N4401" s="17">
        <f>K4401*0.08+L4401*0.08</f>
        <v/>
      </c>
      <c r="O4401" s="17">
        <f>-(K4401*0.025+L4401*0.025)</f>
        <v/>
      </c>
      <c r="P4401" s="17">
        <f>32</f>
        <v/>
      </c>
      <c r="Q4401" s="17">
        <f>J4401+L4401+N4401+O4401-P4401-M4401</f>
        <v/>
      </c>
    </row>
    <row r="4402">
      <c r="A4402" s="16" t="inlineStr">
        <is>
          <t>5.8-5.14</t>
        </is>
      </c>
      <c r="B4402" s="16" t="inlineStr">
        <is>
          <t>PO-128-05640359670393789</t>
        </is>
      </c>
      <c r="C4402" s="16" t="inlineStr">
        <is>
          <t>Shipped</t>
        </is>
      </c>
      <c r="D4402" s="16" t="inlineStr">
        <is>
          <t>128-05640422584953789</t>
        </is>
      </c>
      <c r="E4402" s="16" t="inlineStr">
        <is>
          <t>Shipped</t>
        </is>
      </c>
      <c r="F4402" s="16" t="inlineStr">
        <is>
          <t>lV64W25l</t>
        </is>
      </c>
      <c r="G4402" s="16" t="inlineStr">
        <is>
          <t>TIANLAI Ventilador de Techo Silencioso con Luz LED 3 Colores, Base E27 Fácil Instalación, 3 Velocidades con Control Remoto y Temporizador, Ahorro Energético, Ideal para Dormitorios, Salas, Cocinas, Baños y Apartamentos</t>
        </is>
      </c>
      <c r="H4402" s="16" t="inlineStr">
        <is>
          <t>BLANCO</t>
        </is>
      </c>
      <c r="I4402" s="16" t="n">
        <v>1</v>
      </c>
      <c r="J4402" s="17" t="n">
        <v>120</v>
      </c>
      <c r="K4402" s="17" t="n">
        <v>166.54</v>
      </c>
      <c r="L4402" s="17" t="n">
        <v>0</v>
      </c>
      <c r="M4402" s="17" t="n">
        <v>0</v>
      </c>
      <c r="N4402" s="17">
        <f>K4402*0.08+L4402*0.08</f>
        <v/>
      </c>
      <c r="O4402" s="17">
        <f>-(K4402*0.025+L4402*0.025)</f>
        <v/>
      </c>
      <c r="P4402" s="17">
        <f>32</f>
        <v/>
      </c>
      <c r="Q4402" s="17">
        <f>J4402+L4402+N4402+O4402-P4402-M4402</f>
        <v/>
      </c>
    </row>
    <row r="4403">
      <c r="A4403" s="16" t="inlineStr">
        <is>
          <t>5.8-5.14</t>
        </is>
      </c>
      <c r="B4403" s="16" t="inlineStr">
        <is>
          <t>PO-128-05640359670393789</t>
        </is>
      </c>
      <c r="C4403" s="16" t="inlineStr">
        <is>
          <t>Shipped</t>
        </is>
      </c>
      <c r="D4403" s="16" t="inlineStr">
        <is>
          <t>128-05640490742393789</t>
        </is>
      </c>
      <c r="E4403" s="16" t="inlineStr">
        <is>
          <t>Shipped</t>
        </is>
      </c>
      <c r="F4403" s="16" t="inlineStr">
        <is>
          <t>SA323T</t>
        </is>
      </c>
      <c r="G4403"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4403" s="16" t="inlineStr">
        <is>
          <t>AZUL/SA323T</t>
        </is>
      </c>
      <c r="I4403" s="16" t="n">
        <v>1</v>
      </c>
      <c r="J4403" s="17" t="n">
        <v>45</v>
      </c>
      <c r="K4403" s="17" t="n">
        <v>54.07</v>
      </c>
      <c r="L4403" s="17" t="n">
        <v>0</v>
      </c>
      <c r="M4403" s="17" t="n">
        <v>0</v>
      </c>
      <c r="N4403" s="17">
        <f>K4403*0.08+L4403*0.08</f>
        <v/>
      </c>
      <c r="O4403" s="17">
        <f>-(K4403*0.025+L4403*0.025)</f>
        <v/>
      </c>
      <c r="P4403" s="17">
        <f>32</f>
        <v/>
      </c>
      <c r="Q4403" s="17">
        <f>J4403+L4403+N4403+O4403-P4403-M4403</f>
        <v/>
      </c>
    </row>
    <row r="4404">
      <c r="A4404" s="16" t="inlineStr">
        <is>
          <t>5.8-5.14</t>
        </is>
      </c>
      <c r="B4404" s="16" t="inlineStr">
        <is>
          <t>PO-128-05640359670393789</t>
        </is>
      </c>
      <c r="C4404" s="16" t="inlineStr">
        <is>
          <t>Shipped</t>
        </is>
      </c>
      <c r="D4404" s="16" t="inlineStr">
        <is>
          <t>128-05640464527993789</t>
        </is>
      </c>
      <c r="E4404" s="16" t="inlineStr">
        <is>
          <t>Shipped</t>
        </is>
      </c>
      <c r="F4404" s="16" t="inlineStr">
        <is>
          <t>LV54W25</t>
        </is>
      </c>
      <c r="G4404" s="16" t="inlineStr">
        <is>
          <t>TIANLAI Lámpara Ventilador E27 2 en 1, Silenciosa, LED Alta Luminosidad 180°, Instalación Rápida, Ahorro Energético para Dormitorio y Interiores Pequeños</t>
        </is>
      </c>
      <c r="H4404" s="16" t="inlineStr">
        <is>
          <t>1 Pieza</t>
        </is>
      </c>
      <c r="I4404" s="16" t="n">
        <v>1</v>
      </c>
      <c r="J4404" s="17" t="n">
        <v>78.5</v>
      </c>
      <c r="K4404" s="17" t="n">
        <v>82.3</v>
      </c>
      <c r="L4404" s="17" t="n">
        <v>0</v>
      </c>
      <c r="M4404" s="17" t="n">
        <v>0</v>
      </c>
      <c r="N4404" s="17">
        <f>K4404*0.08+L4404*0.08</f>
        <v/>
      </c>
      <c r="O4404" s="17">
        <f>-(K4404*0.025+L4404*0.025)</f>
        <v/>
      </c>
      <c r="P4404" s="17">
        <f>32</f>
        <v/>
      </c>
      <c r="Q4404" s="17">
        <f>J4404+L4404+N4404+O4404-P4404-M4404</f>
        <v/>
      </c>
    </row>
    <row r="4405">
      <c r="A4405" s="16" t="inlineStr">
        <is>
          <t>5.8-5.14</t>
        </is>
      </c>
      <c r="B4405" s="16" t="inlineStr">
        <is>
          <t>PO-128-06079519631990018</t>
        </is>
      </c>
      <c r="C4405" s="16" t="inlineStr">
        <is>
          <t>Shipped</t>
        </is>
      </c>
      <c r="D4405" s="16" t="inlineStr">
        <is>
          <t>128-06079477688950018</t>
        </is>
      </c>
      <c r="E4405" s="16" t="inlineStr">
        <is>
          <t>Shipped</t>
        </is>
      </c>
      <c r="F4405" s="16" t="inlineStr">
        <is>
          <t>LV54W25</t>
        </is>
      </c>
      <c r="G4405" s="16" t="inlineStr">
        <is>
          <t>TIANLAI Lámpara Ventilador E27 2 en 1, Silenciosa, LED Alta Luminosidad 180°, Instalación Rápida, Ahorro Energético para Dormitorio y Interiores Pequeños</t>
        </is>
      </c>
      <c r="H4405" s="16" t="inlineStr">
        <is>
          <t>1 Pieza</t>
        </is>
      </c>
      <c r="I4405" s="16" t="n">
        <v>1</v>
      </c>
      <c r="J4405" s="17" t="n">
        <v>78.5</v>
      </c>
      <c r="K4405" s="17" t="n">
        <v>65.84</v>
      </c>
      <c r="L4405" s="17" t="n">
        <v>25.86</v>
      </c>
      <c r="M4405" s="17" t="n">
        <v>0</v>
      </c>
      <c r="N4405" s="17">
        <f>K4405*0.08+L4405*0.08</f>
        <v/>
      </c>
      <c r="O4405" s="17">
        <f>-(K4405*0.025+L4405*0.025)</f>
        <v/>
      </c>
      <c r="P4405" s="17">
        <f>32</f>
        <v/>
      </c>
      <c r="Q4405" s="17">
        <f>J4405+L4405+N4405+O4405-P4405-M4405</f>
        <v/>
      </c>
    </row>
    <row r="4406">
      <c r="A4406" s="16" t="inlineStr">
        <is>
          <t>5.8-5.14</t>
        </is>
      </c>
      <c r="B4406" s="16" t="inlineStr">
        <is>
          <t>PO-128-05540888504953228</t>
        </is>
      </c>
      <c r="C4406" s="16" t="inlineStr">
        <is>
          <t>Shipped</t>
        </is>
      </c>
      <c r="D4406" s="16" t="inlineStr">
        <is>
          <t>128-05540880640633228</t>
        </is>
      </c>
      <c r="E4406" s="16" t="inlineStr">
        <is>
          <t>Shipped</t>
        </is>
      </c>
      <c r="F4406" s="16" t="inlineStr">
        <is>
          <t>BSC07</t>
        </is>
      </c>
      <c r="G4406" s="16" t="inlineStr">
        <is>
          <t>TIANLAI Báscula Digital BSC04/BSC07, Alta Precisión, Fácil Operación, Ligera y Portátil, Función Tara, Unidad Dual oz/g, Ideal para Cocina, Control de Porciones, Sellos y Objetos Pequeños, Uso en Hogar y Viaje</t>
        </is>
      </c>
      <c r="H4406" s="16" t="inlineStr">
        <is>
          <t>1g/White</t>
        </is>
      </c>
      <c r="I4406" s="16" t="n">
        <v>1</v>
      </c>
      <c r="J4406" s="17" t="n">
        <v>35</v>
      </c>
      <c r="K4406" s="17" t="n">
        <v>38.13</v>
      </c>
      <c r="L4406" s="17" t="n">
        <v>25.86</v>
      </c>
      <c r="M4406" s="17" t="n">
        <v>0</v>
      </c>
      <c r="N4406" s="17">
        <f>K4406*0.08+L4406*0.08</f>
        <v/>
      </c>
      <c r="O4406" s="17">
        <f>-(K4406*0.025+L4406*0.025)</f>
        <v/>
      </c>
      <c r="P4406" s="17">
        <f>32</f>
        <v/>
      </c>
      <c r="Q4406" s="17">
        <f>J4406+L4406+N4406+O4406-P4406-M4406</f>
        <v/>
      </c>
    </row>
    <row r="4407">
      <c r="A4407" s="16" t="inlineStr">
        <is>
          <t>5.8-5.14</t>
        </is>
      </c>
      <c r="B4407" s="16" t="inlineStr">
        <is>
          <t>PO-128-05899572316791218</t>
        </is>
      </c>
      <c r="C4407" s="16" t="inlineStr">
        <is>
          <t>Shipped</t>
        </is>
      </c>
      <c r="D4407" s="16" t="inlineStr">
        <is>
          <t>128-05899561831031218</t>
        </is>
      </c>
      <c r="E4407" s="16" t="inlineStr">
        <is>
          <t>Shipped</t>
        </is>
      </c>
      <c r="F4407" s="16" t="inlineStr">
        <is>
          <t>LV54W25</t>
        </is>
      </c>
      <c r="G4407" s="16" t="inlineStr">
        <is>
          <t>TIANLAI Lámpara Ventilador E27 2 en 1, Silenciosa, LED Alta Luminosidad 180°, Instalación Rápida, Ahorro Energético para Dormitorio y Interiores Pequeños</t>
        </is>
      </c>
      <c r="H4407" s="16" t="inlineStr">
        <is>
          <t>1 Pieza</t>
        </is>
      </c>
      <c r="I4407" s="16" t="n">
        <v>2</v>
      </c>
      <c r="J4407" s="17" t="n">
        <v>157</v>
      </c>
      <c r="K4407" s="17" t="n">
        <v>162.7</v>
      </c>
      <c r="L4407" s="17" t="n">
        <v>25.86</v>
      </c>
      <c r="M4407" s="17" t="n">
        <v>0</v>
      </c>
      <c r="N4407" s="17">
        <f>K4407*0.08+L4407*0.08</f>
        <v/>
      </c>
      <c r="O4407" s="17">
        <f>-(K4407*0.025+L4407*0.025)</f>
        <v/>
      </c>
      <c r="P4407" s="17">
        <f>32</f>
        <v/>
      </c>
      <c r="Q4407" s="17">
        <f>J4407+L4407+N4407+O4407-P4407-M4407</f>
        <v/>
      </c>
    </row>
    <row r="4408">
      <c r="A4408" s="16" t="inlineStr">
        <is>
          <t>5.8-5.14</t>
        </is>
      </c>
      <c r="B4408" s="16" t="inlineStr">
        <is>
          <t>PO-128-05770564035193013</t>
        </is>
      </c>
      <c r="C4408" s="16" t="inlineStr">
        <is>
          <t>Shipped</t>
        </is>
      </c>
      <c r="D4408" s="16" t="inlineStr">
        <is>
          <t>128-05770668892793013</t>
        </is>
      </c>
      <c r="E4408" s="16" t="inlineStr">
        <is>
          <t>Shipped</t>
        </is>
      </c>
      <c r="F4408" s="16" t="inlineStr">
        <is>
          <t>BSC07</t>
        </is>
      </c>
      <c r="G4408" s="16" t="inlineStr">
        <is>
          <t>TIANLAI Báscula Digital BSC04/BSC07, Alta Precisión, Fácil Operación, Ligera y Portátil, Función Tara, Unidad Dual oz/g, Ideal para Cocina, Control de Porciones, Sellos y Objetos Pequeños, Uso en Hogar y Viaje</t>
        </is>
      </c>
      <c r="H4408" s="16" t="inlineStr">
        <is>
          <t>1g/White</t>
        </is>
      </c>
      <c r="I4408" s="16" t="n">
        <v>1</v>
      </c>
      <c r="J4408" s="17" t="n">
        <v>35</v>
      </c>
      <c r="K4408" s="17" t="n">
        <v>4.11</v>
      </c>
      <c r="L4408" s="17" t="n">
        <v>25.86</v>
      </c>
      <c r="M4408" s="17" t="n">
        <v>0</v>
      </c>
      <c r="N4408" s="17">
        <f>K4408*0.08+L4408*0.08</f>
        <v/>
      </c>
      <c r="O4408" s="17">
        <f>-(K4408*0.025+L4408*0.025)</f>
        <v/>
      </c>
      <c r="P4408" s="17">
        <f>32</f>
        <v/>
      </c>
      <c r="Q4408" s="17">
        <f>J4408+L4408+N4408+O4408-P4408-M4408</f>
        <v/>
      </c>
    </row>
    <row r="4409">
      <c r="A4409" s="16" t="inlineStr">
        <is>
          <t>5.8-5.14</t>
        </is>
      </c>
      <c r="B4409" s="16" t="inlineStr">
        <is>
          <t>PO-128-05694118195832317</t>
        </is>
      </c>
      <c r="C4409" s="16" t="inlineStr">
        <is>
          <t>Shipped</t>
        </is>
      </c>
      <c r="D4409" s="16" t="inlineStr">
        <is>
          <t>128-05694170624632317</t>
        </is>
      </c>
      <c r="E4409" s="16" t="inlineStr">
        <is>
          <t>Shipped</t>
        </is>
      </c>
      <c r="F4409" s="16" t="inlineStr">
        <is>
          <t>SB428T</t>
        </is>
      </c>
      <c r="G4409" s="16" t="inlineStr">
        <is>
          <t>LINK BITS La bocina es tu compañero ideal para reuniones en México! Equipada con 2 altavoces de 4 pulgadas y potencia 5W×2, USB y TF, funciona sin internet—perfecta para picnics, fiestas en el jardín o relajación en la terraza.</t>
        </is>
      </c>
      <c r="H4409" s="16" t="inlineStr">
        <is>
          <t>SB428T</t>
        </is>
      </c>
      <c r="I4409" s="16" t="n">
        <v>1</v>
      </c>
      <c r="J4409" s="17" t="n">
        <v>95</v>
      </c>
      <c r="K4409" s="17" t="n">
        <v>113.5</v>
      </c>
      <c r="L4409" s="17" t="n">
        <v>25.86</v>
      </c>
      <c r="M4409" s="17" t="n">
        <v>0</v>
      </c>
      <c r="N4409" s="17">
        <f>K4409*0.08+L4409*0.08</f>
        <v/>
      </c>
      <c r="O4409" s="17">
        <f>-(K4409*0.025+L4409*0.025)</f>
        <v/>
      </c>
      <c r="P4409" s="17">
        <f>32</f>
        <v/>
      </c>
      <c r="Q4409" s="17">
        <f>J4409+L4409+N4409+O4409-P4409-M4409</f>
        <v/>
      </c>
    </row>
    <row r="4410">
      <c r="A4410" s="16" t="inlineStr">
        <is>
          <t>5.8-5.14</t>
        </is>
      </c>
      <c r="B4410" s="16" t="inlineStr">
        <is>
          <t>PO-128-05545109688953205</t>
        </is>
      </c>
      <c r="C4410" s="16" t="inlineStr">
        <is>
          <t>Shipped</t>
        </is>
      </c>
      <c r="D4410" s="16" t="inlineStr">
        <is>
          <t>128-05545151631993205</t>
        </is>
      </c>
      <c r="E4410" s="16" t="inlineStr">
        <is>
          <t>Shipped</t>
        </is>
      </c>
      <c r="F4410" s="16" t="inlineStr">
        <is>
          <t>KTS-2031</t>
        </is>
      </c>
      <c r="G4410" s="16" t="inlineStr">
        <is>
          <t>Bocina inalámbrica de 3 pulgadas con linterna multifuncional y panel solar integrado.Altavoz Portátil con Linterna LED 4 Modos, Radio FM, Bluetooth, Carga Solar, Ideal para Apagones, Emergencias, Campo y Exteriores</t>
        </is>
      </c>
      <c r="H4410" s="16" t="inlineStr">
        <is>
          <t>NEGRO</t>
        </is>
      </c>
      <c r="I4410" s="16" t="n">
        <v>1</v>
      </c>
      <c r="J4410" s="17" t="n">
        <v>75</v>
      </c>
      <c r="K4410" s="17" t="n">
        <v>84.23</v>
      </c>
      <c r="L4410" s="17" t="n">
        <v>25.86</v>
      </c>
      <c r="M4410" s="17" t="n">
        <v>0</v>
      </c>
      <c r="N4410" s="17">
        <f>K4410*0.08+L4410*0.08</f>
        <v/>
      </c>
      <c r="O4410" s="17">
        <f>-(K4410*0.025+L4410*0.025)</f>
        <v/>
      </c>
      <c r="P4410" s="17">
        <f>32</f>
        <v/>
      </c>
      <c r="Q4410" s="17">
        <f>J4410+L4410+N4410+O4410-P4410-M4410</f>
        <v/>
      </c>
    </row>
    <row r="4411">
      <c r="A4411" s="16" t="inlineStr">
        <is>
          <t>5.8-5.14</t>
        </is>
      </c>
      <c r="B4411" s="16" t="inlineStr">
        <is>
          <t>PO-128-05597697690234042</t>
        </is>
      </c>
      <c r="C4411" s="16" t="inlineStr">
        <is>
          <t>Shipped</t>
        </is>
      </c>
      <c r="D4411" s="16" t="inlineStr">
        <is>
          <t>128-05597655747194042</t>
        </is>
      </c>
      <c r="E4411" s="16" t="inlineStr">
        <is>
          <t>Shipped</t>
        </is>
      </c>
      <c r="F4411" s="16" t="inlineStr">
        <is>
          <t>TLCD06-12P-N</t>
        </is>
      </c>
      <c r="G4411" s="16" t="inlineStr">
        <is>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is>
      </c>
      <c r="H4411" s="16" t="inlineStr">
        <is>
          <t>NEGRO/pantalla de 12 pulgadas</t>
        </is>
      </c>
      <c r="I4411" s="16" t="n">
        <v>1</v>
      </c>
      <c r="J4411" s="17" t="n">
        <v>32</v>
      </c>
      <c r="K4411" s="17" t="n">
        <v>0.93</v>
      </c>
      <c r="L4411" s="17" t="n">
        <v>25.86</v>
      </c>
      <c r="M4411" s="17" t="n">
        <v>0</v>
      </c>
      <c r="N4411" s="17">
        <f>K4411*0.08+L4411*0.08</f>
        <v/>
      </c>
      <c r="O4411" s="17">
        <f>-(K4411*0.025+L4411*0.025)</f>
        <v/>
      </c>
      <c r="P4411" s="17">
        <f>32</f>
        <v/>
      </c>
      <c r="Q4411" s="17">
        <f>J4411+L4411+N4411+O4411-P4411-M4411</f>
        <v/>
      </c>
    </row>
    <row r="4412">
      <c r="A4412" s="16" t="inlineStr">
        <is>
          <t>5.8-5.14</t>
        </is>
      </c>
      <c r="B4412" s="16" t="inlineStr">
        <is>
          <t>PO-128-05783780024952868</t>
        </is>
      </c>
      <c r="C4412" s="16" t="inlineStr">
        <is>
          <t>Shipped</t>
        </is>
      </c>
      <c r="D4412" s="16" t="inlineStr">
        <is>
          <t>128-05783797064312868</t>
        </is>
      </c>
      <c r="E4412" s="16" t="inlineStr">
        <is>
          <t>Shipped</t>
        </is>
      </c>
      <c r="F4412" s="16" t="inlineStr">
        <is>
          <t>KTS-2031</t>
        </is>
      </c>
      <c r="G4412" s="16" t="inlineStr">
        <is>
          <t>Bocina inalámbrica de 3 pulgadas con linterna multifuncional y panel solar integrado.Altavoz Portátil con Linterna LED 4 Modos, Radio FM, Bluetooth, Carga Solar, Ideal para Apagones, Emergencias, Campo y Exteriores</t>
        </is>
      </c>
      <c r="H4412" s="16" t="inlineStr">
        <is>
          <t>NEGRO</t>
        </is>
      </c>
      <c r="I4412" s="16" t="n">
        <v>2</v>
      </c>
      <c r="J4412" s="17" t="n">
        <v>156</v>
      </c>
      <c r="K4412" s="17" t="n">
        <v>167.02</v>
      </c>
      <c r="L4412" s="17" t="n">
        <v>25.86</v>
      </c>
      <c r="M4412" s="17" t="n">
        <v>0</v>
      </c>
      <c r="N4412" s="17">
        <f>K4412*0.08+L4412*0.08</f>
        <v/>
      </c>
      <c r="O4412" s="17">
        <f>-(K4412*0.025+L4412*0.025)</f>
        <v/>
      </c>
      <c r="P4412" s="17">
        <f>32</f>
        <v/>
      </c>
      <c r="Q4412" s="17">
        <f>J4412+L4412+N4412+O4412-P4412-M4412</f>
        <v/>
      </c>
    </row>
    <row r="4413">
      <c r="A4413" s="16" t="inlineStr">
        <is>
          <t>5.8-5.14</t>
        </is>
      </c>
      <c r="B4413" s="16" t="inlineStr">
        <is>
          <t>PO-128-05700033813112344</t>
        </is>
      </c>
      <c r="C4413" s="16" t="inlineStr">
        <is>
          <t>Shipped</t>
        </is>
      </c>
      <c r="D4413" s="16" t="inlineStr">
        <is>
          <t>128-05699991870072344</t>
        </is>
      </c>
      <c r="E4413" s="16" t="inlineStr">
        <is>
          <t>Shipped</t>
        </is>
      </c>
      <c r="F4413" s="16" t="inlineStr">
        <is>
          <t>TL1412N17C</t>
        </is>
      </c>
      <c r="G4413" s="16" t="inlineStr">
        <is>
          <t>Linkbits, Soporte de Pared Fijo para TV y Monitor de 14"-43", Ultra Delgado 2.3cm, Fuerte Capacidad de Peso de 25KG, Fácil Instalación con Accesorios Completos</t>
        </is>
      </c>
      <c r="H4413" s="16" t="inlineStr">
        <is>
          <t>NEGRO</t>
        </is>
      </c>
      <c r="I4413" s="16" t="n">
        <v>1</v>
      </c>
      <c r="J4413" s="17" t="n">
        <v>36.84</v>
      </c>
      <c r="K4413" s="17" t="n">
        <v>48.55</v>
      </c>
      <c r="L4413" s="17" t="n">
        <v>25.86</v>
      </c>
      <c r="M4413" s="17" t="n">
        <v>0</v>
      </c>
      <c r="N4413" s="17">
        <f>K4413*0.08+L4413*0.08</f>
        <v/>
      </c>
      <c r="O4413" s="17">
        <f>-(K4413*0.025+L4413*0.025)</f>
        <v/>
      </c>
      <c r="P4413" s="17">
        <f>32</f>
        <v/>
      </c>
      <c r="Q4413" s="17">
        <f>J4413+L4413+N4413+O4413-P4413-M4413</f>
        <v/>
      </c>
    </row>
    <row r="4414">
      <c r="A4414" s="16" t="inlineStr">
        <is>
          <t>5.8-5.14</t>
        </is>
      </c>
      <c r="B4414" s="16" t="inlineStr">
        <is>
          <t>PO-128-05580236667513186</t>
        </is>
      </c>
      <c r="C4414" s="16" t="inlineStr">
        <is>
          <t>Shipped</t>
        </is>
      </c>
      <c r="D4414" s="16" t="inlineStr">
        <is>
          <t>128-05580194724473186</t>
        </is>
      </c>
      <c r="E4414" s="16" t="inlineStr">
        <is>
          <t>Shipped</t>
        </is>
      </c>
      <c r="F4414" s="16" t="inlineStr">
        <is>
          <t>KTS-2031</t>
        </is>
      </c>
      <c r="G4414" s="16" t="inlineStr">
        <is>
          <t>Bocina inalámbrica de 3 pulgadas con linterna multifuncional y panel solar integrado.Altavoz Portátil con Linterna LED 4 Modos, Radio FM, Bluetooth, Carga Solar, Ideal para Apagones, Emergencias, Campo y Exteriores</t>
        </is>
      </c>
      <c r="H4414" s="16" t="inlineStr">
        <is>
          <t>NEGRO</t>
        </is>
      </c>
      <c r="I4414" s="16" t="n">
        <v>1</v>
      </c>
      <c r="J4414" s="17" t="n">
        <v>78</v>
      </c>
      <c r="K4414" s="17" t="n">
        <v>87.23</v>
      </c>
      <c r="L4414" s="17" t="n">
        <v>25.86</v>
      </c>
      <c r="M4414" s="17" t="n">
        <v>0</v>
      </c>
      <c r="N4414" s="17">
        <f>K4414*0.08+L4414*0.08</f>
        <v/>
      </c>
      <c r="O4414" s="17">
        <f>-(K4414*0.025+L4414*0.025)</f>
        <v/>
      </c>
      <c r="P4414" s="17">
        <f>32</f>
        <v/>
      </c>
      <c r="Q4414" s="17">
        <f>J4414+L4414+N4414+O4414-P4414-M4414</f>
        <v/>
      </c>
    </row>
    <row r="4415">
      <c r="A4415" s="16" t="inlineStr">
        <is>
          <t>5.8-5.14</t>
        </is>
      </c>
      <c r="B4415" s="16" t="inlineStr">
        <is>
          <t>PO-128-05752605778552158</t>
        </is>
      </c>
      <c r="C4415" s="16" t="inlineStr">
        <is>
          <t>Shipped</t>
        </is>
      </c>
      <c r="D4415" s="16" t="inlineStr">
        <is>
          <t>128-05752626750072158</t>
        </is>
      </c>
      <c r="E4415" s="16" t="inlineStr">
        <is>
          <t>Shipped</t>
        </is>
      </c>
      <c r="F4415" s="16" t="inlineStr">
        <is>
          <t>KTS-2031</t>
        </is>
      </c>
      <c r="G4415" s="16" t="inlineStr">
        <is>
          <t>Bocina inalámbrica de 3 pulgadas con linterna multifuncional y panel solar integrado.Altavoz Portátil con Linterna LED 4 Modos, Radio FM, Bluetooth, Carga Solar, Ideal para Apagones, Emergencias, Campo y Exteriores</t>
        </is>
      </c>
      <c r="H4415" s="16" t="inlineStr">
        <is>
          <t>NEGRO</t>
        </is>
      </c>
      <c r="I4415" s="16" t="n">
        <v>1</v>
      </c>
      <c r="J4415" s="17" t="n">
        <v>78</v>
      </c>
      <c r="K4415" s="17" t="n">
        <v>65.04000000000001</v>
      </c>
      <c r="L4415" s="17" t="n">
        <v>25.86</v>
      </c>
      <c r="M4415" s="17" t="n">
        <v>0</v>
      </c>
      <c r="N4415" s="17">
        <f>K4415*0.08+L4415*0.08</f>
        <v/>
      </c>
      <c r="O4415" s="17">
        <f>-(K4415*0.025+L4415*0.025)</f>
        <v/>
      </c>
      <c r="P4415" s="17">
        <f>32</f>
        <v/>
      </c>
      <c r="Q4415" s="17">
        <f>J4415+L4415+N4415+O4415-P4415-M4415</f>
        <v/>
      </c>
    </row>
    <row r="4416">
      <c r="A4416" s="16" t="inlineStr">
        <is>
          <t>5.8-5.14</t>
        </is>
      </c>
      <c r="B4416" s="16" t="inlineStr">
        <is>
          <t>PO-128-11541327785590297</t>
        </is>
      </c>
      <c r="C4416" s="16" t="inlineStr">
        <is>
          <t>Shipped</t>
        </is>
      </c>
      <c r="D4416" s="16" t="inlineStr">
        <is>
          <t>128-11541348757110297</t>
        </is>
      </c>
      <c r="E4416" s="16" t="inlineStr">
        <is>
          <t>Shipped</t>
        </is>
      </c>
      <c r="F4416" s="16" t="inlineStr">
        <is>
          <t>TL1455N20B</t>
        </is>
      </c>
      <c r="G4416" s="16" t="inlineStr">
        <is>
          <t>LINK BITS Soporte para TV 14 A 55 Pulgadas, Base para TV Pantalla Articulado Inclinable y Giratorio, MAX VESA 400×400 mm, Soporta hasta 18kg, adaptarse a la mayoría de los televisores de 14 Pulgadas/20 Pulgadas/32 Pulgadas/42 Pulgadas/55 pulgadas</t>
        </is>
      </c>
      <c r="H4416" s="16" t="inlineStr">
        <is>
          <t>TL1455N20B</t>
        </is>
      </c>
      <c r="I4416" s="16" t="n">
        <v>1</v>
      </c>
      <c r="J4416" s="17" t="n">
        <v>61</v>
      </c>
      <c r="K4416" s="17" t="n">
        <v>40.74</v>
      </c>
      <c r="L4416" s="17" t="n">
        <v>25.86</v>
      </c>
      <c r="M4416" s="17" t="n">
        <v>0</v>
      </c>
      <c r="N4416" s="17">
        <f>K4416*0.08+L4416*0.08</f>
        <v/>
      </c>
      <c r="O4416" s="17">
        <f>-(K4416*0.025+L4416*0.025)</f>
        <v/>
      </c>
      <c r="P4416" s="17">
        <f>32</f>
        <v/>
      </c>
      <c r="Q4416" s="17">
        <f>J4416+L4416+N4416+O4416-P4416-M4416</f>
        <v/>
      </c>
    </row>
    <row r="4417">
      <c r="A4417" s="16" t="inlineStr">
        <is>
          <t>5.8-5.14</t>
        </is>
      </c>
      <c r="B4417" s="16" t="inlineStr">
        <is>
          <t>PO-128-11546505485430328</t>
        </is>
      </c>
      <c r="C4417" s="16" t="inlineStr">
        <is>
          <t>Shipped</t>
        </is>
      </c>
      <c r="D4417" s="16" t="inlineStr">
        <is>
          <t>128-11546573642870328</t>
        </is>
      </c>
      <c r="E4417" s="16" t="inlineStr">
        <is>
          <t>Shipped</t>
        </is>
      </c>
      <c r="F4417" s="16" t="inlineStr">
        <is>
          <t>LV54W25</t>
        </is>
      </c>
      <c r="G4417" s="16" t="inlineStr">
        <is>
          <t>TIANLAI Lámpara Ventilador E27 2 en 1, Silenciosa, LED Alta Luminosidad 180°, Instalación Rápida, Ahorro Energético para Dormitorio y Interiores Pequeños</t>
        </is>
      </c>
      <c r="H4417" s="16" t="inlineStr">
        <is>
          <t>1 Pieza</t>
        </is>
      </c>
      <c r="I4417" s="16" t="n">
        <v>1</v>
      </c>
      <c r="J4417" s="17" t="n">
        <v>79</v>
      </c>
      <c r="K4417" s="17" t="n">
        <v>82.73</v>
      </c>
      <c r="L4417" s="17" t="n">
        <v>25.86</v>
      </c>
      <c r="M4417" s="17" t="n">
        <v>0</v>
      </c>
      <c r="N4417" s="17">
        <f>K4417*0.08+L4417*0.08</f>
        <v/>
      </c>
      <c r="O4417" s="17">
        <f>-(K4417*0.025+L4417*0.025)</f>
        <v/>
      </c>
      <c r="P4417" s="17">
        <f>32</f>
        <v/>
      </c>
      <c r="Q4417" s="17">
        <f>J4417+L4417+N4417+O4417-P4417-M4417</f>
        <v/>
      </c>
    </row>
    <row r="4418">
      <c r="A4418" s="16" t="inlineStr">
        <is>
          <t>5.8-5.14</t>
        </is>
      </c>
      <c r="B4418" s="16" t="inlineStr">
        <is>
          <t>PO-128-11267290238073016</t>
        </is>
      </c>
      <c r="C4418" s="16" t="inlineStr">
        <is>
          <t>Shipped</t>
        </is>
      </c>
      <c r="D4418" s="16" t="inlineStr">
        <is>
          <t>128-11267253537913016</t>
        </is>
      </c>
      <c r="E4418" s="16" t="inlineStr">
        <is>
          <t>Shipped</t>
        </is>
      </c>
      <c r="F4418" s="16" t="inlineStr">
        <is>
          <t>SA323T</t>
        </is>
      </c>
      <c r="G4418" s="16" t="inlineStr">
        <is>
          <t>Linkbits，Altavoz inalámbrico portátil，Bocina Portátil Parlantes BT Portátiles con Iluminación de Ambiente,1 Hora de Duración, FM, TWS, TF/Micro SD,Ideal para Bailes en Interiores, Celebraciones Navideñas, Entretenimiento Familiar y para Música en Vivo</t>
        </is>
      </c>
      <c r="H4418" s="16" t="inlineStr">
        <is>
          <t>AZUL/SA323T</t>
        </is>
      </c>
      <c r="I4418" s="16" t="n">
        <v>1</v>
      </c>
      <c r="J4418" s="17" t="n">
        <v>50</v>
      </c>
      <c r="K4418" s="17" t="n">
        <v>52.32</v>
      </c>
      <c r="L4418" s="17" t="n">
        <v>25.86</v>
      </c>
      <c r="M4418" s="17" t="n">
        <v>0</v>
      </c>
      <c r="N4418" s="17">
        <f>K4418*0.08+L4418*0.08</f>
        <v/>
      </c>
      <c r="O4418" s="17">
        <f>-(K4418*0.025+L4418*0.025)</f>
        <v/>
      </c>
      <c r="P4418" s="17">
        <f>32</f>
        <v/>
      </c>
      <c r="Q4418" s="17">
        <f>J4418+L4418+N4418+O4418-P4418-M4418</f>
        <v/>
      </c>
    </row>
    <row r="4419">
      <c r="A4419" s="16" t="inlineStr">
        <is>
          <t>5.8-5.14</t>
        </is>
      </c>
      <c r="B4419" s="16" t="inlineStr">
        <is>
          <t>PO-128-00295638543992940</t>
        </is>
      </c>
      <c r="C4419" s="16" t="inlineStr">
        <is>
          <t>Shipped</t>
        </is>
      </c>
      <c r="D4419" s="16" t="inlineStr">
        <is>
          <t>128-00295659515512940</t>
        </is>
      </c>
      <c r="E4419" s="16" t="inlineStr">
        <is>
          <t>Shipped</t>
        </is>
      </c>
      <c r="F4419" s="16" t="inlineStr">
        <is>
          <t>LV54W25</t>
        </is>
      </c>
      <c r="G4419" s="16" t="inlineStr">
        <is>
          <t>TIANLAI Lámpara Ventilador E27 2 en 1, Silenciosa, LED Alta Luminosidad 180°, Instalación Rápida, Ahorro Energético para Dormitorio y Interiores Pequeños</t>
        </is>
      </c>
      <c r="H4419" s="16" t="inlineStr">
        <is>
          <t>1 Pieza</t>
        </is>
      </c>
      <c r="I4419" s="16" t="n">
        <v>1</v>
      </c>
      <c r="J4419" s="17" t="n">
        <v>79</v>
      </c>
      <c r="K4419" s="17" t="n">
        <v>82.73</v>
      </c>
      <c r="L4419" s="17" t="n">
        <v>25.86</v>
      </c>
      <c r="M4419" s="17" t="n">
        <v>0</v>
      </c>
      <c r="N4419" s="17">
        <f>K4419*0.08+L4419*0.08</f>
        <v/>
      </c>
      <c r="O4419" s="17">
        <f>-(K4419*0.025+L4419*0.025)</f>
        <v/>
      </c>
      <c r="P4419" s="17">
        <f>32</f>
        <v/>
      </c>
      <c r="Q4419" s="17">
        <f>J4419+L4419+N4419+O4419-P4419-M4419</f>
        <v/>
      </c>
    </row>
    <row r="4420">
      <c r="A4420" s="16" t="inlineStr">
        <is>
          <t>5.8-5.14</t>
        </is>
      </c>
      <c r="B4420" s="16" t="inlineStr">
        <is>
          <t>PO-128-15127359695993496</t>
        </is>
      </c>
      <c r="C4420" s="16" t="inlineStr">
        <is>
          <t>Partially shipped</t>
        </is>
      </c>
      <c r="D4420" s="16" t="inlineStr">
        <is>
          <t>128-15127383288953496</t>
        </is>
      </c>
      <c r="E4420" s="16" t="inlineStr">
        <is>
          <t>Unshipped</t>
        </is>
      </c>
      <c r="F4420" s="16" t="inlineStr">
        <is>
          <t>LV54W25</t>
        </is>
      </c>
      <c r="G4420" s="16" t="inlineStr">
        <is>
          <t>TIANLAI Lámpara Ventilador E27 2 en 1, Silenciosa, LED Alta Luminosidad 180°, Instalación Rápida, Ahorro Energético para Dormitorio y Interiores Pequeños</t>
        </is>
      </c>
      <c r="H4420" s="16" t="inlineStr">
        <is>
          <t>1 Pieza</t>
        </is>
      </c>
      <c r="I4420" s="16" t="n">
        <v>1</v>
      </c>
      <c r="J4420" s="17" t="n">
        <v>75.8</v>
      </c>
      <c r="K4420" s="17" t="n">
        <v>56</v>
      </c>
      <c r="L4420" s="17" t="n">
        <v>0</v>
      </c>
      <c r="M4420" s="17" t="n">
        <v>3.33</v>
      </c>
      <c r="N4420" s="17">
        <f>K4420*0.08+L4420*0.08</f>
        <v/>
      </c>
      <c r="O4420" s="17">
        <f>-(K4420*0.025+L4420*0.025)</f>
        <v/>
      </c>
      <c r="P4420" s="17">
        <f>32</f>
        <v/>
      </c>
      <c r="Q4420" s="17">
        <f>J4420+L4420+N4420+O4420-P4420-M4420</f>
        <v/>
      </c>
    </row>
    <row r="4421">
      <c r="A4421" s="16" t="inlineStr">
        <is>
          <t>5.8-5.14</t>
        </is>
      </c>
      <c r="B4421" s="16" t="inlineStr">
        <is>
          <t>PO-128-15127359695993496</t>
        </is>
      </c>
      <c r="C4421" s="16" t="inlineStr">
        <is>
          <t>Partially shipped</t>
        </is>
      </c>
      <c r="D4421" s="16" t="inlineStr">
        <is>
          <t>128-15127362317433496</t>
        </is>
      </c>
      <c r="E4421" s="16" t="inlineStr">
        <is>
          <t>Unshipped</t>
        </is>
      </c>
      <c r="F4421" s="16" t="inlineStr">
        <is>
          <t>KTS-2031</t>
        </is>
      </c>
      <c r="G4421" s="16" t="inlineStr">
        <is>
          <t>Bocina inalámbrica de 3 pulgadas con linterna multifuncional y panel solar integrado.Altavoz Portátil con Linterna LED 4 Modos, Radio FM, Bluetooth, Carga Solar, Ideal para Apagones, Emergencias, Campo y Exteriores</t>
        </is>
      </c>
      <c r="H4421" s="16" t="inlineStr">
        <is>
          <t>NEGRO</t>
        </is>
      </c>
      <c r="I4421" s="16" t="n">
        <v>1</v>
      </c>
      <c r="J4421" s="17" t="n">
        <v>78</v>
      </c>
      <c r="K4421" s="17" t="n">
        <v>61.07</v>
      </c>
      <c r="L4421" s="17" t="n">
        <v>0</v>
      </c>
      <c r="M4421" s="17" t="n">
        <v>0</v>
      </c>
      <c r="N4421" s="17">
        <f>K4421*0.08+L4421*0.08</f>
        <v/>
      </c>
      <c r="O4421" s="17">
        <f>-(K4421*0.025+L4421*0.025)</f>
        <v/>
      </c>
      <c r="P4421" s="17">
        <f>32</f>
        <v/>
      </c>
      <c r="Q4421" s="17">
        <f>J4421+L4421+N4421+O4421-P4421-M4421</f>
        <v/>
      </c>
    </row>
    <row r="4422">
      <c r="A4422" s="16" t="inlineStr">
        <is>
          <t>5.8-5.14</t>
        </is>
      </c>
      <c r="B4422" s="16" t="inlineStr">
        <is>
          <t>PO-128-15127359695993496</t>
        </is>
      </c>
      <c r="C4422" s="16" t="inlineStr">
        <is>
          <t>Partially shipped</t>
        </is>
      </c>
      <c r="D4422" s="16" t="inlineStr">
        <is>
          <t>128-15127372803193496</t>
        </is>
      </c>
      <c r="E4422" s="16" t="inlineStr">
        <is>
          <t>Shipped</t>
        </is>
      </c>
      <c r="F4422" s="16" t="inlineStr">
        <is>
          <t>VB349T</t>
        </is>
      </c>
      <c r="G4422" s="16" t="inlineStr">
        <is>
          <t>LINKBITS Altavoz Portátil de Doble Altavoz - 3 Pulgadas, Sonido HD, Emparejamiento Rápido de Bluetooth, Conectividad TWS, Reproducción Multimodo (Micro SD/USB/Radio FM) - Perfecto para Oficina, Viajes y Espacios Pequeños</t>
        </is>
      </c>
      <c r="H4422" s="16" t="inlineStr">
        <is>
          <t>NEGRO</t>
        </is>
      </c>
      <c r="I4422" s="16" t="n">
        <v>1</v>
      </c>
      <c r="J4422" s="17" t="n">
        <v>81</v>
      </c>
      <c r="K4422" s="17" t="n">
        <v>65.98999999999999</v>
      </c>
      <c r="L4422" s="17" t="n">
        <v>0</v>
      </c>
      <c r="M4422" s="17" t="n">
        <v>0</v>
      </c>
      <c r="N4422" s="17">
        <f>K4422*0.08+L4422*0.08</f>
        <v/>
      </c>
      <c r="O4422" s="17">
        <f>-(K4422*0.025+L4422*0.025)</f>
        <v/>
      </c>
      <c r="P4422" s="17">
        <f>32</f>
        <v/>
      </c>
      <c r="Q4422" s="17">
        <f>J4422+L4422+N4422+O4422-P4422-M4422</f>
        <v/>
      </c>
    </row>
    <row r="4423">
      <c r="A4423" s="16" t="inlineStr">
        <is>
          <t>5.8-5.14</t>
        </is>
      </c>
      <c r="B4423" s="16" t="inlineStr">
        <is>
          <t>PO-128-09637920092793576</t>
        </is>
      </c>
      <c r="C4423" s="16" t="inlineStr">
        <is>
          <t>Delivered</t>
        </is>
      </c>
      <c r="D4423" s="16" t="inlineStr">
        <is>
          <t>128-09637899121273576</t>
        </is>
      </c>
      <c r="E4423" s="16" t="inlineStr">
        <is>
          <t>Delivered</t>
        </is>
      </c>
      <c r="F4423" s="16" t="inlineStr">
        <is>
          <t>VB349T</t>
        </is>
      </c>
      <c r="G4423" s="16" t="inlineStr">
        <is>
          <t>LINKBITS Altavoz Portátil de Doble Altavoz - 3 Pulgadas, Sonido HD, Emparejamiento Rápido de Bluetooth, Conectividad TWS, Reproducción Multimodo (Micro SD/USB/Radio FM) - Perfecto para Oficina, Viajes y Espacios Pequeños</t>
        </is>
      </c>
      <c r="H4423" s="16" t="inlineStr">
        <is>
          <t>NEGRO</t>
        </is>
      </c>
      <c r="I4423" s="16" t="n">
        <v>1</v>
      </c>
      <c r="J4423" s="17" t="n">
        <v>81</v>
      </c>
      <c r="K4423" s="17" t="n">
        <v>94.25</v>
      </c>
      <c r="L4423" s="17" t="n">
        <v>25.86</v>
      </c>
      <c r="M4423" s="17" t="n">
        <v>0</v>
      </c>
      <c r="N4423" s="17">
        <f>K4423*0.08+L4423*0.08</f>
        <v/>
      </c>
      <c r="O4423" s="17">
        <f>-(K4423*0.025+L4423*0.025)</f>
        <v/>
      </c>
      <c r="P4423" s="17">
        <f>32</f>
        <v/>
      </c>
      <c r="Q4423" s="17">
        <f>J4423+L4423+N4423+O4423-P4423-M4423</f>
        <v/>
      </c>
    </row>
    <row r="4424">
      <c r="A4424" s="16" t="inlineStr">
        <is>
          <t>5.8-5.14</t>
        </is>
      </c>
      <c r="B4424" s="16" t="inlineStr">
        <is>
          <t>PO-128-09758776853113752</t>
        </is>
      </c>
      <c r="C4424" s="16" t="inlineStr">
        <is>
          <t>Delivered</t>
        </is>
      </c>
      <c r="D4424" s="16" t="inlineStr">
        <is>
          <t>128-09758734910073752</t>
        </is>
      </c>
      <c r="E4424" s="16" t="inlineStr">
        <is>
          <t>Delivered</t>
        </is>
      </c>
      <c r="F4424" s="16" t="inlineStr">
        <is>
          <t>TL2663N18C</t>
        </is>
      </c>
      <c r="G4424" s="16" t="inlineStr">
        <is>
          <t>Linkbits，Soporte de pared fijo para televisores de 26"-63", Ultra-Delgado Compatible con VESA 400x400mm, Capacidad de Peso Fuerte de 25KG, Instalación Fácil Sin Electricidad</t>
        </is>
      </c>
      <c r="H4424" s="16" t="inlineStr">
        <is>
          <t>NEGRO</t>
        </is>
      </c>
      <c r="I4424" s="16" t="n">
        <v>1</v>
      </c>
      <c r="J4424" s="17" t="n">
        <v>55.5</v>
      </c>
      <c r="K4424" s="17" t="n">
        <v>59.92</v>
      </c>
      <c r="L4424" s="17" t="n">
        <v>25.86</v>
      </c>
      <c r="M4424" s="17" t="n">
        <v>0</v>
      </c>
      <c r="N4424" s="17">
        <f>K4424*0.08+L4424*0.08</f>
        <v/>
      </c>
      <c r="O4424" s="17">
        <f>-(K4424*0.025+L4424*0.025)</f>
        <v/>
      </c>
      <c r="P4424" s="17">
        <f>32</f>
        <v/>
      </c>
      <c r="Q4424" s="17">
        <f>J4424+L4424+N4424+O4424-P4424-M4424</f>
        <v/>
      </c>
    </row>
    <row r="4425">
      <c r="A4425" s="16" t="inlineStr">
        <is>
          <t>5.8-5.14</t>
        </is>
      </c>
      <c r="B4425" s="16" t="inlineStr">
        <is>
          <t>PO-128-15570037514871818</t>
        </is>
      </c>
      <c r="C4425" s="16" t="inlineStr">
        <is>
          <t>Delivered</t>
        </is>
      </c>
      <c r="D4425" s="16" t="inlineStr">
        <is>
          <t>128-15570058486391818</t>
        </is>
      </c>
      <c r="E4425" s="16" t="inlineStr">
        <is>
          <t>Delivered</t>
        </is>
      </c>
      <c r="F4425" s="16" t="inlineStr">
        <is>
          <t>i12-V</t>
        </is>
      </c>
      <c r="G4425" s="16" t="inlineStr">
        <is>
          <t>Auriculares Inalámbricos TWS - Ideales para Usuarios Android e iPhone, Entusiastas del Deporte &amp; Música, Controles Táctiles, Audífonos Para Correr y Jugar</t>
        </is>
      </c>
      <c r="H4425" s="16" t="inlineStr">
        <is>
          <t>VERDE</t>
        </is>
      </c>
      <c r="I4425" s="16" t="n">
        <v>1</v>
      </c>
      <c r="J4425" s="17" t="n">
        <v>45</v>
      </c>
      <c r="K4425" s="17" t="n">
        <v>0.8</v>
      </c>
      <c r="L4425" s="17" t="n">
        <v>25.86</v>
      </c>
      <c r="M4425" s="17" t="n">
        <v>0</v>
      </c>
      <c r="N4425" s="17">
        <f>K4425*0.08+L4425*0.08</f>
        <v/>
      </c>
      <c r="O4425" s="17">
        <f>-(K4425*0.025+L4425*0.025)</f>
        <v/>
      </c>
      <c r="P4425" s="17">
        <f>32</f>
        <v/>
      </c>
      <c r="Q4425" s="17">
        <f>J4425+L4425+N4425+O4425-P4425-M4425</f>
        <v/>
      </c>
    </row>
    <row r="4426">
      <c r="A4426" s="16" t="inlineStr">
        <is>
          <t>5.8-5.14</t>
        </is>
      </c>
      <c r="B4426" s="16" t="inlineStr">
        <is>
          <t>PO-128-15446150543992620</t>
        </is>
      </c>
      <c r="C4426" s="16" t="inlineStr">
        <is>
          <t>Delivered</t>
        </is>
      </c>
      <c r="D4426" s="16" t="inlineStr">
        <is>
          <t>128-15446171515512620</t>
        </is>
      </c>
      <c r="E4426" s="16" t="inlineStr">
        <is>
          <t>Delivered</t>
        </is>
      </c>
      <c r="F4426" s="16" t="inlineStr">
        <is>
          <t>LV54W25</t>
        </is>
      </c>
      <c r="G4426" s="16" t="inlineStr">
        <is>
          <t>TIANLAI Lámpara Ventilador E27 2 en 1, Silenciosa, LED Alta Luminosidad 180°, Instalación Rápida, Ahorro Energético para Dormitorio y Interiores Pequeños</t>
        </is>
      </c>
      <c r="H4426" s="16" t="inlineStr">
        <is>
          <t>1 Pieza</t>
        </is>
      </c>
      <c r="I4426" s="16" t="n">
        <v>1</v>
      </c>
      <c r="J4426" s="17" t="n">
        <v>79</v>
      </c>
      <c r="K4426" s="17" t="n">
        <v>96.2</v>
      </c>
      <c r="L4426" s="17" t="n">
        <v>25.86</v>
      </c>
      <c r="M4426" s="17" t="n">
        <v>0</v>
      </c>
      <c r="N4426" s="17">
        <f>K4426*0.08+L4426*0.08</f>
        <v/>
      </c>
      <c r="O4426" s="17">
        <f>-(K4426*0.025+L4426*0.025)</f>
        <v/>
      </c>
      <c r="P4426" s="17">
        <f>32</f>
        <v/>
      </c>
      <c r="Q4426" s="17">
        <f>J4426+L4426+N4426+O4426-P4426-M4426</f>
        <v/>
      </c>
    </row>
    <row r="4427">
      <c r="A4427" s="16" t="inlineStr">
        <is>
          <t>5.8-5.14</t>
        </is>
      </c>
      <c r="B4427" s="16" t="inlineStr">
        <is>
          <t>PO-128-15658502001270269</t>
        </is>
      </c>
      <c r="C4427" s="16" t="inlineStr">
        <is>
          <t>Delivered</t>
        </is>
      </c>
      <c r="D4427" s="16" t="inlineStr">
        <is>
          <t>128-15658460058230269</t>
        </is>
      </c>
      <c r="E4427" s="16" t="inlineStr">
        <is>
          <t>Delivered</t>
        </is>
      </c>
      <c r="F4427" s="16" t="inlineStr">
        <is>
          <t>TL1412N17C</t>
        </is>
      </c>
      <c r="G4427" s="16" t="inlineStr">
        <is>
          <t>Linkbits, Soporte de Pared Fijo para TV y Monitor de 14"-43", Ultra Delgado 2.3cm, Fuerte Capacidad de Peso de 25KG, Fácil Instalación con Accesorios Completos</t>
        </is>
      </c>
      <c r="H4427" s="16" t="inlineStr">
        <is>
          <t>NEGRO</t>
        </is>
      </c>
      <c r="I4427" s="16" t="n">
        <v>2</v>
      </c>
      <c r="J4427" s="17" t="n">
        <v>73.68000000000001</v>
      </c>
      <c r="K4427" s="17" t="n">
        <v>82.5</v>
      </c>
      <c r="L4427" s="17" t="n">
        <v>25.86</v>
      </c>
      <c r="M4427" s="17" t="n">
        <v>0</v>
      </c>
      <c r="N4427" s="17">
        <f>K4427*0.08+L4427*0.08</f>
        <v/>
      </c>
      <c r="O4427" s="17">
        <f>-(K4427*0.025+L4427*0.025)</f>
        <v/>
      </c>
      <c r="P4427" s="17">
        <f>32</f>
        <v/>
      </c>
      <c r="Q4427" s="17">
        <f>J4427+L4427+N4427+O4427-P4427-M4427</f>
        <v/>
      </c>
    </row>
    <row r="4428">
      <c r="A4428" s="16" t="inlineStr">
        <is>
          <t>5.8-5.14</t>
        </is>
      </c>
      <c r="B4428" s="16" t="inlineStr">
        <is>
          <t>PO-128-15453333371512643</t>
        </is>
      </c>
      <c r="C4428" s="16" t="inlineStr">
        <is>
          <t>Delivered</t>
        </is>
      </c>
      <c r="D4428" s="16" t="inlineStr">
        <is>
          <t>128-15453380557432643</t>
        </is>
      </c>
      <c r="E4428" s="16" t="inlineStr">
        <is>
          <t>Delivered</t>
        </is>
      </c>
      <c r="F4428" s="16" t="inlineStr">
        <is>
          <t>TL1455N20B</t>
        </is>
      </c>
      <c r="G4428" s="16" t="inlineStr">
        <is>
          <t>LINK BITS Soporte para TV 14 A 55 Pulgadas, Base para TV Pantalla Articulado Inclinable y Giratorio, MAX VESA 400×400 mm, Soporta hasta 18kg, adaptarse a la mayoría de los televisores de 14 Pulgadas/20 Pulgadas/32 Pulgadas/42 Pulgadas/55 pulgadas</t>
        </is>
      </c>
      <c r="H4428" s="16" t="inlineStr">
        <is>
          <t>TL1455N20B</t>
        </is>
      </c>
      <c r="I4428" s="16" t="n">
        <v>1</v>
      </c>
      <c r="J4428" s="17" t="n">
        <v>80</v>
      </c>
      <c r="K4428" s="17" t="n">
        <v>90.97</v>
      </c>
      <c r="L4428" s="17" t="n">
        <v>25.86</v>
      </c>
      <c r="M4428" s="17" t="n">
        <v>0</v>
      </c>
      <c r="N4428" s="17">
        <f>K4428*0.08+L4428*0.08</f>
        <v/>
      </c>
      <c r="O4428" s="17">
        <f>-(K4428*0.025+L4428*0.025)</f>
        <v/>
      </c>
      <c r="P4428" s="17">
        <f>32</f>
        <v/>
      </c>
      <c r="Q4428" s="17">
        <f>J4428+L4428+N4428+O4428-P4428-M4428</f>
        <v/>
      </c>
    </row>
    <row r="4429">
      <c r="A4429" s="16" t="inlineStr">
        <is>
          <t>5.8-5.14</t>
        </is>
      </c>
      <c r="B4429" s="16" t="inlineStr">
        <is>
          <t>PO-128-15472880476791503</t>
        </is>
      </c>
      <c r="C4429" s="16" t="inlineStr">
        <is>
          <t>Delivered</t>
        </is>
      </c>
      <c r="D4429" s="16" t="inlineStr">
        <is>
          <t>128-15472948634231503</t>
        </is>
      </c>
      <c r="E4429" s="16" t="inlineStr">
        <is>
          <t>Delivered</t>
        </is>
      </c>
      <c r="F4429" s="16" t="inlineStr">
        <is>
          <t>KTS-2031</t>
        </is>
      </c>
      <c r="G4429" s="16" t="inlineStr">
        <is>
          <t>Bocina inalámbrica de 3 pulgadas con linterna multifuncional y panel solar integrado.Altavoz Portátil con Linterna LED 4 Modos, Radio FM, Bluetooth, Carga Solar, Ideal para Apagones, Emergencias, Campo y Exteriores</t>
        </is>
      </c>
      <c r="H4429" s="16" t="inlineStr">
        <is>
          <t>NEGRO</t>
        </is>
      </c>
      <c r="I4429" s="16" t="n">
        <v>1</v>
      </c>
      <c r="J4429" s="17" t="n">
        <v>78</v>
      </c>
      <c r="K4429" s="17" t="n">
        <v>4.46</v>
      </c>
      <c r="L4429" s="17" t="n">
        <v>25.86</v>
      </c>
      <c r="M4429" s="17" t="n">
        <v>0</v>
      </c>
      <c r="N4429" s="17">
        <f>K4429*0.08+L4429*0.08</f>
        <v/>
      </c>
      <c r="O4429" s="17">
        <f>-(K4429*0.025+L4429*0.025)</f>
        <v/>
      </c>
      <c r="P4429" s="17">
        <f>32</f>
        <v/>
      </c>
      <c r="Q4429" s="17">
        <f>J4429+L4429+N4429+O4429-P4429-M4429</f>
        <v/>
      </c>
    </row>
    <row r="4430">
      <c r="A4430" s="16" t="inlineStr">
        <is>
          <t>5.8-5.14</t>
        </is>
      </c>
      <c r="B4430" s="16" t="inlineStr">
        <is>
          <t>PO-128-15740563282550995</t>
        </is>
      </c>
      <c r="C4430" s="16" t="inlineStr">
        <is>
          <t>Delivered</t>
        </is>
      </c>
      <c r="D4430" s="16" t="inlineStr">
        <is>
          <t>128-15740615711350995</t>
        </is>
      </c>
      <c r="E4430" s="16" t="inlineStr">
        <is>
          <t>Delivered</t>
        </is>
      </c>
      <c r="F4430" s="16" t="inlineStr">
        <is>
          <t>KTS-2031</t>
        </is>
      </c>
      <c r="G4430" s="16" t="inlineStr">
        <is>
          <t>Bocina inalámbrica de 3 pulgadas con linterna multifuncional y panel solar integrado.Altavoz Portátil con Linterna LED 4 Modos, Radio FM, Bluetooth, Carga Solar, Ideal para Apagones, Emergencias, Campo y Exteriores</t>
        </is>
      </c>
      <c r="H4430" s="16" t="inlineStr">
        <is>
          <t>NEGRO</t>
        </is>
      </c>
      <c r="I4430" s="16" t="n">
        <v>1</v>
      </c>
      <c r="J4430" s="17" t="n">
        <v>78</v>
      </c>
      <c r="K4430" s="17" t="n">
        <v>87.22</v>
      </c>
      <c r="L4430" s="17" t="n">
        <v>25.86</v>
      </c>
      <c r="M4430" s="17" t="n">
        <v>0</v>
      </c>
      <c r="N4430" s="17">
        <f>K4430*0.08+L4430*0.08</f>
        <v/>
      </c>
      <c r="O4430" s="17">
        <f>-(K4430*0.025+L4430*0.025)</f>
        <v/>
      </c>
      <c r="P4430" s="17">
        <f>32</f>
        <v/>
      </c>
      <c r="Q4430" s="17">
        <f>J4430+L4430+N4430+O4430-P4430-M4430</f>
        <v/>
      </c>
    </row>
    <row r="4431">
      <c r="A4431" s="16" t="inlineStr">
        <is>
          <t>5.8-5.14</t>
        </is>
      </c>
      <c r="B4431" s="16" t="inlineStr">
        <is>
          <t>PO-128-15140453028473354</t>
        </is>
      </c>
      <c r="C4431" s="16" t="inlineStr">
        <is>
          <t>Delivered</t>
        </is>
      </c>
      <c r="D4431" s="16" t="inlineStr">
        <is>
          <t>128-15140557886073354</t>
        </is>
      </c>
      <c r="E4431" s="16" t="inlineStr">
        <is>
          <t>Delivered</t>
        </is>
      </c>
      <c r="F4431" s="16" t="inlineStr">
        <is>
          <t>BG-115-B</t>
        </is>
      </c>
      <c r="G4431" s="16" t="inlineStr">
        <is>
          <t>LINK BITS Audífonos Inalámbricos con Luces Multicolor, Recargables y en Adorable Forma de Orejas de Gato - Conecta a Celulares y PCs, Tiene Radio FM, Tarjeta TF y AUX - 7 Horas de Reproducción, Plegables y Perfectos para Trabajo, Juegos y Estudio</t>
        </is>
      </c>
      <c r="H4431" s="16" t="inlineStr">
        <is>
          <t>blanco</t>
        </is>
      </c>
      <c r="I4431" s="16" t="n">
        <v>1</v>
      </c>
      <c r="J4431" s="17" t="n">
        <v>80</v>
      </c>
      <c r="K4431" s="17" t="n">
        <v>90.72</v>
      </c>
      <c r="L4431" s="17" t="n">
        <v>25.86</v>
      </c>
      <c r="M4431" s="17" t="n">
        <v>0</v>
      </c>
      <c r="N4431" s="17">
        <f>K4431*0.08+L4431*0.08</f>
        <v/>
      </c>
      <c r="O4431" s="17">
        <f>-(K4431*0.025+L4431*0.025)</f>
        <v/>
      </c>
      <c r="P4431" s="17">
        <f>32</f>
        <v/>
      </c>
      <c r="Q4431" s="17">
        <f>J4431+L4431+N4431+O4431-P4431-M4431</f>
        <v/>
      </c>
    </row>
    <row r="4432">
      <c r="A4432" s="16" t="inlineStr">
        <is>
          <t>5.8-5.14</t>
        </is>
      </c>
      <c r="B4432" s="16" t="inlineStr">
        <is>
          <t>PO-128-15734306202230969</t>
        </is>
      </c>
      <c r="C4432" s="16" t="inlineStr">
        <is>
          <t>Delivered</t>
        </is>
      </c>
      <c r="D4432" s="16" t="inlineStr">
        <is>
          <t>128-15734264259190969</t>
        </is>
      </c>
      <c r="E4432" s="16" t="inlineStr">
        <is>
          <t>Delivered</t>
        </is>
      </c>
      <c r="F4432" s="16" t="inlineStr">
        <is>
          <t>KTS-2031</t>
        </is>
      </c>
      <c r="G4432" s="16" t="inlineStr">
        <is>
          <t>Bocina inalámbrica de 3 pulgadas con linterna multifuncional y panel solar integrado.Altavoz Portátil con Linterna LED 4 Modos, Radio FM, Bluetooth, Carga Solar, Ideal para Apagones, Emergencias, Campo y Exteriores</t>
        </is>
      </c>
      <c r="H4432" s="16" t="inlineStr">
        <is>
          <t>NEGRO</t>
        </is>
      </c>
      <c r="I4432" s="16" t="n">
        <v>1</v>
      </c>
      <c r="J4432" s="17" t="n">
        <v>78</v>
      </c>
      <c r="K4432" s="17" t="n">
        <v>87.22</v>
      </c>
      <c r="L4432" s="17" t="n">
        <v>25.86</v>
      </c>
      <c r="M4432" s="17" t="n">
        <v>0</v>
      </c>
      <c r="N4432" s="17">
        <f>K4432*0.08+L4432*0.08</f>
        <v/>
      </c>
      <c r="O4432" s="17">
        <f>-(K4432*0.025+L4432*0.025)</f>
        <v/>
      </c>
      <c r="P4432" s="17">
        <f>32</f>
        <v/>
      </c>
      <c r="Q4432" s="17">
        <f>J4432+L4432+N4432+O4432-P4432-M4432</f>
        <v/>
      </c>
    </row>
    <row r="4433">
      <c r="A4433" s="16" t="inlineStr">
        <is>
          <t>5.8-5.14</t>
        </is>
      </c>
      <c r="B4433" s="16" t="inlineStr">
        <is>
          <t>PO-128-15156674417273450</t>
        </is>
      </c>
      <c r="C4433" s="16" t="inlineStr">
        <is>
          <t>Delivered</t>
        </is>
      </c>
      <c r="D4433" s="16" t="inlineStr">
        <is>
          <t>128-15156632474233450</t>
        </is>
      </c>
      <c r="E4433" s="16" t="inlineStr">
        <is>
          <t>Delivered</t>
        </is>
      </c>
      <c r="F4433" s="16" t="inlineStr">
        <is>
          <t>KTS-2031</t>
        </is>
      </c>
      <c r="G4433" s="16" t="inlineStr">
        <is>
          <t>Bocina inalámbrica de 3 pulgadas con linterna multifuncional y panel solar integrado.Altavoz Portátil con Linterna LED 4 Modos, Radio FM, Bluetooth, Carga Solar, Ideal para Apagones, Emergencias, Campo y Exteriores</t>
        </is>
      </c>
      <c r="H4433" s="16" t="inlineStr">
        <is>
          <t>NEGRO</t>
        </is>
      </c>
      <c r="I4433" s="16" t="n">
        <v>1</v>
      </c>
      <c r="J4433" s="17" t="n">
        <v>78</v>
      </c>
      <c r="K4433" s="17" t="n">
        <v>87.22</v>
      </c>
      <c r="L4433" s="17" t="n">
        <v>25.86</v>
      </c>
      <c r="M4433" s="17" t="n">
        <v>0</v>
      </c>
      <c r="N4433" s="17">
        <f>K4433*0.08+L4433*0.08</f>
        <v/>
      </c>
      <c r="O4433" s="17">
        <f>-(K4433*0.025+L4433*0.025)</f>
        <v/>
      </c>
      <c r="P4433" s="17">
        <f>32</f>
        <v/>
      </c>
      <c r="Q4433" s="17">
        <f>J4433+L4433+N4433+O4433-P4433-M4433</f>
        <v/>
      </c>
    </row>
    <row r="4434">
      <c r="A4434" s="16" t="inlineStr">
        <is>
          <t>5.8-5.14</t>
        </is>
      </c>
      <c r="B4434" s="16" t="inlineStr">
        <is>
          <t>PO-128-04345041024632228</t>
        </is>
      </c>
      <c r="C4434" s="16" t="inlineStr">
        <is>
          <t>Delivered</t>
        </is>
      </c>
      <c r="D4434" s="16" t="inlineStr">
        <is>
          <t>128-04345030538872228</t>
        </is>
      </c>
      <c r="E4434" s="16" t="inlineStr">
        <is>
          <t>Delivered</t>
        </is>
      </c>
      <c r="F4434" s="16" t="inlineStr">
        <is>
          <t>B03W10-10PZS</t>
        </is>
      </c>
      <c r="G443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434" s="16" t="inlineStr">
        <is>
          <t>B03W10</t>
        </is>
      </c>
      <c r="I4434" s="16" t="n">
        <v>1</v>
      </c>
      <c r="J4434" s="17" t="n">
        <v>70</v>
      </c>
      <c r="K4434" s="17" t="n">
        <v>65.29000000000001</v>
      </c>
      <c r="L4434" s="17" t="n">
        <v>25.86</v>
      </c>
      <c r="M4434" s="17" t="n">
        <v>0</v>
      </c>
      <c r="N4434" s="17">
        <f>K4434*0.08+L4434*0.08</f>
        <v/>
      </c>
      <c r="O4434" s="17">
        <f>-(K4434*0.025+L4434*0.025)</f>
        <v/>
      </c>
      <c r="P4434" s="17">
        <f>32</f>
        <v/>
      </c>
      <c r="Q4434" s="17">
        <f>J4434+L4434+N4434+O4434-P4434-M4434</f>
        <v/>
      </c>
    </row>
    <row r="4435">
      <c r="A4435" s="16" t="inlineStr">
        <is>
          <t>5.8-5.14</t>
        </is>
      </c>
      <c r="B4435" s="16" t="inlineStr">
        <is>
          <t>PO-128-04189966556793088</t>
        </is>
      </c>
      <c r="C4435" s="16" t="inlineStr">
        <is>
          <t>Delivered</t>
        </is>
      </c>
      <c r="D4435" s="16" t="inlineStr">
        <is>
          <t>128-04190071414393088</t>
        </is>
      </c>
      <c r="E4435" s="16" t="inlineStr">
        <is>
          <t>Delivered</t>
        </is>
      </c>
      <c r="F4435" s="16" t="inlineStr">
        <is>
          <t>LV54W25</t>
        </is>
      </c>
      <c r="G4435" s="16" t="inlineStr">
        <is>
          <t>TIANLAI Lámpara Ventilador E27 2 en 1, Silenciosa, LED Alta Luminosidad 180°, Instalación Rápida, Ahorro Energético para Dormitorio y Interiores Pequeños</t>
        </is>
      </c>
      <c r="H4435" s="16" t="inlineStr">
        <is>
          <t>1 Pieza</t>
        </is>
      </c>
      <c r="I4435" s="16" t="n">
        <v>1</v>
      </c>
      <c r="J4435" s="17" t="n">
        <v>79</v>
      </c>
      <c r="K4435" s="17" t="n">
        <v>82.73</v>
      </c>
      <c r="L4435" s="17" t="n">
        <v>25.86</v>
      </c>
      <c r="M4435" s="17" t="n">
        <v>0</v>
      </c>
      <c r="N4435" s="17">
        <f>K4435*0.08+L4435*0.08</f>
        <v/>
      </c>
      <c r="O4435" s="17">
        <f>-(K4435*0.025+L4435*0.025)</f>
        <v/>
      </c>
      <c r="P4435" s="17">
        <f>32</f>
        <v/>
      </c>
      <c r="Q4435" s="17">
        <f>J4435+L4435+N4435+O4435-P4435-M4435</f>
        <v/>
      </c>
    </row>
    <row r="4436">
      <c r="A4436" s="16" t="inlineStr">
        <is>
          <t>5.8-5.14</t>
        </is>
      </c>
      <c r="B4436" s="16" t="inlineStr">
        <is>
          <t>PO-128-04496873639031325</t>
        </is>
      </c>
      <c r="C4436" s="16" t="inlineStr">
        <is>
          <t>Delivered</t>
        </is>
      </c>
      <c r="D4436" s="16" t="inlineStr">
        <is>
          <t>128-04496821210231325</t>
        </is>
      </c>
      <c r="E4436" s="16" t="inlineStr">
        <is>
          <t>Delivered</t>
        </is>
      </c>
      <c r="F4436" s="16" t="inlineStr">
        <is>
          <t>BG-115-P</t>
        </is>
      </c>
      <c r="G4436" s="16" t="inlineStr">
        <is>
          <t>LINK BITS Audífonos Inalámbricos con Luces Multicolor, Recargables y en Adorable Forma de Orejas de Gato - Conecta a Celulares y PCs, Tiene Radio FM, Tarjeta TF y AUX - 7 Horas de Reproducción, Plegables y Perfectos para Trabajo, Juegos y Estudio</t>
        </is>
      </c>
      <c r="H4436" s="16" t="inlineStr">
        <is>
          <t>rosa</t>
        </is>
      </c>
      <c r="I4436" s="16" t="n">
        <v>1</v>
      </c>
      <c r="J4436" s="17" t="n">
        <v>85</v>
      </c>
      <c r="K4436" s="17" t="n">
        <v>90.94</v>
      </c>
      <c r="L4436" s="17" t="n">
        <v>25.86</v>
      </c>
      <c r="M4436" s="17" t="n">
        <v>0</v>
      </c>
      <c r="N4436" s="17">
        <f>K4436*0.08+L4436*0.08</f>
        <v/>
      </c>
      <c r="O4436" s="17">
        <f>-(K4436*0.025+L4436*0.025)</f>
        <v/>
      </c>
      <c r="P4436" s="17">
        <f>32</f>
        <v/>
      </c>
      <c r="Q4436" s="17">
        <f>J4436+L4436+N4436+O4436-P4436-M4436</f>
        <v/>
      </c>
    </row>
    <row r="4437">
      <c r="A4437" s="16" t="inlineStr">
        <is>
          <t>5.8-5.14</t>
        </is>
      </c>
      <c r="B4437" s="16" t="inlineStr">
        <is>
          <t>PO-128-04804101156470580</t>
        </is>
      </c>
      <c r="C4437" s="16" t="inlineStr">
        <is>
          <t>Delivered</t>
        </is>
      </c>
      <c r="D4437" s="16" t="inlineStr">
        <is>
          <t>128-04804122127990580</t>
        </is>
      </c>
      <c r="E4437" s="16" t="inlineStr">
        <is>
          <t>Delivered</t>
        </is>
      </c>
      <c r="F4437" s="16" t="inlineStr">
        <is>
          <t>TL2663N18C</t>
        </is>
      </c>
      <c r="G4437" s="16" t="inlineStr">
        <is>
          <t>Linkbits，Soporte de pared fijo para televisores de 26"-63", Ultra-Delgado Compatible con VESA 400x400mm, Capacidad de Peso Fuerte de 25KG, Instalación Fácil Sin Electricidad</t>
        </is>
      </c>
      <c r="H4437" s="16" t="inlineStr">
        <is>
          <t>NEGRO</t>
        </is>
      </c>
      <c r="I4437" s="16" t="n">
        <v>1</v>
      </c>
      <c r="J4437" s="17" t="n">
        <v>55.5</v>
      </c>
      <c r="K4437" s="17" t="n">
        <v>56.39</v>
      </c>
      <c r="L4437" s="17" t="n">
        <v>25.86</v>
      </c>
      <c r="M4437" s="17" t="n">
        <v>0</v>
      </c>
      <c r="N4437" s="17">
        <f>K4437*0.08+L4437*0.08</f>
        <v/>
      </c>
      <c r="O4437" s="17">
        <f>-(K4437*0.025+L4437*0.025)</f>
        <v/>
      </c>
      <c r="P4437" s="17">
        <f>32</f>
        <v/>
      </c>
      <c r="Q4437" s="17">
        <f>J4437+L4437+N4437+O4437-P4437-M4437</f>
        <v/>
      </c>
    </row>
    <row r="4438">
      <c r="A4438" s="16" t="inlineStr">
        <is>
          <t>5.8-5.14</t>
        </is>
      </c>
      <c r="B4438" s="16" t="inlineStr">
        <is>
          <t>PO-128-04531600563831052</t>
        </is>
      </c>
      <c r="C4438" s="16" t="inlineStr">
        <is>
          <t>Delivered</t>
        </is>
      </c>
      <c r="D4438" s="16" t="inlineStr">
        <is>
          <t>128-04531642506871052</t>
        </is>
      </c>
      <c r="E4438" s="16" t="inlineStr">
        <is>
          <t>Delivered</t>
        </is>
      </c>
      <c r="F4438" s="16" t="inlineStr">
        <is>
          <t>KTS-2031</t>
        </is>
      </c>
      <c r="G4438" s="16" t="inlineStr">
        <is>
          <t>Bocina inalámbrica de 3 pulgadas con linterna multifuncional y panel solar integrado.Altavoz Portátil con Linterna LED 4 Modos, Radio FM, Bluetooth, Carga Solar, Ideal para Apagones, Emergencias, Campo y Exteriores</t>
        </is>
      </c>
      <c r="H4438" s="16" t="inlineStr">
        <is>
          <t>NEGRO</t>
        </is>
      </c>
      <c r="I4438" s="16" t="n">
        <v>1</v>
      </c>
      <c r="J4438" s="17" t="n">
        <v>78</v>
      </c>
      <c r="K4438" s="17" t="n">
        <v>4.46</v>
      </c>
      <c r="L4438" s="17" t="n">
        <v>25.86</v>
      </c>
      <c r="M4438" s="17" t="n">
        <v>0</v>
      </c>
      <c r="N4438" s="17">
        <f>K4438*0.08+L4438*0.08</f>
        <v/>
      </c>
      <c r="O4438" s="17">
        <f>-(K4438*0.025+L4438*0.025)</f>
        <v/>
      </c>
      <c r="P4438" s="17">
        <f>32</f>
        <v/>
      </c>
      <c r="Q4438" s="17">
        <f>J4438+L4438+N4438+O4438-P4438-M4438</f>
        <v/>
      </c>
    </row>
    <row r="4439">
      <c r="A4439" s="16" t="inlineStr">
        <is>
          <t>5.8-5.14</t>
        </is>
      </c>
      <c r="B4439" s="16" t="inlineStr">
        <is>
          <t>PO-128-04531574684791052</t>
        </is>
      </c>
      <c r="C4439" s="16" t="inlineStr">
        <is>
          <t>Delivered</t>
        </is>
      </c>
      <c r="D4439" s="16" t="inlineStr">
        <is>
          <t>128-04531616627831052</t>
        </is>
      </c>
      <c r="E4439" s="16" t="inlineStr">
        <is>
          <t>Delivered</t>
        </is>
      </c>
      <c r="F4439" s="16" t="inlineStr">
        <is>
          <t>KTS-2031</t>
        </is>
      </c>
      <c r="G4439" s="16" t="inlineStr">
        <is>
          <t>Bocina inalámbrica de 3 pulgadas con linterna multifuncional y panel solar integrado.Altavoz Portátil con Linterna LED 4 Modos, Radio FM, Bluetooth, Carga Solar, Ideal para Apagones, Emergencias, Campo y Exteriores</t>
        </is>
      </c>
      <c r="H4439" s="16" t="inlineStr">
        <is>
          <t>NEGRO</t>
        </is>
      </c>
      <c r="I4439" s="16" t="n">
        <v>1</v>
      </c>
      <c r="J4439" s="17" t="n">
        <v>78</v>
      </c>
      <c r="K4439" s="17" t="n">
        <v>4.46</v>
      </c>
      <c r="L4439" s="17" t="n">
        <v>25.86</v>
      </c>
      <c r="M4439" s="17" t="n">
        <v>0</v>
      </c>
      <c r="N4439" s="17">
        <f>K4439*0.08+L4439*0.08</f>
        <v/>
      </c>
      <c r="O4439" s="17">
        <f>-(K4439*0.025+L4439*0.025)</f>
        <v/>
      </c>
      <c r="P4439" s="17">
        <f>32</f>
        <v/>
      </c>
      <c r="Q4439" s="17">
        <f>J4439+L4439+N4439+O4439-P4439-M4439</f>
        <v/>
      </c>
    </row>
    <row r="4440">
      <c r="A4440" s="16" t="inlineStr">
        <is>
          <t>5.8-5.14</t>
        </is>
      </c>
      <c r="B4440" s="16" t="inlineStr">
        <is>
          <t>PO-128-04641430994550399</t>
        </is>
      </c>
      <c r="C4440" s="16" t="inlineStr">
        <is>
          <t>Delivered</t>
        </is>
      </c>
      <c r="D4440" s="16" t="inlineStr">
        <is>
          <t>128-04641567309430399</t>
        </is>
      </c>
      <c r="E4440" s="16" t="inlineStr">
        <is>
          <t>Delivered</t>
        </is>
      </c>
      <c r="F4440" s="16" t="inlineStr">
        <is>
          <t>LV54W25</t>
        </is>
      </c>
      <c r="G4440" s="16" t="inlineStr">
        <is>
          <t>TIANLAI Lámpara Ventilador E27 2 en 1, Silenciosa, LED Alta Luminosidad 180°, Instalación Rápida, Ahorro Energético para Dormitorio y Interiores Pequeños</t>
        </is>
      </c>
      <c r="H4440" s="16" t="inlineStr">
        <is>
          <t>1 Pieza</t>
        </is>
      </c>
      <c r="I4440" s="16" t="n">
        <v>3</v>
      </c>
      <c r="J4440" s="17" t="n">
        <v>237</v>
      </c>
      <c r="K4440" s="17" t="n">
        <v>248.19</v>
      </c>
      <c r="L4440" s="17" t="n">
        <v>0</v>
      </c>
      <c r="M4440" s="17" t="n">
        <v>0</v>
      </c>
      <c r="N4440" s="17">
        <f>K4440*0.08+L4440*0.08</f>
        <v/>
      </c>
      <c r="O4440" s="17">
        <f>-(K4440*0.025+L4440*0.025)</f>
        <v/>
      </c>
      <c r="P4440" s="17">
        <f>32</f>
        <v/>
      </c>
      <c r="Q4440" s="17">
        <f>J4440+L4440+N4440+O4440-P4440-M4440</f>
        <v/>
      </c>
    </row>
    <row r="4441">
      <c r="A4441" s="16" t="inlineStr">
        <is>
          <t>5.8-5.14</t>
        </is>
      </c>
      <c r="B4441" s="16" t="inlineStr">
        <is>
          <t>PO-128-04266156129913786</t>
        </is>
      </c>
      <c r="C4441" s="16" t="inlineStr">
        <is>
          <t>Delivered</t>
        </is>
      </c>
      <c r="D4441" s="16" t="inlineStr">
        <is>
          <t>128-04266198072953786</t>
        </is>
      </c>
      <c r="E4441" s="16" t="inlineStr">
        <is>
          <t>Delivered</t>
        </is>
      </c>
      <c r="F4441" s="16" t="inlineStr">
        <is>
          <t>TL1412N17C</t>
        </is>
      </c>
      <c r="G4441" s="16" t="inlineStr">
        <is>
          <t>Linkbits, Soporte de Pared Fijo para TV y Monitor de 14"-43", Ultra Delgado 2.3cm, Fuerte Capacidad de Peso de 25KG, Fácil Instalación con Accesorios Completos</t>
        </is>
      </c>
      <c r="H4441" s="16" t="inlineStr">
        <is>
          <t>NEGRO</t>
        </is>
      </c>
      <c r="I4441" s="16" t="n">
        <v>1</v>
      </c>
      <c r="J4441" s="17" t="n">
        <v>36.84</v>
      </c>
      <c r="K4441" s="17" t="n">
        <v>48.53</v>
      </c>
      <c r="L4441" s="17" t="n">
        <v>25.86</v>
      </c>
      <c r="M4441" s="17" t="n">
        <v>0</v>
      </c>
      <c r="N4441" s="17">
        <f>K4441*0.08+L4441*0.08</f>
        <v/>
      </c>
      <c r="O4441" s="17">
        <f>-(K4441*0.025+L4441*0.025)</f>
        <v/>
      </c>
      <c r="P4441" s="17">
        <f>32</f>
        <v/>
      </c>
      <c r="Q4441" s="17">
        <f>J4441+L4441+N4441+O4441-P4441-M4441</f>
        <v/>
      </c>
    </row>
    <row r="4442">
      <c r="A4442" s="16" t="inlineStr">
        <is>
          <t>5.8-5.14</t>
        </is>
      </c>
      <c r="B4442" s="16" t="inlineStr">
        <is>
          <t>PO-128-04740743358071023</t>
        </is>
      </c>
      <c r="C4442" s="16" t="inlineStr">
        <is>
          <t>Delivered</t>
        </is>
      </c>
      <c r="D4442" s="16" t="inlineStr">
        <is>
          <t>128-04740811515511023</t>
        </is>
      </c>
      <c r="E4442" s="16" t="inlineStr">
        <is>
          <t>Delivered</t>
        </is>
      </c>
      <c r="F4442" s="16" t="inlineStr">
        <is>
          <t>TL2663N18C</t>
        </is>
      </c>
      <c r="G4442" s="16" t="inlineStr">
        <is>
          <t>Linkbits，Soporte de pared fijo para televisores de 26"-63", Ultra-Delgado Compatible con VESA 400x400mm, Capacidad de Peso Fuerte de 25KG, Instalación Fácil Sin Electricidad</t>
        </is>
      </c>
      <c r="H4442" s="16" t="inlineStr">
        <is>
          <t>NEGRO</t>
        </is>
      </c>
      <c r="I4442" s="16" t="n">
        <v>1</v>
      </c>
      <c r="J4442" s="17" t="n">
        <v>55.5</v>
      </c>
      <c r="K4442" s="17" t="n">
        <v>70.48999999999999</v>
      </c>
      <c r="L4442" s="17" t="n">
        <v>25.86</v>
      </c>
      <c r="M4442" s="17" t="n">
        <v>0</v>
      </c>
      <c r="N4442" s="17">
        <f>K4442*0.08+L4442*0.08</f>
        <v/>
      </c>
      <c r="O4442" s="17">
        <f>-(K4442*0.025+L4442*0.025)</f>
        <v/>
      </c>
      <c r="P4442" s="17">
        <f>32</f>
        <v/>
      </c>
      <c r="Q4442" s="17">
        <f>J4442+L4442+N4442+O4442-P4442-M4442</f>
        <v/>
      </c>
    </row>
    <row r="4443">
      <c r="A4443" s="16" t="inlineStr">
        <is>
          <t>5.8-5.14</t>
        </is>
      </c>
      <c r="B4443" s="16" t="inlineStr">
        <is>
          <t>PO-128-04479784141431491</t>
        </is>
      </c>
      <c r="C4443" s="16" t="inlineStr">
        <is>
          <t>Delivered</t>
        </is>
      </c>
      <c r="D4443" s="16" t="inlineStr">
        <is>
          <t>128-04479836570231491</t>
        </is>
      </c>
      <c r="E4443" s="16" t="inlineStr">
        <is>
          <t>Delivered</t>
        </is>
      </c>
      <c r="F4443" s="16" t="inlineStr">
        <is>
          <t>SA428T</t>
        </is>
      </c>
      <c r="G4443"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443" s="16" t="inlineStr">
        <is>
          <t>SA428T</t>
        </is>
      </c>
      <c r="I4443" s="16" t="n">
        <v>3</v>
      </c>
      <c r="J4443" s="17" t="n">
        <v>258.66</v>
      </c>
      <c r="K4443" s="17" t="n">
        <v>279.57</v>
      </c>
      <c r="L4443" s="17" t="n">
        <v>0</v>
      </c>
      <c r="M4443" s="17" t="n">
        <v>0</v>
      </c>
      <c r="N4443" s="17">
        <f>K4443*0.08+L4443*0.08</f>
        <v/>
      </c>
      <c r="O4443" s="17">
        <f>-(K4443*0.025+L4443*0.025)</f>
        <v/>
      </c>
      <c r="P4443" s="17">
        <f>32</f>
        <v/>
      </c>
      <c r="Q4443" s="17">
        <f>J4443+L4443+N4443+O4443-P4443-M4443</f>
        <v/>
      </c>
    </row>
    <row r="4444">
      <c r="A4444" s="16" t="inlineStr">
        <is>
          <t>5.8-5.14</t>
        </is>
      </c>
      <c r="B4444" s="16" t="inlineStr">
        <is>
          <t>PO-128-04730215506550956</t>
        </is>
      </c>
      <c r="C4444" s="16" t="inlineStr">
        <is>
          <t>Delivered</t>
        </is>
      </c>
      <c r="D4444" s="16" t="inlineStr">
        <is>
          <t>128-04730257449590956</t>
        </is>
      </c>
      <c r="E4444" s="16" t="inlineStr">
        <is>
          <t>Delivered</t>
        </is>
      </c>
      <c r="F4444" s="16" t="inlineStr">
        <is>
          <t>VB349T</t>
        </is>
      </c>
      <c r="G4444" s="16" t="inlineStr">
        <is>
          <t>LINKBITS Altavoz Portátil de Doble Altavoz - 3 Pulgadas, Sonido HD, Emparejamiento Rápido de Bluetooth, Conectividad TWS, Reproducción Multimodo (Micro SD/USB/Radio FM) - Perfecto para Oficina, Viajes y Espacios Pequeños</t>
        </is>
      </c>
      <c r="H4444" s="16" t="inlineStr">
        <is>
          <t>NEGRO</t>
        </is>
      </c>
      <c r="I4444" s="16" t="n">
        <v>1</v>
      </c>
      <c r="J4444" s="17" t="n">
        <v>79</v>
      </c>
      <c r="K4444" s="17" t="n">
        <v>9.49</v>
      </c>
      <c r="L4444" s="17" t="n">
        <v>25.86</v>
      </c>
      <c r="M4444" s="17" t="n">
        <v>0</v>
      </c>
      <c r="N4444" s="17">
        <f>K4444*0.08+L4444*0.08</f>
        <v/>
      </c>
      <c r="O4444" s="17">
        <f>-(K4444*0.025+L4444*0.025)</f>
        <v/>
      </c>
      <c r="P4444" s="17">
        <f>32</f>
        <v/>
      </c>
      <c r="Q4444" s="17">
        <f>J4444+L4444+N4444+O4444-P4444-M4444</f>
        <v/>
      </c>
    </row>
    <row r="4445">
      <c r="A4445" s="16" t="inlineStr">
        <is>
          <t>5.8-5.14</t>
        </is>
      </c>
      <c r="B4445" s="16" t="inlineStr">
        <is>
          <t>PO-128-04719911834230122</t>
        </is>
      </c>
      <c r="C4445" s="16" t="inlineStr">
        <is>
          <t>Delivered</t>
        </is>
      </c>
      <c r="D4445" s="16" t="inlineStr">
        <is>
          <t>128-04719930184310122</t>
        </is>
      </c>
      <c r="E4445" s="16" t="inlineStr">
        <is>
          <t>Delivered</t>
        </is>
      </c>
      <c r="F4445" s="16" t="inlineStr">
        <is>
          <t>LV54W25</t>
        </is>
      </c>
      <c r="G4445" s="16" t="inlineStr">
        <is>
          <t>TIANLAI Lámpara Ventilador E27 2 en 1, Silenciosa, LED Alta Luminosidad 180°, Instalación Rápida, Ahorro Energético para Dormitorio y Interiores Pequeños</t>
        </is>
      </c>
      <c r="H4445" s="16" t="inlineStr">
        <is>
          <t>1 Pieza</t>
        </is>
      </c>
      <c r="I4445" s="16" t="n">
        <v>2</v>
      </c>
      <c r="J4445" s="17" t="n">
        <v>152</v>
      </c>
      <c r="K4445" s="17" t="n">
        <v>153.77</v>
      </c>
      <c r="L4445" s="17" t="n">
        <v>25.86</v>
      </c>
      <c r="M4445" s="17" t="n">
        <v>0</v>
      </c>
      <c r="N4445" s="17">
        <f>K4445*0.08+L4445*0.08</f>
        <v/>
      </c>
      <c r="O4445" s="17">
        <f>-(K4445*0.025+L4445*0.025)</f>
        <v/>
      </c>
      <c r="P4445" s="17">
        <f>32</f>
        <v/>
      </c>
      <c r="Q4445" s="17">
        <f>J4445+L4445+N4445+O4445-P4445-M4445</f>
        <v/>
      </c>
    </row>
    <row r="4446">
      <c r="A4446" s="16" t="inlineStr">
        <is>
          <t>5.8-5.14</t>
        </is>
      </c>
      <c r="B4446" s="16" t="inlineStr">
        <is>
          <t>PO-128-04143514849913559</t>
        </is>
      </c>
      <c r="C4446" s="16" t="inlineStr">
        <is>
          <t>Delivered</t>
        </is>
      </c>
      <c r="D4446" s="16" t="inlineStr">
        <is>
          <t>128-04143556792953559</t>
        </is>
      </c>
      <c r="E4446" s="16" t="inlineStr">
        <is>
          <t>Delivered</t>
        </is>
      </c>
      <c r="F4446" s="16" t="inlineStr">
        <is>
          <t>KTS-2031</t>
        </is>
      </c>
      <c r="G4446" s="16" t="inlineStr">
        <is>
          <t>Bocina inalámbrica de 3 pulgadas con linterna multifuncional y panel solar integrado.Altavoz Portátil con Linterna LED 4 Modos, Radio FM, Bluetooth, Carga Solar, Ideal para Apagones, Emergencias, Campo y Exteriores</t>
        </is>
      </c>
      <c r="H4446" s="16" t="inlineStr">
        <is>
          <t>NEGRO</t>
        </is>
      </c>
      <c r="I4446" s="16" t="n">
        <v>1</v>
      </c>
      <c r="J4446" s="17" t="n">
        <v>75</v>
      </c>
      <c r="K4446" s="17" t="n">
        <v>1.46</v>
      </c>
      <c r="L4446" s="17" t="n">
        <v>25.86</v>
      </c>
      <c r="M4446" s="17" t="n">
        <v>0</v>
      </c>
      <c r="N4446" s="17">
        <f>K4446*0.08+L4446*0.08</f>
        <v/>
      </c>
      <c r="O4446" s="17">
        <f>-(K4446*0.025+L4446*0.025)</f>
        <v/>
      </c>
      <c r="P4446" s="17">
        <f>32</f>
        <v/>
      </c>
      <c r="Q4446" s="17">
        <f>J4446+L4446+N4446+O4446-P4446-M4446</f>
        <v/>
      </c>
    </row>
    <row r="4447">
      <c r="A4447" s="16" t="inlineStr">
        <is>
          <t>5.8-5.14</t>
        </is>
      </c>
      <c r="B4447" s="16" t="inlineStr">
        <is>
          <t>PO-128-04657024184950496</t>
        </is>
      </c>
      <c r="C4447" s="16" t="inlineStr">
        <is>
          <t>Delivered</t>
        </is>
      </c>
      <c r="D4447" s="16" t="inlineStr">
        <is>
          <t>128-04657184092790496</t>
        </is>
      </c>
      <c r="E4447" s="16" t="inlineStr">
        <is>
          <t>Delivered</t>
        </is>
      </c>
      <c r="F4447" s="16" t="inlineStr">
        <is>
          <t>VB349T</t>
        </is>
      </c>
      <c r="G4447" s="16" t="inlineStr">
        <is>
          <t>LINKBITS Altavoz Portátil de Doble Altavoz - 3 Pulgadas, Sonido HD, Emparejamiento Rápido de Bluetooth, Conectividad TWS, Reproducción Multimodo (Micro SD/USB/Radio FM) - Perfecto para Oficina, Viajes y Espacios Pequeños</t>
        </is>
      </c>
      <c r="H4447" s="16" t="inlineStr">
        <is>
          <t>NEGRO</t>
        </is>
      </c>
      <c r="I4447" s="16" t="n">
        <v>1</v>
      </c>
      <c r="J4447" s="17" t="n">
        <v>79</v>
      </c>
      <c r="K4447" s="17" t="n">
        <v>92.25</v>
      </c>
      <c r="L4447" s="17" t="n">
        <v>25.86</v>
      </c>
      <c r="M4447" s="17" t="n">
        <v>0</v>
      </c>
      <c r="N4447" s="17">
        <f>K4447*0.08+L4447*0.08</f>
        <v/>
      </c>
      <c r="O4447" s="17">
        <f>-(K4447*0.025+L4447*0.025)</f>
        <v/>
      </c>
      <c r="P4447" s="17">
        <f>32</f>
        <v/>
      </c>
      <c r="Q4447" s="17">
        <f>J4447+L4447+N4447+O4447-P4447-M4447</f>
        <v/>
      </c>
    </row>
    <row r="4448">
      <c r="A4448" s="16" t="inlineStr">
        <is>
          <t>5.8-5.14</t>
        </is>
      </c>
      <c r="B4448" s="16" t="inlineStr">
        <is>
          <t>PO-128-04153998684793369</t>
        </is>
      </c>
      <c r="C4448" s="16" t="inlineStr">
        <is>
          <t>Delivered</t>
        </is>
      </c>
      <c r="D4448" s="16" t="inlineStr">
        <is>
          <t>128-04153956741753369</t>
        </is>
      </c>
      <c r="E4448" s="16" t="inlineStr">
        <is>
          <t>Delivered</t>
        </is>
      </c>
      <c r="F4448" s="16" t="inlineStr">
        <is>
          <t>TL2663N18C</t>
        </is>
      </c>
      <c r="G4448" s="16" t="inlineStr">
        <is>
          <t>Linkbits，Soporte de pared fijo para televisores de 26"-63", Ultra-Delgado Compatible con VESA 400x400mm, Capacidad de Peso Fuerte de 25KG, Instalación Fácil Sin Electricidad</t>
        </is>
      </c>
      <c r="H4448" s="16" t="inlineStr">
        <is>
          <t>NEGRO</t>
        </is>
      </c>
      <c r="I4448" s="16" t="n">
        <v>2</v>
      </c>
      <c r="J4448" s="17" t="n">
        <v>104</v>
      </c>
      <c r="K4448" s="17" t="n">
        <v>107.18</v>
      </c>
      <c r="L4448" s="17" t="n">
        <v>25.86</v>
      </c>
      <c r="M4448" s="17" t="n">
        <v>0</v>
      </c>
      <c r="N4448" s="17">
        <f>K4448*0.08+L4448*0.08</f>
        <v/>
      </c>
      <c r="O4448" s="17">
        <f>-(K4448*0.025+L4448*0.025)</f>
        <v/>
      </c>
      <c r="P4448" s="17">
        <f>32</f>
        <v/>
      </c>
      <c r="Q4448" s="17">
        <f>J4448+L4448+N4448+O4448-P4448-M4448</f>
        <v/>
      </c>
    </row>
    <row r="4449">
      <c r="A4449" s="16" t="inlineStr">
        <is>
          <t>5.8-5.14</t>
        </is>
      </c>
      <c r="B4449" s="16" t="inlineStr">
        <is>
          <t>PO-128-04689102664310179</t>
        </is>
      </c>
      <c r="C4449" s="16" t="inlineStr">
        <is>
          <t>Delivered</t>
        </is>
      </c>
      <c r="D4449" s="16" t="inlineStr">
        <is>
          <t>128-04689207521910179</t>
        </is>
      </c>
      <c r="E4449" s="16" t="inlineStr">
        <is>
          <t>Delivered</t>
        </is>
      </c>
      <c r="F4449" s="16" t="inlineStr">
        <is>
          <t>KTS-2031</t>
        </is>
      </c>
      <c r="G4449" s="16" t="inlineStr">
        <is>
          <t>Bocina inalámbrica de 3 pulgadas con linterna multifuncional y panel solar integrado.Altavoz Portátil con Linterna LED 4 Modos, Radio FM, Bluetooth, Carga Solar, Ideal para Apagones, Emergencias, Campo y Exteriores</t>
        </is>
      </c>
      <c r="H4449" s="16" t="inlineStr">
        <is>
          <t>NEGRO</t>
        </is>
      </c>
      <c r="I4449" s="16" t="n">
        <v>1</v>
      </c>
      <c r="J4449" s="17" t="n">
        <v>75</v>
      </c>
      <c r="K4449" s="17" t="n">
        <v>84.22</v>
      </c>
      <c r="L4449" s="17" t="n">
        <v>25.86</v>
      </c>
      <c r="M4449" s="17" t="n">
        <v>0</v>
      </c>
      <c r="N4449" s="17">
        <f>K4449*0.08+L4449*0.08</f>
        <v/>
      </c>
      <c r="O4449" s="17">
        <f>-(K4449*0.025+L4449*0.025)</f>
        <v/>
      </c>
      <c r="P4449" s="17">
        <f>32</f>
        <v/>
      </c>
      <c r="Q4449" s="17">
        <f>J4449+L4449+N4449+O4449-P4449-M4449</f>
        <v/>
      </c>
    </row>
    <row r="4450">
      <c r="A4450" s="16" t="inlineStr">
        <is>
          <t>5.8-5.14</t>
        </is>
      </c>
      <c r="B4450" s="16" t="inlineStr">
        <is>
          <t>PO-128-04263158385273804</t>
        </is>
      </c>
      <c r="C4450" s="16" t="inlineStr">
        <is>
          <t>Delivered</t>
        </is>
      </c>
      <c r="D4450" s="16" t="inlineStr">
        <is>
          <t>128-04263200328313804</t>
        </is>
      </c>
      <c r="E4450" s="16" t="inlineStr">
        <is>
          <t>Delivered</t>
        </is>
      </c>
      <c r="F4450" s="16" t="inlineStr">
        <is>
          <t>VB349T</t>
        </is>
      </c>
      <c r="G4450" s="16" t="inlineStr">
        <is>
          <t>LINKBITS Altavoz Portátil de Doble Altavoz - 3 Pulgadas, Sonido HD, Emparejamiento Rápido de Bluetooth, Conectividad TWS, Reproducción Multimodo (Micro SD/USB/Radio FM) - Perfecto para Oficina, Viajes y Espacios Pequeños</t>
        </is>
      </c>
      <c r="H4450" s="16" t="inlineStr">
        <is>
          <t>NEGRO</t>
        </is>
      </c>
      <c r="I4450" s="16" t="n">
        <v>3</v>
      </c>
      <c r="J4450" s="17" t="n">
        <v>237</v>
      </c>
      <c r="K4450" s="17" t="n">
        <v>253.69</v>
      </c>
      <c r="L4450" s="17" t="n">
        <v>0</v>
      </c>
      <c r="M4450" s="17" t="n">
        <v>0</v>
      </c>
      <c r="N4450" s="17">
        <f>K4450*0.08+L4450*0.08</f>
        <v/>
      </c>
      <c r="O4450" s="17">
        <f>-(K4450*0.025+L4450*0.025)</f>
        <v/>
      </c>
      <c r="P4450" s="17">
        <f>32</f>
        <v/>
      </c>
      <c r="Q4450" s="17">
        <f>J4450+L4450+N4450+O4450-P4450-M4450</f>
        <v/>
      </c>
    </row>
    <row r="4451">
      <c r="A4451" s="16" t="inlineStr">
        <is>
          <t>5.8-5.14</t>
        </is>
      </c>
      <c r="B4451" s="16" t="inlineStr">
        <is>
          <t>PO-128-04154757038713362</t>
        </is>
      </c>
      <c r="C4451" s="16" t="inlineStr">
        <is>
          <t>Delivered</t>
        </is>
      </c>
      <c r="D4451" s="16" t="inlineStr">
        <is>
          <t>128-04154783253113362</t>
        </is>
      </c>
      <c r="E4451" s="16" t="inlineStr">
        <is>
          <t>Delivered</t>
        </is>
      </c>
      <c r="F4451" s="16" t="inlineStr">
        <is>
          <t>KTS-2031</t>
        </is>
      </c>
      <c r="G4451" s="16" t="inlineStr">
        <is>
          <t>Bocina inalámbrica de 3 pulgadas con linterna multifuncional y panel solar integrado.Altavoz Portátil con Linterna LED 4 Modos, Radio FM, Bluetooth, Carga Solar, Ideal para Apagones, Emergencias, Campo y Exteriores</t>
        </is>
      </c>
      <c r="H4451" s="16" t="inlineStr">
        <is>
          <t>NEGRO</t>
        </is>
      </c>
      <c r="I4451" s="16" t="n">
        <v>1</v>
      </c>
      <c r="J4451" s="17" t="n">
        <v>75</v>
      </c>
      <c r="K4451" s="17" t="n">
        <v>84.22</v>
      </c>
      <c r="L4451" s="17" t="n">
        <v>25.86</v>
      </c>
      <c r="M4451" s="17" t="n">
        <v>0</v>
      </c>
      <c r="N4451" s="17">
        <f>K4451*0.08+L4451*0.08</f>
        <v/>
      </c>
      <c r="O4451" s="17">
        <f>-(K4451*0.025+L4451*0.025)</f>
        <v/>
      </c>
      <c r="P4451" s="17">
        <f>32</f>
        <v/>
      </c>
      <c r="Q4451" s="17">
        <f>J4451+L4451+N4451+O4451-P4451-M4451</f>
        <v/>
      </c>
    </row>
    <row r="4452">
      <c r="A4452" s="16" t="inlineStr">
        <is>
          <t>5.8-5.14</t>
        </is>
      </c>
      <c r="B4452" s="16" t="inlineStr">
        <is>
          <t>PO-128-04199107451513162</t>
        </is>
      </c>
      <c r="C4452" s="16" t="inlineStr">
        <is>
          <t>Delivered</t>
        </is>
      </c>
      <c r="D4452" s="16" t="inlineStr">
        <is>
          <t>128-04199128423033162</t>
        </is>
      </c>
      <c r="E4452" s="16" t="inlineStr">
        <is>
          <t>Delivered</t>
        </is>
      </c>
      <c r="F4452" s="16" t="inlineStr">
        <is>
          <t>KTS-2031</t>
        </is>
      </c>
      <c r="G4452" s="16" t="inlineStr">
        <is>
          <t>Bocina inalámbrica de 3 pulgadas con linterna multifuncional y panel solar integrado.Altavoz Portátil con Linterna LED 4 Modos, Radio FM, Bluetooth, Carga Solar, Ideal para Apagones, Emergencias, Campo y Exteriores</t>
        </is>
      </c>
      <c r="H4452" s="16" t="inlineStr">
        <is>
          <t>NEGRO</t>
        </is>
      </c>
      <c r="I4452" s="16" t="n">
        <v>1</v>
      </c>
      <c r="J4452" s="17" t="n">
        <v>75</v>
      </c>
      <c r="K4452" s="17" t="n">
        <v>71.59</v>
      </c>
      <c r="L4452" s="17" t="n">
        <v>25.86</v>
      </c>
      <c r="M4452" s="17" t="n">
        <v>0</v>
      </c>
      <c r="N4452" s="17">
        <f>K4452*0.08+L4452*0.08</f>
        <v/>
      </c>
      <c r="O4452" s="17">
        <f>-(K4452*0.025+L4452*0.025)</f>
        <v/>
      </c>
      <c r="P4452" s="17">
        <f>32</f>
        <v/>
      </c>
      <c r="Q4452" s="17">
        <f>J4452+L4452+N4452+O4452-P4452-M4452</f>
        <v/>
      </c>
    </row>
    <row r="4453">
      <c r="A4453" s="16" t="inlineStr">
        <is>
          <t>5.8-5.14</t>
        </is>
      </c>
      <c r="B4453" s="16" t="inlineStr">
        <is>
          <t>PO-128-04762718577270890</t>
        </is>
      </c>
      <c r="C4453" s="16" t="inlineStr">
        <is>
          <t>Delivered</t>
        </is>
      </c>
      <c r="D4453" s="16" t="inlineStr">
        <is>
          <t>128-04762882417270890</t>
        </is>
      </c>
      <c r="E4453" s="16" t="inlineStr">
        <is>
          <t>Delivered</t>
        </is>
      </c>
      <c r="F4453" s="16" t="inlineStr">
        <is>
          <t>TL2663N18C</t>
        </is>
      </c>
      <c r="G4453" s="16" t="inlineStr">
        <is>
          <t>Linkbits，Soporte de pared fijo para televisores de 26"-63", Ultra-Delgado Compatible con VESA 400x400mm, Capacidad de Peso Fuerte de 25KG, Instalación Fácil Sin Electricidad</t>
        </is>
      </c>
      <c r="H4453" s="16" t="inlineStr">
        <is>
          <t>NEGRO</t>
        </is>
      </c>
      <c r="I4453" s="16" t="n">
        <v>2</v>
      </c>
      <c r="J4453" s="17" t="n">
        <v>104</v>
      </c>
      <c r="K4453" s="17" t="n">
        <v>90.88</v>
      </c>
      <c r="L4453" s="17" t="n">
        <v>25.86</v>
      </c>
      <c r="M4453" s="17" t="n">
        <v>0</v>
      </c>
      <c r="N4453" s="17">
        <f>K4453*0.08+L4453*0.08</f>
        <v/>
      </c>
      <c r="O4453" s="17">
        <f>-(K4453*0.025+L4453*0.025)</f>
        <v/>
      </c>
      <c r="P4453" s="17">
        <f>32</f>
        <v/>
      </c>
      <c r="Q4453" s="17">
        <f>J4453+L4453+N4453+O4453-P4453-M4453</f>
        <v/>
      </c>
    </row>
    <row r="4454">
      <c r="A4454" s="16" t="inlineStr">
        <is>
          <t>5.8-5.14</t>
        </is>
      </c>
      <c r="B4454" s="16" t="inlineStr">
        <is>
          <t>PO-128-04182841375353325</t>
        </is>
      </c>
      <c r="C4454" s="16" t="inlineStr">
        <is>
          <t>Delivered</t>
        </is>
      </c>
      <c r="D4454" s="16" t="inlineStr">
        <is>
          <t>128-04182862346873325</t>
        </is>
      </c>
      <c r="E4454" s="16" t="inlineStr">
        <is>
          <t>Delivered</t>
        </is>
      </c>
      <c r="F4454" s="16" t="inlineStr">
        <is>
          <t>KTS-2031</t>
        </is>
      </c>
      <c r="G4454" s="16" t="inlineStr">
        <is>
          <t>Bocina inalámbrica de 3 pulgadas con linterna multifuncional y panel solar integrado.Altavoz Portátil con Linterna LED 4 Modos, Radio FM, Bluetooth, Carga Solar, Ideal para Apagones, Emergencias, Campo y Exteriores</t>
        </is>
      </c>
      <c r="H4454" s="16" t="inlineStr">
        <is>
          <t>NEGRO</t>
        </is>
      </c>
      <c r="I4454" s="16" t="n">
        <v>1</v>
      </c>
      <c r="J4454" s="17" t="n">
        <v>75</v>
      </c>
      <c r="K4454" s="17" t="n">
        <v>84.22</v>
      </c>
      <c r="L4454" s="17" t="n">
        <v>25.86</v>
      </c>
      <c r="M4454" s="17" t="n">
        <v>0</v>
      </c>
      <c r="N4454" s="17">
        <f>K4454*0.08+L4454*0.08</f>
        <v/>
      </c>
      <c r="O4454" s="17">
        <f>-(K4454*0.025+L4454*0.025)</f>
        <v/>
      </c>
      <c r="P4454" s="17">
        <f>32</f>
        <v/>
      </c>
      <c r="Q4454" s="17">
        <f>J4454+L4454+N4454+O4454-P4454-M4454</f>
        <v/>
      </c>
    </row>
    <row r="4455">
      <c r="A4455" s="16" t="inlineStr">
        <is>
          <t>5.8-5.14</t>
        </is>
      </c>
      <c r="B4455" s="16" t="inlineStr">
        <is>
          <t>PO-128-04265294838393793</t>
        </is>
      </c>
      <c r="C4455" s="16" t="inlineStr">
        <is>
          <t>Delivered</t>
        </is>
      </c>
      <c r="D4455" s="16" t="inlineStr">
        <is>
          <t>128-04265290906233793</t>
        </is>
      </c>
      <c r="E4455" s="16" t="inlineStr">
        <is>
          <t>Delivered</t>
        </is>
      </c>
      <c r="F4455" s="16" t="inlineStr">
        <is>
          <t>TL1455N20B</t>
        </is>
      </c>
      <c r="G4455" s="16" t="inlineStr">
        <is>
          <t>LINK BITS Soporte para TV 14 A 55 Pulgadas, Base para TV Pantalla Articulado Inclinable y Giratorio, MAX VESA 400×400 mm, Soporta hasta 18kg, adaptarse a la mayoría de los televisores de 14 Pulgadas/20 Pulgadas/32 Pulgadas/42 Pulgadas/55 pulgadas</t>
        </is>
      </c>
      <c r="H4455" s="16" t="inlineStr">
        <is>
          <t>TL1455N20B</t>
        </is>
      </c>
      <c r="I4455" s="16" t="n">
        <v>1</v>
      </c>
      <c r="J4455" s="17" t="n">
        <v>72</v>
      </c>
      <c r="K4455" s="17" t="n">
        <v>80.59</v>
      </c>
      <c r="L4455" s="17" t="n">
        <v>25.86</v>
      </c>
      <c r="M4455" s="17" t="n">
        <v>0</v>
      </c>
      <c r="N4455" s="17">
        <f>K4455*0.08+L4455*0.08</f>
        <v/>
      </c>
      <c r="O4455" s="17">
        <f>-(K4455*0.025+L4455*0.025)</f>
        <v/>
      </c>
      <c r="P4455" s="17">
        <f>32</f>
        <v/>
      </c>
      <c r="Q4455" s="17">
        <f>J4455+L4455+N4455+O4455-P4455-M4455</f>
        <v/>
      </c>
    </row>
    <row r="4456">
      <c r="A4456" s="16" t="inlineStr">
        <is>
          <t>5.8-5.14</t>
        </is>
      </c>
      <c r="B4456" s="16" t="inlineStr">
        <is>
          <t>PO-128-04757354773110858</t>
        </is>
      </c>
      <c r="C4456" s="16" t="inlineStr">
        <is>
          <t>Delivered</t>
        </is>
      </c>
      <c r="D4456" s="16" t="inlineStr">
        <is>
          <t>128-04757506816630858</t>
        </is>
      </c>
      <c r="E4456" s="16" t="inlineStr">
        <is>
          <t>Delivered</t>
        </is>
      </c>
      <c r="F4456" s="16" t="inlineStr">
        <is>
          <t>TL2663N18C</t>
        </is>
      </c>
      <c r="G4456" s="16" t="inlineStr">
        <is>
          <t>Linkbits，Soporte de pared fijo para televisores de 26"-63", Ultra-Delgado Compatible con VESA 400x400mm, Capacidad de Peso Fuerte de 25KG, Instalación Fácil Sin Electricidad</t>
        </is>
      </c>
      <c r="H4456" s="16" t="inlineStr">
        <is>
          <t>NEGRO</t>
        </is>
      </c>
      <c r="I4456" s="16" t="n">
        <v>1</v>
      </c>
      <c r="J4456" s="17" t="n">
        <v>52</v>
      </c>
      <c r="K4456" s="17" t="n">
        <v>66.98999999999999</v>
      </c>
      <c r="L4456" s="17" t="n">
        <v>25.86</v>
      </c>
      <c r="M4456" s="17" t="n">
        <v>0</v>
      </c>
      <c r="N4456" s="17">
        <f>K4456*0.08+L4456*0.08</f>
        <v/>
      </c>
      <c r="O4456" s="17">
        <f>-(K4456*0.025+L4456*0.025)</f>
        <v/>
      </c>
      <c r="P4456" s="17">
        <f>32</f>
        <v/>
      </c>
      <c r="Q4456" s="17">
        <f>J4456+L4456+N4456+O4456-P4456-M4456</f>
        <v/>
      </c>
    </row>
    <row r="4457">
      <c r="A4457" s="16" t="inlineStr">
        <is>
          <t>5.8-5.14</t>
        </is>
      </c>
      <c r="B4457" s="16" t="inlineStr">
        <is>
          <t>PO-128-04254115318393730</t>
        </is>
      </c>
      <c r="C4457" s="16" t="inlineStr">
        <is>
          <t>Delivered</t>
        </is>
      </c>
      <c r="D4457" s="16" t="inlineStr">
        <is>
          <t>128-04254198221433730</t>
        </is>
      </c>
      <c r="E4457" s="16" t="inlineStr">
        <is>
          <t>Delivered</t>
        </is>
      </c>
      <c r="F4457" s="16" t="inlineStr">
        <is>
          <t>KTS-2031</t>
        </is>
      </c>
      <c r="G4457" s="16" t="inlineStr">
        <is>
          <t>Bocina inalámbrica de 3 pulgadas con linterna multifuncional y panel solar integrado.Altavoz Portátil con Linterna LED 4 Modos, Radio FM, Bluetooth, Carga Solar, Ideal para Apagones, Emergencias, Campo y Exteriores</t>
        </is>
      </c>
      <c r="H4457" s="16" t="inlineStr">
        <is>
          <t>NEGRO</t>
        </is>
      </c>
      <c r="I4457" s="16" t="n">
        <v>1</v>
      </c>
      <c r="J4457" s="17" t="n">
        <v>75</v>
      </c>
      <c r="K4457" s="17" t="n">
        <v>1.46</v>
      </c>
      <c r="L4457" s="17" t="n">
        <v>25.86</v>
      </c>
      <c r="M4457" s="17" t="n">
        <v>0</v>
      </c>
      <c r="N4457" s="17">
        <f>K4457*0.08+L4457*0.08</f>
        <v/>
      </c>
      <c r="O4457" s="17">
        <f>-(K4457*0.025+L4457*0.025)</f>
        <v/>
      </c>
      <c r="P4457" s="17">
        <f>32</f>
        <v/>
      </c>
      <c r="Q4457" s="17">
        <f>J4457+L4457+N4457+O4457-P4457-M4457</f>
        <v/>
      </c>
    </row>
    <row r="4458">
      <c r="A4458" s="16" t="inlineStr">
        <is>
          <t>5.8-5.14</t>
        </is>
      </c>
      <c r="B4458" s="16" t="inlineStr">
        <is>
          <t>PO-128-04490400451191298</t>
        </is>
      </c>
      <c r="C4458" s="16" t="inlineStr">
        <is>
          <t>Delivered</t>
        </is>
      </c>
      <c r="D4458" s="16" t="inlineStr">
        <is>
          <t>128-04490358508151298</t>
        </is>
      </c>
      <c r="E4458" s="16" t="inlineStr">
        <is>
          <t>Delivered</t>
        </is>
      </c>
      <c r="F4458" s="16" t="inlineStr">
        <is>
          <t>KTS-2031</t>
        </is>
      </c>
      <c r="G4458" s="16" t="inlineStr">
        <is>
          <t>Bocina inalámbrica de 3 pulgadas con linterna multifuncional y panel solar integrado.Altavoz Portátil con Linterna LED 4 Modos, Radio FM, Bluetooth, Carga Solar, Ideal para Apagones, Emergencias, Campo y Exteriores</t>
        </is>
      </c>
      <c r="H4458" s="16" t="inlineStr">
        <is>
          <t>NEGRO</t>
        </is>
      </c>
      <c r="I4458" s="16" t="n">
        <v>1</v>
      </c>
      <c r="J4458" s="17" t="n">
        <v>75</v>
      </c>
      <c r="K4458" s="17" t="n">
        <v>1.46</v>
      </c>
      <c r="L4458" s="17" t="n">
        <v>25.86</v>
      </c>
      <c r="M4458" s="17" t="n">
        <v>0</v>
      </c>
      <c r="N4458" s="17">
        <f>K4458*0.08+L4458*0.08</f>
        <v/>
      </c>
      <c r="O4458" s="17">
        <f>-(K4458*0.025+L4458*0.025)</f>
        <v/>
      </c>
      <c r="P4458" s="17">
        <f>32</f>
        <v/>
      </c>
      <c r="Q4458" s="17">
        <f>J4458+L4458+N4458+O4458-P4458-M4458</f>
        <v/>
      </c>
    </row>
    <row r="4459">
      <c r="A4459" s="16" t="inlineStr">
        <is>
          <t>5.8-5.14</t>
        </is>
      </c>
      <c r="B4459" s="16" t="inlineStr">
        <is>
          <t>PO-128-16604064563833849</t>
        </is>
      </c>
      <c r="C4459" s="16" t="inlineStr">
        <is>
          <t>Delivered</t>
        </is>
      </c>
      <c r="D4459" s="16" t="inlineStr">
        <is>
          <t>128-16604022620793849</t>
        </is>
      </c>
      <c r="E4459" s="16" t="inlineStr">
        <is>
          <t>Delivered</t>
        </is>
      </c>
      <c r="F4459" s="16" t="inlineStr">
        <is>
          <t>KTS-2031</t>
        </is>
      </c>
      <c r="G4459" s="16" t="inlineStr">
        <is>
          <t>Bocina inalámbrica de 3 pulgadas con linterna multifuncional y panel solar integrado.Altavoz Portátil con Linterna LED 4 Modos, Radio FM, Bluetooth, Carga Solar, Ideal para Apagones, Emergencias, Campo y Exteriores</t>
        </is>
      </c>
      <c r="H4459" s="16" t="inlineStr">
        <is>
          <t>NEGRO</t>
        </is>
      </c>
      <c r="I4459" s="16" t="n">
        <v>1</v>
      </c>
      <c r="J4459" s="17" t="n">
        <v>75</v>
      </c>
      <c r="K4459" s="17" t="n">
        <v>30.77</v>
      </c>
      <c r="L4459" s="17" t="n">
        <v>25.86</v>
      </c>
      <c r="M4459" s="17" t="n">
        <v>0</v>
      </c>
      <c r="N4459" s="17">
        <f>K4459*0.08+L4459*0.08</f>
        <v/>
      </c>
      <c r="O4459" s="17">
        <f>-(K4459*0.025+L4459*0.025)</f>
        <v/>
      </c>
      <c r="P4459" s="17">
        <f>32</f>
        <v/>
      </c>
      <c r="Q4459" s="17">
        <f>J4459+L4459+N4459+O4459-P4459-M4459</f>
        <v/>
      </c>
    </row>
    <row r="4460">
      <c r="A4460" s="16" t="inlineStr">
        <is>
          <t>5.8-5.14</t>
        </is>
      </c>
      <c r="B4460" s="16" t="inlineStr">
        <is>
          <t>PO-128-17169647770230605</t>
        </is>
      </c>
      <c r="C4460" s="16" t="inlineStr">
        <is>
          <t>Delivered</t>
        </is>
      </c>
      <c r="D4460" s="16" t="inlineStr">
        <is>
          <t>128-17169658255990605</t>
        </is>
      </c>
      <c r="E4460" s="16" t="inlineStr">
        <is>
          <t>Delivered</t>
        </is>
      </c>
      <c r="F4460" s="16" t="inlineStr">
        <is>
          <t>KTS-2031</t>
        </is>
      </c>
      <c r="G4460" s="16" t="inlineStr">
        <is>
          <t>Bocina inalámbrica de 3 pulgadas con linterna multifuncional y panel solar integrado.Altavoz Portátil con Linterna LED 4 Modos, Radio FM, Bluetooth, Carga Solar, Ideal para Apagones, Emergencias, Campo y Exteriores</t>
        </is>
      </c>
      <c r="H4460" s="16" t="inlineStr">
        <is>
          <t>NEGRO</t>
        </is>
      </c>
      <c r="I4460" s="16" t="n">
        <v>1</v>
      </c>
      <c r="J4460" s="17" t="n">
        <v>75</v>
      </c>
      <c r="K4460" s="17" t="n">
        <v>84.22</v>
      </c>
      <c r="L4460" s="17" t="n">
        <v>25.86</v>
      </c>
      <c r="M4460" s="17" t="n">
        <v>0</v>
      </c>
      <c r="N4460" s="17">
        <f>K4460*0.08+L4460*0.08</f>
        <v/>
      </c>
      <c r="O4460" s="17">
        <f>-(K4460*0.025+L4460*0.025)</f>
        <v/>
      </c>
      <c r="P4460" s="17">
        <f>32</f>
        <v/>
      </c>
      <c r="Q4460" s="17">
        <f>J4460+L4460+N4460+O4460-P4460-M4460</f>
        <v/>
      </c>
    </row>
    <row r="4461">
      <c r="A4461" s="16" t="inlineStr">
        <is>
          <t>5.8-5.14</t>
        </is>
      </c>
      <c r="B4461" s="16" t="inlineStr">
        <is>
          <t>PO-128-16597104681594080</t>
        </is>
      </c>
      <c r="C4461" s="16" t="inlineStr">
        <is>
          <t>Delivered</t>
        </is>
      </c>
      <c r="D4461" s="16" t="inlineStr">
        <is>
          <t>128-16597083710074080</t>
        </is>
      </c>
      <c r="E4461" s="16" t="inlineStr">
        <is>
          <t>Delivered</t>
        </is>
      </c>
      <c r="F4461" s="16" t="inlineStr">
        <is>
          <t>TL1455N20B</t>
        </is>
      </c>
      <c r="G4461" s="16" t="inlineStr">
        <is>
          <t>LINK BITS Soporte para TV 14 A 55 Pulgadas, Base para TV Pantalla Articulado Inclinable y Giratorio, MAX VESA 400×400 mm, Soporta hasta 18kg, adaptarse a la mayoría de los televisores de 14 Pulgadas/20 Pulgadas/32 Pulgadas/42 Pulgadas/55 pulgadas</t>
        </is>
      </c>
      <c r="H4461" s="16" t="inlineStr">
        <is>
          <t>TL1455N20B</t>
        </is>
      </c>
      <c r="I4461" s="16" t="n">
        <v>1</v>
      </c>
      <c r="J4461" s="17" t="n">
        <v>72</v>
      </c>
      <c r="K4461" s="17" t="n">
        <v>94.81</v>
      </c>
      <c r="L4461" s="17" t="n">
        <v>25.86</v>
      </c>
      <c r="M4461" s="17" t="n">
        <v>0</v>
      </c>
      <c r="N4461" s="17">
        <f>K4461*0.08+L4461*0.08</f>
        <v/>
      </c>
      <c r="O4461" s="17">
        <f>-(K4461*0.025+L4461*0.025)</f>
        <v/>
      </c>
      <c r="P4461" s="17">
        <f>32</f>
        <v/>
      </c>
      <c r="Q4461" s="17">
        <f>J4461+L4461+N4461+O4461-P4461-M4461</f>
        <v/>
      </c>
    </row>
    <row r="4462">
      <c r="A4462" s="16" t="inlineStr">
        <is>
          <t>5.8-5.14</t>
        </is>
      </c>
      <c r="B4462" s="16" t="inlineStr">
        <is>
          <t>PO-128-17163576126070512</t>
        </is>
      </c>
      <c r="C4462" s="16" t="inlineStr">
        <is>
          <t>Delivered</t>
        </is>
      </c>
      <c r="D4462" s="16" t="inlineStr">
        <is>
          <t>128-17163555154550512</t>
        </is>
      </c>
      <c r="E4462" s="16" t="inlineStr">
        <is>
          <t>Delivered</t>
        </is>
      </c>
      <c r="F4462" s="16" t="inlineStr">
        <is>
          <t>TL1455N20B</t>
        </is>
      </c>
      <c r="G4462" s="16" t="inlineStr">
        <is>
          <t>LINK BITS Soporte para TV 14 A 55 Pulgadas, Base para TV Pantalla Articulado Inclinable y Giratorio, MAX VESA 400×400 mm, Soporta hasta 18kg, adaptarse a la mayoría de los televisores de 14 Pulgadas/20 Pulgadas/32 Pulgadas/42 Pulgadas/55 pulgadas</t>
        </is>
      </c>
      <c r="H4462" s="16" t="inlineStr">
        <is>
          <t>TL1455N20B</t>
        </is>
      </c>
      <c r="I4462" s="16" t="n">
        <v>1</v>
      </c>
      <c r="J4462" s="17" t="n">
        <v>72</v>
      </c>
      <c r="K4462" s="17" t="n">
        <v>94.81</v>
      </c>
      <c r="L4462" s="17" t="n">
        <v>25.86</v>
      </c>
      <c r="M4462" s="17" t="n">
        <v>0</v>
      </c>
      <c r="N4462" s="17">
        <f>K4462*0.08+L4462*0.08</f>
        <v/>
      </c>
      <c r="O4462" s="17">
        <f>-(K4462*0.025+L4462*0.025)</f>
        <v/>
      </c>
      <c r="P4462" s="17">
        <f>32</f>
        <v/>
      </c>
      <c r="Q4462" s="17">
        <f>J4462+L4462+N4462+O4462-P4462-M4462</f>
        <v/>
      </c>
    </row>
    <row r="4463">
      <c r="A4463" s="16" t="inlineStr">
        <is>
          <t>5.8-5.14</t>
        </is>
      </c>
      <c r="B4463" s="16" t="inlineStr">
        <is>
          <t>PO-128-16982820823671783</t>
        </is>
      </c>
      <c r="C4463" s="16" t="inlineStr">
        <is>
          <t>Delivered</t>
        </is>
      </c>
      <c r="D4463" s="16" t="inlineStr">
        <is>
          <t>128-16982904586871783</t>
        </is>
      </c>
      <c r="E4463" s="16" t="inlineStr">
        <is>
          <t>Delivered</t>
        </is>
      </c>
      <c r="F4463" s="16" t="inlineStr">
        <is>
          <t>KTS-2031</t>
        </is>
      </c>
      <c r="G4463" s="16" t="inlineStr">
        <is>
          <t>Bocina inalámbrica de 3 pulgadas con linterna multifuncional y panel solar integrado.Altavoz Portátil con Linterna LED 4 Modos, Radio FM, Bluetooth, Carga Solar, Ideal para Apagones, Emergencias, Campo y Exteriores</t>
        </is>
      </c>
      <c r="H4463" s="16" t="inlineStr">
        <is>
          <t>NEGRO</t>
        </is>
      </c>
      <c r="I4463" s="16" t="n">
        <v>1</v>
      </c>
      <c r="J4463" s="17" t="n">
        <v>75</v>
      </c>
      <c r="K4463" s="17" t="n">
        <v>84.22</v>
      </c>
      <c r="L4463" s="17" t="n">
        <v>25.86</v>
      </c>
      <c r="M4463" s="17" t="n">
        <v>0</v>
      </c>
      <c r="N4463" s="17">
        <f>K4463*0.08+L4463*0.08</f>
        <v/>
      </c>
      <c r="O4463" s="17">
        <f>-(K4463*0.025+L4463*0.025)</f>
        <v/>
      </c>
      <c r="P4463" s="17">
        <f>32</f>
        <v/>
      </c>
      <c r="Q4463" s="17">
        <f>J4463+L4463+N4463+O4463-P4463-M4463</f>
        <v/>
      </c>
    </row>
    <row r="4464">
      <c r="A4464" s="16" t="inlineStr">
        <is>
          <t>5.8-5.14</t>
        </is>
      </c>
      <c r="B4464" s="16" t="inlineStr">
        <is>
          <t>PO-128-16589955594874061</t>
        </is>
      </c>
      <c r="C4464" s="16" t="inlineStr">
        <is>
          <t>Delivered</t>
        </is>
      </c>
      <c r="D4464" s="16" t="inlineStr">
        <is>
          <t>128-16589913651834061</t>
        </is>
      </c>
      <c r="E4464" s="16" t="inlineStr">
        <is>
          <t>Delivered</t>
        </is>
      </c>
      <c r="F4464" s="16" t="inlineStr">
        <is>
          <t>TL2663N18C</t>
        </is>
      </c>
      <c r="G4464" s="16" t="inlineStr">
        <is>
          <t>Linkbits，Soporte de pared fijo para televisores de 26"-63", Ultra-Delgado Compatible con VESA 400x400mm, Capacidad de Peso Fuerte de 25KG, Instalación Fácil Sin Electricidad</t>
        </is>
      </c>
      <c r="H4464" s="16" t="inlineStr">
        <is>
          <t>NEGRO</t>
        </is>
      </c>
      <c r="I4464" s="16" t="n">
        <v>1</v>
      </c>
      <c r="J4464" s="17" t="n">
        <v>52</v>
      </c>
      <c r="K4464" s="17" t="n">
        <v>66.98999999999999</v>
      </c>
      <c r="L4464" s="17" t="n">
        <v>25.86</v>
      </c>
      <c r="M4464" s="17" t="n">
        <v>0</v>
      </c>
      <c r="N4464" s="17">
        <f>K4464*0.08+L4464*0.08</f>
        <v/>
      </c>
      <c r="O4464" s="17">
        <f>-(K4464*0.025+L4464*0.025)</f>
        <v/>
      </c>
      <c r="P4464" s="17">
        <f>32</f>
        <v/>
      </c>
      <c r="Q4464" s="17">
        <f>J4464+L4464+N4464+O4464-P4464-M4464</f>
        <v/>
      </c>
    </row>
    <row r="4465">
      <c r="A4465" s="16" t="inlineStr">
        <is>
          <t>5.8-5.14</t>
        </is>
      </c>
      <c r="B4465" s="16" t="inlineStr">
        <is>
          <t>PO-128-17059279862390175</t>
        </is>
      </c>
      <c r="C4465" s="16" t="inlineStr">
        <is>
          <t>Delivered</t>
        </is>
      </c>
      <c r="D4465" s="16" t="inlineStr">
        <is>
          <t>128-17059300833910175</t>
        </is>
      </c>
      <c r="E4465" s="16" t="inlineStr">
        <is>
          <t>Delivered</t>
        </is>
      </c>
      <c r="F4465" s="16" t="inlineStr">
        <is>
          <t>KTS-2031</t>
        </is>
      </c>
      <c r="G4465" s="16" t="inlineStr">
        <is>
          <t>Bocina inalámbrica de 3 pulgadas con linterna multifuncional y panel solar integrado.Altavoz Portátil con Linterna LED 4 Modos, Radio FM, Bluetooth, Carga Solar, Ideal para Apagones, Emergencias, Campo y Exteriores</t>
        </is>
      </c>
      <c r="H4465" s="16" t="inlineStr">
        <is>
          <t>NEGRO</t>
        </is>
      </c>
      <c r="I4465" s="16" t="n">
        <v>1</v>
      </c>
      <c r="J4465" s="17" t="n">
        <v>75</v>
      </c>
      <c r="K4465" s="17" t="n">
        <v>84.22</v>
      </c>
      <c r="L4465" s="17" t="n">
        <v>25.86</v>
      </c>
      <c r="M4465" s="17" t="n">
        <v>0</v>
      </c>
      <c r="N4465" s="17">
        <f>K4465*0.08+L4465*0.08</f>
        <v/>
      </c>
      <c r="O4465" s="17">
        <f>-(K4465*0.025+L4465*0.025)</f>
        <v/>
      </c>
      <c r="P4465" s="17">
        <f>32</f>
        <v/>
      </c>
      <c r="Q4465" s="17">
        <f>J4465+L4465+N4465+O4465-P4465-M4465</f>
        <v/>
      </c>
    </row>
    <row r="4466">
      <c r="A4466" s="16" t="inlineStr">
        <is>
          <t>5.8-5.14</t>
        </is>
      </c>
      <c r="B4466" s="16" t="inlineStr">
        <is>
          <t>PO-128-16990578207351545</t>
        </is>
      </c>
      <c r="C4466" s="16" t="inlineStr">
        <is>
          <t>Delivered</t>
        </is>
      </c>
      <c r="D4466" s="16" t="inlineStr">
        <is>
          <t>128-16990525778551545</t>
        </is>
      </c>
      <c r="E4466" s="16" t="inlineStr">
        <is>
          <t>Delivered</t>
        </is>
      </c>
      <c r="F4466" s="16" t="inlineStr">
        <is>
          <t>B03W10-10PZS</t>
        </is>
      </c>
      <c r="G446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466" s="16" t="inlineStr">
        <is>
          <t>B03W10</t>
        </is>
      </c>
      <c r="I4466" s="16" t="n">
        <v>1</v>
      </c>
      <c r="J4466" s="17" t="n">
        <v>66</v>
      </c>
      <c r="K4466" s="17" t="n">
        <v>86.18000000000001</v>
      </c>
      <c r="L4466" s="17" t="n">
        <v>25.86</v>
      </c>
      <c r="M4466" s="17" t="n">
        <v>0</v>
      </c>
      <c r="N4466" s="17">
        <f>K4466*0.08+L4466*0.08</f>
        <v/>
      </c>
      <c r="O4466" s="17">
        <f>-(K4466*0.025+L4466*0.025)</f>
        <v/>
      </c>
      <c r="P4466" s="17">
        <f>32</f>
        <v/>
      </c>
      <c r="Q4466" s="17">
        <f>J4466+L4466+N4466+O4466-P4466-M4466</f>
        <v/>
      </c>
    </row>
    <row r="4467">
      <c r="A4467" s="16" t="inlineStr">
        <is>
          <t>5.8-5.14</t>
        </is>
      </c>
      <c r="B4467" s="16" t="inlineStr">
        <is>
          <t>PO-128-16606394005113899</t>
        </is>
      </c>
      <c r="C4467" s="16" t="inlineStr">
        <is>
          <t>Delivered</t>
        </is>
      </c>
      <c r="D4467" s="16" t="inlineStr">
        <is>
          <t>128-16606352062073899</t>
        </is>
      </c>
      <c r="E4467" s="16" t="inlineStr">
        <is>
          <t>Delivered</t>
        </is>
      </c>
      <c r="F4467" s="16" t="inlineStr">
        <is>
          <t>KTS-2031</t>
        </is>
      </c>
      <c r="G4467" s="16" t="inlineStr">
        <is>
          <t>Bocina inalámbrica de 3 pulgadas con linterna multifuncional y panel solar integrado.Altavoz Portátil con Linterna LED 4 Modos, Radio FM, Bluetooth, Carga Solar, Ideal para Apagones, Emergencias, Campo y Exteriores</t>
        </is>
      </c>
      <c r="H4467" s="16" t="inlineStr">
        <is>
          <t>NEGRO</t>
        </is>
      </c>
      <c r="I4467" s="16" t="n">
        <v>5</v>
      </c>
      <c r="J4467" s="17" t="n">
        <v>375</v>
      </c>
      <c r="K4467" s="17" t="n">
        <v>309.05</v>
      </c>
      <c r="L4467" s="17" t="n">
        <v>0</v>
      </c>
      <c r="M4467" s="17" t="n">
        <v>0</v>
      </c>
      <c r="N4467" s="17">
        <f>K4467*0.08+L4467*0.08</f>
        <v/>
      </c>
      <c r="O4467" s="17">
        <f>-(K4467*0.025+L4467*0.025)</f>
        <v/>
      </c>
      <c r="P4467" s="17">
        <f>32</f>
        <v/>
      </c>
      <c r="Q4467" s="17">
        <f>J4467+L4467+N4467+O4467-P4467-M4467</f>
        <v/>
      </c>
    </row>
    <row r="4468">
      <c r="A4468" s="16" t="inlineStr">
        <is>
          <t>5.8-5.14</t>
        </is>
      </c>
      <c r="B4468" s="16" t="inlineStr">
        <is>
          <t>PO-128-16978255207031744</t>
        </is>
      </c>
      <c r="C4468" s="16" t="inlineStr">
        <is>
          <t>Delivered</t>
        </is>
      </c>
      <c r="D4468" s="16" t="inlineStr">
        <is>
          <t>128-16978297150071744</t>
        </is>
      </c>
      <c r="E4468" s="16" t="inlineStr">
        <is>
          <t>Delivered</t>
        </is>
      </c>
      <c r="F4468" s="16" t="inlineStr">
        <is>
          <t>BG-115-P</t>
        </is>
      </c>
      <c r="G4468" s="16" t="inlineStr">
        <is>
          <t>LINK BITS Audífonos Inalámbricos con Luces Multicolor, Recargables y en Adorable Forma de Orejas de Gato - Conecta a Celulares y PCs, Tiene Radio FM, Tarjeta TF y AUX - 7 Horas de Reproducción, Plegables y Perfectos para Trabajo, Juegos y Estudio</t>
        </is>
      </c>
      <c r="H4468" s="16" t="inlineStr">
        <is>
          <t>rosa</t>
        </is>
      </c>
      <c r="I4468" s="16" t="n">
        <v>1</v>
      </c>
      <c r="J4468" s="17" t="n">
        <v>76</v>
      </c>
      <c r="K4468" s="17" t="n">
        <v>3.96</v>
      </c>
      <c r="L4468" s="17" t="n">
        <v>25.86</v>
      </c>
      <c r="M4468" s="17" t="n">
        <v>0</v>
      </c>
      <c r="N4468" s="17">
        <f>K4468*0.08+L4468*0.08</f>
        <v/>
      </c>
      <c r="O4468" s="17">
        <f>-(K4468*0.025+L4468*0.025)</f>
        <v/>
      </c>
      <c r="P4468" s="17">
        <f>32</f>
        <v/>
      </c>
      <c r="Q4468" s="17">
        <f>J4468+L4468+N4468+O4468-P4468-M4468</f>
        <v/>
      </c>
    </row>
    <row r="4469">
      <c r="A4469" s="16" t="inlineStr">
        <is>
          <t>5.8-5.14</t>
        </is>
      </c>
      <c r="B4469" s="16" t="inlineStr">
        <is>
          <t>PO-128-16985997589111762</t>
        </is>
      </c>
      <c r="C4469" s="16" t="inlineStr">
        <is>
          <t>Delivered</t>
        </is>
      </c>
      <c r="D4469" s="16" t="inlineStr">
        <is>
          <t>128-16986039532151762</t>
        </is>
      </c>
      <c r="E4469" s="16" t="inlineStr">
        <is>
          <t>Delivered</t>
        </is>
      </c>
      <c r="F4469" s="16" t="inlineStr">
        <is>
          <t>KTS-2031</t>
        </is>
      </c>
      <c r="G4469" s="16" t="inlineStr">
        <is>
          <t>Bocina inalámbrica de 3 pulgadas con linterna multifuncional y panel solar integrado.Altavoz Portátil con Linterna LED 4 Modos, Radio FM, Bluetooth, Carga Solar, Ideal para Apagones, Emergencias, Campo y Exteriores</t>
        </is>
      </c>
      <c r="H4469" s="16" t="inlineStr">
        <is>
          <t>NEGRO</t>
        </is>
      </c>
      <c r="I4469" s="16" t="n">
        <v>1</v>
      </c>
      <c r="J4469" s="17" t="n">
        <v>75</v>
      </c>
      <c r="K4469" s="17" t="n">
        <v>1.46</v>
      </c>
      <c r="L4469" s="17" t="n">
        <v>25.86</v>
      </c>
      <c r="M4469" s="17" t="n">
        <v>0</v>
      </c>
      <c r="N4469" s="17">
        <f>K4469*0.08+L4469*0.08</f>
        <v/>
      </c>
      <c r="O4469" s="17">
        <f>-(K4469*0.025+L4469*0.025)</f>
        <v/>
      </c>
      <c r="P4469" s="17">
        <f>32</f>
        <v/>
      </c>
      <c r="Q4469" s="17">
        <f>J4469+L4469+N4469+O4469-P4469-M4469</f>
        <v/>
      </c>
    </row>
    <row r="4470">
      <c r="A4470" s="16" t="inlineStr">
        <is>
          <t>5.8-5.14</t>
        </is>
      </c>
      <c r="B4470" s="16" t="inlineStr">
        <is>
          <t>PO-128-16932441191031955</t>
        </is>
      </c>
      <c r="C4470" s="16" t="inlineStr">
        <is>
          <t>Delivered</t>
        </is>
      </c>
      <c r="D4470" s="16" t="inlineStr">
        <is>
          <t>128-16932420219511955</t>
        </is>
      </c>
      <c r="E4470" s="16" t="inlineStr">
        <is>
          <t>Delivered</t>
        </is>
      </c>
      <c r="F4470" s="16" t="inlineStr">
        <is>
          <t>TL2663N18C</t>
        </is>
      </c>
      <c r="G4470" s="16" t="inlineStr">
        <is>
          <t>Linkbits，Soporte de pared fijo para televisores de 26"-63", Ultra-Delgado Compatible con VESA 400x400mm, Capacidad de Peso Fuerte de 25KG, Instalación Fácil Sin Electricidad</t>
        </is>
      </c>
      <c r="H4470" s="16" t="inlineStr">
        <is>
          <t>NEGRO</t>
        </is>
      </c>
      <c r="I4470" s="16" t="n">
        <v>1</v>
      </c>
      <c r="J4470" s="17" t="n">
        <v>52</v>
      </c>
      <c r="K4470" s="17" t="n">
        <v>60.79</v>
      </c>
      <c r="L4470" s="17" t="n">
        <v>25.86</v>
      </c>
      <c r="M4470" s="17" t="n">
        <v>0</v>
      </c>
      <c r="N4470" s="17">
        <f>K4470*0.08+L4470*0.08</f>
        <v/>
      </c>
      <c r="O4470" s="17">
        <f>-(K4470*0.025+L4470*0.025)</f>
        <v/>
      </c>
      <c r="P4470" s="17">
        <f>32</f>
        <v/>
      </c>
      <c r="Q4470" s="17">
        <f>J4470+L4470+N4470+O4470-P4470-M4470</f>
        <v/>
      </c>
    </row>
    <row r="4471">
      <c r="A4471" s="16" t="inlineStr">
        <is>
          <t>5.8-5.14</t>
        </is>
      </c>
      <c r="B4471" s="16" t="inlineStr">
        <is>
          <t>PO-128-16582527437433977</t>
        </is>
      </c>
      <c r="C4471" s="16" t="inlineStr">
        <is>
          <t>Delivered</t>
        </is>
      </c>
      <c r="D4471" s="16" t="inlineStr">
        <is>
          <t>128-16582537923193977</t>
        </is>
      </c>
      <c r="E4471" s="16" t="inlineStr">
        <is>
          <t>Delivered</t>
        </is>
      </c>
      <c r="F4471" s="16" t="inlineStr">
        <is>
          <t>TL2663N18C</t>
        </is>
      </c>
      <c r="G4471" s="16" t="inlineStr">
        <is>
          <t>Linkbits，Soporte de pared fijo para televisores de 26"-63", Ultra-Delgado Compatible con VESA 400x400mm, Capacidad de Peso Fuerte de 25KG, Instalación Fácil Sin Electricidad</t>
        </is>
      </c>
      <c r="H4471" s="16" t="inlineStr">
        <is>
          <t>NEGRO</t>
        </is>
      </c>
      <c r="I4471" s="16" t="n">
        <v>5</v>
      </c>
      <c r="J4471" s="17" t="n">
        <v>260</v>
      </c>
      <c r="K4471" s="17" t="n">
        <v>280.1</v>
      </c>
      <c r="L4471" s="17" t="n">
        <v>0</v>
      </c>
      <c r="M4471" s="17" t="n">
        <v>0</v>
      </c>
      <c r="N4471" s="17">
        <f>K4471*0.08+L4471*0.08</f>
        <v/>
      </c>
      <c r="O4471" s="17">
        <f>-(K4471*0.025+L4471*0.025)</f>
        <v/>
      </c>
      <c r="P4471" s="17">
        <f>32</f>
        <v/>
      </c>
      <c r="Q4471" s="17">
        <f>J4471+L4471+N4471+O4471-P4471-M4471</f>
        <v/>
      </c>
    </row>
    <row r="4472">
      <c r="A4472" s="16" t="inlineStr">
        <is>
          <t>5.8-5.14</t>
        </is>
      </c>
      <c r="B4472" s="16" t="inlineStr">
        <is>
          <t>PO-128-16902411556471044</t>
        </is>
      </c>
      <c r="C4472" s="16" t="inlineStr">
        <is>
          <t>Delivered</t>
        </is>
      </c>
      <c r="D4472" s="16" t="inlineStr">
        <is>
          <t>128-16902516414071044</t>
        </is>
      </c>
      <c r="E4472" s="16" t="inlineStr">
        <is>
          <t>Delivered</t>
        </is>
      </c>
      <c r="F4472" s="16" t="inlineStr">
        <is>
          <t>TL1455N20B</t>
        </is>
      </c>
      <c r="G4472" s="16" t="inlineStr">
        <is>
          <t>LINK BITS Soporte para TV 14 A 55 Pulgadas, Base para TV Pantalla Articulado Inclinable y Giratorio, MAX VESA 400×400 mm, Soporta hasta 18kg, adaptarse a la mayoría de los televisores de 14 Pulgadas/20 Pulgadas/32 Pulgadas/42 Pulgadas/55 pulgadas</t>
        </is>
      </c>
      <c r="H4472" s="16" t="inlineStr">
        <is>
          <t>TL1455N20B</t>
        </is>
      </c>
      <c r="I4472" s="16" t="n">
        <v>1</v>
      </c>
      <c r="J4472" s="17" t="n">
        <v>72</v>
      </c>
      <c r="K4472" s="17" t="n">
        <v>94.81</v>
      </c>
      <c r="L4472" s="17" t="n">
        <v>25.86</v>
      </c>
      <c r="M4472" s="17" t="n">
        <v>0</v>
      </c>
      <c r="N4472" s="17">
        <f>K4472*0.08+L4472*0.08</f>
        <v/>
      </c>
      <c r="O4472" s="17">
        <f>-(K4472*0.025+L4472*0.025)</f>
        <v/>
      </c>
      <c r="P4472" s="17">
        <f>32</f>
        <v/>
      </c>
      <c r="Q4472" s="17">
        <f>J4472+L4472+N4472+O4472-P4472-M4472</f>
        <v/>
      </c>
    </row>
    <row r="4473">
      <c r="A4473" s="16" t="inlineStr">
        <is>
          <t>5.8-5.14</t>
        </is>
      </c>
      <c r="B4473" s="16" t="inlineStr">
        <is>
          <t>PO-128-16648396984953646</t>
        </is>
      </c>
      <c r="C4473" s="16" t="inlineStr">
        <is>
          <t>Delivered</t>
        </is>
      </c>
      <c r="D4473" s="16" t="inlineStr">
        <is>
          <t>128-16648501842553646</t>
        </is>
      </c>
      <c r="E4473" s="16" t="inlineStr">
        <is>
          <t>Delivered</t>
        </is>
      </c>
      <c r="F4473" s="16" t="inlineStr">
        <is>
          <t>KTS-2031</t>
        </is>
      </c>
      <c r="G4473" s="16" t="inlineStr">
        <is>
          <t>Bocina inalámbrica de 3 pulgadas con linterna multifuncional y panel solar integrado.Altavoz Portátil con Linterna LED 4 Modos, Radio FM, Bluetooth, Carga Solar, Ideal para Apagones, Emergencias, Campo y Exteriores</t>
        </is>
      </c>
      <c r="H4473" s="16" t="inlineStr">
        <is>
          <t>NEGRO</t>
        </is>
      </c>
      <c r="I4473" s="16" t="n">
        <v>1</v>
      </c>
      <c r="J4473" s="17" t="n">
        <v>75</v>
      </c>
      <c r="K4473" s="17" t="n">
        <v>1.46</v>
      </c>
      <c r="L4473" s="17" t="n">
        <v>25.86</v>
      </c>
      <c r="M4473" s="17" t="n">
        <v>0</v>
      </c>
      <c r="N4473" s="17">
        <f>K4473*0.08+L4473*0.08</f>
        <v/>
      </c>
      <c r="O4473" s="17">
        <f>-(K4473*0.025+L4473*0.025)</f>
        <v/>
      </c>
      <c r="P4473" s="17">
        <f>32</f>
        <v/>
      </c>
      <c r="Q4473" s="17">
        <f>J4473+L4473+N4473+O4473-P4473-M4473</f>
        <v/>
      </c>
    </row>
    <row r="4474">
      <c r="A4474" s="16" t="inlineStr">
        <is>
          <t>5.8-5.14</t>
        </is>
      </c>
      <c r="B4474" s="16" t="inlineStr">
        <is>
          <t>PO-128-16585101773434024</t>
        </is>
      </c>
      <c r="C4474" s="16" t="inlineStr">
        <is>
          <t>Delivered</t>
        </is>
      </c>
      <c r="D4474" s="16" t="inlineStr">
        <is>
          <t>128-16585059830394024</t>
        </is>
      </c>
      <c r="E4474" s="16" t="inlineStr">
        <is>
          <t>Delivered</t>
        </is>
      </c>
      <c r="F4474" s="16" t="inlineStr">
        <is>
          <t>KTS-2031</t>
        </is>
      </c>
      <c r="G4474" s="16" t="inlineStr">
        <is>
          <t>Bocina inalámbrica de 3 pulgadas con linterna multifuncional y panel solar integrado.Altavoz Portátil con Linterna LED 4 Modos, Radio FM, Bluetooth, Carga Solar, Ideal para Apagones, Emergencias, Campo y Exteriores</t>
        </is>
      </c>
      <c r="H4474" s="16" t="inlineStr">
        <is>
          <t>NEGRO</t>
        </is>
      </c>
      <c r="I4474" s="16" t="n">
        <v>1</v>
      </c>
      <c r="J4474" s="17" t="n">
        <v>75</v>
      </c>
      <c r="K4474" s="17" t="n">
        <v>84.22</v>
      </c>
      <c r="L4474" s="17" t="n">
        <v>25.86</v>
      </c>
      <c r="M4474" s="17" t="n">
        <v>0</v>
      </c>
      <c r="N4474" s="17">
        <f>K4474*0.08+L4474*0.08</f>
        <v/>
      </c>
      <c r="O4474" s="17">
        <f>-(K4474*0.025+L4474*0.025)</f>
        <v/>
      </c>
      <c r="P4474" s="17">
        <f>32</f>
        <v/>
      </c>
      <c r="Q4474" s="17">
        <f>J4474+L4474+N4474+O4474-P4474-M4474</f>
        <v/>
      </c>
    </row>
    <row r="4475">
      <c r="A4475" s="16" t="inlineStr">
        <is>
          <t>5.8-5.14</t>
        </is>
      </c>
      <c r="B4475" s="16" t="inlineStr">
        <is>
          <t>PO-128-16995551703671579</t>
        </is>
      </c>
      <c r="C4475" s="16" t="inlineStr">
        <is>
          <t>Delivered</t>
        </is>
      </c>
      <c r="D4475" s="16" t="inlineStr">
        <is>
          <t>128-16995509760631579</t>
        </is>
      </c>
      <c r="E4475" s="16" t="inlineStr">
        <is>
          <t>Delivered</t>
        </is>
      </c>
      <c r="F4475" s="16" t="inlineStr">
        <is>
          <t>TL1455N20B</t>
        </is>
      </c>
      <c r="G4475" s="16" t="inlineStr">
        <is>
          <t>LINK BITS Soporte para TV 14 A 55 Pulgadas, Base para TV Pantalla Articulado Inclinable y Giratorio, MAX VESA 400×400 mm, Soporta hasta 18kg, adaptarse a la mayoría de los televisores de 14 Pulgadas/20 Pulgadas/32 Pulgadas/42 Pulgadas/55 pulgadas</t>
        </is>
      </c>
      <c r="H4475" s="16" t="inlineStr">
        <is>
          <t>TL1455N20B</t>
        </is>
      </c>
      <c r="I4475" s="16" t="n">
        <v>1</v>
      </c>
      <c r="J4475" s="17" t="n">
        <v>72</v>
      </c>
      <c r="K4475" s="17" t="n">
        <v>94.81</v>
      </c>
      <c r="L4475" s="17" t="n">
        <v>25.86</v>
      </c>
      <c r="M4475" s="17" t="n">
        <v>3</v>
      </c>
      <c r="N4475" s="17">
        <f>K4475*0.08+L4475*0.08</f>
        <v/>
      </c>
      <c r="O4475" s="17">
        <f>-(K4475*0.025+L4475*0.025)</f>
        <v/>
      </c>
      <c r="P4475" s="17">
        <f>32</f>
        <v/>
      </c>
      <c r="Q4475" s="17">
        <f>J4475+L4475+N4475+O4475-P4475-M4475</f>
        <v/>
      </c>
    </row>
    <row r="4476">
      <c r="A4476" s="16" t="inlineStr">
        <is>
          <t>5.8-5.14</t>
        </is>
      </c>
      <c r="B4476" s="16" t="inlineStr">
        <is>
          <t>PO-128-16677980580472510</t>
        </is>
      </c>
      <c r="C4476" s="16" t="inlineStr">
        <is>
          <t>Delivered</t>
        </is>
      </c>
      <c r="D4476" s="16" t="inlineStr">
        <is>
          <t>128-16677997619832510</t>
        </is>
      </c>
      <c r="E4476" s="16" t="inlineStr">
        <is>
          <t>Delivered</t>
        </is>
      </c>
      <c r="F4476" s="16" t="inlineStr">
        <is>
          <t>EM12W12</t>
        </is>
      </c>
      <c r="G4476" s="16" t="inlineStr">
        <is>
          <t>TIANLAI Lámpara Solar de Emergencia, 1pc 960lm IP4 5 Modos con SOS, Recargable USB+Solar con Gancho, Linterna Portátil para Camping Hogar Senderismo Pesca</t>
        </is>
      </c>
      <c r="H4476" s="16" t="inlineStr">
        <is>
          <t>BLANCO</t>
        </is>
      </c>
      <c r="I4476" s="16" t="n">
        <v>1</v>
      </c>
      <c r="J4476" s="17" t="n">
        <v>75</v>
      </c>
      <c r="K4476" s="17" t="n">
        <v>84.75</v>
      </c>
      <c r="L4476" s="17" t="n">
        <v>25.86</v>
      </c>
      <c r="M4476" s="17" t="n">
        <v>0</v>
      </c>
      <c r="N4476" s="17">
        <f>K4476*0.08+L4476*0.08</f>
        <v/>
      </c>
      <c r="O4476" s="17">
        <f>-(K4476*0.025+L4476*0.025)</f>
        <v/>
      </c>
      <c r="P4476" s="17">
        <f>32</f>
        <v/>
      </c>
      <c r="Q4476" s="17">
        <f>J4476+L4476+N4476+O4476-P4476-M4476</f>
        <v/>
      </c>
    </row>
    <row r="4477">
      <c r="A4477" s="16" t="inlineStr">
        <is>
          <t>5.8-5.14</t>
        </is>
      </c>
      <c r="B4477" s="16" t="inlineStr">
        <is>
          <t>PO-128-16561624074873076</t>
        </is>
      </c>
      <c r="C4477" s="16" t="inlineStr">
        <is>
          <t>Delivered</t>
        </is>
      </c>
      <c r="D4477" s="16" t="inlineStr">
        <is>
          <t>128-16561582131833076</t>
        </is>
      </c>
      <c r="E4477" s="16" t="inlineStr">
        <is>
          <t>Delivered</t>
        </is>
      </c>
      <c r="F4477" s="16" t="inlineStr">
        <is>
          <t>TL1455N20B</t>
        </is>
      </c>
      <c r="G4477" s="16" t="inlineStr">
        <is>
          <t>LINK BITS Soporte para TV 14 A 55 Pulgadas, Base para TV Pantalla Articulado Inclinable y Giratorio, MAX VESA 400×400 mm, Soporta hasta 18kg, adaptarse a la mayoría de los televisores de 14 Pulgadas/20 Pulgadas/32 Pulgadas/42 Pulgadas/55 pulgadas</t>
        </is>
      </c>
      <c r="H4477" s="16" t="inlineStr">
        <is>
          <t>TL1455N20B</t>
        </is>
      </c>
      <c r="I4477" s="16" t="n">
        <v>1</v>
      </c>
      <c r="J4477" s="17" t="n">
        <v>72</v>
      </c>
      <c r="K4477" s="17" t="n">
        <v>94.81</v>
      </c>
      <c r="L4477" s="17" t="n">
        <v>25.86</v>
      </c>
      <c r="M4477" s="17" t="n">
        <v>0</v>
      </c>
      <c r="N4477" s="17">
        <f>K4477*0.08+L4477*0.08</f>
        <v/>
      </c>
      <c r="O4477" s="17">
        <f>-(K4477*0.025+L4477*0.025)</f>
        <v/>
      </c>
      <c r="P4477" s="17">
        <f>32</f>
        <v/>
      </c>
      <c r="Q4477" s="17">
        <f>J4477+L4477+N4477+O4477-P4477-M4477</f>
        <v/>
      </c>
    </row>
    <row r="4478">
      <c r="A4478" s="16" t="inlineStr">
        <is>
          <t>5.8-5.14</t>
        </is>
      </c>
      <c r="B4478" s="16" t="inlineStr">
        <is>
          <t>PO-128-17056079166070128</t>
        </is>
      </c>
      <c r="C4478" s="16" t="inlineStr">
        <is>
          <t>Delivered</t>
        </is>
      </c>
      <c r="D4478" s="16" t="inlineStr">
        <is>
          <t>128-17056184023670128</t>
        </is>
      </c>
      <c r="E4478" s="16" t="inlineStr">
        <is>
          <t>Delivered</t>
        </is>
      </c>
      <c r="F4478" s="16" t="inlineStr">
        <is>
          <t>KTS-2031</t>
        </is>
      </c>
      <c r="G4478" s="16" t="inlineStr">
        <is>
          <t>Bocina inalámbrica de 3 pulgadas con linterna multifuncional y panel solar integrado.Altavoz Portátil con Linterna LED 4 Modos, Radio FM, Bluetooth, Carga Solar, Ideal para Apagones, Emergencias, Campo y Exteriores</t>
        </is>
      </c>
      <c r="H4478" s="16" t="inlineStr">
        <is>
          <t>NEGRO</t>
        </is>
      </c>
      <c r="I4478" s="16" t="n">
        <v>1</v>
      </c>
      <c r="J4478" s="17" t="n">
        <v>75</v>
      </c>
      <c r="K4478" s="17" t="n">
        <v>1.46</v>
      </c>
      <c r="L4478" s="17" t="n">
        <v>25.86</v>
      </c>
      <c r="M4478" s="17" t="n">
        <v>0</v>
      </c>
      <c r="N4478" s="17">
        <f>K4478*0.08+L4478*0.08</f>
        <v/>
      </c>
      <c r="O4478" s="17">
        <f>-(K4478*0.025+L4478*0.025)</f>
        <v/>
      </c>
      <c r="P4478" s="17">
        <f>32</f>
        <v/>
      </c>
      <c r="Q4478" s="17">
        <f>J4478+L4478+N4478+O4478-P4478-M4478</f>
        <v/>
      </c>
    </row>
    <row r="4479">
      <c r="A4479" s="16" t="inlineStr">
        <is>
          <t>5.8-5.14</t>
        </is>
      </c>
      <c r="B4479" s="16" t="inlineStr">
        <is>
          <t>PO-128-16548610243193283</t>
        </is>
      </c>
      <c r="C4479" s="16" t="inlineStr">
        <is>
          <t>Delivered</t>
        </is>
      </c>
      <c r="D4479" s="16" t="inlineStr">
        <is>
          <t>128-16548589271673283</t>
        </is>
      </c>
      <c r="E4479" s="16" t="inlineStr">
        <is>
          <t>Delivered</t>
        </is>
      </c>
      <c r="F4479" s="16" t="inlineStr">
        <is>
          <t>LV54W25</t>
        </is>
      </c>
      <c r="G4479" s="16" t="inlineStr">
        <is>
          <t>TIANLAI Lámpara Ventilador E27 2 en 1, Silenciosa, LED Alta Luminosidad 180°, Instalación Rápida, Ahorro Energético para Dormitorio y Interiores Pequeños</t>
        </is>
      </c>
      <c r="H4479" s="16" t="inlineStr">
        <is>
          <t>1 Pieza</t>
        </is>
      </c>
      <c r="I4479" s="16" t="n">
        <v>1</v>
      </c>
      <c r="J4479" s="17" t="n">
        <v>76</v>
      </c>
      <c r="K4479" s="17" t="n">
        <v>93.2</v>
      </c>
      <c r="L4479" s="17" t="n">
        <v>25.86</v>
      </c>
      <c r="M4479" s="17" t="n">
        <v>0</v>
      </c>
      <c r="N4479" s="17">
        <f>K4479*0.08+L4479*0.08</f>
        <v/>
      </c>
      <c r="O4479" s="17">
        <f>-(K4479*0.025+L4479*0.025)</f>
        <v/>
      </c>
      <c r="P4479" s="17">
        <f>32</f>
        <v/>
      </c>
      <c r="Q4479" s="17">
        <f>J4479+L4479+N4479+O4479-P4479-M4479</f>
        <v/>
      </c>
    </row>
    <row r="4480">
      <c r="A4480" s="16" t="inlineStr">
        <is>
          <t>5.8-5.14</t>
        </is>
      </c>
      <c r="B4480" s="16" t="inlineStr">
        <is>
          <t>PO-128-16511652967033567</t>
        </is>
      </c>
      <c r="C4480" s="16" t="inlineStr">
        <is>
          <t>Delivered</t>
        </is>
      </c>
      <c r="D4480" s="16" t="inlineStr">
        <is>
          <t>128-16511705395833567</t>
        </is>
      </c>
      <c r="E4480" s="16" t="inlineStr">
        <is>
          <t>Delivered</t>
        </is>
      </c>
      <c r="F4480" s="16" t="inlineStr">
        <is>
          <t>B03W10-10PZS</t>
        </is>
      </c>
      <c r="G4480"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480" s="16" t="inlineStr">
        <is>
          <t>B03W10</t>
        </is>
      </c>
      <c r="I4480" s="16" t="n">
        <v>1</v>
      </c>
      <c r="J4480" s="17" t="n">
        <v>66</v>
      </c>
      <c r="K4480" s="17" t="n">
        <v>73.02</v>
      </c>
      <c r="L4480" s="17" t="n">
        <v>25.86</v>
      </c>
      <c r="M4480" s="17" t="n">
        <v>0</v>
      </c>
      <c r="N4480" s="17">
        <f>K4480*0.08+L4480*0.08</f>
        <v/>
      </c>
      <c r="O4480" s="17">
        <f>-(K4480*0.025+L4480*0.025)</f>
        <v/>
      </c>
      <c r="P4480" s="17">
        <f>32</f>
        <v/>
      </c>
      <c r="Q4480" s="17">
        <f>J4480+L4480+N4480+O4480-P4480-M4480</f>
        <v/>
      </c>
    </row>
    <row r="4481">
      <c r="A4481" s="16" t="inlineStr">
        <is>
          <t>5.8-5.14</t>
        </is>
      </c>
      <c r="B4481" s="16" t="inlineStr">
        <is>
          <t>PO-128-16569100421753161</t>
        </is>
      </c>
      <c r="C4481" s="16" t="inlineStr">
        <is>
          <t>Delivered</t>
        </is>
      </c>
      <c r="D4481" s="16" t="inlineStr">
        <is>
          <t>128-16569168579193161</t>
        </is>
      </c>
      <c r="E4481" s="16" t="inlineStr">
        <is>
          <t>Delivered</t>
        </is>
      </c>
      <c r="F4481" s="16" t="inlineStr">
        <is>
          <t>BG-115-B</t>
        </is>
      </c>
      <c r="G4481" s="16" t="inlineStr">
        <is>
          <t>LINK BITS Audífonos Inalámbricos con Luces Multicolor, Recargables y en Adorable Forma de Orejas de Gato - Conecta a Celulares y PCs, Tiene Radio FM, Tarjeta TF y AUX - 7 Horas de Reproducción, Plegables y Perfectos para Trabajo, Juegos y Estudio</t>
        </is>
      </c>
      <c r="H4481" s="16" t="inlineStr">
        <is>
          <t>blanco</t>
        </is>
      </c>
      <c r="I4481" s="16" t="n">
        <v>1</v>
      </c>
      <c r="J4481" s="17" t="n">
        <v>75</v>
      </c>
      <c r="K4481" s="17" t="n">
        <v>72.87</v>
      </c>
      <c r="L4481" s="17" t="n">
        <v>25.86</v>
      </c>
      <c r="M4481" s="17" t="n">
        <v>0</v>
      </c>
      <c r="N4481" s="17">
        <f>K4481*0.08+L4481*0.08</f>
        <v/>
      </c>
      <c r="O4481" s="17">
        <f>-(K4481*0.025+L4481*0.025)</f>
        <v/>
      </c>
      <c r="P4481" s="17">
        <f>32</f>
        <v/>
      </c>
      <c r="Q4481" s="17">
        <f>J4481+L4481+N4481+O4481-P4481-M4481</f>
        <v/>
      </c>
    </row>
    <row r="4482">
      <c r="A4482" s="16" t="inlineStr">
        <is>
          <t>5.8-5.14</t>
        </is>
      </c>
      <c r="B4482" s="16" t="inlineStr">
        <is>
          <t>PO-128-16900261151351251</t>
        </is>
      </c>
      <c r="C4482" s="16" t="inlineStr">
        <is>
          <t>Delivered</t>
        </is>
      </c>
      <c r="D4482" s="16" t="inlineStr">
        <is>
          <t>128-16900303094391251</t>
        </is>
      </c>
      <c r="E4482" s="16" t="inlineStr">
        <is>
          <t>Delivered</t>
        </is>
      </c>
      <c r="F4482" s="16" t="inlineStr">
        <is>
          <t>KTS-2031</t>
        </is>
      </c>
      <c r="G4482" s="16" t="inlineStr">
        <is>
          <t>Bocina inalámbrica de 3 pulgadas con linterna multifuncional y panel solar integrado.Altavoz Portátil con Linterna LED 4 Modos, Radio FM, Bluetooth, Carga Solar, Ideal para Apagones, Emergencias, Campo y Exteriores</t>
        </is>
      </c>
      <c r="H4482" s="16" t="inlineStr">
        <is>
          <t>NEGRO</t>
        </is>
      </c>
      <c r="I4482" s="16" t="n">
        <v>1</v>
      </c>
      <c r="J4482" s="17" t="n">
        <v>75</v>
      </c>
      <c r="K4482" s="17" t="n">
        <v>41.12</v>
      </c>
      <c r="L4482" s="17" t="n">
        <v>25.86</v>
      </c>
      <c r="M4482" s="17" t="n">
        <v>0</v>
      </c>
      <c r="N4482" s="17">
        <f>K4482*0.08+L4482*0.08</f>
        <v/>
      </c>
      <c r="O4482" s="17">
        <f>-(K4482*0.025+L4482*0.025)</f>
        <v/>
      </c>
      <c r="P4482" s="17">
        <f>32</f>
        <v/>
      </c>
      <c r="Q4482" s="17">
        <f>J4482+L4482+N4482+O4482-P4482-M4482</f>
        <v/>
      </c>
    </row>
    <row r="4483">
      <c r="A4483" s="16" t="inlineStr">
        <is>
          <t>5.8-5.14</t>
        </is>
      </c>
      <c r="B4483" s="16" t="inlineStr">
        <is>
          <t>PO-128-16752393544312962</t>
        </is>
      </c>
      <c r="C4483" s="16" t="inlineStr">
        <is>
          <t>Delivered</t>
        </is>
      </c>
      <c r="D4483" s="16" t="inlineStr">
        <is>
          <t>128-16752409272952962</t>
        </is>
      </c>
      <c r="E4483" s="16" t="inlineStr">
        <is>
          <t>Delivered</t>
        </is>
      </c>
      <c r="F4483" s="16" t="inlineStr">
        <is>
          <t>TL2663N18C</t>
        </is>
      </c>
      <c r="G4483" s="16" t="inlineStr">
        <is>
          <t>Linkbits，Soporte de pared fijo para televisores de 26"-63", Ultra-Delgado Compatible con VESA 400x400mm, Capacidad de Peso Fuerte de 25KG, Instalación Fácil Sin Electricidad</t>
        </is>
      </c>
      <c r="H4483" s="16" t="inlineStr">
        <is>
          <t>NEGRO</t>
        </is>
      </c>
      <c r="I4483" s="16" t="n">
        <v>1</v>
      </c>
      <c r="J4483" s="17" t="n">
        <v>52</v>
      </c>
      <c r="K4483" s="17" t="n">
        <v>66.98999999999999</v>
      </c>
      <c r="L4483" s="17" t="n">
        <v>25.86</v>
      </c>
      <c r="M4483" s="17" t="n">
        <v>0</v>
      </c>
      <c r="N4483" s="17">
        <f>K4483*0.08+L4483*0.08</f>
        <v/>
      </c>
      <c r="O4483" s="17">
        <f>-(K4483*0.025+L4483*0.025)</f>
        <v/>
      </c>
      <c r="P4483" s="17">
        <f>32</f>
        <v/>
      </c>
      <c r="Q4483" s="17">
        <f>J4483+L4483+N4483+O4483-P4483-M4483</f>
        <v/>
      </c>
    </row>
    <row r="4484">
      <c r="A4484" s="16" t="inlineStr">
        <is>
          <t>5.8-5.14</t>
        </is>
      </c>
      <c r="B4484" s="16" t="inlineStr">
        <is>
          <t>PO-128-17137326766710668</t>
        </is>
      </c>
      <c r="C4484" s="16" t="inlineStr">
        <is>
          <t>Delivered</t>
        </is>
      </c>
      <c r="D4484" s="16" t="inlineStr">
        <is>
          <t>128-17137389681270668</t>
        </is>
      </c>
      <c r="E4484" s="16" t="inlineStr">
        <is>
          <t>Delivered</t>
        </is>
      </c>
      <c r="F4484" s="16" t="inlineStr">
        <is>
          <t>LV54W25</t>
        </is>
      </c>
      <c r="G4484" s="16" t="inlineStr">
        <is>
          <t>TIANLAI Lámpara Ventilador E27 2 en 1, Silenciosa, LED Alta Luminosidad 180°, Instalación Rápida, Ahorro Energético para Dormitorio y Interiores Pequeños</t>
        </is>
      </c>
      <c r="H4484" s="16" t="inlineStr">
        <is>
          <t>1 Pieza</t>
        </is>
      </c>
      <c r="I4484" s="16" t="n">
        <v>2</v>
      </c>
      <c r="J4484" s="17" t="n">
        <v>157</v>
      </c>
      <c r="K4484" s="17" t="n">
        <v>131.68</v>
      </c>
      <c r="L4484" s="17" t="n">
        <v>0</v>
      </c>
      <c r="M4484" s="17" t="n">
        <v>0</v>
      </c>
      <c r="N4484" s="17">
        <f>K4484*0.08+L4484*0.08</f>
        <v/>
      </c>
      <c r="O4484" s="17">
        <f>-(K4484*0.025+L4484*0.025)</f>
        <v/>
      </c>
      <c r="P4484" s="17">
        <f>32</f>
        <v/>
      </c>
      <c r="Q4484" s="17">
        <f>J4484+L4484+N4484+O4484-P4484-M4484</f>
        <v/>
      </c>
    </row>
    <row r="4485">
      <c r="A4485" s="16" t="inlineStr">
        <is>
          <t>5.8-5.14</t>
        </is>
      </c>
      <c r="B4485" s="16" t="inlineStr">
        <is>
          <t>PO-128-17137326766710668</t>
        </is>
      </c>
      <c r="C4485" s="16" t="inlineStr">
        <is>
          <t>Delivered</t>
        </is>
      </c>
      <c r="D4485" s="16" t="inlineStr">
        <is>
          <t>128-17137368709750668</t>
        </is>
      </c>
      <c r="E4485" s="16" t="inlineStr">
        <is>
          <t>Delivered</t>
        </is>
      </c>
      <c r="F4485" s="16" t="inlineStr">
        <is>
          <t>TL1455N20B</t>
        </is>
      </c>
      <c r="G4485" s="16" t="inlineStr">
        <is>
          <t>LINK BITS Soporte para TV 14 A 55 Pulgadas, Base para TV Pantalla Articulado Inclinable y Giratorio, MAX VESA 400×400 mm, Soporta hasta 18kg, adaptarse a la mayoría de los televisores de 14 Pulgadas/20 Pulgadas/32 Pulgadas/42 Pulgadas/55 pulgadas</t>
        </is>
      </c>
      <c r="H4485" s="16" t="inlineStr">
        <is>
          <t>TL1455N20B</t>
        </is>
      </c>
      <c r="I4485" s="16" t="n">
        <v>1</v>
      </c>
      <c r="J4485" s="17" t="n">
        <v>72</v>
      </c>
      <c r="K4485" s="17" t="n">
        <v>75.84</v>
      </c>
      <c r="L4485" s="17" t="n">
        <v>0</v>
      </c>
      <c r="M4485" s="17" t="n">
        <v>0</v>
      </c>
      <c r="N4485" s="17">
        <f>K4485*0.08+L4485*0.08</f>
        <v/>
      </c>
      <c r="O4485" s="17">
        <f>-(K4485*0.025+L4485*0.025)</f>
        <v/>
      </c>
      <c r="P4485" s="17">
        <f>32</f>
        <v/>
      </c>
      <c r="Q4485" s="17">
        <f>J4485+L4485+N4485+O4485-P4485-M4485</f>
        <v/>
      </c>
    </row>
    <row r="4486">
      <c r="A4486" s="16" t="inlineStr">
        <is>
          <t>5.8-5.14</t>
        </is>
      </c>
      <c r="B4486" s="16" t="inlineStr">
        <is>
          <t>PO-128-16895527373431279</t>
        </is>
      </c>
      <c r="C4486" s="16" t="inlineStr">
        <is>
          <t>Delivered</t>
        </is>
      </c>
      <c r="D4486" s="16" t="inlineStr">
        <is>
          <t>128-16895548344951279</t>
        </is>
      </c>
      <c r="E4486" s="16" t="inlineStr">
        <is>
          <t>Delivered</t>
        </is>
      </c>
      <c r="F4486" s="16" t="inlineStr">
        <is>
          <t>BSC04</t>
        </is>
      </c>
      <c r="G4486" s="16" t="inlineStr">
        <is>
          <t>TIANLAI Báscula Digital BSC04/BSC07, Alta Precisión, Fácil Operación, Ligera y Portátil, Función Tara, Unidad Dual oz/g, Ideal para Cocina, Control de Porciones, Sellos y Objetos Pequeños, Uso en Hogar y Viaje</t>
        </is>
      </c>
      <c r="H4486" s="16" t="inlineStr">
        <is>
          <t>5g/White</t>
        </is>
      </c>
      <c r="I4486" s="16" t="n">
        <v>1</v>
      </c>
      <c r="J4486" s="17" t="n">
        <v>57.5</v>
      </c>
      <c r="K4486" s="17" t="n">
        <v>73.78</v>
      </c>
      <c r="L4486" s="17" t="n">
        <v>25.86</v>
      </c>
      <c r="M4486" s="17" t="n">
        <v>0</v>
      </c>
      <c r="N4486" s="17">
        <f>K4486*0.08+L4486*0.08</f>
        <v/>
      </c>
      <c r="O4486" s="17">
        <f>-(K4486*0.025+L4486*0.025)</f>
        <v/>
      </c>
      <c r="P4486" s="17">
        <f>32</f>
        <v/>
      </c>
      <c r="Q4486" s="17">
        <f>J4486+L4486+N4486+O4486-P4486-M4486</f>
        <v/>
      </c>
    </row>
    <row r="4487">
      <c r="A4487" s="16" t="inlineStr">
        <is>
          <t>5.8-5.14</t>
        </is>
      </c>
      <c r="B4487" s="16" t="inlineStr">
        <is>
          <t>PO-128-16793228728952913</t>
        </is>
      </c>
      <c r="C4487" s="16" t="inlineStr">
        <is>
          <t>Delivered</t>
        </is>
      </c>
      <c r="D4487" s="16" t="inlineStr">
        <is>
          <t>128-16793207757432913</t>
        </is>
      </c>
      <c r="E4487" s="16" t="inlineStr">
        <is>
          <t>Delivered</t>
        </is>
      </c>
      <c r="F4487" s="16" t="inlineStr">
        <is>
          <t>KTS-2031</t>
        </is>
      </c>
      <c r="G4487" s="16" t="inlineStr">
        <is>
          <t>Bocina inalámbrica de 3 pulgadas con linterna multifuncional y panel solar integrado.Altavoz Portátil con Linterna LED 4 Modos, Radio FM, Bluetooth, Carga Solar, Ideal para Apagones, Emergencias, Campo y Exteriores</t>
        </is>
      </c>
      <c r="H4487" s="16" t="inlineStr">
        <is>
          <t>NEGRO</t>
        </is>
      </c>
      <c r="I4487" s="16" t="n">
        <v>1</v>
      </c>
      <c r="J4487" s="17" t="n">
        <v>75</v>
      </c>
      <c r="K4487" s="17" t="n">
        <v>84.22</v>
      </c>
      <c r="L4487" s="17" t="n">
        <v>25.86</v>
      </c>
      <c r="M4487" s="17" t="n">
        <v>0</v>
      </c>
      <c r="N4487" s="17">
        <f>K4487*0.08+L4487*0.08</f>
        <v/>
      </c>
      <c r="O4487" s="17">
        <f>-(K4487*0.025+L4487*0.025)</f>
        <v/>
      </c>
      <c r="P4487" s="17">
        <f>32</f>
        <v/>
      </c>
      <c r="Q4487" s="17">
        <f>J4487+L4487+N4487+O4487-P4487-M4487</f>
        <v/>
      </c>
    </row>
    <row r="4488">
      <c r="A4488" s="16" t="inlineStr">
        <is>
          <t>5.8-5.14</t>
        </is>
      </c>
      <c r="B4488" s="16" t="inlineStr">
        <is>
          <t>PO-128-16805007749752779</t>
        </is>
      </c>
      <c r="C4488" s="16" t="inlineStr">
        <is>
          <t>Delivered</t>
        </is>
      </c>
      <c r="D4488" s="16" t="inlineStr">
        <is>
          <t>128-16805028721272779</t>
        </is>
      </c>
      <c r="E4488" s="16" t="inlineStr">
        <is>
          <t>Delivered</t>
        </is>
      </c>
      <c r="F4488" s="16" t="inlineStr">
        <is>
          <t>KTS-2031</t>
        </is>
      </c>
      <c r="G4488" s="16" t="inlineStr">
        <is>
          <t>Bocina inalámbrica de 3 pulgadas con linterna multifuncional y panel solar integrado.Altavoz Portátil con Linterna LED 4 Modos, Radio FM, Bluetooth, Carga Solar, Ideal para Apagones, Emergencias, Campo y Exteriores</t>
        </is>
      </c>
      <c r="H4488" s="16" t="inlineStr">
        <is>
          <t>NEGRO</t>
        </is>
      </c>
      <c r="I4488" s="16" t="n">
        <v>1</v>
      </c>
      <c r="J4488" s="17" t="n">
        <v>75</v>
      </c>
      <c r="K4488" s="17" t="n">
        <v>84.22</v>
      </c>
      <c r="L4488" s="17" t="n">
        <v>25.86</v>
      </c>
      <c r="M4488" s="17" t="n">
        <v>0</v>
      </c>
      <c r="N4488" s="17">
        <f>K4488*0.08+L4488*0.08</f>
        <v/>
      </c>
      <c r="O4488" s="17">
        <f>-(K4488*0.025+L4488*0.025)</f>
        <v/>
      </c>
      <c r="P4488" s="17">
        <f>32</f>
        <v/>
      </c>
      <c r="Q4488" s="17">
        <f>J4488+L4488+N4488+O4488-P4488-M4488</f>
        <v/>
      </c>
    </row>
    <row r="4489">
      <c r="A4489" s="16" t="inlineStr">
        <is>
          <t>5.8-5.14</t>
        </is>
      </c>
      <c r="B4489" s="16" t="inlineStr">
        <is>
          <t>PO-128-16612175299193926</t>
        </is>
      </c>
      <c r="C4489" s="16" t="inlineStr">
        <is>
          <t>Delivered</t>
        </is>
      </c>
      <c r="D4489" s="16" t="inlineStr">
        <is>
          <t>128-16612209377913926</t>
        </is>
      </c>
      <c r="E4489" s="16" t="inlineStr">
        <is>
          <t>Delivered</t>
        </is>
      </c>
      <c r="F4489" s="16" t="inlineStr">
        <is>
          <t>BG-115-B</t>
        </is>
      </c>
      <c r="G4489" s="16" t="inlineStr">
        <is>
          <t>LINK BITS Audífonos Inalámbricos con Luces Multicolor, Recargables y en Adorable Forma de Orejas de Gato - Conecta a Celulares y PCs, Tiene Radio FM, Tarjeta TF y AUX - 7 Horas de Reproducción, Plegables y Perfectos para Trabajo, Juegos y Estudio</t>
        </is>
      </c>
      <c r="H4489" s="16" t="inlineStr">
        <is>
          <t>blanco</t>
        </is>
      </c>
      <c r="I4489" s="16" t="n">
        <v>1</v>
      </c>
      <c r="J4489" s="17" t="n">
        <v>75</v>
      </c>
      <c r="K4489" s="17" t="n">
        <v>85.72</v>
      </c>
      <c r="L4489" s="17" t="n">
        <v>25.86</v>
      </c>
      <c r="M4489" s="17" t="n">
        <v>0</v>
      </c>
      <c r="N4489" s="17">
        <f>K4489*0.08+L4489*0.08</f>
        <v/>
      </c>
      <c r="O4489" s="17">
        <f>-(K4489*0.025+L4489*0.025)</f>
        <v/>
      </c>
      <c r="P4489" s="17">
        <f>32</f>
        <v/>
      </c>
      <c r="Q4489" s="17">
        <f>J4489+L4489+N4489+O4489-P4489-M4489</f>
        <v/>
      </c>
    </row>
    <row r="4490">
      <c r="A4490" s="16" t="inlineStr">
        <is>
          <t>5.8-5.14</t>
        </is>
      </c>
      <c r="B4490" s="16" t="inlineStr">
        <is>
          <t>PO-128-17048112906870368</t>
        </is>
      </c>
      <c r="C4490" s="16" t="inlineStr">
        <is>
          <t>Delivered</t>
        </is>
      </c>
      <c r="D4490" s="16" t="inlineStr">
        <is>
          <t>128-17048133878390368</t>
        </is>
      </c>
      <c r="E4490" s="16" t="inlineStr">
        <is>
          <t>Delivered</t>
        </is>
      </c>
      <c r="F4490" s="16" t="inlineStr">
        <is>
          <t>i12-V</t>
        </is>
      </c>
      <c r="G4490" s="16" t="inlineStr">
        <is>
          <t>Auriculares Inalámbricos TWS - Ideales para Usuarios Android e iPhone, Entusiastas del Deporte &amp; Música, Controles Táctiles, Audífonos Para Correr y Jugar</t>
        </is>
      </c>
      <c r="H4490" s="16" t="inlineStr">
        <is>
          <t>VERDE</t>
        </is>
      </c>
      <c r="I4490" s="16" t="n">
        <v>1</v>
      </c>
      <c r="J4490" s="17" t="n">
        <v>42</v>
      </c>
      <c r="K4490" s="17" t="n">
        <v>4.69</v>
      </c>
      <c r="L4490" s="17" t="n">
        <v>25.86</v>
      </c>
      <c r="M4490" s="17" t="n">
        <v>0</v>
      </c>
      <c r="N4490" s="17">
        <f>K4490*0.08+L4490*0.08</f>
        <v/>
      </c>
      <c r="O4490" s="17">
        <f>-(K4490*0.025+L4490*0.025)</f>
        <v/>
      </c>
      <c r="P4490" s="17">
        <f>32</f>
        <v/>
      </c>
      <c r="Q4490" s="17">
        <f>J4490+L4490+N4490+O4490-P4490-M4490</f>
        <v/>
      </c>
    </row>
    <row r="4491">
      <c r="A4491" s="16" t="inlineStr">
        <is>
          <t>5.8-5.14</t>
        </is>
      </c>
      <c r="B4491" s="16" t="inlineStr">
        <is>
          <t>PO-128-17055045263990137</t>
        </is>
      </c>
      <c r="C4491" s="16" t="inlineStr">
        <is>
          <t>Delivered</t>
        </is>
      </c>
      <c r="D4491" s="16" t="inlineStr">
        <is>
          <t>128-17055003320950137</t>
        </is>
      </c>
      <c r="E4491" s="16" t="inlineStr">
        <is>
          <t>Delivered</t>
        </is>
      </c>
      <c r="F4491" s="16" t="inlineStr">
        <is>
          <t>KTS-2031</t>
        </is>
      </c>
      <c r="G4491" s="16" t="inlineStr">
        <is>
          <t>Bocina inalámbrica de 3 pulgadas con linterna multifuncional y panel solar integrado.Altavoz Portátil con Linterna LED 4 Modos, Radio FM, Bluetooth, Carga Solar, Ideal para Apagones, Emergencias, Campo y Exteriores</t>
        </is>
      </c>
      <c r="H4491" s="16" t="inlineStr">
        <is>
          <t>NEGRO</t>
        </is>
      </c>
      <c r="I4491" s="16" t="n">
        <v>1</v>
      </c>
      <c r="J4491" s="17" t="n">
        <v>75</v>
      </c>
      <c r="K4491" s="17" t="n">
        <v>84.22</v>
      </c>
      <c r="L4491" s="17" t="n">
        <v>25.86</v>
      </c>
      <c r="M4491" s="17" t="n">
        <v>0</v>
      </c>
      <c r="N4491" s="17">
        <f>K4491*0.08+L4491*0.08</f>
        <v/>
      </c>
      <c r="O4491" s="17">
        <f>-(K4491*0.025+L4491*0.025)</f>
        <v/>
      </c>
      <c r="P4491" s="17">
        <f>32</f>
        <v/>
      </c>
      <c r="Q4491" s="17">
        <f>J4491+L4491+N4491+O4491-P4491-M4491</f>
        <v/>
      </c>
    </row>
    <row r="4492">
      <c r="A4492" s="16" t="inlineStr">
        <is>
          <t>5.8-5.14</t>
        </is>
      </c>
      <c r="B4492" s="16" t="inlineStr">
        <is>
          <t>PO-128-16738535281272087</t>
        </is>
      </c>
      <c r="C4492" s="16" t="inlineStr">
        <is>
          <t>Delivered</t>
        </is>
      </c>
      <c r="D4492" s="16" t="inlineStr">
        <is>
          <t>128-16738577224312087</t>
        </is>
      </c>
      <c r="E4492" s="16" t="inlineStr">
        <is>
          <t>Delivered</t>
        </is>
      </c>
      <c r="F4492" s="16" t="inlineStr">
        <is>
          <t>TL1455N20B</t>
        </is>
      </c>
      <c r="G4492" s="16" t="inlineStr">
        <is>
          <t>LINK BITS Soporte para TV 14 A 55 Pulgadas, Base para TV Pantalla Articulado Inclinable y Giratorio, MAX VESA 400×400 mm, Soporta hasta 18kg, adaptarse a la mayoría de los televisores de 14 Pulgadas/20 Pulgadas/32 Pulgadas/42 Pulgadas/55 pulgadas</t>
        </is>
      </c>
      <c r="H4492" s="16" t="inlineStr">
        <is>
          <t>TL1455N20B</t>
        </is>
      </c>
      <c r="I4492" s="16" t="n">
        <v>1</v>
      </c>
      <c r="J4492" s="17" t="n">
        <v>72</v>
      </c>
      <c r="K4492" s="17" t="n">
        <v>94.81</v>
      </c>
      <c r="L4492" s="17" t="n">
        <v>25.86</v>
      </c>
      <c r="M4492" s="17" t="n">
        <v>0</v>
      </c>
      <c r="N4492" s="17">
        <f>K4492*0.08+L4492*0.08</f>
        <v/>
      </c>
      <c r="O4492" s="17">
        <f>-(K4492*0.025+L4492*0.025)</f>
        <v/>
      </c>
      <c r="P4492" s="17">
        <f>32</f>
        <v/>
      </c>
      <c r="Q4492" s="17">
        <f>J4492+L4492+N4492+O4492-P4492-M4492</f>
        <v/>
      </c>
    </row>
    <row r="4493">
      <c r="A4493" s="16" t="inlineStr">
        <is>
          <t>5.8-5.14</t>
        </is>
      </c>
      <c r="B4493" s="16" t="inlineStr">
        <is>
          <t>PO-128-16607104164473892</t>
        </is>
      </c>
      <c r="C4493" s="16" t="inlineStr">
        <is>
          <t>Delivered</t>
        </is>
      </c>
      <c r="D4493" s="16" t="inlineStr">
        <is>
          <t>128-16607151350393892</t>
        </is>
      </c>
      <c r="E4493" s="16" t="inlineStr">
        <is>
          <t>Delivered</t>
        </is>
      </c>
      <c r="F4493" s="16" t="inlineStr">
        <is>
          <t>BSC04</t>
        </is>
      </c>
      <c r="G4493" s="16" t="inlineStr">
        <is>
          <t>TIANLAI Báscula Digital BSC04/BSC07, Alta Precisión, Fácil Operación, Ligera y Portátil, Función Tara, Unidad Dual oz/g, Ideal para Cocina, Control de Porciones, Sellos y Objetos Pequeños, Uso en Hogar y Viaje</t>
        </is>
      </c>
      <c r="H4493" s="16" t="inlineStr">
        <is>
          <t>5g/White</t>
        </is>
      </c>
      <c r="I4493" s="16" t="n">
        <v>1</v>
      </c>
      <c r="J4493" s="17" t="n">
        <v>57.5</v>
      </c>
      <c r="K4493" s="17" t="n">
        <v>42.5</v>
      </c>
      <c r="L4493" s="17" t="n">
        <v>25.86</v>
      </c>
      <c r="M4493" s="17" t="n">
        <v>0</v>
      </c>
      <c r="N4493" s="17">
        <f>K4493*0.08+L4493*0.08</f>
        <v/>
      </c>
      <c r="O4493" s="17">
        <f>-(K4493*0.025+L4493*0.025)</f>
        <v/>
      </c>
      <c r="P4493" s="17">
        <f>32</f>
        <v/>
      </c>
      <c r="Q4493" s="17">
        <f>J4493+L4493+N4493+O4493-P4493-M4493</f>
        <v/>
      </c>
    </row>
    <row r="4494">
      <c r="A4494" s="16" t="inlineStr">
        <is>
          <t>5.8-5.14</t>
        </is>
      </c>
      <c r="B4494" s="16" t="inlineStr">
        <is>
          <t>PO-128-16531221043833451</t>
        </is>
      </c>
      <c r="C4494" s="16" t="inlineStr">
        <is>
          <t>Delivered</t>
        </is>
      </c>
      <c r="D4494" s="16" t="inlineStr">
        <is>
          <t>128-16531179100793451</t>
        </is>
      </c>
      <c r="E4494" s="16" t="inlineStr">
        <is>
          <t>Delivered</t>
        </is>
      </c>
      <c r="F4494" s="16" t="inlineStr">
        <is>
          <t>VB349T</t>
        </is>
      </c>
      <c r="G4494" s="16" t="inlineStr">
        <is>
          <t>LINKBITS Altavoz Portátil de Doble Altavoz - 3 Pulgadas, Sonido HD, Emparejamiento Rápido de Bluetooth, Conectividad TWS, Reproducción Multimodo (Micro SD/USB/Radio FM) - Perfecto para Oficina, Viajes y Espacios Pequeños</t>
        </is>
      </c>
      <c r="H4494" s="16" t="inlineStr">
        <is>
          <t>NEGRO</t>
        </is>
      </c>
      <c r="I4494" s="16" t="n">
        <v>1</v>
      </c>
      <c r="J4494" s="17" t="n">
        <v>79</v>
      </c>
      <c r="K4494" s="17" t="n">
        <v>92.25</v>
      </c>
      <c r="L4494" s="17" t="n">
        <v>25.86</v>
      </c>
      <c r="M4494" s="17" t="n">
        <v>0</v>
      </c>
      <c r="N4494" s="17">
        <f>K4494*0.08+L4494*0.08</f>
        <v/>
      </c>
      <c r="O4494" s="17">
        <f>-(K4494*0.025+L4494*0.025)</f>
        <v/>
      </c>
      <c r="P4494" s="17">
        <f>32</f>
        <v/>
      </c>
      <c r="Q4494" s="17">
        <f>J4494+L4494+N4494+O4494-P4494-M4494</f>
        <v/>
      </c>
    </row>
    <row r="4495">
      <c r="A4495" s="16" t="inlineStr">
        <is>
          <t>5.8-5.14</t>
        </is>
      </c>
      <c r="B4495" s="16" t="inlineStr">
        <is>
          <t>PO-128-16940757740152032</t>
        </is>
      </c>
      <c r="C4495" s="16" t="inlineStr">
        <is>
          <t>Delivered</t>
        </is>
      </c>
      <c r="D4495" s="16" t="inlineStr">
        <is>
          <t>128-16940715797112032</t>
        </is>
      </c>
      <c r="E4495" s="16" t="inlineStr">
        <is>
          <t>Delivered</t>
        </is>
      </c>
      <c r="F4495" s="16" t="inlineStr">
        <is>
          <t>KTS-2031</t>
        </is>
      </c>
      <c r="G4495" s="16" t="inlineStr">
        <is>
          <t>Bocina inalámbrica de 3 pulgadas con linterna multifuncional y panel solar integrado.Altavoz Portátil con Linterna LED 4 Modos, Radio FM, Bluetooth, Carga Solar, Ideal para Apagones, Emergencias, Campo y Exteriores</t>
        </is>
      </c>
      <c r="H4495" s="16" t="inlineStr">
        <is>
          <t>NEGRO</t>
        </is>
      </c>
      <c r="I4495" s="16" t="n">
        <v>1</v>
      </c>
      <c r="J4495" s="17" t="n">
        <v>75</v>
      </c>
      <c r="K4495" s="17" t="n">
        <v>1.46</v>
      </c>
      <c r="L4495" s="17" t="n">
        <v>25.86</v>
      </c>
      <c r="M4495" s="17" t="n">
        <v>0</v>
      </c>
      <c r="N4495" s="17">
        <f>K4495*0.08+L4495*0.08</f>
        <v/>
      </c>
      <c r="O4495" s="17">
        <f>-(K4495*0.025+L4495*0.025)</f>
        <v/>
      </c>
      <c r="P4495" s="17">
        <f>32</f>
        <v/>
      </c>
      <c r="Q4495" s="17">
        <f>J4495+L4495+N4495+O4495-P4495-M4495</f>
        <v/>
      </c>
    </row>
    <row r="4496">
      <c r="A4496" s="16" t="inlineStr">
        <is>
          <t>5.8-5.14</t>
        </is>
      </c>
      <c r="B4496" s="16" t="inlineStr">
        <is>
          <t>PO-128-16940751473272032</t>
        </is>
      </c>
      <c r="C4496" s="16" t="inlineStr">
        <is>
          <t>Delivered</t>
        </is>
      </c>
      <c r="D4496" s="16" t="inlineStr">
        <is>
          <t>128-16940772444792032</t>
        </is>
      </c>
      <c r="E4496" s="16" t="inlineStr">
        <is>
          <t>Delivered</t>
        </is>
      </c>
      <c r="F4496" s="16" t="inlineStr">
        <is>
          <t>KTS-2031</t>
        </is>
      </c>
      <c r="G4496" s="16" t="inlineStr">
        <is>
          <t>Bocina inalámbrica de 3 pulgadas con linterna multifuncional y panel solar integrado.Altavoz Portátil con Linterna LED 4 Modos, Radio FM, Bluetooth, Carga Solar, Ideal para Apagones, Emergencias, Campo y Exteriores</t>
        </is>
      </c>
      <c r="H4496" s="16" t="inlineStr">
        <is>
          <t>NEGRO</t>
        </is>
      </c>
      <c r="I4496" s="16" t="n">
        <v>1</v>
      </c>
      <c r="J4496" s="17" t="n">
        <v>75</v>
      </c>
      <c r="K4496" s="17" t="n">
        <v>1.46</v>
      </c>
      <c r="L4496" s="17" t="n">
        <v>25.86</v>
      </c>
      <c r="M4496" s="17" t="n">
        <v>0</v>
      </c>
      <c r="N4496" s="17">
        <f>K4496*0.08+L4496*0.08</f>
        <v/>
      </c>
      <c r="O4496" s="17">
        <f>-(K4496*0.025+L4496*0.025)</f>
        <v/>
      </c>
      <c r="P4496" s="17">
        <f>32</f>
        <v/>
      </c>
      <c r="Q4496" s="17">
        <f>J4496+L4496+N4496+O4496-P4496-M4496</f>
        <v/>
      </c>
    </row>
    <row r="4497">
      <c r="A4497" s="16" t="inlineStr">
        <is>
          <t>5.8-5.14</t>
        </is>
      </c>
      <c r="B4497" s="16" t="inlineStr">
        <is>
          <t>PO-128-16940760709752032</t>
        </is>
      </c>
      <c r="C4497" s="16" t="inlineStr">
        <is>
          <t>Delivered</t>
        </is>
      </c>
      <c r="D4497" s="16" t="inlineStr">
        <is>
          <t>128-16940718766712032</t>
        </is>
      </c>
      <c r="E4497" s="16" t="inlineStr">
        <is>
          <t>Delivered</t>
        </is>
      </c>
      <c r="F4497" s="16" t="inlineStr">
        <is>
          <t>KTS-2031</t>
        </is>
      </c>
      <c r="G4497" s="16" t="inlineStr">
        <is>
          <t>Bocina inalámbrica de 3 pulgadas con linterna multifuncional y panel solar integrado.Altavoz Portátil con Linterna LED 4 Modos, Radio FM, Bluetooth, Carga Solar, Ideal para Apagones, Emergencias, Campo y Exteriores</t>
        </is>
      </c>
      <c r="H4497" s="16" t="inlineStr">
        <is>
          <t>NEGRO</t>
        </is>
      </c>
      <c r="I4497" s="16" t="n">
        <v>1</v>
      </c>
      <c r="J4497" s="17" t="n">
        <v>75</v>
      </c>
      <c r="K4497" s="17" t="n">
        <v>1.46</v>
      </c>
      <c r="L4497" s="17" t="n">
        <v>25.86</v>
      </c>
      <c r="M4497" s="17" t="n">
        <v>0</v>
      </c>
      <c r="N4497" s="17">
        <f>K4497*0.08+L4497*0.08</f>
        <v/>
      </c>
      <c r="O4497" s="17">
        <f>-(K4497*0.025+L4497*0.025)</f>
        <v/>
      </c>
      <c r="P4497" s="17">
        <f>32</f>
        <v/>
      </c>
      <c r="Q4497" s="17">
        <f>J4497+L4497+N4497+O4497-P4497-M4497</f>
        <v/>
      </c>
    </row>
    <row r="4498">
      <c r="A4498" s="16" t="inlineStr">
        <is>
          <t>5.8-5.14</t>
        </is>
      </c>
      <c r="B4498" s="16" t="inlineStr">
        <is>
          <t>PO-128-16920677509751129</t>
        </is>
      </c>
      <c r="C4498" s="16" t="inlineStr">
        <is>
          <t>Delivered</t>
        </is>
      </c>
      <c r="D4498" s="16" t="inlineStr">
        <is>
          <t>128-16920708967031129</t>
        </is>
      </c>
      <c r="E4498" s="16" t="inlineStr">
        <is>
          <t>Delivered</t>
        </is>
      </c>
      <c r="F4498" s="16" t="inlineStr">
        <is>
          <t>TL2663N18C</t>
        </is>
      </c>
      <c r="G4498" s="16" t="inlineStr">
        <is>
          <t>Linkbits，Soporte de pared fijo para televisores de 26"-63", Ultra-Delgado Compatible con VESA 400x400mm, Capacidad de Peso Fuerte de 25KG, Instalación Fácil Sin Electricidad</t>
        </is>
      </c>
      <c r="H4498" s="16" t="inlineStr">
        <is>
          <t>NEGRO</t>
        </is>
      </c>
      <c r="I4498" s="16" t="n">
        <v>1</v>
      </c>
      <c r="J4498" s="17" t="n">
        <v>52</v>
      </c>
      <c r="K4498" s="17" t="n">
        <v>66.98999999999999</v>
      </c>
      <c r="L4498" s="17" t="n">
        <v>25.86</v>
      </c>
      <c r="M4498" s="17" t="n">
        <v>0</v>
      </c>
      <c r="N4498" s="17">
        <f>K4498*0.08+L4498*0.08</f>
        <v/>
      </c>
      <c r="O4498" s="17">
        <f>-(K4498*0.025+L4498*0.025)</f>
        <v/>
      </c>
      <c r="P4498" s="17">
        <f>32</f>
        <v/>
      </c>
      <c r="Q4498" s="17">
        <f>J4498+L4498+N4498+O4498-P4498-M4498</f>
        <v/>
      </c>
    </row>
    <row r="4499">
      <c r="A4499" s="16" t="inlineStr">
        <is>
          <t>5.8-5.14</t>
        </is>
      </c>
      <c r="B4499" s="16" t="inlineStr">
        <is>
          <t>PO-128-16957596529271869</t>
        </is>
      </c>
      <c r="C4499" s="16" t="inlineStr">
        <is>
          <t>Delivered</t>
        </is>
      </c>
      <c r="D4499" s="16" t="inlineStr">
        <is>
          <t>128-16957651579511869</t>
        </is>
      </c>
      <c r="E4499" s="16" t="inlineStr">
        <is>
          <t>Delivered</t>
        </is>
      </c>
      <c r="F4499" s="16" t="inlineStr">
        <is>
          <t>B03W10-10PZS</t>
        </is>
      </c>
      <c r="G4499"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499" s="16" t="inlineStr">
        <is>
          <t>B03W10</t>
        </is>
      </c>
      <c r="I4499" s="16" t="n">
        <v>1</v>
      </c>
      <c r="J4499" s="17" t="n">
        <v>66</v>
      </c>
      <c r="K4499" s="17" t="n">
        <v>56.55</v>
      </c>
      <c r="L4499" s="17" t="n">
        <v>0</v>
      </c>
      <c r="M4499" s="17" t="n">
        <v>0</v>
      </c>
      <c r="N4499" s="17">
        <f>K4499*0.08+L4499*0.08</f>
        <v/>
      </c>
      <c r="O4499" s="17">
        <f>-(K4499*0.025+L4499*0.025)</f>
        <v/>
      </c>
      <c r="P4499" s="17">
        <f>32</f>
        <v/>
      </c>
      <c r="Q4499" s="17">
        <f>J4499+L4499+N4499+O4499-P4499-M4499</f>
        <v/>
      </c>
    </row>
    <row r="4500">
      <c r="A4500" s="16" t="inlineStr">
        <is>
          <t>5.8-5.14</t>
        </is>
      </c>
      <c r="B4500" s="16" t="inlineStr">
        <is>
          <t>PO-128-16957596529271869</t>
        </is>
      </c>
      <c r="C4500" s="16" t="inlineStr">
        <is>
          <t>Delivered</t>
        </is>
      </c>
      <c r="D4500" s="16" t="inlineStr">
        <is>
          <t>128-16957617500791869</t>
        </is>
      </c>
      <c r="E4500" s="16" t="inlineStr">
        <is>
          <t>Delivered</t>
        </is>
      </c>
      <c r="F4500" s="16" t="inlineStr">
        <is>
          <t>TL2663N18C</t>
        </is>
      </c>
      <c r="G4500" s="16" t="inlineStr">
        <is>
          <t>Linkbits，Soporte de pared fijo para televisores de 26"-63", Ultra-Delgado Compatible con VESA 400x400mm, Capacidad de Peso Fuerte de 25KG, Instalación Fácil Sin Electricidad</t>
        </is>
      </c>
      <c r="H4500" s="16" t="inlineStr">
        <is>
          <t>NEGRO</t>
        </is>
      </c>
      <c r="I4500" s="16" t="n">
        <v>3</v>
      </c>
      <c r="J4500" s="17" t="n">
        <v>156</v>
      </c>
      <c r="K4500" s="17" t="n">
        <v>153.34</v>
      </c>
      <c r="L4500" s="17" t="n">
        <v>0</v>
      </c>
      <c r="M4500" s="17" t="n">
        <v>0</v>
      </c>
      <c r="N4500" s="17">
        <f>K4500*0.08+L4500*0.08</f>
        <v/>
      </c>
      <c r="O4500" s="17">
        <f>-(K4500*0.025+L4500*0.025)</f>
        <v/>
      </c>
      <c r="P4500" s="17">
        <f>32</f>
        <v/>
      </c>
      <c r="Q4500" s="17">
        <f>J4500+L4500+N4500+O4500-P4500-M4500</f>
        <v/>
      </c>
    </row>
    <row r="4501">
      <c r="A4501" s="16" t="inlineStr">
        <is>
          <t>5.8-5.14</t>
        </is>
      </c>
      <c r="B4501" s="16" t="inlineStr">
        <is>
          <t>PO-128-05541925243513222</t>
        </is>
      </c>
      <c r="C4501" s="16" t="inlineStr">
        <is>
          <t>Delivered</t>
        </is>
      </c>
      <c r="D4501" s="16" t="inlineStr">
        <is>
          <t>128-05541967186553222</t>
        </is>
      </c>
      <c r="E4501" s="16" t="inlineStr">
        <is>
          <t>Delivered</t>
        </is>
      </c>
      <c r="F4501" s="16" t="inlineStr">
        <is>
          <t>BSC04</t>
        </is>
      </c>
      <c r="G4501" s="16" t="inlineStr">
        <is>
          <t>TIANLAI Báscula Digital BSC04/BSC07, Alta Precisión, Fácil Operación, Ligera y Portátil, Función Tara, Unidad Dual oz/g, Ideal para Cocina, Control de Porciones, Sellos y Objetos Pequeños, Uso en Hogar y Viaje</t>
        </is>
      </c>
      <c r="H4501" s="16" t="inlineStr">
        <is>
          <t>5g/White</t>
        </is>
      </c>
      <c r="I4501" s="16" t="n">
        <v>1</v>
      </c>
      <c r="J4501" s="17" t="n">
        <v>57.5</v>
      </c>
      <c r="K4501" s="17" t="n">
        <v>66.41</v>
      </c>
      <c r="L4501" s="17" t="n">
        <v>25.86</v>
      </c>
      <c r="M4501" s="17" t="n">
        <v>0</v>
      </c>
      <c r="N4501" s="17">
        <f>K4501*0.08+L4501*0.08</f>
        <v/>
      </c>
      <c r="O4501" s="17">
        <f>-(K4501*0.025+L4501*0.025)</f>
        <v/>
      </c>
      <c r="P4501" s="17">
        <f>32</f>
        <v/>
      </c>
      <c r="Q4501" s="17">
        <f>J4501+L4501+N4501+O4501-P4501-M4501</f>
        <v/>
      </c>
    </row>
    <row r="4502">
      <c r="A4502" s="16" t="inlineStr">
        <is>
          <t>5.8-5.14</t>
        </is>
      </c>
      <c r="B4502" s="16" t="inlineStr">
        <is>
          <t>PO-128-05924886211191133</t>
        </is>
      </c>
      <c r="C4502" s="16" t="inlineStr">
        <is>
          <t>Delivered</t>
        </is>
      </c>
      <c r="D4502" s="16" t="inlineStr">
        <is>
          <t>128-05924896696951133</t>
        </is>
      </c>
      <c r="E4502" s="16" t="inlineStr">
        <is>
          <t>Delivered</t>
        </is>
      </c>
      <c r="F4502" s="16" t="inlineStr">
        <is>
          <t>TL2663N18C</t>
        </is>
      </c>
      <c r="G4502" s="16" t="inlineStr">
        <is>
          <t>Linkbits，Soporte de pared fijo para televisores de 26"-63", Ultra-Delgado Compatible con VESA 400x400mm, Capacidad de Peso Fuerte de 25KG, Instalación Fácil Sin Electricidad</t>
        </is>
      </c>
      <c r="H4502" s="16" t="inlineStr">
        <is>
          <t>NEGRO</t>
        </is>
      </c>
      <c r="I4502" s="16" t="n">
        <v>1</v>
      </c>
      <c r="J4502" s="17" t="n">
        <v>52</v>
      </c>
      <c r="K4502" s="17" t="n">
        <v>56.95</v>
      </c>
      <c r="L4502" s="17" t="n">
        <v>25.86</v>
      </c>
      <c r="M4502" s="17" t="n">
        <v>0</v>
      </c>
      <c r="N4502" s="17">
        <f>K4502*0.08+L4502*0.08</f>
        <v/>
      </c>
      <c r="O4502" s="17">
        <f>-(K4502*0.025+L4502*0.025)</f>
        <v/>
      </c>
      <c r="P4502" s="17">
        <f>32</f>
        <v/>
      </c>
      <c r="Q4502" s="17">
        <f>J4502+L4502+N4502+O4502-P4502-M4502</f>
        <v/>
      </c>
    </row>
    <row r="4503">
      <c r="A4503" s="16" t="inlineStr">
        <is>
          <t>5.8-5.14</t>
        </is>
      </c>
      <c r="B4503" s="16" t="inlineStr">
        <is>
          <t>PO-128-05751407524472167</t>
        </is>
      </c>
      <c r="C4503" s="16" t="inlineStr">
        <is>
          <t>Delivered</t>
        </is>
      </c>
      <c r="D4503" s="16" t="inlineStr">
        <is>
          <t>128-05751423253112167</t>
        </is>
      </c>
      <c r="E4503" s="16" t="inlineStr">
        <is>
          <t>Delivered</t>
        </is>
      </c>
      <c r="F4503" s="16" t="inlineStr">
        <is>
          <t>TL1455N20B</t>
        </is>
      </c>
      <c r="G4503" s="16" t="inlineStr">
        <is>
          <t>LINK BITS Soporte para TV 14 A 55 Pulgadas, Base para TV Pantalla Articulado Inclinable y Giratorio, MAX VESA 400×400 mm, Soporta hasta 18kg, adaptarse a la mayoría de los televisores de 14 Pulgadas/20 Pulgadas/32 Pulgadas/42 Pulgadas/55 pulgadas</t>
        </is>
      </c>
      <c r="H4503" s="16" t="inlineStr">
        <is>
          <t>TL1455N20B</t>
        </is>
      </c>
      <c r="I4503" s="16" t="n">
        <v>1</v>
      </c>
      <c r="J4503" s="17" t="n">
        <v>72</v>
      </c>
      <c r="K4503" s="17" t="n">
        <v>94.84</v>
      </c>
      <c r="L4503" s="17" t="n">
        <v>25.86</v>
      </c>
      <c r="M4503" s="17" t="n">
        <v>0</v>
      </c>
      <c r="N4503" s="17">
        <f>K4503*0.08+L4503*0.08</f>
        <v/>
      </c>
      <c r="O4503" s="17">
        <f>-(K4503*0.025+L4503*0.025)</f>
        <v/>
      </c>
      <c r="P4503" s="17">
        <f>32</f>
        <v/>
      </c>
      <c r="Q4503" s="17">
        <f>J4503+L4503+N4503+O4503-P4503-M4503</f>
        <v/>
      </c>
    </row>
    <row r="4504">
      <c r="A4504" s="16" t="inlineStr">
        <is>
          <t>5.8-5.14</t>
        </is>
      </c>
      <c r="B4504" s="16" t="inlineStr">
        <is>
          <t>PO-128-06161027461750748</t>
        </is>
      </c>
      <c r="C4504" s="16" t="inlineStr">
        <is>
          <t>Delivered</t>
        </is>
      </c>
      <c r="D4504" s="16" t="inlineStr">
        <is>
          <t>128-06161079890550748</t>
        </is>
      </c>
      <c r="E4504" s="16" t="inlineStr">
        <is>
          <t>Delivered</t>
        </is>
      </c>
      <c r="F4504" s="16" t="inlineStr">
        <is>
          <t>TL1412N17C</t>
        </is>
      </c>
      <c r="G4504" s="16" t="inlineStr">
        <is>
          <t>Linkbits, Soporte de Pared Fijo para TV y Monitor de 14"-43", Ultra Delgado 2.3cm, Fuerte Capacidad de Peso de 25KG, Fácil Instalación con Accesorios Completos</t>
        </is>
      </c>
      <c r="H4504" s="16" t="inlineStr">
        <is>
          <t>NEGRO</t>
        </is>
      </c>
      <c r="I4504" s="16" t="n">
        <v>3</v>
      </c>
      <c r="J4504" s="17" t="n">
        <v>108</v>
      </c>
      <c r="K4504" s="17" t="n">
        <v>125.72</v>
      </c>
      <c r="L4504" s="17" t="n">
        <v>25.86</v>
      </c>
      <c r="M4504" s="17" t="n">
        <v>0</v>
      </c>
      <c r="N4504" s="17">
        <f>K4504*0.08+L4504*0.08</f>
        <v/>
      </c>
      <c r="O4504" s="17">
        <f>-(K4504*0.025+L4504*0.025)</f>
        <v/>
      </c>
      <c r="P4504" s="17">
        <f>32</f>
        <v/>
      </c>
      <c r="Q4504" s="17">
        <f>J4504+L4504+N4504+O4504-P4504-M4504</f>
        <v/>
      </c>
    </row>
    <row r="4505">
      <c r="A4505" s="16" t="inlineStr">
        <is>
          <t>5.8-5.14</t>
        </is>
      </c>
      <c r="B4505" s="16" t="inlineStr">
        <is>
          <t>PO-128-06150810081910683</t>
        </is>
      </c>
      <c r="C4505" s="16" t="inlineStr">
        <is>
          <t>Delivered</t>
        </is>
      </c>
      <c r="D4505" s="16" t="inlineStr">
        <is>
          <t>128-06150789110390683</t>
        </is>
      </c>
      <c r="E4505" s="16" t="inlineStr">
        <is>
          <t>Delivered</t>
        </is>
      </c>
      <c r="F4505" s="16" t="inlineStr">
        <is>
          <t>VB349T</t>
        </is>
      </c>
      <c r="G4505" s="16" t="inlineStr">
        <is>
          <t>LINKBITS Altavoz Portátil de Doble Altavoz - 3 Pulgadas, Sonido HD, Emparejamiento Rápido de Bluetooth, Conectividad TWS, Reproducción Multimodo (Micro SD/USB/Radio FM) - Perfecto para Oficina, Viajes y Espacios Pequeños</t>
        </is>
      </c>
      <c r="H4505" s="16" t="inlineStr">
        <is>
          <t>NEGRO</t>
        </is>
      </c>
      <c r="I4505" s="16" t="n">
        <v>1</v>
      </c>
      <c r="J4505" s="17" t="n">
        <v>79</v>
      </c>
      <c r="K4505" s="17" t="n">
        <v>92.27</v>
      </c>
      <c r="L4505" s="17" t="n">
        <v>13.53</v>
      </c>
      <c r="M4505" s="17" t="n">
        <v>0</v>
      </c>
      <c r="N4505" s="17">
        <f>K4505*0.08+L4505*0.08</f>
        <v/>
      </c>
      <c r="O4505" s="17">
        <f>-(K4505*0.025+L4505*0.025)</f>
        <v/>
      </c>
      <c r="P4505" s="17">
        <f>32</f>
        <v/>
      </c>
      <c r="Q4505" s="17">
        <f>J4505+L4505+N4505+O4505-P4505-M4505</f>
        <v/>
      </c>
    </row>
    <row r="4506">
      <c r="A4506" s="16" t="inlineStr">
        <is>
          <t>5.8-5.14</t>
        </is>
      </c>
      <c r="B4506" s="16" t="inlineStr">
        <is>
          <t>PO-128-06150810081910683</t>
        </is>
      </c>
      <c r="C4506" s="16" t="inlineStr">
        <is>
          <t>Delivered</t>
        </is>
      </c>
      <c r="D4506" s="16" t="inlineStr">
        <is>
          <t>128-06150773381750683</t>
        </is>
      </c>
      <c r="E4506" s="16" t="inlineStr">
        <is>
          <t>Delivered</t>
        </is>
      </c>
      <c r="F4506" s="16" t="inlineStr">
        <is>
          <t>KTS-2031</t>
        </is>
      </c>
      <c r="G4506" s="16" t="inlineStr">
        <is>
          <t>Bocina inalámbrica de 3 pulgadas con linterna multifuncional y panel solar integrado.Altavoz Portátil con Linterna LED 4 Modos, Radio FM, Bluetooth, Carga Solar, Ideal para Apagones, Emergencias, Campo y Exteriores</t>
        </is>
      </c>
      <c r="H4506" s="16" t="inlineStr">
        <is>
          <t>NEGRO</t>
        </is>
      </c>
      <c r="I4506" s="16" t="n">
        <v>1</v>
      </c>
      <c r="J4506" s="17" t="n">
        <v>75</v>
      </c>
      <c r="K4506" s="17" t="n">
        <v>84.23</v>
      </c>
      <c r="L4506" s="17" t="n">
        <v>12.34</v>
      </c>
      <c r="M4506" s="17" t="n">
        <v>0</v>
      </c>
      <c r="N4506" s="17">
        <f>K4506*0.08+L4506*0.08</f>
        <v/>
      </c>
      <c r="O4506" s="17">
        <f>-(K4506*0.025+L4506*0.025)</f>
        <v/>
      </c>
      <c r="P4506" s="17">
        <f>32</f>
        <v/>
      </c>
      <c r="Q4506" s="17">
        <f>J4506+L4506+N4506+O4506-P4506-M4506</f>
        <v/>
      </c>
    </row>
    <row r="4507">
      <c r="A4507" s="16" t="inlineStr">
        <is>
          <t>5.8-5.14</t>
        </is>
      </c>
      <c r="B4507" s="16" t="inlineStr">
        <is>
          <t>PO-128-06178836398710578</t>
        </is>
      </c>
      <c r="C4507" s="16" t="inlineStr">
        <is>
          <t>Delivered</t>
        </is>
      </c>
      <c r="D4507" s="16" t="inlineStr">
        <is>
          <t>128-06178825912950578</t>
        </is>
      </c>
      <c r="E4507" s="16" t="inlineStr">
        <is>
          <t>Delivered</t>
        </is>
      </c>
      <c r="F4507" s="16" t="inlineStr">
        <is>
          <t>BG-115-P</t>
        </is>
      </c>
      <c r="G4507" s="16" t="inlineStr">
        <is>
          <t>LINK BITS Audífonos Inalámbricos con Luces Multicolor, Recargables y en Adorable Forma de Orejas de Gato - Conecta a Celulares y PCs, Tiene Radio FM, Tarjeta TF y AUX - 7 Horas de Reproducción, Plegables y Perfectos para Trabajo, Juegos y Estudio</t>
        </is>
      </c>
      <c r="H4507" s="16" t="inlineStr">
        <is>
          <t>rosa</t>
        </is>
      </c>
      <c r="I4507" s="16" t="n">
        <v>1</v>
      </c>
      <c r="J4507" s="17" t="n">
        <v>76</v>
      </c>
      <c r="K4507" s="17" t="n">
        <v>86.73999999999999</v>
      </c>
      <c r="L4507" s="17" t="n">
        <v>25.86</v>
      </c>
      <c r="M4507" s="17" t="n">
        <v>0</v>
      </c>
      <c r="N4507" s="17">
        <f>K4507*0.08+L4507*0.08</f>
        <v/>
      </c>
      <c r="O4507" s="17">
        <f>-(K4507*0.025+L4507*0.025)</f>
        <v/>
      </c>
      <c r="P4507" s="17">
        <f>32</f>
        <v/>
      </c>
      <c r="Q4507" s="17">
        <f>J4507+L4507+N4507+O4507-P4507-M4507</f>
        <v/>
      </c>
    </row>
    <row r="4508">
      <c r="A4508" s="16" t="inlineStr">
        <is>
          <t>5.8-5.14</t>
        </is>
      </c>
      <c r="B4508" s="16" t="inlineStr">
        <is>
          <t>PO-128-05877661573751351</t>
        </is>
      </c>
      <c r="C4508" s="16" t="inlineStr">
        <is>
          <t>Delivered</t>
        </is>
      </c>
      <c r="D4508" s="16" t="inlineStr">
        <is>
          <t>128-05877714002551351</t>
        </is>
      </c>
      <c r="E4508" s="16" t="inlineStr">
        <is>
          <t>Delivered</t>
        </is>
      </c>
      <c r="F4508" s="16" t="inlineStr">
        <is>
          <t>KTS-2031</t>
        </is>
      </c>
      <c r="G4508" s="16" t="inlineStr">
        <is>
          <t>Bocina inalámbrica de 3 pulgadas con linterna multifuncional y panel solar integrado.Altavoz Portátil con Linterna LED 4 Modos, Radio FM, Bluetooth, Carga Solar, Ideal para Apagones, Emergencias, Campo y Exteriores</t>
        </is>
      </c>
      <c r="H4508" s="16" t="inlineStr">
        <is>
          <t>NEGRO</t>
        </is>
      </c>
      <c r="I4508" s="16" t="n">
        <v>1</v>
      </c>
      <c r="J4508" s="17" t="n">
        <v>75</v>
      </c>
      <c r="K4508" s="17" t="n">
        <v>41.13</v>
      </c>
      <c r="L4508" s="17" t="n">
        <v>25.86</v>
      </c>
      <c r="M4508" s="17" t="n">
        <v>0.01</v>
      </c>
      <c r="N4508" s="17">
        <f>K4508*0.08+L4508*0.08</f>
        <v/>
      </c>
      <c r="O4508" s="17">
        <f>-(K4508*0.025+L4508*0.025)</f>
        <v/>
      </c>
      <c r="P4508" s="17">
        <f>32</f>
        <v/>
      </c>
      <c r="Q4508" s="17">
        <f>J4508+L4508+N4508+O4508-P4508-M4508</f>
        <v/>
      </c>
    </row>
    <row r="4509">
      <c r="A4509" s="16" t="inlineStr">
        <is>
          <t>5.8-5.14</t>
        </is>
      </c>
      <c r="B4509" s="16" t="inlineStr">
        <is>
          <t>PO-128-05525360384633387</t>
        </is>
      </c>
      <c r="C4509" s="16" t="inlineStr">
        <is>
          <t>Delivered</t>
        </is>
      </c>
      <c r="D4509" s="16" t="inlineStr">
        <is>
          <t>128-05525381356153387</t>
        </is>
      </c>
      <c r="E4509" s="16" t="inlineStr">
        <is>
          <t>Delivered</t>
        </is>
      </c>
      <c r="F4509" s="16" t="inlineStr">
        <is>
          <t>TL2663N18C</t>
        </is>
      </c>
      <c r="G4509" s="16" t="inlineStr">
        <is>
          <t>Linkbits，Soporte de pared fijo para televisores de 26"-63", Ultra-Delgado Compatible con VESA 400x400mm, Capacidad de Peso Fuerte de 25KG, Instalación Fácil Sin Electricidad</t>
        </is>
      </c>
      <c r="H4509" s="16" t="inlineStr">
        <is>
          <t>NEGRO</t>
        </is>
      </c>
      <c r="I4509" s="16" t="n">
        <v>1</v>
      </c>
      <c r="J4509" s="17" t="n">
        <v>52</v>
      </c>
      <c r="K4509" s="17" t="n">
        <v>53.59</v>
      </c>
      <c r="L4509" s="17" t="n">
        <v>25.86</v>
      </c>
      <c r="M4509" s="17" t="n">
        <v>0</v>
      </c>
      <c r="N4509" s="17">
        <f>K4509*0.08+L4509*0.08</f>
        <v/>
      </c>
      <c r="O4509" s="17">
        <f>-(K4509*0.025+L4509*0.025)</f>
        <v/>
      </c>
      <c r="P4509" s="17">
        <f>32</f>
        <v/>
      </c>
      <c r="Q4509" s="17">
        <f>J4509+L4509+N4509+O4509-P4509-M4509</f>
        <v/>
      </c>
    </row>
    <row r="4510">
      <c r="A4510" s="16" t="inlineStr">
        <is>
          <t>5.8-5.14</t>
        </is>
      </c>
      <c r="B4510" s="16" t="inlineStr">
        <is>
          <t>PO-128-05562291518073103</t>
        </is>
      </c>
      <c r="C4510" s="16" t="inlineStr">
        <is>
          <t>Delivered</t>
        </is>
      </c>
      <c r="D4510" s="16" t="inlineStr">
        <is>
          <t>128-05562249575033103</t>
        </is>
      </c>
      <c r="E4510" s="16" t="inlineStr">
        <is>
          <t>Delivered</t>
        </is>
      </c>
      <c r="F4510" s="16" t="inlineStr">
        <is>
          <t>KTS-2031</t>
        </is>
      </c>
      <c r="G4510" s="16" t="inlineStr">
        <is>
          <t>Bocina inalámbrica de 3 pulgadas con linterna multifuncional y panel solar integrado.Altavoz Portátil con Linterna LED 4 Modos, Radio FM, Bluetooth, Carga Solar, Ideal para Apagones, Emergencias, Campo y Exteriores</t>
        </is>
      </c>
      <c r="H4510" s="16" t="inlineStr">
        <is>
          <t>NEGRO</t>
        </is>
      </c>
      <c r="I4510" s="16" t="n">
        <v>1</v>
      </c>
      <c r="J4510" s="17" t="n">
        <v>75</v>
      </c>
      <c r="K4510" s="17" t="n">
        <v>32.51</v>
      </c>
      <c r="L4510" s="17" t="n">
        <v>25.86</v>
      </c>
      <c r="M4510" s="17" t="n">
        <v>0.01</v>
      </c>
      <c r="N4510" s="17">
        <f>K4510*0.08+L4510*0.08</f>
        <v/>
      </c>
      <c r="O4510" s="17">
        <f>-(K4510*0.025+L4510*0.025)</f>
        <v/>
      </c>
      <c r="P4510" s="17">
        <f>32</f>
        <v/>
      </c>
      <c r="Q4510" s="17">
        <f>J4510+L4510+N4510+O4510-P4510-M4510</f>
        <v/>
      </c>
    </row>
    <row r="4511">
      <c r="A4511" s="16" t="inlineStr">
        <is>
          <t>5.8-5.14</t>
        </is>
      </c>
      <c r="B4511" s="16" t="inlineStr">
        <is>
          <t>PO-128-05746893865592128</t>
        </is>
      </c>
      <c r="C4511" s="16" t="inlineStr">
        <is>
          <t>Delivered</t>
        </is>
      </c>
      <c r="D4511" s="16" t="inlineStr">
        <is>
          <t>128-05746914837112128</t>
        </is>
      </c>
      <c r="E4511" s="16" t="inlineStr">
        <is>
          <t>Delivered</t>
        </is>
      </c>
      <c r="F4511" s="16" t="inlineStr">
        <is>
          <t>VB349T</t>
        </is>
      </c>
      <c r="G4511" s="16" t="inlineStr">
        <is>
          <t>LINKBITS Altavoz Portátil de Doble Altavoz - 3 Pulgadas, Sonido HD, Emparejamiento Rápido de Bluetooth, Conectividad TWS, Reproducción Multimodo (Micro SD/USB/Radio FM) - Perfecto para Oficina, Viajes y Espacios Pequeños</t>
        </is>
      </c>
      <c r="H4511" s="16" t="inlineStr">
        <is>
          <t>NEGRO</t>
        </is>
      </c>
      <c r="I4511" s="16" t="n">
        <v>1</v>
      </c>
      <c r="J4511" s="17" t="n">
        <v>79</v>
      </c>
      <c r="K4511" s="17" t="n">
        <v>92.27</v>
      </c>
      <c r="L4511" s="17" t="n">
        <v>25.86</v>
      </c>
      <c r="M4511" s="17" t="n">
        <v>0</v>
      </c>
      <c r="N4511" s="17">
        <f>K4511*0.08+L4511*0.08</f>
        <v/>
      </c>
      <c r="O4511" s="17">
        <f>-(K4511*0.025+L4511*0.025)</f>
        <v/>
      </c>
      <c r="P4511" s="17">
        <f>32</f>
        <v/>
      </c>
      <c r="Q4511" s="17">
        <f>J4511+L4511+N4511+O4511-P4511-M4511</f>
        <v/>
      </c>
    </row>
    <row r="4512">
      <c r="A4512" s="16" t="inlineStr">
        <is>
          <t>5.8-5.14</t>
        </is>
      </c>
      <c r="B4512" s="16" t="inlineStr">
        <is>
          <t>PO-128-06158058660470766</t>
        </is>
      </c>
      <c r="C4512" s="16" t="inlineStr">
        <is>
          <t>Delivered</t>
        </is>
      </c>
      <c r="D4512" s="16" t="inlineStr">
        <is>
          <t>128-06158016717430766</t>
        </is>
      </c>
      <c r="E4512" s="16" t="inlineStr">
        <is>
          <t>Delivered</t>
        </is>
      </c>
      <c r="F4512" s="16" t="inlineStr">
        <is>
          <t>KTS-2031</t>
        </is>
      </c>
      <c r="G4512" s="16" t="inlineStr">
        <is>
          <t>Bocina inalámbrica de 3 pulgadas con linterna multifuncional y panel solar integrado.Altavoz Portátil con Linterna LED 4 Modos, Radio FM, Bluetooth, Carga Solar, Ideal para Apagones, Emergencias, Campo y Exteriores</t>
        </is>
      </c>
      <c r="H4512" s="16" t="inlineStr">
        <is>
          <t>NEGRO</t>
        </is>
      </c>
      <c r="I4512" s="16" t="n">
        <v>1</v>
      </c>
      <c r="J4512" s="17" t="n">
        <v>75</v>
      </c>
      <c r="K4512" s="17" t="n">
        <v>84.23</v>
      </c>
      <c r="L4512" s="17" t="n">
        <v>25.86</v>
      </c>
      <c r="M4512" s="17" t="n">
        <v>0</v>
      </c>
      <c r="N4512" s="17">
        <f>K4512*0.08+L4512*0.08</f>
        <v/>
      </c>
      <c r="O4512" s="17">
        <f>-(K4512*0.025+L4512*0.025)</f>
        <v/>
      </c>
      <c r="P4512" s="17">
        <f>32</f>
        <v/>
      </c>
      <c r="Q4512" s="17">
        <f>J4512+L4512+N4512+O4512-P4512-M4512</f>
        <v/>
      </c>
    </row>
    <row r="4513">
      <c r="A4513" s="16" t="inlineStr">
        <is>
          <t>5.8-5.14</t>
        </is>
      </c>
      <c r="B4513" s="16" t="inlineStr">
        <is>
          <t>PO-128-06084135695990054</t>
        </is>
      </c>
      <c r="C4513" s="16" t="inlineStr">
        <is>
          <t>Delivered</t>
        </is>
      </c>
      <c r="D4513" s="16" t="inlineStr">
        <is>
          <t>128-06084127831670054</t>
        </is>
      </c>
      <c r="E4513" s="16" t="inlineStr">
        <is>
          <t>Delivered</t>
        </is>
      </c>
      <c r="F4513" s="16" t="inlineStr">
        <is>
          <t>KTS-2031</t>
        </is>
      </c>
      <c r="G4513" s="16" t="inlineStr">
        <is>
          <t>Bocina inalámbrica de 3 pulgadas con linterna multifuncional y panel solar integrado.Altavoz Portátil con Linterna LED 4 Modos, Radio FM, Bluetooth, Carga Solar, Ideal para Apagones, Emergencias, Campo y Exteriores</t>
        </is>
      </c>
      <c r="H4513" s="16" t="inlineStr">
        <is>
          <t>NEGRO</t>
        </is>
      </c>
      <c r="I4513" s="16" t="n">
        <v>1</v>
      </c>
      <c r="J4513" s="17" t="n">
        <v>75</v>
      </c>
      <c r="K4513" s="17" t="n">
        <v>80.73</v>
      </c>
      <c r="L4513" s="17" t="n">
        <v>25.86</v>
      </c>
      <c r="M4513" s="17" t="n">
        <v>0</v>
      </c>
      <c r="N4513" s="17">
        <f>K4513*0.08+L4513*0.08</f>
        <v/>
      </c>
      <c r="O4513" s="17">
        <f>-(K4513*0.025+L4513*0.025)</f>
        <v/>
      </c>
      <c r="P4513" s="17">
        <f>32</f>
        <v/>
      </c>
      <c r="Q4513" s="17">
        <f>J4513+L4513+N4513+O4513-P4513-M4513</f>
        <v/>
      </c>
    </row>
    <row r="4514">
      <c r="A4514" s="16" t="inlineStr">
        <is>
          <t>5.8-5.14</t>
        </is>
      </c>
      <c r="B4514" s="16" t="inlineStr">
        <is>
          <t>PO-128-05691211735672332</t>
        </is>
      </c>
      <c r="C4514" s="16" t="inlineStr">
        <is>
          <t>Delivered</t>
        </is>
      </c>
      <c r="D4514" s="16" t="inlineStr">
        <is>
          <t>128-05691186831992332</t>
        </is>
      </c>
      <c r="E4514" s="16" t="inlineStr">
        <is>
          <t>Delivered</t>
        </is>
      </c>
      <c r="F4514" s="16" t="inlineStr">
        <is>
          <t>LV54W25</t>
        </is>
      </c>
      <c r="G4514" s="16" t="inlineStr">
        <is>
          <t>TIANLAI Lámpara Ventilador E27 2 en 1, Silenciosa, LED Alta Luminosidad 180°, Instalación Rápida, Ahorro Energético para Dormitorio y Interiores Pequeños</t>
        </is>
      </c>
      <c r="H4514" s="16" t="inlineStr">
        <is>
          <t>1 Pieza</t>
        </is>
      </c>
      <c r="I4514" s="16" t="n">
        <v>1</v>
      </c>
      <c r="J4514" s="17" t="n">
        <v>78.5</v>
      </c>
      <c r="K4514" s="17" t="n">
        <v>72.11</v>
      </c>
      <c r="L4514" s="17" t="n">
        <v>25.86</v>
      </c>
      <c r="M4514" s="17" t="n">
        <v>0</v>
      </c>
      <c r="N4514" s="17">
        <f>K4514*0.08+L4514*0.08</f>
        <v/>
      </c>
      <c r="O4514" s="17">
        <f>-(K4514*0.025+L4514*0.025)</f>
        <v/>
      </c>
      <c r="P4514" s="17">
        <f>32</f>
        <v/>
      </c>
      <c r="Q4514" s="17">
        <f>J4514+L4514+N4514+O4514-P4514-M4514</f>
        <v/>
      </c>
    </row>
    <row r="4515">
      <c r="A4515" s="16" t="inlineStr">
        <is>
          <t>5.8-5.14</t>
        </is>
      </c>
      <c r="B4515" s="16" t="inlineStr">
        <is>
          <t>PO-128-05896499907191239</t>
        </is>
      </c>
      <c r="C4515" s="16" t="inlineStr">
        <is>
          <t>Delivered</t>
        </is>
      </c>
      <c r="D4515" s="16" t="inlineStr">
        <is>
          <t>128-05896457964151239</t>
        </is>
      </c>
      <c r="E4515" s="16" t="inlineStr">
        <is>
          <t>Delivered</t>
        </is>
      </c>
      <c r="F4515" s="16" t="inlineStr">
        <is>
          <t>LV54W25</t>
        </is>
      </c>
      <c r="G4515" s="16" t="inlineStr">
        <is>
          <t>TIANLAI Lámpara Ventilador E27 2 en 1, Silenciosa, LED Alta Luminosidad 180°, Instalación Rápida, Ahorro Energético para Dormitorio y Interiores Pequeños</t>
        </is>
      </c>
      <c r="H4515" s="16" t="inlineStr">
        <is>
          <t>1 Pieza</t>
        </is>
      </c>
      <c r="I4515" s="16" t="n">
        <v>1</v>
      </c>
      <c r="J4515" s="17" t="n">
        <v>78.5</v>
      </c>
      <c r="K4515" s="17" t="n">
        <v>82.3</v>
      </c>
      <c r="L4515" s="17" t="n">
        <v>25.86</v>
      </c>
      <c r="M4515" s="17" t="n">
        <v>0</v>
      </c>
      <c r="N4515" s="17">
        <f>K4515*0.08+L4515*0.08</f>
        <v/>
      </c>
      <c r="O4515" s="17">
        <f>-(K4515*0.025+L4515*0.025)</f>
        <v/>
      </c>
      <c r="P4515" s="17">
        <f>32</f>
        <v/>
      </c>
      <c r="Q4515" s="17">
        <f>J4515+L4515+N4515+O4515-P4515-M4515</f>
        <v/>
      </c>
    </row>
    <row r="4516">
      <c r="A4516" s="16" t="inlineStr">
        <is>
          <t>5.8-5.14</t>
        </is>
      </c>
      <c r="B4516" s="16" t="inlineStr">
        <is>
          <t>PO-128-06077775063670028</t>
        </is>
      </c>
      <c r="C4516" s="16" t="inlineStr">
        <is>
          <t>Delivered</t>
        </is>
      </c>
      <c r="D4516" s="16" t="inlineStr">
        <is>
          <t>128-06077764577910028</t>
        </is>
      </c>
      <c r="E4516" s="16" t="inlineStr">
        <is>
          <t>Delivered</t>
        </is>
      </c>
      <c r="F4516" s="16" t="inlineStr">
        <is>
          <t>TL1455N20B</t>
        </is>
      </c>
      <c r="G4516" s="16" t="inlineStr">
        <is>
          <t>LINK BITS Soporte para TV 14 A 55 Pulgadas, Base para TV Pantalla Articulado Inclinable y Giratorio, MAX VESA 400×400 mm, Soporta hasta 18kg (Acero Reforzado)</t>
        </is>
      </c>
      <c r="H4516" s="16" t="inlineStr">
        <is>
          <t>TL1455N20B</t>
        </is>
      </c>
      <c r="I4516" s="16" t="n">
        <v>3</v>
      </c>
      <c r="J4516" s="17" t="n">
        <v>216</v>
      </c>
      <c r="K4516" s="17" t="n">
        <v>241.86</v>
      </c>
      <c r="L4516" s="17" t="n">
        <v>0</v>
      </c>
      <c r="M4516" s="17" t="n">
        <v>0</v>
      </c>
      <c r="N4516" s="17">
        <f>K4516*0.08+L4516*0.08</f>
        <v/>
      </c>
      <c r="O4516" s="17">
        <f>-(K4516*0.025+L4516*0.025)</f>
        <v/>
      </c>
      <c r="P4516" s="17">
        <f>32</f>
        <v/>
      </c>
      <c r="Q4516" s="17">
        <f>J4516+L4516+N4516+O4516-P4516-M4516</f>
        <v/>
      </c>
    </row>
    <row r="4517">
      <c r="A4517" s="16" t="inlineStr">
        <is>
          <t>5.8-5.14</t>
        </is>
      </c>
      <c r="B4517" s="16" t="inlineStr">
        <is>
          <t>PO-128-05654441380473641</t>
        </is>
      </c>
      <c r="C4517" s="16" t="inlineStr">
        <is>
          <t>Delivered</t>
        </is>
      </c>
      <c r="D4517" s="16" t="inlineStr">
        <is>
          <t>128-05654577695353641</t>
        </is>
      </c>
      <c r="E4517" s="16" t="inlineStr">
        <is>
          <t>Delivered</t>
        </is>
      </c>
      <c r="F4517" s="16" t="inlineStr">
        <is>
          <t>TL1455N20B</t>
        </is>
      </c>
      <c r="G4517" s="16" t="inlineStr">
        <is>
          <t>LINK BITS Soporte para TV 14 A 55 Pulgadas, Base para TV Pantalla Articulado Inclinable y Giratorio, MAX VESA 400×400 mm, Soporta hasta 18kg (Acero Reforzado)</t>
        </is>
      </c>
      <c r="H4517" s="16" t="inlineStr">
        <is>
          <t>TL1455N20B</t>
        </is>
      </c>
      <c r="I4517" s="16" t="n">
        <v>1</v>
      </c>
      <c r="J4517" s="17" t="n">
        <v>61</v>
      </c>
      <c r="K4517" s="17" t="n">
        <v>83.84</v>
      </c>
      <c r="L4517" s="17" t="n">
        <v>25.86</v>
      </c>
      <c r="M4517" s="17" t="n">
        <v>0</v>
      </c>
      <c r="N4517" s="17">
        <f>K4517*0.08+L4517*0.08</f>
        <v/>
      </c>
      <c r="O4517" s="17">
        <f>-(K4517*0.025+L4517*0.025)</f>
        <v/>
      </c>
      <c r="P4517" s="17">
        <f>32</f>
        <v/>
      </c>
      <c r="Q4517" s="17">
        <f>J4517+L4517+N4517+O4517-P4517-M4517</f>
        <v/>
      </c>
    </row>
    <row r="4518">
      <c r="A4518" s="16" t="inlineStr">
        <is>
          <t>5.8-5.14</t>
        </is>
      </c>
      <c r="B4518" s="16" t="inlineStr">
        <is>
          <t>PO-128-05998437929591591</t>
        </is>
      </c>
      <c r="C4518" s="16" t="inlineStr">
        <is>
          <t>Delivered</t>
        </is>
      </c>
      <c r="D4518" s="16" t="inlineStr">
        <is>
          <t>128-05998369772151591</t>
        </is>
      </c>
      <c r="E4518" s="16" t="inlineStr">
        <is>
          <t>Delivered</t>
        </is>
      </c>
      <c r="F4518" s="16" t="inlineStr">
        <is>
          <t>VB349T</t>
        </is>
      </c>
      <c r="G4518" s="16" t="inlineStr">
        <is>
          <t>LINKBITS Altavoz Portátil de Doble Altavoz - 3 Pulgadas, Sonido HD, Emparejamiento Rápido de Bluetooth, Conectividad TWS, Reproducción Multimodo (Micro SD/USB/Radio FM) - Perfecto para Oficina, Viajes y Espacios Pequeños</t>
        </is>
      </c>
      <c r="H4518" s="16" t="inlineStr">
        <is>
          <t>NEGRO</t>
        </is>
      </c>
      <c r="I4518" s="16" t="n">
        <v>1</v>
      </c>
      <c r="J4518" s="17" t="n">
        <v>81</v>
      </c>
      <c r="K4518" s="17" t="n">
        <v>94.27</v>
      </c>
      <c r="L4518" s="17" t="n">
        <v>25.86</v>
      </c>
      <c r="M4518" s="17" t="n">
        <v>0</v>
      </c>
      <c r="N4518" s="17">
        <f>K4518*0.08+L4518*0.08</f>
        <v/>
      </c>
      <c r="O4518" s="17">
        <f>-(K4518*0.025+L4518*0.025)</f>
        <v/>
      </c>
      <c r="P4518" s="17">
        <f>32</f>
        <v/>
      </c>
      <c r="Q4518" s="17">
        <f>J4518+L4518+N4518+O4518-P4518-M4518</f>
        <v/>
      </c>
    </row>
    <row r="4519">
      <c r="A4519" s="16" t="inlineStr">
        <is>
          <t>5.8-5.14</t>
        </is>
      </c>
      <c r="B4519" s="16" t="inlineStr">
        <is>
          <t>PO-128-05945737196152033</t>
        </is>
      </c>
      <c r="C4519" s="16" t="inlineStr">
        <is>
          <t>Delivered</t>
        </is>
      </c>
      <c r="D4519" s="16" t="inlineStr">
        <is>
          <t>128-05945695253112033</t>
        </is>
      </c>
      <c r="E4519" s="16" t="inlineStr">
        <is>
          <t>Delivered</t>
        </is>
      </c>
      <c r="F4519" s="16" t="inlineStr">
        <is>
          <t>LV54W25</t>
        </is>
      </c>
      <c r="G4519" s="16" t="inlineStr">
        <is>
          <t>TIANLAI Lámpara Ventilador E27 2 en 1, Silenciosa, LED Alta Luminosidad 180°, Instalación Rápida, Ahorro Energético para Dormitorio y Interiores Pequeños</t>
        </is>
      </c>
      <c r="H4519" s="16" t="inlineStr">
        <is>
          <t>1 Pieza</t>
        </is>
      </c>
      <c r="I4519" s="16" t="n">
        <v>1</v>
      </c>
      <c r="J4519" s="17" t="n">
        <v>79</v>
      </c>
      <c r="K4519" s="17" t="n">
        <v>82.73</v>
      </c>
      <c r="L4519" s="17" t="n">
        <v>25.86</v>
      </c>
      <c r="M4519" s="17" t="n">
        <v>0</v>
      </c>
      <c r="N4519" s="17">
        <f>K4519*0.08+L4519*0.08</f>
        <v/>
      </c>
      <c r="O4519" s="17">
        <f>-(K4519*0.025+L4519*0.025)</f>
        <v/>
      </c>
      <c r="P4519" s="17">
        <f>32</f>
        <v/>
      </c>
      <c r="Q4519" s="17">
        <f>J4519+L4519+N4519+O4519-P4519-M4519</f>
        <v/>
      </c>
    </row>
    <row r="4520">
      <c r="A4520" s="16" t="inlineStr">
        <is>
          <t>5.8-5.14</t>
        </is>
      </c>
      <c r="B4520" s="16" t="inlineStr">
        <is>
          <t>PO-128-05766729841273034</t>
        </is>
      </c>
      <c r="C4520" s="16" t="inlineStr">
        <is>
          <t>Delivered</t>
        </is>
      </c>
      <c r="D4520" s="16" t="inlineStr">
        <is>
          <t>128-05766687898233034</t>
        </is>
      </c>
      <c r="E4520" s="16" t="inlineStr">
        <is>
          <t>Delivered</t>
        </is>
      </c>
      <c r="F4520" s="16" t="inlineStr">
        <is>
          <t>TL1455N20B</t>
        </is>
      </c>
      <c r="G4520" s="16" t="inlineStr">
        <is>
          <t>LINK BITS Soporte para TV 14 A 55 Pulgadas, Base para TV Pantalla Articulado Inclinable y Giratorio, MAX VESA 400×400 mm, Soporta hasta 18kg (Acero Reforzado)</t>
        </is>
      </c>
      <c r="H4520" s="16" t="inlineStr">
        <is>
          <t>TL1455N20B</t>
        </is>
      </c>
      <c r="I4520" s="16" t="n">
        <v>1</v>
      </c>
      <c r="J4520" s="17" t="n">
        <v>61</v>
      </c>
      <c r="K4520" s="17" t="n">
        <v>83.84</v>
      </c>
      <c r="L4520" s="17" t="n">
        <v>25.86</v>
      </c>
      <c r="M4520" s="17" t="n">
        <v>0</v>
      </c>
      <c r="N4520" s="17">
        <f>K4520*0.08+L4520*0.08</f>
        <v/>
      </c>
      <c r="O4520" s="17">
        <f>-(K4520*0.025+L4520*0.025)</f>
        <v/>
      </c>
      <c r="P4520" s="17">
        <f>32</f>
        <v/>
      </c>
      <c r="Q4520" s="17">
        <f>J4520+L4520+N4520+O4520-P4520-M4520</f>
        <v/>
      </c>
    </row>
    <row r="4521">
      <c r="A4521" s="16" t="inlineStr">
        <is>
          <t>5.8-5.14</t>
        </is>
      </c>
      <c r="B4521" s="16" t="inlineStr">
        <is>
          <t>PO-128-05840502661752658</t>
        </is>
      </c>
      <c r="C4521" s="16" t="inlineStr">
        <is>
          <t>Delivered</t>
        </is>
      </c>
      <c r="D4521" s="16" t="inlineStr">
        <is>
          <t>128-05840492175992658</t>
        </is>
      </c>
      <c r="E4521" s="16" t="inlineStr">
        <is>
          <t>Delivered</t>
        </is>
      </c>
      <c r="F4521" s="16" t="inlineStr">
        <is>
          <t>LV54W25</t>
        </is>
      </c>
      <c r="G4521" s="16" t="inlineStr">
        <is>
          <t>TIANLAI Lámpara Ventilador E27 2 en 1, Silenciosa, LED Alta Luminosidad 180°, Instalación Rápida, Ahorro Energético para Dormitorio y Interiores Pequeños</t>
        </is>
      </c>
      <c r="H4521" s="16" t="inlineStr">
        <is>
          <t>1 Pieza</t>
        </is>
      </c>
      <c r="I4521" s="16" t="n">
        <v>3</v>
      </c>
      <c r="J4521" s="17" t="n">
        <v>237</v>
      </c>
      <c r="K4521" s="17" t="n">
        <v>198.56</v>
      </c>
      <c r="L4521" s="17" t="n">
        <v>0</v>
      </c>
      <c r="M4521" s="17" t="n">
        <v>0</v>
      </c>
      <c r="N4521" s="17">
        <f>K4521*0.08+L4521*0.08</f>
        <v/>
      </c>
      <c r="O4521" s="17">
        <f>-(K4521*0.025+L4521*0.025)</f>
        <v/>
      </c>
      <c r="P4521" s="17">
        <f>32</f>
        <v/>
      </c>
      <c r="Q4521" s="17">
        <f>J4521+L4521+N4521+O4521-P4521-M4521</f>
        <v/>
      </c>
    </row>
    <row r="4522">
      <c r="A4522" s="16" t="inlineStr">
        <is>
          <t>5.8-5.14</t>
        </is>
      </c>
      <c r="B4522" s="16" t="inlineStr">
        <is>
          <t>PO-128-06077156403830224</t>
        </is>
      </c>
      <c r="C4522" s="16" t="inlineStr">
        <is>
          <t>Delivered</t>
        </is>
      </c>
      <c r="D4522" s="16" t="inlineStr">
        <is>
          <t>128-06077177375350224</t>
        </is>
      </c>
      <c r="E4522" s="16" t="inlineStr">
        <is>
          <t>Delivered</t>
        </is>
      </c>
      <c r="F4522" s="16" t="inlineStr">
        <is>
          <t>LV54W25</t>
        </is>
      </c>
      <c r="G4522" s="16" t="inlineStr">
        <is>
          <t>TIANLAI Lámpara Ventilador E27 2 en 1, Silenciosa, LED Alta Luminosidad 180°, Instalación Rápida, Ahorro Energético para Dormitorio y Interiores Pequeños</t>
        </is>
      </c>
      <c r="H4522" s="16" t="inlineStr">
        <is>
          <t>1 Pieza</t>
        </is>
      </c>
      <c r="I4522" s="16" t="n">
        <v>1</v>
      </c>
      <c r="J4522" s="17" t="n">
        <v>79</v>
      </c>
      <c r="K4522" s="17" t="n">
        <v>58.04</v>
      </c>
      <c r="L4522" s="17" t="n">
        <v>25.86</v>
      </c>
      <c r="M4522" s="17" t="n">
        <v>0</v>
      </c>
      <c r="N4522" s="17">
        <f>K4522*0.08+L4522*0.08</f>
        <v/>
      </c>
      <c r="O4522" s="17">
        <f>-(K4522*0.025+L4522*0.025)</f>
        <v/>
      </c>
      <c r="P4522" s="17">
        <f>32</f>
        <v/>
      </c>
      <c r="Q4522" s="17">
        <f>J4522+L4522+N4522+O4522-P4522-M4522</f>
        <v/>
      </c>
    </row>
    <row r="4523">
      <c r="A4523" s="16" t="inlineStr">
        <is>
          <t>5.8-5.14</t>
        </is>
      </c>
      <c r="B4523" s="16" t="inlineStr">
        <is>
          <t>PO-128-05663021701753652</t>
        </is>
      </c>
      <c r="C4523" s="16" t="inlineStr">
        <is>
          <t>Delivered</t>
        </is>
      </c>
      <c r="D4523" s="16" t="inlineStr">
        <is>
          <t>128-05663000730233652</t>
        </is>
      </c>
      <c r="E4523" s="16" t="inlineStr">
        <is>
          <t>Delivered</t>
        </is>
      </c>
      <c r="F4523" s="16" t="inlineStr">
        <is>
          <t>KTS-2031</t>
        </is>
      </c>
      <c r="G4523" s="16" t="inlineStr">
        <is>
          <t>Bocina inalámbrica de 3 pulgadas con linterna multifuncional y panel solar integrado.Altavoz Portátil con Linterna LED 4 Modos, Radio FM, Bluetooth, Carga Solar, Ideal para Apagones, Emergencias, Campo y Exteriores</t>
        </is>
      </c>
      <c r="H4523" s="16" t="inlineStr">
        <is>
          <t>NEGRO</t>
        </is>
      </c>
      <c r="I4523" s="16" t="n">
        <v>3</v>
      </c>
      <c r="J4523" s="17" t="n">
        <v>234</v>
      </c>
      <c r="K4523" s="17" t="n">
        <v>196.63</v>
      </c>
      <c r="L4523" s="17" t="n">
        <v>0</v>
      </c>
      <c r="M4523" s="17" t="n">
        <v>0</v>
      </c>
      <c r="N4523" s="17">
        <f>K4523*0.08+L4523*0.08</f>
        <v/>
      </c>
      <c r="O4523" s="17">
        <f>-(K4523*0.025+L4523*0.025)</f>
        <v/>
      </c>
      <c r="P4523" s="17">
        <f>32</f>
        <v/>
      </c>
      <c r="Q4523" s="17">
        <f>J4523+L4523+N4523+O4523-P4523-M4523</f>
        <v/>
      </c>
    </row>
    <row r="4524">
      <c r="A4524" s="16" t="inlineStr">
        <is>
          <t>5.8-5.14</t>
        </is>
      </c>
      <c r="B4524" s="16" t="inlineStr">
        <is>
          <t>PO-128-05501487596153465</t>
        </is>
      </c>
      <c r="C4524" s="16" t="inlineStr">
        <is>
          <t>Delivered</t>
        </is>
      </c>
      <c r="D4524" s="16" t="inlineStr">
        <is>
          <t>128-05501529539193465</t>
        </is>
      </c>
      <c r="E4524" s="16" t="inlineStr">
        <is>
          <t>Delivered</t>
        </is>
      </c>
      <c r="F4524" s="16" t="inlineStr">
        <is>
          <t>B03W10-10PZS</t>
        </is>
      </c>
      <c r="G452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24" s="16" t="inlineStr">
        <is>
          <t>B03W10</t>
        </is>
      </c>
      <c r="I4524" s="16" t="n">
        <v>1</v>
      </c>
      <c r="J4524" s="17" t="n">
        <v>70</v>
      </c>
      <c r="K4524" s="17" t="n">
        <v>90.18000000000001</v>
      </c>
      <c r="L4524" s="17" t="n">
        <v>0</v>
      </c>
      <c r="M4524" s="17" t="n">
        <v>90.18000000000001</v>
      </c>
      <c r="N4524" s="17">
        <f>K4524*0.08+L4524*0.08</f>
        <v/>
      </c>
      <c r="O4524" s="17">
        <f>-(K4524*0.025+L4524*0.025)</f>
        <v/>
      </c>
      <c r="P4524" s="17">
        <f>32</f>
        <v/>
      </c>
      <c r="Q4524" s="17">
        <f>J4524+L4524+N4524+O4524-P4524-M4524</f>
        <v/>
      </c>
    </row>
    <row r="4525">
      <c r="A4525" s="16" t="inlineStr">
        <is>
          <t>5.8-5.14</t>
        </is>
      </c>
      <c r="B4525" s="16" t="inlineStr">
        <is>
          <t>PO-128-05636613903993746</t>
        </is>
      </c>
      <c r="C4525" s="16" t="inlineStr">
        <is>
          <t>Delivered</t>
        </is>
      </c>
      <c r="D4525" s="16" t="inlineStr">
        <is>
          <t>128-05636571960953746</t>
        </is>
      </c>
      <c r="E4525" s="16" t="inlineStr">
        <is>
          <t>Delivered</t>
        </is>
      </c>
      <c r="F4525" s="16" t="inlineStr">
        <is>
          <t>BSC04</t>
        </is>
      </c>
      <c r="G4525" s="16" t="inlineStr">
        <is>
          <t>TIANLAI Báscula Digital BSC04/BSC07, Alta Precisión, Fácil Operación, Ligera y Portátil, Función Tara, Unidad Dual oz/g, Ideal para Cocina, Control de Porciones, Sellos y Objetos Pequeños, Uso en Hogar y Viaje</t>
        </is>
      </c>
      <c r="H4525" s="16" t="inlineStr">
        <is>
          <t>5g/White</t>
        </is>
      </c>
      <c r="I4525" s="16" t="n">
        <v>1</v>
      </c>
      <c r="J4525" s="17" t="n">
        <v>58</v>
      </c>
      <c r="K4525" s="17" t="n">
        <v>59.45</v>
      </c>
      <c r="L4525" s="17" t="n">
        <v>25.86</v>
      </c>
      <c r="M4525" s="17" t="n">
        <v>0</v>
      </c>
      <c r="N4525" s="17">
        <f>K4525*0.08+L4525*0.08</f>
        <v/>
      </c>
      <c r="O4525" s="17">
        <f>-(K4525*0.025+L4525*0.025)</f>
        <v/>
      </c>
      <c r="P4525" s="17">
        <f>32</f>
        <v/>
      </c>
      <c r="Q4525" s="17">
        <f>J4525+L4525+N4525+O4525-P4525-M4525</f>
        <v/>
      </c>
    </row>
    <row r="4526">
      <c r="A4526" s="16" t="inlineStr">
        <is>
          <t>5.8-5.14</t>
        </is>
      </c>
      <c r="B4526" s="16" t="inlineStr">
        <is>
          <t>PO-128-05900689987191276</t>
        </is>
      </c>
      <c r="C4526" s="16" t="inlineStr">
        <is>
          <t>Delivered</t>
        </is>
      </c>
      <c r="D4526" s="16" t="inlineStr">
        <is>
          <t>128-05900648044151276</t>
        </is>
      </c>
      <c r="E4526" s="16" t="inlineStr">
        <is>
          <t>Delivered</t>
        </is>
      </c>
      <c r="F4526" s="16" t="inlineStr">
        <is>
          <t>VB349T</t>
        </is>
      </c>
      <c r="G4526" s="16" t="inlineStr">
        <is>
          <t>LINKBITS Altavoz Portátil de Doble Altavoz - 3 Pulgadas, Sonido HD, Emparejamiento Rápido de Bluetooth, Conectividad TWS, Reproducción Multimodo (Micro SD/USB/Radio FM) - Perfecto para Oficina, Viajes y Espacios Pequeños</t>
        </is>
      </c>
      <c r="H4526" s="16" t="inlineStr">
        <is>
          <t>NEGRO</t>
        </is>
      </c>
      <c r="I4526" s="16" t="n">
        <v>1</v>
      </c>
      <c r="J4526" s="17" t="n">
        <v>81</v>
      </c>
      <c r="K4526" s="17" t="n">
        <v>11.51</v>
      </c>
      <c r="L4526" s="17" t="n">
        <v>25.86</v>
      </c>
      <c r="M4526" s="17" t="n">
        <v>0</v>
      </c>
      <c r="N4526" s="17">
        <f>K4526*0.08+L4526*0.08</f>
        <v/>
      </c>
      <c r="O4526" s="17">
        <f>-(K4526*0.025+L4526*0.025)</f>
        <v/>
      </c>
      <c r="P4526" s="17">
        <f>32</f>
        <v/>
      </c>
      <c r="Q4526" s="17">
        <f>J4526+L4526+N4526+O4526-P4526-M4526</f>
        <v/>
      </c>
    </row>
    <row r="4527">
      <c r="A4527" s="16" t="inlineStr">
        <is>
          <t>5.8-5.14</t>
        </is>
      </c>
      <c r="B4527" s="16" t="inlineStr">
        <is>
          <t>PO-128-05547420088953255</t>
        </is>
      </c>
      <c r="C4527" s="16" t="inlineStr">
        <is>
          <t>Delivered</t>
        </is>
      </c>
      <c r="D4527" s="16" t="inlineStr">
        <is>
          <t>128-05547524946553255</t>
        </is>
      </c>
      <c r="E4527" s="16" t="inlineStr">
        <is>
          <t>Delivered</t>
        </is>
      </c>
      <c r="F4527" s="16" t="inlineStr">
        <is>
          <t>B03W10-10PZS</t>
        </is>
      </c>
      <c r="G452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27" s="16" t="inlineStr">
        <is>
          <t>B03W10</t>
        </is>
      </c>
      <c r="I4527" s="16" t="n">
        <v>1</v>
      </c>
      <c r="J4527" s="17" t="n">
        <v>70</v>
      </c>
      <c r="K4527" s="17" t="n">
        <v>3.97</v>
      </c>
      <c r="L4527" s="17" t="n">
        <v>25.86</v>
      </c>
      <c r="M4527" s="17" t="n">
        <v>0</v>
      </c>
      <c r="N4527" s="17">
        <f>K4527*0.08+L4527*0.08</f>
        <v/>
      </c>
      <c r="O4527" s="17">
        <f>-(K4527*0.025+L4527*0.025)</f>
        <v/>
      </c>
      <c r="P4527" s="17">
        <f>32</f>
        <v/>
      </c>
      <c r="Q4527" s="17">
        <f>J4527+L4527+N4527+O4527-P4527-M4527</f>
        <v/>
      </c>
    </row>
    <row r="4528">
      <c r="A4528" s="16" t="inlineStr">
        <is>
          <t>5.8-5.14</t>
        </is>
      </c>
      <c r="B4528" s="16" t="inlineStr">
        <is>
          <t>PO-128-05600070093434093</t>
        </is>
      </c>
      <c r="C4528" s="16" t="inlineStr">
        <is>
          <t>Delivered</t>
        </is>
      </c>
      <c r="D4528" s="16" t="inlineStr">
        <is>
          <t>128-05600230001274093</t>
        </is>
      </c>
      <c r="E4528" s="16" t="inlineStr">
        <is>
          <t>Delivered</t>
        </is>
      </c>
      <c r="F4528" s="16" t="inlineStr">
        <is>
          <t>KTS-2031</t>
        </is>
      </c>
      <c r="G4528" s="16" t="inlineStr">
        <is>
          <t>Bocina inalámbrica de 3 pulgadas con linterna multifuncional y panel solar integrado.Altavoz Portátil con Linterna LED 4 Modos, Radio FM, Bluetooth, Carga Solar, Ideal para Apagones, Emergencias, Campo y Exteriores</t>
        </is>
      </c>
      <c r="H4528" s="16" t="inlineStr">
        <is>
          <t>NEGRO</t>
        </is>
      </c>
      <c r="I4528" s="16" t="n">
        <v>1</v>
      </c>
      <c r="J4528" s="17" t="n">
        <v>78</v>
      </c>
      <c r="K4528" s="17" t="n">
        <v>4.47</v>
      </c>
      <c r="L4528" s="17" t="n">
        <v>25.86</v>
      </c>
      <c r="M4528" s="17" t="n">
        <v>0</v>
      </c>
      <c r="N4528" s="17">
        <f>K4528*0.08+L4528*0.08</f>
        <v/>
      </c>
      <c r="O4528" s="17">
        <f>-(K4528*0.025+L4528*0.025)</f>
        <v/>
      </c>
      <c r="P4528" s="17">
        <f>32</f>
        <v/>
      </c>
      <c r="Q4528" s="17">
        <f>J4528+L4528+N4528+O4528-P4528-M4528</f>
        <v/>
      </c>
    </row>
    <row r="4529">
      <c r="A4529" s="16" t="inlineStr">
        <is>
          <t>5.8-5.14</t>
        </is>
      </c>
      <c r="B4529" s="16" t="inlineStr">
        <is>
          <t>PO-128-05907662623351042</t>
        </is>
      </c>
      <c r="C4529" s="16" t="inlineStr">
        <is>
          <t>Delivered</t>
        </is>
      </c>
      <c r="D4529" s="16" t="inlineStr">
        <is>
          <t>128-05907704566391042</t>
        </is>
      </c>
      <c r="E4529" s="16" t="inlineStr">
        <is>
          <t>Delivered</t>
        </is>
      </c>
      <c r="F4529" s="16" t="inlineStr">
        <is>
          <t>VB349T</t>
        </is>
      </c>
      <c r="G4529" s="16" t="inlineStr">
        <is>
          <t>LINKBITS Altavoz Portátil de Doble Altavoz - 3 Pulgadas, Sonido HD, Emparejamiento Rápido de Bluetooth, Conectividad TWS, Reproducción Multimodo (Micro SD/USB/Radio FM) - Perfecto para Oficina, Viajes y Espacios Pequeños</t>
        </is>
      </c>
      <c r="H4529" s="16" t="inlineStr">
        <is>
          <t>NEGRO</t>
        </is>
      </c>
      <c r="I4529" s="16" t="n">
        <v>1</v>
      </c>
      <c r="J4529" s="17" t="n">
        <v>81</v>
      </c>
      <c r="K4529" s="17" t="n">
        <v>65.98999999999999</v>
      </c>
      <c r="L4529" s="17" t="n">
        <v>25.86</v>
      </c>
      <c r="M4529" s="17" t="n">
        <v>0</v>
      </c>
      <c r="N4529" s="17">
        <f>K4529*0.08+L4529*0.08</f>
        <v/>
      </c>
      <c r="O4529" s="17">
        <f>-(K4529*0.025+L4529*0.025)</f>
        <v/>
      </c>
      <c r="P4529" s="17">
        <f>32</f>
        <v/>
      </c>
      <c r="Q4529" s="17">
        <f>J4529+L4529+N4529+O4529-P4529-M4529</f>
        <v/>
      </c>
    </row>
    <row r="4530">
      <c r="A4530" s="16" t="inlineStr">
        <is>
          <t>5.8-5.14</t>
        </is>
      </c>
      <c r="B4530" s="16" t="inlineStr">
        <is>
          <t>PO-128-05846600110711470</t>
        </is>
      </c>
      <c r="C4530" s="16" t="inlineStr">
        <is>
          <t>Delivered</t>
        </is>
      </c>
      <c r="D4530" s="16" t="inlineStr">
        <is>
          <t>128-05846631567991470</t>
        </is>
      </c>
      <c r="E4530" s="16" t="inlineStr">
        <is>
          <t>Delivered</t>
        </is>
      </c>
      <c r="F4530" s="16" t="inlineStr">
        <is>
          <t>SB428T</t>
        </is>
      </c>
      <c r="G4530" s="16" t="inlineStr">
        <is>
          <t>LINK BITS La bocina es tu compañero ideal para reuniones en México! Equipada con 2 altavoces de 4 pulgadas y potencia 5W×2, USB y TF, funciona sin internet—perfecta para picnics, fiestas en el jardín o relajación en la terraza.</t>
        </is>
      </c>
      <c r="H4530" s="16" t="inlineStr">
        <is>
          <t>SB428T</t>
        </is>
      </c>
      <c r="I4530" s="16" t="n">
        <v>1</v>
      </c>
      <c r="J4530" s="17" t="n">
        <v>97</v>
      </c>
      <c r="K4530" s="17" t="n">
        <v>115.5</v>
      </c>
      <c r="L4530" s="17" t="n">
        <v>17.61</v>
      </c>
      <c r="M4530" s="17" t="n">
        <v>0</v>
      </c>
      <c r="N4530" s="17">
        <f>K4530*0.08+L4530*0.08</f>
        <v/>
      </c>
      <c r="O4530" s="17">
        <f>-(K4530*0.025+L4530*0.025)</f>
        <v/>
      </c>
      <c r="P4530" s="17">
        <f>32</f>
        <v/>
      </c>
      <c r="Q4530" s="17">
        <f>J4530+L4530+N4530+O4530-P4530-M4530</f>
        <v/>
      </c>
    </row>
    <row r="4531">
      <c r="A4531" s="16" t="inlineStr">
        <is>
          <t>5.8-5.14</t>
        </is>
      </c>
      <c r="B4531" s="16" t="inlineStr">
        <is>
          <t>PO-128-05846600110711470</t>
        </is>
      </c>
      <c r="C4531" s="16" t="inlineStr">
        <is>
          <t>Delivered</t>
        </is>
      </c>
      <c r="D4531" s="16" t="inlineStr">
        <is>
          <t>128-05846627635831470</t>
        </is>
      </c>
      <c r="E4531" s="16" t="inlineStr">
        <is>
          <t>Delivered</t>
        </is>
      </c>
      <c r="F4531" s="16" t="inlineStr">
        <is>
          <t>VA371T</t>
        </is>
      </c>
      <c r="G4531" s="16" t="inlineStr">
        <is>
          <t>Linkbits Bocina Bluetooth Portátil 3" de Alta Gama，Hi-Res Audio y Graves Potentes，Luces LED + Soporte USB/TF/FM/TWS，Ideal para Hogar y Aire Libre</t>
        </is>
      </c>
      <c r="H4531" s="16" t="inlineStr">
        <is>
          <t>VA371T</t>
        </is>
      </c>
      <c r="I4531" s="16" t="n">
        <v>1</v>
      </c>
      <c r="J4531" s="17" t="n">
        <v>45.8</v>
      </c>
      <c r="K4531" s="17" t="n">
        <v>54.17</v>
      </c>
      <c r="L4531" s="17" t="n">
        <v>8.25</v>
      </c>
      <c r="M4531" s="17" t="n">
        <v>0</v>
      </c>
      <c r="N4531" s="17">
        <f>K4531*0.08+L4531*0.08</f>
        <v/>
      </c>
      <c r="O4531" s="17">
        <f>-(K4531*0.025+L4531*0.025)</f>
        <v/>
      </c>
      <c r="P4531" s="17">
        <f>32</f>
        <v/>
      </c>
      <c r="Q4531" s="17">
        <f>J4531+L4531+N4531+O4531-P4531-M4531</f>
        <v/>
      </c>
    </row>
    <row r="4532">
      <c r="A4532" s="16" t="inlineStr">
        <is>
          <t>5.8-5.14</t>
        </is>
      </c>
      <c r="B4532" s="16" t="inlineStr">
        <is>
          <t>PO-128-05974382346871668</t>
        </is>
      </c>
      <c r="C4532" s="16" t="inlineStr">
        <is>
          <t>Delivered</t>
        </is>
      </c>
      <c r="D4532" s="16" t="inlineStr">
        <is>
          <t>128-05974413804151668</t>
        </is>
      </c>
      <c r="E4532" s="16" t="inlineStr">
        <is>
          <t>Delivered</t>
        </is>
      </c>
      <c r="F4532" s="16" t="inlineStr">
        <is>
          <t>VB349T</t>
        </is>
      </c>
      <c r="G4532" s="16" t="inlineStr">
        <is>
          <t>LINKBITS Altavoz Portátil de Doble Altavoz - 3 Pulgadas, Sonido HD, Emparejamiento Rápido de Bluetooth, Conectividad TWS, Reproducción Multimodo (Micro SD/USB/Radio FM) - Perfecto para Oficina, Viajes y Espacios Pequeños</t>
        </is>
      </c>
      <c r="H4532" s="16" t="inlineStr">
        <is>
          <t>NEGRO</t>
        </is>
      </c>
      <c r="I4532" s="16" t="n">
        <v>1</v>
      </c>
      <c r="J4532" s="17" t="n">
        <v>81</v>
      </c>
      <c r="K4532" s="17" t="n">
        <v>94.27</v>
      </c>
      <c r="L4532" s="17" t="n">
        <v>25.86</v>
      </c>
      <c r="M4532" s="17" t="n">
        <v>0</v>
      </c>
      <c r="N4532" s="17">
        <f>K4532*0.08+L4532*0.08</f>
        <v/>
      </c>
      <c r="O4532" s="17">
        <f>-(K4532*0.025+L4532*0.025)</f>
        <v/>
      </c>
      <c r="P4532" s="17">
        <f>32</f>
        <v/>
      </c>
      <c r="Q4532" s="17">
        <f>J4532+L4532+N4532+O4532-P4532-M4532</f>
        <v/>
      </c>
    </row>
    <row r="4533">
      <c r="A4533" s="16" t="inlineStr">
        <is>
          <t>5.8-5.14</t>
        </is>
      </c>
      <c r="B4533" s="16" t="inlineStr">
        <is>
          <t>PO-128-06169899469430569</t>
        </is>
      </c>
      <c r="C4533" s="16" t="inlineStr">
        <is>
          <t>Delivered</t>
        </is>
      </c>
      <c r="D4533" s="16" t="inlineStr">
        <is>
          <t>128-06169941412470569</t>
        </is>
      </c>
      <c r="E4533" s="16" t="inlineStr">
        <is>
          <t>Delivered</t>
        </is>
      </c>
      <c r="F4533" s="16" t="inlineStr">
        <is>
          <t>KTS-2031</t>
        </is>
      </c>
      <c r="G4533" s="16" t="inlineStr">
        <is>
          <t>Bocina inalámbrica de 3 pulgadas con linterna multifuncional y panel solar integrado.Altavoz Portátil con Linterna LED 4 Modos, Radio FM, Bluetooth, Carga Solar, Ideal para Apagones, Emergencias, Campo y Exteriores</t>
        </is>
      </c>
      <c r="H4533" s="16" t="inlineStr">
        <is>
          <t>NEGRO</t>
        </is>
      </c>
      <c r="I4533" s="16" t="n">
        <v>3</v>
      </c>
      <c r="J4533" s="17" t="n">
        <v>234</v>
      </c>
      <c r="K4533" s="17" t="n">
        <v>261.69</v>
      </c>
      <c r="L4533" s="17" t="n">
        <v>0</v>
      </c>
      <c r="M4533" s="17" t="n">
        <v>0</v>
      </c>
      <c r="N4533" s="17">
        <f>K4533*0.08+L4533*0.08</f>
        <v/>
      </c>
      <c r="O4533" s="17">
        <f>-(K4533*0.025+L4533*0.025)</f>
        <v/>
      </c>
      <c r="P4533" s="17">
        <f>32</f>
        <v/>
      </c>
      <c r="Q4533" s="17">
        <f>J4533+L4533+N4533+O4533-P4533-M4533</f>
        <v/>
      </c>
    </row>
    <row r="4534">
      <c r="A4534" s="16" t="inlineStr">
        <is>
          <t>5.8-5.14</t>
        </is>
      </c>
      <c r="B4534" s="16" t="inlineStr">
        <is>
          <t>PO-128-05781228687992820</t>
        </is>
      </c>
      <c r="C4534" s="16" t="inlineStr">
        <is>
          <t>Delivered</t>
        </is>
      </c>
      <c r="D4534" s="16" t="inlineStr">
        <is>
          <t>128-05781186744952820</t>
        </is>
      </c>
      <c r="E4534" s="16" t="inlineStr">
        <is>
          <t>Delivered</t>
        </is>
      </c>
      <c r="F4534" s="16" t="inlineStr">
        <is>
          <t>KTS-2031</t>
        </is>
      </c>
      <c r="G4534" s="16" t="inlineStr">
        <is>
          <t>Bocina inalámbrica de 3 pulgadas con linterna multifuncional y panel solar integrado.Altavoz Portátil con Linterna LED 4 Modos, Radio FM, Bluetooth, Carga Solar, Ideal para Apagones, Emergencias, Campo y Exteriores</t>
        </is>
      </c>
      <c r="H4534" s="16" t="inlineStr">
        <is>
          <t>NEGRO</t>
        </is>
      </c>
      <c r="I4534" s="16" t="n">
        <v>1</v>
      </c>
      <c r="J4534" s="17" t="n">
        <v>78</v>
      </c>
      <c r="K4534" s="17" t="n">
        <v>4.47</v>
      </c>
      <c r="L4534" s="17" t="n">
        <v>25.86</v>
      </c>
      <c r="M4534" s="17" t="n">
        <v>0</v>
      </c>
      <c r="N4534" s="17">
        <f>K4534*0.08+L4534*0.08</f>
        <v/>
      </c>
      <c r="O4534" s="17">
        <f>-(K4534*0.025+L4534*0.025)</f>
        <v/>
      </c>
      <c r="P4534" s="17">
        <f>32</f>
        <v/>
      </c>
      <c r="Q4534" s="17">
        <f>J4534+L4534+N4534+O4534-P4534-M4534</f>
        <v/>
      </c>
    </row>
    <row r="4535">
      <c r="A4535" s="16" t="inlineStr">
        <is>
          <t>5.8-5.14</t>
        </is>
      </c>
      <c r="B4535" s="16" t="inlineStr">
        <is>
          <t>PO-128-05989270006391772</t>
        </is>
      </c>
      <c r="C4535" s="16" t="inlineStr">
        <is>
          <t>Delivered</t>
        </is>
      </c>
      <c r="D4535" s="16" t="inlineStr">
        <is>
          <t>128-05989228063351772</t>
        </is>
      </c>
      <c r="E4535" s="16" t="inlineStr">
        <is>
          <t>Delivered</t>
        </is>
      </c>
      <c r="F4535" s="16" t="inlineStr">
        <is>
          <t>VB349T</t>
        </is>
      </c>
      <c r="G4535" s="16" t="inlineStr">
        <is>
          <t>LINKBITS Altavoz Portátil de Doble Altavoz - 3 Pulgadas, Sonido HD, Emparejamiento Rápido de Bluetooth, Conectividad TWS, Reproducción Multimodo (Micro SD/USB/Radio FM) - Perfecto para Oficina, Viajes y Espacios Pequeños</t>
        </is>
      </c>
      <c r="H4535" s="16" t="inlineStr">
        <is>
          <t>NEGRO</t>
        </is>
      </c>
      <c r="I4535" s="16" t="n">
        <v>1</v>
      </c>
      <c r="J4535" s="17" t="n">
        <v>81</v>
      </c>
      <c r="K4535" s="17" t="n">
        <v>94.27</v>
      </c>
      <c r="L4535" s="17" t="n">
        <v>25.86</v>
      </c>
      <c r="M4535" s="17" t="n">
        <v>0</v>
      </c>
      <c r="N4535" s="17">
        <f>K4535*0.08+L4535*0.08</f>
        <v/>
      </c>
      <c r="O4535" s="17">
        <f>-(K4535*0.025+L4535*0.025)</f>
        <v/>
      </c>
      <c r="P4535" s="17">
        <f>32</f>
        <v/>
      </c>
      <c r="Q4535" s="17">
        <f>J4535+L4535+N4535+O4535-P4535-M4535</f>
        <v/>
      </c>
    </row>
    <row r="4536">
      <c r="A4536" s="16" t="inlineStr">
        <is>
          <t>5.8-5.14</t>
        </is>
      </c>
      <c r="B4536" s="16" t="inlineStr">
        <is>
          <t>PO-128-05903928167031256</t>
        </is>
      </c>
      <c r="C4536" s="16" t="inlineStr">
        <is>
          <t>Delivered</t>
        </is>
      </c>
      <c r="D4536" s="16" t="inlineStr">
        <is>
          <t>128-05904033024631256</t>
        </is>
      </c>
      <c r="E4536" s="16" t="inlineStr">
        <is>
          <t>Delivered</t>
        </is>
      </c>
      <c r="F4536" s="16" t="inlineStr">
        <is>
          <t>LV54W25</t>
        </is>
      </c>
      <c r="G4536" s="16" t="inlineStr">
        <is>
          <t>TIANLAI Lámpara Ventilador E27 2 en 1, Silenciosa, LED Alta Luminosidad 180°, Instalación Rápida, Ahorro Energético para Dormitorio y Interiores Pequeños</t>
        </is>
      </c>
      <c r="H4536" s="16" t="inlineStr">
        <is>
          <t>1 Pieza</t>
        </is>
      </c>
      <c r="I4536" s="16" t="n">
        <v>1</v>
      </c>
      <c r="J4536" s="17" t="n">
        <v>79</v>
      </c>
      <c r="K4536" s="17" t="n">
        <v>82.73</v>
      </c>
      <c r="L4536" s="17" t="n">
        <v>25.86</v>
      </c>
      <c r="M4536" s="17" t="n">
        <v>0</v>
      </c>
      <c r="N4536" s="17">
        <f>K4536*0.08+L4536*0.08</f>
        <v/>
      </c>
      <c r="O4536" s="17">
        <f>-(K4536*0.025+L4536*0.025)</f>
        <v/>
      </c>
      <c r="P4536" s="17">
        <f>32</f>
        <v/>
      </c>
      <c r="Q4536" s="17">
        <f>J4536+L4536+N4536+O4536-P4536-M4536</f>
        <v/>
      </c>
    </row>
    <row r="4537">
      <c r="A4537" s="16" t="inlineStr">
        <is>
          <t>5.8-5.14</t>
        </is>
      </c>
      <c r="B4537" s="16" t="inlineStr">
        <is>
          <t>PO-128-05706401331832370</t>
        </is>
      </c>
      <c r="C4537" s="16" t="inlineStr">
        <is>
          <t>Delivered</t>
        </is>
      </c>
      <c r="D4537" s="16" t="inlineStr">
        <is>
          <t>128-05706359388792370</t>
        </is>
      </c>
      <c r="E4537" s="16" t="inlineStr">
        <is>
          <t>Delivered</t>
        </is>
      </c>
      <c r="F4537" s="16" t="inlineStr">
        <is>
          <t>KTS-1936</t>
        </is>
      </c>
      <c r="G4537" s="16" t="inlineStr">
        <is>
          <t>Espejo con Luz para Makeup，Espejo con Luz LED y Bocina Bluetooth，Espejo para Maquillaje con Aumentos y Luces LED de Intensidad Ajustable，Lente de Aumento 10X+Reproductor TF+ TWS，espejo de portátil y para estudiantes, oficina, dormitorio, mejor regalo</t>
        </is>
      </c>
      <c r="H4537" s="16" t="inlineStr">
        <is>
          <t>BLANCO</t>
        </is>
      </c>
      <c r="I4537" s="16" t="n">
        <v>1</v>
      </c>
      <c r="J4537" s="17" t="n">
        <v>217.75</v>
      </c>
      <c r="K4537" s="17" t="n">
        <v>245.6</v>
      </c>
      <c r="L4537" s="17" t="n">
        <v>25.86</v>
      </c>
      <c r="M4537" s="17" t="n">
        <v>0</v>
      </c>
      <c r="N4537" s="17">
        <f>K4537*0.08+L4537*0.08</f>
        <v/>
      </c>
      <c r="O4537" s="17">
        <f>-(K4537*0.025+L4537*0.025)</f>
        <v/>
      </c>
      <c r="P4537" s="17">
        <f>32</f>
        <v/>
      </c>
      <c r="Q4537" s="17">
        <f>J4537+L4537+N4537+O4537-P4537-M4537</f>
        <v/>
      </c>
    </row>
    <row r="4538">
      <c r="A4538" s="16" t="inlineStr">
        <is>
          <t>5.8-5.14</t>
        </is>
      </c>
      <c r="B4538" s="16" t="inlineStr">
        <is>
          <t>PO-128-06019106652790442</t>
        </is>
      </c>
      <c r="C4538" s="16" t="inlineStr">
        <is>
          <t>Delivered</t>
        </is>
      </c>
      <c r="D4538" s="16" t="inlineStr">
        <is>
          <t>128-06019127624310442</t>
        </is>
      </c>
      <c r="E4538" s="16" t="inlineStr">
        <is>
          <t>Delivered</t>
        </is>
      </c>
      <c r="F4538" s="16" t="inlineStr">
        <is>
          <t>LV54W25</t>
        </is>
      </c>
      <c r="G4538" s="16" t="inlineStr">
        <is>
          <t>TIANLAI Lámpara Ventilador E27 2 en 1, Silenciosa, LED Alta Luminosidad 180°, Instalación Rápida, Ahorro Energético para Dormitorio y Interiores Pequeños</t>
        </is>
      </c>
      <c r="H4538" s="16" t="inlineStr">
        <is>
          <t>1 Pieza</t>
        </is>
      </c>
      <c r="I4538" s="16" t="n">
        <v>2</v>
      </c>
      <c r="J4538" s="17" t="n">
        <v>158</v>
      </c>
      <c r="K4538" s="17" t="n">
        <v>165.46</v>
      </c>
      <c r="L4538" s="17" t="n">
        <v>25.86</v>
      </c>
      <c r="M4538" s="17" t="n">
        <v>0</v>
      </c>
      <c r="N4538" s="17">
        <f>K4538*0.08+L4538*0.08</f>
        <v/>
      </c>
      <c r="O4538" s="17">
        <f>-(K4538*0.025+L4538*0.025)</f>
        <v/>
      </c>
      <c r="P4538" s="17">
        <f>32</f>
        <v/>
      </c>
      <c r="Q4538" s="17">
        <f>J4538+L4538+N4538+O4538-P4538-M4538</f>
        <v/>
      </c>
    </row>
    <row r="4539">
      <c r="A4539" s="16" t="inlineStr">
        <is>
          <t>5.8-5.14</t>
        </is>
      </c>
      <c r="B4539" s="16" t="inlineStr">
        <is>
          <t>PO-128-06064375665270172</t>
        </is>
      </c>
      <c r="C4539" s="16" t="inlineStr">
        <is>
          <t>Delivered</t>
        </is>
      </c>
      <c r="D4539" s="16" t="inlineStr">
        <is>
          <t>128-06064365179510172</t>
        </is>
      </c>
      <c r="E4539" s="16" t="inlineStr">
        <is>
          <t>Delivered</t>
        </is>
      </c>
      <c r="F4539" s="16" t="inlineStr">
        <is>
          <t>LV54W25</t>
        </is>
      </c>
      <c r="G4539" s="16" t="inlineStr">
        <is>
          <t>TIANLAI Lámpara Ventilador E27 2 en 1, Silenciosa, LED Alta Luminosidad 180°, Instalación Rápida, Ahorro Energético para Dormitorio y Interiores Pequeños</t>
        </is>
      </c>
      <c r="H4539" s="16" t="inlineStr">
        <is>
          <t>1 Pieza</t>
        </is>
      </c>
      <c r="I4539" s="16" t="n">
        <v>1</v>
      </c>
      <c r="J4539" s="17" t="n">
        <v>79</v>
      </c>
      <c r="K4539" s="17" t="n">
        <v>82.73</v>
      </c>
      <c r="L4539" s="17" t="n">
        <v>25.86</v>
      </c>
      <c r="M4539" s="17" t="n">
        <v>0</v>
      </c>
      <c r="N4539" s="17">
        <f>K4539*0.08+L4539*0.08</f>
        <v/>
      </c>
      <c r="O4539" s="17">
        <f>-(K4539*0.025+L4539*0.025)</f>
        <v/>
      </c>
      <c r="P4539" s="17">
        <f>32</f>
        <v/>
      </c>
      <c r="Q4539" s="17">
        <f>J4539+L4539+N4539+O4539-P4539-M4539</f>
        <v/>
      </c>
    </row>
    <row r="4540">
      <c r="A4540" s="16" t="inlineStr">
        <is>
          <t>5.8-5.14</t>
        </is>
      </c>
      <c r="B4540" s="16" t="inlineStr">
        <is>
          <t>PO-128-05792783995512881</t>
        </is>
      </c>
      <c r="C4540" s="16" t="inlineStr">
        <is>
          <t>Delivered</t>
        </is>
      </c>
      <c r="D4540" s="16" t="inlineStr">
        <is>
          <t>128-05792804967032881</t>
        </is>
      </c>
      <c r="E4540" s="16" t="inlineStr">
        <is>
          <t>Delivered</t>
        </is>
      </c>
      <c r="F4540" s="16" t="inlineStr">
        <is>
          <t>VB349T</t>
        </is>
      </c>
      <c r="G4540" s="16" t="inlineStr">
        <is>
          <t>LINKBITS Altavoz Portátil de Doble Altavoz - 3 Pulgadas, Sonido HD, Emparejamiento Rápido de Bluetooth, Conectividad TWS, Reproducción Multimodo (Micro SD/USB/Radio FM) - Perfecto para Oficina, Viajes y Espacios Pequeños</t>
        </is>
      </c>
      <c r="H4540" s="16" t="inlineStr">
        <is>
          <t>NEGRO</t>
        </is>
      </c>
      <c r="I4540" s="16" t="n">
        <v>1</v>
      </c>
      <c r="J4540" s="17" t="n">
        <v>81</v>
      </c>
      <c r="K4540" s="17" t="n">
        <v>94.27</v>
      </c>
      <c r="L4540" s="17" t="n">
        <v>25.86</v>
      </c>
      <c r="M4540" s="17" t="n">
        <v>0</v>
      </c>
      <c r="N4540" s="17">
        <f>K4540*0.08+L4540*0.08</f>
        <v/>
      </c>
      <c r="O4540" s="17">
        <f>-(K4540*0.025+L4540*0.025)</f>
        <v/>
      </c>
      <c r="P4540" s="17">
        <f>32</f>
        <v/>
      </c>
      <c r="Q4540" s="17">
        <f>J4540+L4540+N4540+O4540-P4540-M4540</f>
        <v/>
      </c>
    </row>
    <row r="4541">
      <c r="A4541" s="16" t="inlineStr">
        <is>
          <t>5.8-5.14</t>
        </is>
      </c>
      <c r="B4541" s="16" t="inlineStr">
        <is>
          <t>PO-128-05637566505593804</t>
        </is>
      </c>
      <c r="C4541" s="16" t="inlineStr">
        <is>
          <t>Delivered</t>
        </is>
      </c>
      <c r="D4541" s="16" t="inlineStr">
        <is>
          <t>128-05637583544953804</t>
        </is>
      </c>
      <c r="E4541" s="16" t="inlineStr">
        <is>
          <t>Delivered</t>
        </is>
      </c>
      <c r="F4541" s="16" t="inlineStr">
        <is>
          <t>VA371T</t>
        </is>
      </c>
      <c r="G4541" s="16" t="inlineStr">
        <is>
          <t>Linkbits Bocina Bluetooth Portátil 3" de Alta Gama，Hi-Res Audio y Graves Potentes，Luces LED + Soporte USB/TF/FM/TWS，Ideal para Hogar y Aire Libre</t>
        </is>
      </c>
      <c r="H4541" s="16" t="inlineStr">
        <is>
          <t>VA371T</t>
        </is>
      </c>
      <c r="I4541" s="16" t="n">
        <v>1</v>
      </c>
      <c r="J4541" s="17" t="n">
        <v>45.8</v>
      </c>
      <c r="K4541" s="17" t="n">
        <v>54.17</v>
      </c>
      <c r="L4541" s="17" t="n">
        <v>25.86</v>
      </c>
      <c r="M4541" s="17" t="n">
        <v>0</v>
      </c>
      <c r="N4541" s="17">
        <f>K4541*0.08+L4541*0.08</f>
        <v/>
      </c>
      <c r="O4541" s="17">
        <f>-(K4541*0.025+L4541*0.025)</f>
        <v/>
      </c>
      <c r="P4541" s="17">
        <f>32</f>
        <v/>
      </c>
      <c r="Q4541" s="17">
        <f>J4541+L4541+N4541+O4541-P4541-M4541</f>
        <v/>
      </c>
    </row>
    <row r="4542">
      <c r="A4542" s="16" t="inlineStr">
        <is>
          <t>5.8-5.14</t>
        </is>
      </c>
      <c r="B4542" s="16" t="inlineStr">
        <is>
          <t>PO-128-11424452869751121</t>
        </is>
      </c>
      <c r="C4542" s="16" t="inlineStr">
        <is>
          <t>Delivered</t>
        </is>
      </c>
      <c r="D4542" s="16" t="inlineStr">
        <is>
          <t>128-11424500055671121</t>
        </is>
      </c>
      <c r="E4542" s="16" t="inlineStr">
        <is>
          <t>Delivered</t>
        </is>
      </c>
      <c r="F4542" s="16" t="inlineStr">
        <is>
          <t>LV54W25</t>
        </is>
      </c>
      <c r="G4542" s="16" t="inlineStr">
        <is>
          <t>TIANLAI Lámpara Ventilador E27 2 en 1, Silenciosa, LED Alta Luminosidad 180°, Instalación Rápida, Ahorro Energético para Dormitorio y Interiores Pequeños</t>
        </is>
      </c>
      <c r="H4542" s="16" t="inlineStr">
        <is>
          <t>1 Pieza</t>
        </is>
      </c>
      <c r="I4542" s="16" t="n">
        <v>1</v>
      </c>
      <c r="J4542" s="17" t="n">
        <v>79</v>
      </c>
      <c r="K4542" s="17" t="n">
        <v>96.2</v>
      </c>
      <c r="L4542" s="17" t="n">
        <v>25.86</v>
      </c>
      <c r="M4542" s="17" t="n">
        <v>0</v>
      </c>
      <c r="N4542" s="17">
        <f>K4542*0.08+L4542*0.08</f>
        <v/>
      </c>
      <c r="O4542" s="17">
        <f>-(K4542*0.025+L4542*0.025)</f>
        <v/>
      </c>
      <c r="P4542" s="17">
        <f>32</f>
        <v/>
      </c>
      <c r="Q4542" s="17">
        <f>J4542+L4542+N4542+O4542-P4542-M4542</f>
        <v/>
      </c>
    </row>
    <row r="4543">
      <c r="A4543" s="16" t="inlineStr">
        <is>
          <t>5.8-5.14</t>
        </is>
      </c>
      <c r="B4543" s="16" t="inlineStr">
        <is>
          <t>PO-128-11312927337592808</t>
        </is>
      </c>
      <c r="C4543" s="16" t="inlineStr">
        <is>
          <t>Delivered</t>
        </is>
      </c>
      <c r="D4543" s="16" t="inlineStr">
        <is>
          <t>128-11312995495032808</t>
        </is>
      </c>
      <c r="E4543" s="16" t="inlineStr">
        <is>
          <t>Delivered</t>
        </is>
      </c>
      <c r="F4543" s="16" t="inlineStr">
        <is>
          <t>LV54W25</t>
        </is>
      </c>
      <c r="G4543" s="16" t="inlineStr">
        <is>
          <t>TIANLAI Lámpara Ventilador E27 2 en 1, Silenciosa, LED Alta Luminosidad 180°, Instalación Rápida, Ahorro Energético para Dormitorio y Interiores Pequeños</t>
        </is>
      </c>
      <c r="H4543" s="16" t="inlineStr">
        <is>
          <t>1 Pieza</t>
        </is>
      </c>
      <c r="I4543" s="16" t="n">
        <v>1</v>
      </c>
      <c r="J4543" s="17" t="n">
        <v>79</v>
      </c>
      <c r="K4543" s="17" t="n">
        <v>69.76000000000001</v>
      </c>
      <c r="L4543" s="17" t="n">
        <v>25.86</v>
      </c>
      <c r="M4543" s="17" t="n">
        <v>0</v>
      </c>
      <c r="N4543" s="17">
        <f>K4543*0.08+L4543*0.08</f>
        <v/>
      </c>
      <c r="O4543" s="17">
        <f>-(K4543*0.025+L4543*0.025)</f>
        <v/>
      </c>
      <c r="P4543" s="17">
        <f>32</f>
        <v/>
      </c>
      <c r="Q4543" s="17">
        <f>J4543+L4543+N4543+O4543-P4543-M4543</f>
        <v/>
      </c>
    </row>
    <row r="4544">
      <c r="A4544" s="16" t="inlineStr">
        <is>
          <t>5.8-5.14</t>
        </is>
      </c>
      <c r="B4544" s="16" t="inlineStr">
        <is>
          <t>PO-128-11483796728951790</t>
        </is>
      </c>
      <c r="C4544" s="16" t="inlineStr">
        <is>
          <t>Delivered</t>
        </is>
      </c>
      <c r="D4544" s="16" t="inlineStr">
        <is>
          <t>128-11483813768311790</t>
        </is>
      </c>
      <c r="E4544" s="16" t="inlineStr">
        <is>
          <t>Delivered</t>
        </is>
      </c>
      <c r="F4544" s="16" t="inlineStr">
        <is>
          <t>KTS-2031</t>
        </is>
      </c>
      <c r="G4544" s="16" t="inlineStr">
        <is>
          <t>Bocina inalámbrica de 3 pulgadas con linterna multifuncional y panel solar integrado.Altavoz Portátil con Linterna LED 4 Modos, Radio FM, Bluetooth, Carga Solar, Ideal para Apagones, Emergencias, Campo y Exteriores</t>
        </is>
      </c>
      <c r="H4544" s="16" t="inlineStr">
        <is>
          <t>NEGRO</t>
        </is>
      </c>
      <c r="I4544" s="16" t="n">
        <v>1</v>
      </c>
      <c r="J4544" s="17" t="n">
        <v>78</v>
      </c>
      <c r="K4544" s="17" t="n">
        <v>80.16</v>
      </c>
      <c r="L4544" s="17" t="n">
        <v>25.86</v>
      </c>
      <c r="M4544" s="17" t="n">
        <v>0</v>
      </c>
      <c r="N4544" s="17">
        <f>K4544*0.08+L4544*0.08</f>
        <v/>
      </c>
      <c r="O4544" s="17">
        <f>-(K4544*0.025+L4544*0.025)</f>
        <v/>
      </c>
      <c r="P4544" s="17">
        <f>32</f>
        <v/>
      </c>
      <c r="Q4544" s="17">
        <f>J4544+L4544+N4544+O4544-P4544-M4544</f>
        <v/>
      </c>
    </row>
    <row r="4545">
      <c r="A4545" s="16" t="inlineStr">
        <is>
          <t>5.8-5.14</t>
        </is>
      </c>
      <c r="B4545" s="16" t="inlineStr">
        <is>
          <t>PO-128-11248835456632166</t>
        </is>
      </c>
      <c r="C4545" s="16" t="inlineStr">
        <is>
          <t>Delivered</t>
        </is>
      </c>
      <c r="D4545" s="16" t="inlineStr">
        <is>
          <t>128-11248864845432166</t>
        </is>
      </c>
      <c r="E4545" s="16" t="inlineStr">
        <is>
          <t>Delivered</t>
        </is>
      </c>
      <c r="F4545" s="16" t="inlineStr">
        <is>
          <t>KTS-2031</t>
        </is>
      </c>
      <c r="G4545" s="16" t="inlineStr">
        <is>
          <t>Bocina inalámbrica de 3 pulgadas con linterna multifuncional y panel solar integrado.Altavoz Portátil con Linterna LED 4 Modos, Radio FM, Bluetooth, Carga Solar, Ideal para Apagones, Emergencias, Campo y Exteriores</t>
        </is>
      </c>
      <c r="H4545" s="16" t="inlineStr">
        <is>
          <t>NEGRO</t>
        </is>
      </c>
      <c r="I4545" s="16" t="n">
        <v>1</v>
      </c>
      <c r="J4545" s="17" t="n">
        <v>78</v>
      </c>
      <c r="K4545" s="17" t="n">
        <v>87.23</v>
      </c>
      <c r="L4545" s="17" t="n">
        <v>12.93</v>
      </c>
      <c r="M4545" s="17" t="n">
        <v>0</v>
      </c>
      <c r="N4545" s="17">
        <f>K4545*0.08+L4545*0.08</f>
        <v/>
      </c>
      <c r="O4545" s="17">
        <f>-(K4545*0.025+L4545*0.025)</f>
        <v/>
      </c>
      <c r="P4545" s="17">
        <f>32</f>
        <v/>
      </c>
      <c r="Q4545" s="17">
        <f>J4545+L4545+N4545+O4545-P4545-M4545</f>
        <v/>
      </c>
    </row>
    <row r="4546">
      <c r="A4546" s="16" t="inlineStr">
        <is>
          <t>5.8-5.14</t>
        </is>
      </c>
      <c r="B4546" s="16" t="inlineStr">
        <is>
          <t>PO-128-11248835456632166</t>
        </is>
      </c>
      <c r="C4546" s="16" t="inlineStr">
        <is>
          <t>Delivered</t>
        </is>
      </c>
      <c r="D4546" s="16" t="inlineStr">
        <is>
          <t>128-11248877399672166</t>
        </is>
      </c>
      <c r="E4546" s="16" t="inlineStr">
        <is>
          <t>Delivered</t>
        </is>
      </c>
      <c r="F4546" s="16" t="inlineStr">
        <is>
          <t>KTS-2031</t>
        </is>
      </c>
      <c r="G4546" s="16" t="inlineStr">
        <is>
          <t>Bocina inalámbrica de 3 pulgadas con linterna multifuncional y panel solar integrado.Altavoz Portátil con Linterna LED 4 Modos, Radio FM, Bluetooth, Carga Solar, Ideal para Apagones, Emergencias, Campo y Exteriores</t>
        </is>
      </c>
      <c r="H4546" s="16" t="inlineStr">
        <is>
          <t>NEGRO</t>
        </is>
      </c>
      <c r="I4546" s="16" t="n">
        <v>1</v>
      </c>
      <c r="J4546" s="17" t="n">
        <v>78</v>
      </c>
      <c r="K4546" s="17" t="n">
        <v>87.23</v>
      </c>
      <c r="L4546" s="17" t="n">
        <v>12.93</v>
      </c>
      <c r="M4546" s="17" t="n">
        <v>0</v>
      </c>
      <c r="N4546" s="17">
        <f>K4546*0.08+L4546*0.08</f>
        <v/>
      </c>
      <c r="O4546" s="17">
        <f>-(K4546*0.025+L4546*0.025)</f>
        <v/>
      </c>
      <c r="P4546" s="17">
        <f>32</f>
        <v/>
      </c>
      <c r="Q4546" s="17">
        <f>J4546+L4546+N4546+O4546-P4546-M4546</f>
        <v/>
      </c>
    </row>
    <row r="4547">
      <c r="A4547" s="16" t="inlineStr">
        <is>
          <t>5.8-5.14</t>
        </is>
      </c>
      <c r="B4547" s="16" t="inlineStr">
        <is>
          <t>PO-128-11582107282550052</t>
        </is>
      </c>
      <c r="C4547" s="16" t="inlineStr">
        <is>
          <t>Delivered</t>
        </is>
      </c>
      <c r="D4547" s="16" t="inlineStr">
        <is>
          <t>128-11582054853750052</t>
        </is>
      </c>
      <c r="E4547" s="16" t="inlineStr">
        <is>
          <t>Delivered</t>
        </is>
      </c>
      <c r="F4547" s="16" t="inlineStr">
        <is>
          <t>BSC04</t>
        </is>
      </c>
      <c r="G4547" s="16" t="inlineStr">
        <is>
          <t>TIANLAI Báscula Digital BSC04/BSC07, Alta Precisión, Fácil Operación, Ligera y Portátil, Función Tara, Unidad Dual oz/g, Ideal para Cocina, Control de Porciones, Sellos y Objetos Pequeños, Uso en Hogar y Viaje</t>
        </is>
      </c>
      <c r="H4547" s="16" t="inlineStr">
        <is>
          <t>5g/White</t>
        </is>
      </c>
      <c r="I4547" s="16" t="n">
        <v>1</v>
      </c>
      <c r="J4547" s="17" t="n">
        <v>58</v>
      </c>
      <c r="K4547" s="17" t="n">
        <v>74.31</v>
      </c>
      <c r="L4547" s="17" t="n">
        <v>25.86</v>
      </c>
      <c r="M4547" s="17" t="n">
        <v>0.83</v>
      </c>
      <c r="N4547" s="17">
        <f>K4547*0.08+L4547*0.08</f>
        <v/>
      </c>
      <c r="O4547" s="17">
        <f>-(K4547*0.025+L4547*0.025)</f>
        <v/>
      </c>
      <c r="P4547" s="17">
        <f>32</f>
        <v/>
      </c>
      <c r="Q4547" s="17">
        <f>J4547+L4547+N4547+O4547-P4547-M4547</f>
        <v/>
      </c>
    </row>
    <row r="4548">
      <c r="A4548" s="16" t="inlineStr">
        <is>
          <t>5.8-5.14</t>
        </is>
      </c>
      <c r="B4548" s="16" t="inlineStr">
        <is>
          <t>PO-128-11008425815673537</t>
        </is>
      </c>
      <c r="C4548" s="16" t="inlineStr">
        <is>
          <t>Delivered</t>
        </is>
      </c>
      <c r="D4548" s="16" t="inlineStr">
        <is>
          <t>128-11008383872633537</t>
        </is>
      </c>
      <c r="E4548" s="16" t="inlineStr">
        <is>
          <t>Delivered</t>
        </is>
      </c>
      <c r="F4548" s="16" t="inlineStr">
        <is>
          <t>TL1455N20B</t>
        </is>
      </c>
      <c r="G4548" s="16" t="inlineStr">
        <is>
          <t>LINK BITS Soporte para TV 14 A 55 Pulgadas, Base para TV Pantalla Articulado Inclinable y Giratorio, MAX VESA 400×400 mm, Soporta hasta 18kg (Acero Reforzado)</t>
        </is>
      </c>
      <c r="H4548" s="16" t="inlineStr">
        <is>
          <t>TL1455N20B</t>
        </is>
      </c>
      <c r="I4548" s="16" t="n">
        <v>1</v>
      </c>
      <c r="J4548" s="17" t="n">
        <v>61</v>
      </c>
      <c r="K4548" s="17" t="n">
        <v>83.84</v>
      </c>
      <c r="L4548" s="17" t="n">
        <v>25.86</v>
      </c>
      <c r="M4548" s="17" t="n">
        <v>0</v>
      </c>
      <c r="N4548" s="17">
        <f>K4548*0.08+L4548*0.08</f>
        <v/>
      </c>
      <c r="O4548" s="17">
        <f>-(K4548*0.025+L4548*0.025)</f>
        <v/>
      </c>
      <c r="P4548" s="17">
        <f>32</f>
        <v/>
      </c>
      <c r="Q4548" s="17">
        <f>J4548+L4548+N4548+O4548-P4548-M4548</f>
        <v/>
      </c>
    </row>
    <row r="4549">
      <c r="A4549" s="16" t="inlineStr">
        <is>
          <t>5.8-5.14</t>
        </is>
      </c>
      <c r="B4549" s="16" t="inlineStr">
        <is>
          <t>PO-128-11102816640633871</t>
        </is>
      </c>
      <c r="C4549" s="16" t="inlineStr">
        <is>
          <t>Delivered</t>
        </is>
      </c>
      <c r="D4549" s="16" t="inlineStr">
        <is>
          <t>128-11102806154873871</t>
        </is>
      </c>
      <c r="E4549" s="16" t="inlineStr">
        <is>
          <t>Delivered</t>
        </is>
      </c>
      <c r="F4549" s="16" t="inlineStr">
        <is>
          <t>KTS-2031</t>
        </is>
      </c>
      <c r="G4549" s="16" t="inlineStr">
        <is>
          <t>Bocina inalámbrica de 3 pulgadas con linterna multifuncional y panel solar integrado.Altavoz Portátil con Linterna LED 4 Modos, Radio FM, Bluetooth, Carga Solar, Ideal para Apagones, Emergencias, Campo y Exteriores</t>
        </is>
      </c>
      <c r="H4549" s="16" t="inlineStr">
        <is>
          <t>NEGRO</t>
        </is>
      </c>
      <c r="I4549" s="16" t="n">
        <v>1</v>
      </c>
      <c r="J4549" s="17" t="n">
        <v>78</v>
      </c>
      <c r="K4549" s="17" t="n">
        <v>87.23</v>
      </c>
      <c r="L4549" s="17" t="n">
        <v>25.86</v>
      </c>
      <c r="M4549" s="17" t="n">
        <v>0</v>
      </c>
      <c r="N4549" s="17">
        <f>K4549*0.08+L4549*0.08</f>
        <v/>
      </c>
      <c r="O4549" s="17">
        <f>-(K4549*0.025+L4549*0.025)</f>
        <v/>
      </c>
      <c r="P4549" s="17">
        <f>32</f>
        <v/>
      </c>
      <c r="Q4549" s="17">
        <f>J4549+L4549+N4549+O4549-P4549-M4549</f>
        <v/>
      </c>
    </row>
    <row r="4550">
      <c r="A4550" s="16" t="inlineStr">
        <is>
          <t>5.8-5.14</t>
        </is>
      </c>
      <c r="B4550" s="16" t="inlineStr">
        <is>
          <t>PO-128-11632060757110842</t>
        </is>
      </c>
      <c r="C4550" s="16" t="inlineStr">
        <is>
          <t>Delivered</t>
        </is>
      </c>
      <c r="D4550" s="16" t="inlineStr">
        <is>
          <t>128-11632102700150842</t>
        </is>
      </c>
      <c r="E4550" s="16" t="inlineStr">
        <is>
          <t>Delivered</t>
        </is>
      </c>
      <c r="F4550" s="16" t="inlineStr">
        <is>
          <t>BSC07</t>
        </is>
      </c>
      <c r="G4550" s="16" t="inlineStr">
        <is>
          <t>TIANLAI Báscula Digital BSC04/BSC07, Alta Precisión, Fácil Operación, Ligera y Portátil, Función Tara, Unidad Dual oz/g, Ideal para Cocina, Control de Porciones, Sellos y Objetos Pequeños, Uso en Hogar y Viaje</t>
        </is>
      </c>
      <c r="H4550" s="16" t="inlineStr">
        <is>
          <t>1g/White</t>
        </is>
      </c>
      <c r="I4550" s="16" t="n">
        <v>1</v>
      </c>
      <c r="J4550" s="17" t="n">
        <v>35</v>
      </c>
      <c r="K4550" s="17" t="n">
        <v>4.11</v>
      </c>
      <c r="L4550" s="17" t="n">
        <v>25.86</v>
      </c>
      <c r="M4550" s="17" t="n">
        <v>0</v>
      </c>
      <c r="N4550" s="17">
        <f>K4550*0.08+L4550*0.08</f>
        <v/>
      </c>
      <c r="O4550" s="17">
        <f>-(K4550*0.025+L4550*0.025)</f>
        <v/>
      </c>
      <c r="P4550" s="17">
        <f>32</f>
        <v/>
      </c>
      <c r="Q4550" s="17">
        <f>J4550+L4550+N4550+O4550-P4550-M4550</f>
        <v/>
      </c>
    </row>
    <row r="4551">
      <c r="A4551" s="16" t="inlineStr">
        <is>
          <t>5.8-5.14</t>
        </is>
      </c>
      <c r="B4551" s="16" t="inlineStr">
        <is>
          <t>PO-128-11544189128310342</t>
        </is>
      </c>
      <c r="C4551" s="16" t="inlineStr">
        <is>
          <t>Delivered</t>
        </is>
      </c>
      <c r="D4551" s="16" t="inlineStr">
        <is>
          <t>128-11544220585590342</t>
        </is>
      </c>
      <c r="E4551" s="16" t="inlineStr">
        <is>
          <t>Delivered</t>
        </is>
      </c>
      <c r="F4551" s="16" t="inlineStr">
        <is>
          <t>LV54W25</t>
        </is>
      </c>
      <c r="G4551" s="16" t="inlineStr">
        <is>
          <t>TIANLAI Lámpara Ventilador E27 2 en 1, Silenciosa, LED Alta Luminosidad 180°, Instalación Rápida, Ahorro Energético para Dormitorio y Interiores Pequeños</t>
        </is>
      </c>
      <c r="H4551" s="16" t="inlineStr">
        <is>
          <t>1 Pieza</t>
        </is>
      </c>
      <c r="I4551" s="16" t="n">
        <v>1</v>
      </c>
      <c r="J4551" s="17" t="n">
        <v>79</v>
      </c>
      <c r="K4551" s="17" t="n">
        <v>89.94</v>
      </c>
      <c r="L4551" s="17" t="n">
        <v>25.86</v>
      </c>
      <c r="M4551" s="17" t="n">
        <v>0</v>
      </c>
      <c r="N4551" s="17">
        <f>K4551*0.08+L4551*0.08</f>
        <v/>
      </c>
      <c r="O4551" s="17">
        <f>-(K4551*0.025+L4551*0.025)</f>
        <v/>
      </c>
      <c r="P4551" s="17">
        <f>32</f>
        <v/>
      </c>
      <c r="Q4551" s="17">
        <f>J4551+L4551+N4551+O4551-P4551-M4551</f>
        <v/>
      </c>
    </row>
    <row r="4552">
      <c r="A4552" s="16" t="inlineStr">
        <is>
          <t>5.8-5.14</t>
        </is>
      </c>
      <c r="B4552" s="16" t="inlineStr">
        <is>
          <t>PO-128-11190965517432321</t>
        </is>
      </c>
      <c r="C4552" s="16" t="inlineStr">
        <is>
          <t>Delivered</t>
        </is>
      </c>
      <c r="D4552" s="16" t="inlineStr">
        <is>
          <t>128-11191007460472321</t>
        </is>
      </c>
      <c r="E4552" s="16" t="inlineStr">
        <is>
          <t>Delivered</t>
        </is>
      </c>
      <c r="F4552" s="16" t="inlineStr">
        <is>
          <t>LV54W25</t>
        </is>
      </c>
      <c r="G4552" s="16" t="inlineStr">
        <is>
          <t>TIANLAI Lámpara Ventilador E27 2 en 1, Silenciosa, LED Alta Luminosidad 180°, Instalación Rápida, Ahorro Energético para Dormitorio y Interiores Pequeños</t>
        </is>
      </c>
      <c r="H4552" s="16" t="inlineStr">
        <is>
          <t>1 Pieza</t>
        </is>
      </c>
      <c r="I4552" s="16" t="n">
        <v>3</v>
      </c>
      <c r="J4552" s="17" t="n">
        <v>237</v>
      </c>
      <c r="K4552" s="17" t="n">
        <v>248.19</v>
      </c>
      <c r="L4552" s="17" t="n">
        <v>0</v>
      </c>
      <c r="M4552" s="17" t="n">
        <v>0</v>
      </c>
      <c r="N4552" s="17">
        <f>K4552*0.08+L4552*0.08</f>
        <v/>
      </c>
      <c r="O4552" s="17">
        <f>-(K4552*0.025+L4552*0.025)</f>
        <v/>
      </c>
      <c r="P4552" s="17">
        <f>32</f>
        <v/>
      </c>
      <c r="Q4552" s="17">
        <f>J4552+L4552+N4552+O4552-P4552-M4552</f>
        <v/>
      </c>
    </row>
    <row r="4553">
      <c r="A4553" s="16" t="inlineStr">
        <is>
          <t>5.8-5.14</t>
        </is>
      </c>
      <c r="B4553" s="16" t="inlineStr">
        <is>
          <t>PO-128-11375527030391349</t>
        </is>
      </c>
      <c r="C4553" s="16" t="inlineStr">
        <is>
          <t>Delivered</t>
        </is>
      </c>
      <c r="D4553" s="16" t="inlineStr">
        <is>
          <t>128-11375506058871349</t>
        </is>
      </c>
      <c r="E4553" s="16" t="inlineStr">
        <is>
          <t>Delivered</t>
        </is>
      </c>
      <c r="F4553" s="16" t="inlineStr">
        <is>
          <t>LV54W25</t>
        </is>
      </c>
      <c r="G4553" s="16" t="inlineStr">
        <is>
          <t>TIANLAI Lámpara Ventilador E27 2 en 1, Silenciosa, LED Alta Luminosidad 180°, Instalación Rápida, Ahorro Energético para Dormitorio y Interiores Pequeños</t>
        </is>
      </c>
      <c r="H4553" s="16" t="inlineStr">
        <is>
          <t>1 Pieza</t>
        </is>
      </c>
      <c r="I4553" s="16" t="n">
        <v>1</v>
      </c>
      <c r="J4553" s="17" t="n">
        <v>79</v>
      </c>
      <c r="K4553" s="17" t="n">
        <v>83.59</v>
      </c>
      <c r="L4553" s="17" t="n">
        <v>25.86</v>
      </c>
      <c r="M4553" s="17" t="n">
        <v>0</v>
      </c>
      <c r="N4553" s="17">
        <f>K4553*0.08+L4553*0.08</f>
        <v/>
      </c>
      <c r="O4553" s="17">
        <f>-(K4553*0.025+L4553*0.025)</f>
        <v/>
      </c>
      <c r="P4553" s="17">
        <f>32</f>
        <v/>
      </c>
      <c r="Q4553" s="17">
        <f>J4553+L4553+N4553+O4553-P4553-M4553</f>
        <v/>
      </c>
    </row>
    <row r="4554">
      <c r="A4554" s="16" t="inlineStr">
        <is>
          <t>5.8-5.14</t>
        </is>
      </c>
      <c r="B4554" s="16" t="inlineStr">
        <is>
          <t>PO-128-11468646710391688</t>
        </is>
      </c>
      <c r="C4554" s="16" t="inlineStr">
        <is>
          <t>Delivered</t>
        </is>
      </c>
      <c r="D4554" s="16" t="inlineStr">
        <is>
          <t>128-11468688653431688</t>
        </is>
      </c>
      <c r="E4554" s="16" t="inlineStr">
        <is>
          <t>Delivered</t>
        </is>
      </c>
      <c r="F4554" s="16" t="inlineStr">
        <is>
          <t>TL1412N17C</t>
        </is>
      </c>
      <c r="G4554" s="16" t="inlineStr">
        <is>
          <t>Linkbits, Soporte de Pared Fijo para TV y Monitor de 14"-43", Ultra Delgado 2.3cm, Fuerte Capacidad de Peso de 25KG, Fácil Instalación con Accesorios Completos</t>
        </is>
      </c>
      <c r="H4554" s="16" t="inlineStr">
        <is>
          <t>NEGRO</t>
        </is>
      </c>
      <c r="I4554" s="16" t="n">
        <v>1</v>
      </c>
      <c r="J4554" s="17" t="n">
        <v>36.84</v>
      </c>
      <c r="K4554" s="17" t="n">
        <v>5.45</v>
      </c>
      <c r="L4554" s="17" t="n">
        <v>25.86</v>
      </c>
      <c r="M4554" s="17" t="n">
        <v>0</v>
      </c>
      <c r="N4554" s="17">
        <f>K4554*0.08+L4554*0.08</f>
        <v/>
      </c>
      <c r="O4554" s="17">
        <f>-(K4554*0.025+L4554*0.025)</f>
        <v/>
      </c>
      <c r="P4554" s="17">
        <f>32</f>
        <v/>
      </c>
      <c r="Q4554" s="17">
        <f>J4554+L4554+N4554+O4554-P4554-M4554</f>
        <v/>
      </c>
    </row>
    <row r="4555">
      <c r="A4555" s="16" t="inlineStr">
        <is>
          <t>5.8-5.14</t>
        </is>
      </c>
      <c r="B4555" s="16" t="inlineStr">
        <is>
          <t>PO-128-11266446216313023</t>
        </is>
      </c>
      <c r="C4555" s="16" t="inlineStr">
        <is>
          <t>Delivered</t>
        </is>
      </c>
      <c r="D4555" s="16" t="inlineStr">
        <is>
          <t>128-11266488159353023</t>
        </is>
      </c>
      <c r="E4555" s="16" t="inlineStr">
        <is>
          <t>Delivered</t>
        </is>
      </c>
      <c r="F4555" s="16" t="inlineStr">
        <is>
          <t>TL1455N20B</t>
        </is>
      </c>
      <c r="G4555" s="16" t="inlineStr">
        <is>
          <t>LINK BITS Soporte para TV 14 A 55 Pulgadas, Base para TV Pantalla Articulado Inclinable y Giratorio, MAX VESA 400×400 mm, Soporta hasta 18kg (Acero Reforzado)</t>
        </is>
      </c>
      <c r="H4555" s="16" t="inlineStr">
        <is>
          <t>TL1455N20B</t>
        </is>
      </c>
      <c r="I4555" s="16" t="n">
        <v>1</v>
      </c>
      <c r="J4555" s="17" t="n">
        <v>61</v>
      </c>
      <c r="K4555" s="17" t="n">
        <v>32.12</v>
      </c>
      <c r="L4555" s="17" t="n">
        <v>25.86</v>
      </c>
      <c r="M4555" s="17" t="n">
        <v>0</v>
      </c>
      <c r="N4555" s="17">
        <f>K4555*0.08+L4555*0.08</f>
        <v/>
      </c>
      <c r="O4555" s="17">
        <f>-(K4555*0.025+L4555*0.025)</f>
        <v/>
      </c>
      <c r="P4555" s="17">
        <f>32</f>
        <v/>
      </c>
      <c r="Q4555" s="17">
        <f>J4555+L4555+N4555+O4555-P4555-M4555</f>
        <v/>
      </c>
    </row>
    <row r="4556">
      <c r="A4556" s="16" t="inlineStr">
        <is>
          <t>5.8-5.14</t>
        </is>
      </c>
      <c r="B4556" s="16" t="inlineStr">
        <is>
          <t>PO-128-11307312213112778</t>
        </is>
      </c>
      <c r="C4556" s="16" t="inlineStr">
        <is>
          <t>Delivered</t>
        </is>
      </c>
      <c r="D4556" s="16" t="inlineStr">
        <is>
          <t>128-11307270270072778</t>
        </is>
      </c>
      <c r="E4556" s="16" t="inlineStr">
        <is>
          <t>Delivered</t>
        </is>
      </c>
      <c r="F4556" s="16" t="inlineStr">
        <is>
          <t>KTS-2031</t>
        </is>
      </c>
      <c r="G4556" s="16" t="inlineStr">
        <is>
          <t>Bocina inalámbrica de 3 pulgadas con linterna multifuncional y panel solar integrado.Altavoz Portátil con Linterna LED 4 Modos, Radio FM, Bluetooth, Carga Solar, Ideal para Apagones, Emergencias, Campo y Exteriores</t>
        </is>
      </c>
      <c r="H4556" s="16" t="inlineStr">
        <is>
          <t>NEGRO</t>
        </is>
      </c>
      <c r="I4556" s="16" t="n">
        <v>1</v>
      </c>
      <c r="J4556" s="17" t="n">
        <v>78</v>
      </c>
      <c r="K4556" s="17" t="n">
        <v>87.23</v>
      </c>
      <c r="L4556" s="17" t="n">
        <v>25.86</v>
      </c>
      <c r="M4556" s="17" t="n">
        <v>0</v>
      </c>
      <c r="N4556" s="17">
        <f>K4556*0.08+L4556*0.08</f>
        <v/>
      </c>
      <c r="O4556" s="17">
        <f>-(K4556*0.025+L4556*0.025)</f>
        <v/>
      </c>
      <c r="P4556" s="17">
        <f>32</f>
        <v/>
      </c>
      <c r="Q4556" s="17">
        <f>J4556+L4556+N4556+O4556-P4556-M4556</f>
        <v/>
      </c>
    </row>
    <row r="4557">
      <c r="A4557" s="16" t="inlineStr">
        <is>
          <t>5.8-5.14</t>
        </is>
      </c>
      <c r="B4557" s="16" t="inlineStr">
        <is>
          <t>PO-128-11628868529270863</t>
        </is>
      </c>
      <c r="C4557" s="16" t="inlineStr">
        <is>
          <t>Delivered</t>
        </is>
      </c>
      <c r="D4557" s="16" t="inlineStr">
        <is>
          <t>128-11628910472310863</t>
        </is>
      </c>
      <c r="E4557" s="16" t="inlineStr">
        <is>
          <t>Delivered</t>
        </is>
      </c>
      <c r="F4557" s="16" t="inlineStr">
        <is>
          <t>VA371T</t>
        </is>
      </c>
      <c r="G4557" s="16" t="inlineStr">
        <is>
          <t>Linkbits Bocina Bluetooth Portátil 3" de Alta Gama，Hi-Res Audio y Graves Potentes，Luces LED + Soporte USB/TF/FM/TWS，Ideal para Hogar y Aire Libre</t>
        </is>
      </c>
      <c r="H4557" s="16" t="inlineStr">
        <is>
          <t>VA371T</t>
        </is>
      </c>
      <c r="I4557" s="16" t="n">
        <v>1</v>
      </c>
      <c r="J4557" s="17" t="n">
        <v>45.8</v>
      </c>
      <c r="K4557" s="17" t="n">
        <v>0.72</v>
      </c>
      <c r="L4557" s="17" t="n">
        <v>25.86</v>
      </c>
      <c r="M4557" s="17" t="n">
        <v>0</v>
      </c>
      <c r="N4557" s="17">
        <f>K4557*0.08+L4557*0.08</f>
        <v/>
      </c>
      <c r="O4557" s="17">
        <f>-(K4557*0.025+L4557*0.025)</f>
        <v/>
      </c>
      <c r="P4557" s="17">
        <f>32</f>
        <v/>
      </c>
      <c r="Q4557" s="17">
        <f>J4557+L4557+N4557+O4557-P4557-M4557</f>
        <v/>
      </c>
    </row>
    <row r="4558">
      <c r="A4558" s="16" t="inlineStr">
        <is>
          <t>5.8-5.14</t>
        </is>
      </c>
      <c r="B4558" s="16" t="inlineStr">
        <is>
          <t>PO-128-11628801641590863</t>
        </is>
      </c>
      <c r="C4558" s="16" t="inlineStr">
        <is>
          <t>Delivered</t>
        </is>
      </c>
      <c r="D4558" s="16" t="inlineStr">
        <is>
          <t>128-11628953685110863</t>
        </is>
      </c>
      <c r="E4558" s="16" t="inlineStr">
        <is>
          <t>Delivered</t>
        </is>
      </c>
      <c r="F4558" s="16" t="inlineStr">
        <is>
          <t>VA371T</t>
        </is>
      </c>
      <c r="G4558" s="16" t="inlineStr">
        <is>
          <t>Linkbits Bocina Bluetooth Portátil 3" de Alta Gama，Hi-Res Audio y Graves Potentes，Luces LED + Soporte USB/TF/FM/TWS，Ideal para Hogar y Aire Libre</t>
        </is>
      </c>
      <c r="H4558" s="16" t="inlineStr">
        <is>
          <t>VA371T</t>
        </is>
      </c>
      <c r="I4558" s="16" t="n">
        <v>1</v>
      </c>
      <c r="J4558" s="17" t="n">
        <v>45.8</v>
      </c>
      <c r="K4558" s="17" t="n">
        <v>0.72</v>
      </c>
      <c r="L4558" s="17" t="n">
        <v>25.86</v>
      </c>
      <c r="M4558" s="17" t="n">
        <v>0</v>
      </c>
      <c r="N4558" s="17">
        <f>K4558*0.08+L4558*0.08</f>
        <v/>
      </c>
      <c r="O4558" s="17">
        <f>-(K4558*0.025+L4558*0.025)</f>
        <v/>
      </c>
      <c r="P4558" s="17">
        <f>32</f>
        <v/>
      </c>
      <c r="Q4558" s="17">
        <f>J4558+L4558+N4558+O4558-P4558-M4558</f>
        <v/>
      </c>
    </row>
    <row r="4559">
      <c r="A4559" s="16" t="inlineStr">
        <is>
          <t>5.8-5.14</t>
        </is>
      </c>
      <c r="B4559" s="16" t="inlineStr">
        <is>
          <t>PO-128-11628866583670863</t>
        </is>
      </c>
      <c r="C4559" s="16" t="inlineStr">
        <is>
          <t>Delivered</t>
        </is>
      </c>
      <c r="D4559" s="16" t="inlineStr">
        <is>
          <t>128-11628908526710863</t>
        </is>
      </c>
      <c r="E4559" s="16" t="inlineStr">
        <is>
          <t>Delivered</t>
        </is>
      </c>
      <c r="F4559" s="16" t="inlineStr">
        <is>
          <t>VA371T</t>
        </is>
      </c>
      <c r="G4559" s="16" t="inlineStr">
        <is>
          <t>Linkbits Bocina Bluetooth Portátil 3" de Alta Gama，Hi-Res Audio y Graves Potentes，Luces LED + Soporte USB/TF/FM/TWS，Ideal para Hogar y Aire Libre</t>
        </is>
      </c>
      <c r="H4559" s="16" t="inlineStr">
        <is>
          <t>VA371T</t>
        </is>
      </c>
      <c r="I4559" s="16" t="n">
        <v>1</v>
      </c>
      <c r="J4559" s="17" t="n">
        <v>45.8</v>
      </c>
      <c r="K4559" s="17" t="n">
        <v>0.72</v>
      </c>
      <c r="L4559" s="17" t="n">
        <v>25.86</v>
      </c>
      <c r="M4559" s="17" t="n">
        <v>0</v>
      </c>
      <c r="N4559" s="17">
        <f>K4559*0.08+L4559*0.08</f>
        <v/>
      </c>
      <c r="O4559" s="17">
        <f>-(K4559*0.025+L4559*0.025)</f>
        <v/>
      </c>
      <c r="P4559" s="17">
        <f>32</f>
        <v/>
      </c>
      <c r="Q4559" s="17">
        <f>J4559+L4559+N4559+O4559-P4559-M4559</f>
        <v/>
      </c>
    </row>
    <row r="4560">
      <c r="A4560" s="16" t="inlineStr">
        <is>
          <t>5.8-5.14</t>
        </is>
      </c>
      <c r="B4560" s="16" t="inlineStr">
        <is>
          <t>PO-128-11176703913592468</t>
        </is>
      </c>
      <c r="C4560" s="16" t="inlineStr">
        <is>
          <t>Delivered</t>
        </is>
      </c>
      <c r="D4560" s="16" t="inlineStr">
        <is>
          <t>128-11176661970552468</t>
        </is>
      </c>
      <c r="E4560" s="16" t="inlineStr">
        <is>
          <t>Delivered</t>
        </is>
      </c>
      <c r="F4560" s="16" t="inlineStr">
        <is>
          <t>KTS-2031</t>
        </is>
      </c>
      <c r="G4560" s="16" t="inlineStr">
        <is>
          <t>Bocina inalámbrica de 3 pulgadas con linterna multifuncional y panel solar integrado.Altavoz Portátil con Linterna LED 4 Modos, Radio FM, Bluetooth, Carga Solar, Ideal para Apagones, Emergencias, Campo y Exteriores</t>
        </is>
      </c>
      <c r="H4560" s="16" t="inlineStr">
        <is>
          <t>NEGRO</t>
        </is>
      </c>
      <c r="I4560" s="16" t="n">
        <v>3</v>
      </c>
      <c r="J4560" s="17" t="n">
        <v>234</v>
      </c>
      <c r="K4560" s="17" t="n">
        <v>261.69</v>
      </c>
      <c r="L4560" s="17" t="n">
        <v>0</v>
      </c>
      <c r="M4560" s="17" t="n">
        <v>0</v>
      </c>
      <c r="N4560" s="17">
        <f>K4560*0.08+L4560*0.08</f>
        <v/>
      </c>
      <c r="O4560" s="17">
        <f>-(K4560*0.025+L4560*0.025)</f>
        <v/>
      </c>
      <c r="P4560" s="17">
        <f>32</f>
        <v/>
      </c>
      <c r="Q4560" s="17">
        <f>J4560+L4560+N4560+O4560-P4560-M4560</f>
        <v/>
      </c>
    </row>
    <row r="4561">
      <c r="A4561" s="16" t="inlineStr">
        <is>
          <t>5.8-5.14</t>
        </is>
      </c>
      <c r="B4561" s="16" t="inlineStr">
        <is>
          <t>PO-128-11101151583354070</t>
        </is>
      </c>
      <c r="C4561" s="16" t="inlineStr">
        <is>
          <t>Delivered</t>
        </is>
      </c>
      <c r="D4561" s="16" t="inlineStr">
        <is>
          <t>128-11101227605114070</t>
        </is>
      </c>
      <c r="E4561" s="16" t="inlineStr">
        <is>
          <t>Delivered</t>
        </is>
      </c>
      <c r="F4561" s="16" t="inlineStr">
        <is>
          <t>B03W10-10PZS</t>
        </is>
      </c>
      <c r="G4561"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61" s="16" t="inlineStr">
        <is>
          <t>B03W10</t>
        </is>
      </c>
      <c r="I4561" s="16" t="n">
        <v>1</v>
      </c>
      <c r="J4561" s="17" t="n">
        <v>70</v>
      </c>
      <c r="K4561" s="17" t="n">
        <v>65.93000000000001</v>
      </c>
      <c r="L4561" s="17" t="n">
        <v>0</v>
      </c>
      <c r="M4561" s="17" t="n">
        <v>0</v>
      </c>
      <c r="N4561" s="17">
        <f>K4561*0.08+L4561*0.08</f>
        <v/>
      </c>
      <c r="O4561" s="17">
        <f>-(K4561*0.025+L4561*0.025)</f>
        <v/>
      </c>
      <c r="P4561" s="17">
        <f>32</f>
        <v/>
      </c>
      <c r="Q4561" s="17">
        <f>J4561+L4561+N4561+O4561-P4561-M4561</f>
        <v/>
      </c>
    </row>
    <row r="4562">
      <c r="A4562" s="16" t="inlineStr">
        <is>
          <t>5.8-5.14</t>
        </is>
      </c>
      <c r="B4562" s="16" t="inlineStr">
        <is>
          <t>PO-128-11101151583354070</t>
        </is>
      </c>
      <c r="C4562" s="16" t="inlineStr">
        <is>
          <t>Delivered</t>
        </is>
      </c>
      <c r="D4562" s="16" t="inlineStr">
        <is>
          <t>128-11101269548154070</t>
        </is>
      </c>
      <c r="E4562" s="16" t="inlineStr">
        <is>
          <t>Delivered</t>
        </is>
      </c>
      <c r="F4562" s="16" t="inlineStr">
        <is>
          <t>BSC07</t>
        </is>
      </c>
      <c r="G4562" s="16" t="inlineStr">
        <is>
          <t>TIANLAI Báscula Digital BSC04/BSC07, Alta Precisión, Fácil Operación, Ligera y Portátil, Función Tara, Unidad Dual oz/g, Ideal para Cocina, Control de Porciones, Sellos y Objetos Pequeños, Uso en Hogar y Viaje</t>
        </is>
      </c>
      <c r="H4562" s="16" t="inlineStr">
        <is>
          <t>1g/White</t>
        </is>
      </c>
      <c r="I4562" s="16" t="n">
        <v>1</v>
      </c>
      <c r="J4562" s="17" t="n">
        <v>35</v>
      </c>
      <c r="K4562" s="17" t="n">
        <v>40.12</v>
      </c>
      <c r="L4562" s="17" t="n">
        <v>0</v>
      </c>
      <c r="M4562" s="17" t="n">
        <v>0</v>
      </c>
      <c r="N4562" s="17">
        <f>K4562*0.08+L4562*0.08</f>
        <v/>
      </c>
      <c r="O4562" s="17">
        <f>-(K4562*0.025+L4562*0.025)</f>
        <v/>
      </c>
      <c r="P4562" s="17">
        <f>32</f>
        <v/>
      </c>
      <c r="Q4562" s="17">
        <f>J4562+L4562+N4562+O4562-P4562-M4562</f>
        <v/>
      </c>
    </row>
    <row r="4563">
      <c r="A4563" s="16" t="inlineStr">
        <is>
          <t>5.8-5.14</t>
        </is>
      </c>
      <c r="B4563" s="16" t="inlineStr">
        <is>
          <t>PO-128-11101151583354070</t>
        </is>
      </c>
      <c r="C4563" s="16" t="inlineStr">
        <is>
          <t>Delivered</t>
        </is>
      </c>
      <c r="D4563" s="16" t="inlineStr">
        <is>
          <t>128-11101206633594070</t>
        </is>
      </c>
      <c r="E4563" s="16" t="inlineStr">
        <is>
          <t>Delivered</t>
        </is>
      </c>
      <c r="F4563" s="16" t="inlineStr">
        <is>
          <t>TL2663N18C</t>
        </is>
      </c>
      <c r="G4563" s="16" t="inlineStr">
        <is>
          <t>Linkbits，Soporte de pared fijo para televisores de 26"-63", Ultra-Delgado Compatible con VESA 400x400mm, Capacidad de Peso Fuerte de 25KG, Instalación Fácil Sin Electricidad</t>
        </is>
      </c>
      <c r="H4563" s="16" t="inlineStr">
        <is>
          <t>NEGRO</t>
        </is>
      </c>
      <c r="I4563" s="16" t="n">
        <v>2</v>
      </c>
      <c r="J4563" s="17" t="n">
        <v>111</v>
      </c>
      <c r="K4563" s="17" t="n">
        <v>119.83</v>
      </c>
      <c r="L4563" s="17" t="n">
        <v>0</v>
      </c>
      <c r="M4563" s="17" t="n">
        <v>0</v>
      </c>
      <c r="N4563" s="17">
        <f>K4563*0.08+L4563*0.08</f>
        <v/>
      </c>
      <c r="O4563" s="17">
        <f>-(K4563*0.025+L4563*0.025)</f>
        <v/>
      </c>
      <c r="P4563" s="17">
        <f>32</f>
        <v/>
      </c>
      <c r="Q4563" s="17">
        <f>J4563+L4563+N4563+O4563-P4563-M4563</f>
        <v/>
      </c>
    </row>
    <row r="4564">
      <c r="A4564" s="16" t="inlineStr">
        <is>
          <t>5.8-5.14</t>
        </is>
      </c>
      <c r="B4564" s="16" t="inlineStr">
        <is>
          <t>PO-128-10999552794233460</t>
        </is>
      </c>
      <c r="C4564" s="16" t="inlineStr">
        <is>
          <t>Delivered</t>
        </is>
      </c>
      <c r="D4564" s="16" t="inlineStr">
        <is>
          <t>128-10999542308473460</t>
        </is>
      </c>
      <c r="E4564" s="16" t="inlineStr">
        <is>
          <t>Delivered</t>
        </is>
      </c>
      <c r="F4564" s="16" t="inlineStr">
        <is>
          <t>B03W10-10PZS</t>
        </is>
      </c>
      <c r="G4564"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64" s="16" t="inlineStr">
        <is>
          <t>B03W10</t>
        </is>
      </c>
      <c r="I4564" s="16" t="n">
        <v>1</v>
      </c>
      <c r="J4564" s="17" t="n">
        <v>70</v>
      </c>
      <c r="K4564" s="17" t="n">
        <v>80.67</v>
      </c>
      <c r="L4564" s="17" t="n">
        <v>25.86</v>
      </c>
      <c r="M4564" s="17" t="n">
        <v>0</v>
      </c>
      <c r="N4564" s="17">
        <f>K4564*0.08+L4564*0.08</f>
        <v/>
      </c>
      <c r="O4564" s="17">
        <f>-(K4564*0.025+L4564*0.025)</f>
        <v/>
      </c>
      <c r="P4564" s="17">
        <f>32</f>
        <v/>
      </c>
      <c r="Q4564" s="17">
        <f>J4564+L4564+N4564+O4564-P4564-M4564</f>
        <v/>
      </c>
    </row>
    <row r="4565">
      <c r="A4565" s="16" t="inlineStr">
        <is>
          <t>5.8-5.14</t>
        </is>
      </c>
      <c r="B4565" s="16" t="inlineStr">
        <is>
          <t>PO-128-11421641055351136</t>
        </is>
      </c>
      <c r="C4565" s="16" t="inlineStr">
        <is>
          <t>Delivered</t>
        </is>
      </c>
      <c r="D4565" s="16" t="inlineStr">
        <is>
          <t>128-11421682998391136</t>
        </is>
      </c>
      <c r="E4565" s="16" t="inlineStr">
        <is>
          <t>Delivered</t>
        </is>
      </c>
      <c r="F4565" s="16" t="inlineStr">
        <is>
          <t>LV54W25</t>
        </is>
      </c>
      <c r="G4565" s="16" t="inlineStr">
        <is>
          <t>TIANLAI Lámpara Ventilador E27 2 en 1, Silenciosa, LED Alta Luminosidad 180°, Instalación Rápida, Ahorro Energético para Dormitorio y Interiores Pequeños</t>
        </is>
      </c>
      <c r="H4565" s="16" t="inlineStr">
        <is>
          <t>1 Pieza</t>
        </is>
      </c>
      <c r="I4565" s="16" t="n">
        <v>3</v>
      </c>
      <c r="J4565" s="17" t="n">
        <v>237</v>
      </c>
      <c r="K4565" s="17" t="n">
        <v>198.56</v>
      </c>
      <c r="L4565" s="17" t="n">
        <v>0</v>
      </c>
      <c r="M4565" s="17" t="n">
        <v>0</v>
      </c>
      <c r="N4565" s="17">
        <f>K4565*0.08+L4565*0.08</f>
        <v/>
      </c>
      <c r="O4565" s="17">
        <f>-(K4565*0.025+L4565*0.025)</f>
        <v/>
      </c>
      <c r="P4565" s="17">
        <f>32</f>
        <v/>
      </c>
      <c r="Q4565" s="17">
        <f>J4565+L4565+N4565+O4565-P4565-M4565</f>
        <v/>
      </c>
    </row>
    <row r="4566">
      <c r="A4566" s="16" t="inlineStr">
        <is>
          <t>5.8-5.14</t>
        </is>
      </c>
      <c r="B4566" s="16" t="inlineStr">
        <is>
          <t>PO-128-11257120730232951</t>
        </is>
      </c>
      <c r="C4566" s="16" t="inlineStr">
        <is>
          <t>Delivered</t>
        </is>
      </c>
      <c r="D4566" s="16" t="inlineStr">
        <is>
          <t>128-11257141701752951</t>
        </is>
      </c>
      <c r="E4566" s="16" t="inlineStr">
        <is>
          <t>Delivered</t>
        </is>
      </c>
      <c r="F4566" s="16" t="inlineStr">
        <is>
          <t>TL1455N20B</t>
        </is>
      </c>
      <c r="G4566" s="16" t="inlineStr">
        <is>
          <t>LINK BITS Soporte para TV 14 A 55 Pulgadas, Base para TV Pantalla Articulado Inclinable y Giratorio, MAX VESA 400×400 mm, Soporta hasta 18kg (Acero Reforzado)</t>
        </is>
      </c>
      <c r="H4566" s="16" t="inlineStr">
        <is>
          <t>TL1455N20B</t>
        </is>
      </c>
      <c r="I4566" s="16" t="n">
        <v>1</v>
      </c>
      <c r="J4566" s="17" t="n">
        <v>61</v>
      </c>
      <c r="K4566" s="17" t="n">
        <v>83.84</v>
      </c>
      <c r="L4566" s="17" t="n">
        <v>25.86</v>
      </c>
      <c r="M4566" s="17" t="n">
        <v>0</v>
      </c>
      <c r="N4566" s="17">
        <f>K4566*0.08+L4566*0.08</f>
        <v/>
      </c>
      <c r="O4566" s="17">
        <f>-(K4566*0.025+L4566*0.025)</f>
        <v/>
      </c>
      <c r="P4566" s="17">
        <f>32</f>
        <v/>
      </c>
      <c r="Q4566" s="17">
        <f>J4566+L4566+N4566+O4566-P4566-M4566</f>
        <v/>
      </c>
    </row>
    <row r="4567">
      <c r="A4567" s="16" t="inlineStr">
        <is>
          <t>5.8-5.14</t>
        </is>
      </c>
      <c r="B4567" s="16" t="inlineStr">
        <is>
          <t>PO-128-11496532227191586</t>
        </is>
      </c>
      <c r="C4567" s="16" t="inlineStr">
        <is>
          <t>Delivered</t>
        </is>
      </c>
      <c r="D4567" s="16" t="inlineStr">
        <is>
          <t>128-11496553198711586</t>
        </is>
      </c>
      <c r="E4567" s="16" t="inlineStr">
        <is>
          <t>Delivered</t>
        </is>
      </c>
      <c r="F4567" s="16" t="inlineStr">
        <is>
          <t>SB428T</t>
        </is>
      </c>
      <c r="G4567" s="16" t="inlineStr">
        <is>
          <t>LINK BITS La bocina es tu compañero ideal para reuniones en México! Equipada con 2 altavoces de 4 pulgadas y potencia 5W×2, USB y TF, funciona sin internet—perfecta para picnics, fiestas en el jardín o relajación en la terraza.</t>
        </is>
      </c>
      <c r="H4567" s="16" t="inlineStr">
        <is>
          <t>SB428T</t>
        </is>
      </c>
      <c r="I4567" s="16" t="n">
        <v>1</v>
      </c>
      <c r="J4567" s="17" t="n">
        <v>97</v>
      </c>
      <c r="K4567" s="17" t="n">
        <v>92.41</v>
      </c>
      <c r="L4567" s="17" t="n">
        <v>25.86</v>
      </c>
      <c r="M4567" s="17" t="n">
        <v>0</v>
      </c>
      <c r="N4567" s="17">
        <f>K4567*0.08+L4567*0.08</f>
        <v/>
      </c>
      <c r="O4567" s="17">
        <f>-(K4567*0.025+L4567*0.025)</f>
        <v/>
      </c>
      <c r="P4567" s="17">
        <f>32</f>
        <v/>
      </c>
      <c r="Q4567" s="17">
        <f>J4567+L4567+N4567+O4567-P4567-M4567</f>
        <v/>
      </c>
    </row>
    <row r="4568">
      <c r="A4568" s="16" t="inlineStr">
        <is>
          <t>5.8-5.14</t>
        </is>
      </c>
      <c r="B4568" s="16" t="inlineStr">
        <is>
          <t>PO-128-11378655911031392</t>
        </is>
      </c>
      <c r="C4568" s="16" t="inlineStr">
        <is>
          <t>Delivered</t>
        </is>
      </c>
      <c r="D4568" s="16" t="inlineStr">
        <is>
          <t>128-11378792225911392</t>
        </is>
      </c>
      <c r="E4568" s="16" t="inlineStr">
        <is>
          <t>Delivered</t>
        </is>
      </c>
      <c r="F4568" s="16" t="inlineStr">
        <is>
          <t>LV54W25</t>
        </is>
      </c>
      <c r="G4568" s="16" t="inlineStr">
        <is>
          <t>TIANLAI Lámpara Ventilador E27 2 en 1, Silenciosa, LED Alta Luminosidad 180°, Instalación Rápida, Ahorro Energético para Dormitorio y Interiores Pequeños</t>
        </is>
      </c>
      <c r="H4568" s="16" t="inlineStr">
        <is>
          <t>1 Pieza</t>
        </is>
      </c>
      <c r="I4568" s="16" t="n">
        <v>1</v>
      </c>
      <c r="J4568" s="17" t="n">
        <v>79</v>
      </c>
      <c r="K4568" s="17" t="n">
        <v>39.63</v>
      </c>
      <c r="L4568" s="17" t="n">
        <v>25.86</v>
      </c>
      <c r="M4568" s="17" t="n">
        <v>0</v>
      </c>
      <c r="N4568" s="17">
        <f>K4568*0.08+L4568*0.08</f>
        <v/>
      </c>
      <c r="O4568" s="17">
        <f>-(K4568*0.025+L4568*0.025)</f>
        <v/>
      </c>
      <c r="P4568" s="17">
        <f>32</f>
        <v/>
      </c>
      <c r="Q4568" s="17">
        <f>J4568+L4568+N4568+O4568-P4568-M4568</f>
        <v/>
      </c>
    </row>
    <row r="4569">
      <c r="A4569" s="16" t="inlineStr">
        <is>
          <t>5.8-5.14</t>
        </is>
      </c>
      <c r="B4569" s="16" t="inlineStr">
        <is>
          <t>PO-128-11610851712630968</t>
        </is>
      </c>
      <c r="C4569" s="16" t="inlineStr">
        <is>
          <t>Delivered</t>
        </is>
      </c>
      <c r="D4569" s="16" t="inlineStr">
        <is>
          <t>128-11610988027510968</t>
        </is>
      </c>
      <c r="E4569" s="16" t="inlineStr">
        <is>
          <t>Delivered</t>
        </is>
      </c>
      <c r="F4569" s="16" t="inlineStr">
        <is>
          <t>BG-115-B</t>
        </is>
      </c>
      <c r="G4569" s="16" t="inlineStr">
        <is>
          <t>LINK BITS Audífonos Inalámbricos con Luces Multicolor, Recargables y en Adorable Forma de Orejas de Gato - Conecta a Celulares y PCs, Tiene Radio FM, Tarjeta TF y AUX - 7 Horas de Reproducción, Plegables y Perfectos para Trabajo, Juegos y Estudio</t>
        </is>
      </c>
      <c r="H4569" s="16" t="inlineStr">
        <is>
          <t>blanco</t>
        </is>
      </c>
      <c r="I4569" s="16" t="n">
        <v>2</v>
      </c>
      <c r="J4569" s="17" t="n">
        <v>160</v>
      </c>
      <c r="K4569" s="17" t="n">
        <v>181.48</v>
      </c>
      <c r="L4569" s="17" t="n">
        <v>25.86</v>
      </c>
      <c r="M4569" s="17" t="n">
        <v>0</v>
      </c>
      <c r="N4569" s="17">
        <f>K4569*0.08+L4569*0.08</f>
        <v/>
      </c>
      <c r="O4569" s="17">
        <f>-(K4569*0.025+L4569*0.025)</f>
        <v/>
      </c>
      <c r="P4569" s="17">
        <f>32</f>
        <v/>
      </c>
      <c r="Q4569" s="17">
        <f>J4569+L4569+N4569+O4569-P4569-M4569</f>
        <v/>
      </c>
    </row>
    <row r="4570">
      <c r="A4570" s="16" t="inlineStr">
        <is>
          <t>5.8-5.14</t>
        </is>
      </c>
      <c r="B4570" s="16" t="inlineStr">
        <is>
          <t>PO-128-11494060526711539</t>
        </is>
      </c>
      <c r="C4570" s="16" t="inlineStr">
        <is>
          <t>Delivered</t>
        </is>
      </c>
      <c r="D4570" s="16" t="inlineStr">
        <is>
          <t>128-11494018583671539</t>
        </is>
      </c>
      <c r="E4570" s="16" t="inlineStr">
        <is>
          <t>Delivered</t>
        </is>
      </c>
      <c r="F4570" s="16" t="inlineStr">
        <is>
          <t>BG-115-B</t>
        </is>
      </c>
      <c r="G4570" s="16" t="inlineStr">
        <is>
          <t>LINK BITS Audífonos Inalámbricos con Luces Multicolor, Recargables y en Adorable Forma de Orejas de Gato - Conecta a Celulares y PCs, Tiene Radio FM, Tarjeta TF y AUX - 7 Horas de Reproducción, Plegables y Perfectos para Trabajo, Juegos y Estudio</t>
        </is>
      </c>
      <c r="H4570" s="16" t="inlineStr">
        <is>
          <t>blanco</t>
        </is>
      </c>
      <c r="I4570" s="16" t="n">
        <v>1</v>
      </c>
      <c r="J4570" s="17" t="n">
        <v>80</v>
      </c>
      <c r="K4570" s="17" t="n">
        <v>77.14</v>
      </c>
      <c r="L4570" s="17" t="n">
        <v>25.86</v>
      </c>
      <c r="M4570" s="17" t="n">
        <v>0</v>
      </c>
      <c r="N4570" s="17">
        <f>K4570*0.08+L4570*0.08</f>
        <v/>
      </c>
      <c r="O4570" s="17">
        <f>-(K4570*0.025+L4570*0.025)</f>
        <v/>
      </c>
      <c r="P4570" s="17">
        <f>32</f>
        <v/>
      </c>
      <c r="Q4570" s="17">
        <f>J4570+L4570+N4570+O4570-P4570-M4570</f>
        <v/>
      </c>
    </row>
    <row r="4571">
      <c r="A4571" s="16" t="inlineStr">
        <is>
          <t>5.8-5.14</t>
        </is>
      </c>
      <c r="B4571" s="16" t="inlineStr">
        <is>
          <t>PO-128-11213300053112186</t>
        </is>
      </c>
      <c r="C4571" s="16" t="inlineStr">
        <is>
          <t>Delivered</t>
        </is>
      </c>
      <c r="D4571" s="16" t="inlineStr">
        <is>
          <t>128-11213279081592186</t>
        </is>
      </c>
      <c r="E4571" s="16" t="inlineStr">
        <is>
          <t>Delivered</t>
        </is>
      </c>
      <c r="F4571" s="16" t="inlineStr">
        <is>
          <t>LV54W25</t>
        </is>
      </c>
      <c r="G4571" s="16" t="inlineStr">
        <is>
          <t>TIANLAI Lámpara Ventilador E27 2 en 1, Silenciosa, LED Alta Luminosidad 180°, Instalación Rápida, Ahorro Energético para Dormitorio y Interiores Pequeños</t>
        </is>
      </c>
      <c r="H4571" s="16" t="inlineStr">
        <is>
          <t>1 Pieza</t>
        </is>
      </c>
      <c r="I4571" s="16" t="n">
        <v>2</v>
      </c>
      <c r="J4571" s="17" t="n">
        <v>158</v>
      </c>
      <c r="K4571" s="17" t="n">
        <v>165.46</v>
      </c>
      <c r="L4571" s="17" t="n">
        <v>25.86</v>
      </c>
      <c r="M4571" s="17" t="n">
        <v>0</v>
      </c>
      <c r="N4571" s="17">
        <f>K4571*0.08+L4571*0.08</f>
        <v/>
      </c>
      <c r="O4571" s="17">
        <f>-(K4571*0.025+L4571*0.025)</f>
        <v/>
      </c>
      <c r="P4571" s="17">
        <f>32</f>
        <v/>
      </c>
      <c r="Q4571" s="17">
        <f>J4571+L4571+N4571+O4571-P4571-M4571</f>
        <v/>
      </c>
    </row>
    <row r="4572">
      <c r="A4572" s="16" t="inlineStr">
        <is>
          <t>5.8-5.14</t>
        </is>
      </c>
      <c r="B4572" s="16" t="inlineStr">
        <is>
          <t>PO-128-11387546885751213</t>
        </is>
      </c>
      <c r="C4572" s="16" t="inlineStr">
        <is>
          <t>Delivered</t>
        </is>
      </c>
      <c r="D4572" s="16" t="inlineStr">
        <is>
          <t>128-11387683200631213</t>
        </is>
      </c>
      <c r="E4572" s="16" t="inlineStr">
        <is>
          <t>Delivered</t>
        </is>
      </c>
      <c r="F4572" s="16" t="inlineStr">
        <is>
          <t>KTS-2031</t>
        </is>
      </c>
      <c r="G4572" s="16" t="inlineStr">
        <is>
          <t>Bocina inalámbrica de 3 pulgadas con linterna multifuncional y panel solar integrado.Altavoz Portátil con Linterna LED 4 Modos, Radio FM, Bluetooth, Carga Solar, Ideal para Apagones, Emergencias, Campo y Exteriores</t>
        </is>
      </c>
      <c r="H4572" s="16" t="inlineStr">
        <is>
          <t>NEGRO</t>
        </is>
      </c>
      <c r="I4572" s="16" t="n">
        <v>1</v>
      </c>
      <c r="J4572" s="17" t="n">
        <v>78</v>
      </c>
      <c r="K4572" s="17" t="n">
        <v>1.02</v>
      </c>
      <c r="L4572" s="17" t="n">
        <v>25.86</v>
      </c>
      <c r="M4572" s="17" t="n">
        <v>0</v>
      </c>
      <c r="N4572" s="17">
        <f>K4572*0.08+L4572*0.08</f>
        <v/>
      </c>
      <c r="O4572" s="17">
        <f>-(K4572*0.025+L4572*0.025)</f>
        <v/>
      </c>
      <c r="P4572" s="17">
        <f>32</f>
        <v/>
      </c>
      <c r="Q4572" s="17">
        <f>J4572+L4572+N4572+O4572-P4572-M4572</f>
        <v/>
      </c>
    </row>
    <row r="4573">
      <c r="A4573" s="16" t="inlineStr">
        <is>
          <t>5.8-5.14</t>
        </is>
      </c>
      <c r="B4573" s="16" t="inlineStr">
        <is>
          <t>PO-128-11362356874871298</t>
        </is>
      </c>
      <c r="C4573" s="16" t="inlineStr">
        <is>
          <t>Delivered</t>
        </is>
      </c>
      <c r="D4573" s="16" t="inlineStr">
        <is>
          <t>128-11362314931831298</t>
        </is>
      </c>
      <c r="E4573" s="16" t="inlineStr">
        <is>
          <t>Delivered</t>
        </is>
      </c>
      <c r="F4573" s="16" t="inlineStr">
        <is>
          <t>KTS-2031</t>
        </is>
      </c>
      <c r="G4573" s="16" t="inlineStr">
        <is>
          <t>Bocina inalámbrica de 3 pulgadas con linterna multifuncional y panel solar integrado.Altavoz Portátil con Linterna LED 4 Modos, Radio FM, Bluetooth, Carga Solar, Ideal para Apagones, Emergencias, Campo y Exteriores</t>
        </is>
      </c>
      <c r="H4573" s="16" t="inlineStr">
        <is>
          <t>NEGRO</t>
        </is>
      </c>
      <c r="I4573" s="16" t="n">
        <v>1</v>
      </c>
      <c r="J4573" s="17" t="n">
        <v>78</v>
      </c>
      <c r="K4573" s="17" t="n">
        <v>4.47</v>
      </c>
      <c r="L4573" s="17" t="n">
        <v>25.86</v>
      </c>
      <c r="M4573" s="17" t="n">
        <v>0</v>
      </c>
      <c r="N4573" s="17">
        <f>K4573*0.08+L4573*0.08</f>
        <v/>
      </c>
      <c r="O4573" s="17">
        <f>-(K4573*0.025+L4573*0.025)</f>
        <v/>
      </c>
      <c r="P4573" s="17">
        <f>32</f>
        <v/>
      </c>
      <c r="Q4573" s="17">
        <f>J4573+L4573+N4573+O4573-P4573-M4573</f>
        <v/>
      </c>
    </row>
    <row r="4574">
      <c r="A4574" s="16" t="inlineStr">
        <is>
          <t>5.8-5.14</t>
        </is>
      </c>
      <c r="B4574" s="16" t="inlineStr">
        <is>
          <t>PO-128-11630810721910851</t>
        </is>
      </c>
      <c r="C4574" s="16" t="inlineStr">
        <is>
          <t>Delivered</t>
        </is>
      </c>
      <c r="D4574" s="16" t="inlineStr">
        <is>
          <t>128-11630878879350851</t>
        </is>
      </c>
      <c r="E4574" s="16" t="inlineStr">
        <is>
          <t>Delivered</t>
        </is>
      </c>
      <c r="F4574" s="16" t="inlineStr">
        <is>
          <t>TL2663N18C</t>
        </is>
      </c>
      <c r="G4574" s="16" t="inlineStr">
        <is>
          <t>Linkbits，Soporte de pared fijo para televisores de 26"-63", Ultra-Delgado Compatible con VESA 400x400mm, Capacidad de Peso Fuerte de 25KG, Instalación Fácil Sin Electricidad</t>
        </is>
      </c>
      <c r="H4574" s="16" t="inlineStr">
        <is>
          <t>NEGRO</t>
        </is>
      </c>
      <c r="I4574" s="16" t="n">
        <v>1</v>
      </c>
      <c r="J4574" s="17" t="n">
        <v>55.5</v>
      </c>
      <c r="K4574" s="17" t="n">
        <v>70.48999999999999</v>
      </c>
      <c r="L4574" s="17" t="n">
        <v>25.86</v>
      </c>
      <c r="M4574" s="17" t="n">
        <v>0</v>
      </c>
      <c r="N4574" s="17">
        <f>K4574*0.08+L4574*0.08</f>
        <v/>
      </c>
      <c r="O4574" s="17">
        <f>-(K4574*0.025+L4574*0.025)</f>
        <v/>
      </c>
      <c r="P4574" s="17">
        <f>32</f>
        <v/>
      </c>
      <c r="Q4574" s="17">
        <f>J4574+L4574+N4574+O4574-P4574-M4574</f>
        <v/>
      </c>
    </row>
    <row r="4575">
      <c r="A4575" s="16" t="inlineStr">
        <is>
          <t>5.8-5.14</t>
        </is>
      </c>
      <c r="B4575" s="16" t="inlineStr">
        <is>
          <t>PO-128-11145176743033808</t>
        </is>
      </c>
      <c r="C4575" s="16" t="inlineStr">
        <is>
          <t>Delivered</t>
        </is>
      </c>
      <c r="D4575" s="16" t="inlineStr">
        <is>
          <t>128-11145218686073808</t>
        </is>
      </c>
      <c r="E4575" s="16" t="inlineStr">
        <is>
          <t>Delivered</t>
        </is>
      </c>
      <c r="F4575" s="16" t="inlineStr">
        <is>
          <t>BG-115-P</t>
        </is>
      </c>
      <c r="G4575" s="16" t="inlineStr">
        <is>
          <t>LINK BITS Audífonos Inalámbricos con Luces Multicolor, Recargables y en Adorable Forma de Orejas de Gato - Conecta a Celulares y PCs, Tiene Radio FM, Tarjeta TF y AUX - 7 Horas de Reproducción, Plegables y Perfectos para Trabajo, Juegos y Estudio</t>
        </is>
      </c>
      <c r="H4575" s="16" t="inlineStr">
        <is>
          <t>rosa</t>
        </is>
      </c>
      <c r="I4575" s="16" t="n">
        <v>1</v>
      </c>
      <c r="J4575" s="17" t="n">
        <v>85</v>
      </c>
      <c r="K4575" s="17" t="n">
        <v>76.59</v>
      </c>
      <c r="L4575" s="17" t="n">
        <v>25.86</v>
      </c>
      <c r="M4575" s="17" t="n">
        <v>0</v>
      </c>
      <c r="N4575" s="17">
        <f>K4575*0.08+L4575*0.08</f>
        <v/>
      </c>
      <c r="O4575" s="17">
        <f>-(K4575*0.025+L4575*0.025)</f>
        <v/>
      </c>
      <c r="P4575" s="17">
        <f>32</f>
        <v/>
      </c>
      <c r="Q4575" s="17">
        <f>J4575+L4575+N4575+O4575-P4575-M4575</f>
        <v/>
      </c>
    </row>
    <row r="4576">
      <c r="A4576" s="16" t="inlineStr">
        <is>
          <t>5.8-5.14</t>
        </is>
      </c>
      <c r="B4576" s="16" t="inlineStr">
        <is>
          <t>PO-128-11057909681273304</t>
        </is>
      </c>
      <c r="C4576" s="16" t="inlineStr">
        <is>
          <t>Delivered</t>
        </is>
      </c>
      <c r="D4576" s="16" t="inlineStr">
        <is>
          <t>128-11057922788473304</t>
        </is>
      </c>
      <c r="E4576" s="16" t="inlineStr">
        <is>
          <t>Delivered</t>
        </is>
      </c>
      <c r="F4576" s="16" t="inlineStr">
        <is>
          <t>LV54W25</t>
        </is>
      </c>
      <c r="G4576" s="16" t="inlineStr">
        <is>
          <t>TIANLAI Lámpara Ventilador E27 2 en 1, Silenciosa, LED Alta Luminosidad 180°, Instalación Rápida, Ahorro Energético para Dormitorio y Interiores Pequeños</t>
        </is>
      </c>
      <c r="H4576" s="16" t="inlineStr">
        <is>
          <t>1 Pieza</t>
        </is>
      </c>
      <c r="I4576" s="16" t="n">
        <v>1</v>
      </c>
      <c r="J4576" s="17" t="n">
        <v>79</v>
      </c>
      <c r="K4576" s="17" t="n">
        <v>82.73</v>
      </c>
      <c r="L4576" s="17" t="n">
        <v>25.86</v>
      </c>
      <c r="M4576" s="17" t="n">
        <v>0</v>
      </c>
      <c r="N4576" s="17">
        <f>K4576*0.08+L4576*0.08</f>
        <v/>
      </c>
      <c r="O4576" s="17">
        <f>-(K4576*0.025+L4576*0.025)</f>
        <v/>
      </c>
      <c r="P4576" s="17">
        <f>32</f>
        <v/>
      </c>
      <c r="Q4576" s="17">
        <f>J4576+L4576+N4576+O4576-P4576-M4576</f>
        <v/>
      </c>
    </row>
    <row r="4577">
      <c r="A4577" s="16" t="inlineStr">
        <is>
          <t>5.8-5.14</t>
        </is>
      </c>
      <c r="B4577" s="16" t="inlineStr">
        <is>
          <t>PO-128-11328852844152651</t>
        </is>
      </c>
      <c r="C4577" s="16" t="inlineStr">
        <is>
          <t>Delivered</t>
        </is>
      </c>
      <c r="D4577" s="16" t="inlineStr">
        <is>
          <t>128-11328957701752651</t>
        </is>
      </c>
      <c r="E4577" s="16" t="inlineStr">
        <is>
          <t>Delivered</t>
        </is>
      </c>
      <c r="F4577" s="16" t="inlineStr">
        <is>
          <t>TL1455N20B</t>
        </is>
      </c>
      <c r="G4577" s="16" t="inlineStr">
        <is>
          <t>LINK BITS Soporte para TV 14 A 55 Pulgadas, Base para TV Pantalla Articulado Inclinable y Giratorio, MAX VESA 400×400 mm, Soporta hasta 18kg (Acero Reforzado)</t>
        </is>
      </c>
      <c r="H4577" s="16" t="inlineStr">
        <is>
          <t>TL1455N20B</t>
        </is>
      </c>
      <c r="I4577" s="16" t="n">
        <v>1</v>
      </c>
      <c r="J4577" s="17" t="n">
        <v>61</v>
      </c>
      <c r="K4577" s="17" t="n">
        <v>30.39</v>
      </c>
      <c r="L4577" s="17" t="n">
        <v>25.86</v>
      </c>
      <c r="M4577" s="17" t="n">
        <v>0</v>
      </c>
      <c r="N4577" s="17">
        <f>K4577*0.08+L4577*0.08</f>
        <v/>
      </c>
      <c r="O4577" s="17">
        <f>-(K4577*0.025+L4577*0.025)</f>
        <v/>
      </c>
      <c r="P4577" s="17">
        <f>32</f>
        <v/>
      </c>
      <c r="Q4577" s="17">
        <f>J4577+L4577+N4577+O4577-P4577-M4577</f>
        <v/>
      </c>
    </row>
    <row r="4578">
      <c r="A4578" s="16" t="inlineStr">
        <is>
          <t>5.8-5.14</t>
        </is>
      </c>
      <c r="B4578" s="16" t="inlineStr">
        <is>
          <t>PO-128-11187413007992532</t>
        </is>
      </c>
      <c r="C4578" s="16" t="inlineStr">
        <is>
          <t>Delivered</t>
        </is>
      </c>
      <c r="D4578" s="16" t="inlineStr">
        <is>
          <t>128-11187418250872532</t>
        </is>
      </c>
      <c r="E4578" s="16" t="inlineStr">
        <is>
          <t>Delivered</t>
        </is>
      </c>
      <c r="F4578" s="16" t="inlineStr">
        <is>
          <t>LV54W25</t>
        </is>
      </c>
      <c r="G4578" s="16" t="inlineStr">
        <is>
          <t>TIANLAI Lámpara Ventilador E27 2 en 1, Silenciosa, LED Alta Luminosidad 180°, Instalación Rápida, Ahorro Energético para Dormitorio y Interiores Pequeños</t>
        </is>
      </c>
      <c r="H4578" s="16" t="inlineStr">
        <is>
          <t>1 Pieza</t>
        </is>
      </c>
      <c r="I4578" s="16" t="n">
        <v>2</v>
      </c>
      <c r="J4578" s="17" t="n">
        <v>158</v>
      </c>
      <c r="K4578" s="17" t="n">
        <v>154.23</v>
      </c>
      <c r="L4578" s="17" t="n">
        <v>25.86</v>
      </c>
      <c r="M4578" s="17" t="n">
        <v>0</v>
      </c>
      <c r="N4578" s="17">
        <f>K4578*0.08+L4578*0.08</f>
        <v/>
      </c>
      <c r="O4578" s="17">
        <f>-(K4578*0.025+L4578*0.025)</f>
        <v/>
      </c>
      <c r="P4578" s="17">
        <f>32</f>
        <v/>
      </c>
      <c r="Q4578" s="17">
        <f>J4578+L4578+N4578+O4578-P4578-M4578</f>
        <v/>
      </c>
    </row>
    <row r="4579">
      <c r="A4579" s="16" t="inlineStr">
        <is>
          <t>5.8-5.14</t>
        </is>
      </c>
      <c r="B4579" s="16" t="inlineStr">
        <is>
          <t>PO-128-11011009498233520</t>
        </is>
      </c>
      <c r="C4579" s="16" t="inlineStr">
        <is>
          <t>Delivered</t>
        </is>
      </c>
      <c r="D4579" s="16" t="inlineStr">
        <is>
          <t>128-11011030469753520</t>
        </is>
      </c>
      <c r="E4579" s="16" t="inlineStr">
        <is>
          <t>Delivered</t>
        </is>
      </c>
      <c r="F4579" s="16" t="inlineStr">
        <is>
          <t>LV54W25</t>
        </is>
      </c>
      <c r="G4579" s="16" t="inlineStr">
        <is>
          <t>TIANLAI Lámpara Ventilador E27 2 en 1, Silenciosa, LED Alta Luminosidad 180°, Instalación Rápida, Ahorro Energético para Dormitorio y Interiores Pequeños</t>
        </is>
      </c>
      <c r="H4579" s="16" t="inlineStr">
        <is>
          <t>1 Pieza</t>
        </is>
      </c>
      <c r="I4579" s="16" t="n">
        <v>1</v>
      </c>
      <c r="J4579" s="17" t="n">
        <v>79</v>
      </c>
      <c r="K4579" s="17" t="n">
        <v>82.73</v>
      </c>
      <c r="L4579" s="17" t="n">
        <v>25.86</v>
      </c>
      <c r="M4579" s="17" t="n">
        <v>0</v>
      </c>
      <c r="N4579" s="17">
        <f>K4579*0.08+L4579*0.08</f>
        <v/>
      </c>
      <c r="O4579" s="17">
        <f>-(K4579*0.025+L4579*0.025)</f>
        <v/>
      </c>
      <c r="P4579" s="17">
        <f>32</f>
        <v/>
      </c>
      <c r="Q4579" s="17">
        <f>J4579+L4579+N4579+O4579-P4579-M4579</f>
        <v/>
      </c>
    </row>
    <row r="4580">
      <c r="A4580" s="16" t="inlineStr">
        <is>
          <t>5.8-5.14</t>
        </is>
      </c>
      <c r="B4580" s="16" t="inlineStr">
        <is>
          <t>PO-128-11064075013753077</t>
        </is>
      </c>
      <c r="C4580" s="16" t="inlineStr">
        <is>
          <t>Delivered</t>
        </is>
      </c>
      <c r="D4580" s="16" t="inlineStr">
        <is>
          <t>128-11064234921593077</t>
        </is>
      </c>
      <c r="E4580" s="16" t="inlineStr">
        <is>
          <t>Delivered</t>
        </is>
      </c>
      <c r="F4580" s="16" t="inlineStr">
        <is>
          <t>LV54W25</t>
        </is>
      </c>
      <c r="G4580" s="16" t="inlineStr">
        <is>
          <t>TIANLAI Lámpara Ventilador E27 2 en 1, Silenciosa, LED Alta Luminosidad 180°, Instalación Rápida, Ahorro Energético para Dormitorio y Interiores Pequeños</t>
        </is>
      </c>
      <c r="H4580" s="16" t="inlineStr">
        <is>
          <t>1 Pieza</t>
        </is>
      </c>
      <c r="I4580" s="16" t="n">
        <v>3</v>
      </c>
      <c r="J4580" s="17" t="n">
        <v>237</v>
      </c>
      <c r="K4580" s="17" t="n">
        <v>187.85</v>
      </c>
      <c r="L4580" s="17" t="n">
        <v>0</v>
      </c>
      <c r="M4580" s="17" t="n">
        <v>0</v>
      </c>
      <c r="N4580" s="17">
        <f>K4580*0.08+L4580*0.08</f>
        <v/>
      </c>
      <c r="O4580" s="17">
        <f>-(K4580*0.025+L4580*0.025)</f>
        <v/>
      </c>
      <c r="P4580" s="17">
        <f>32</f>
        <v/>
      </c>
      <c r="Q4580" s="17">
        <f>J4580+L4580+N4580+O4580-P4580-M4580</f>
        <v/>
      </c>
    </row>
    <row r="4581">
      <c r="A4581" s="16" t="inlineStr">
        <is>
          <t>5.8-5.14</t>
        </is>
      </c>
      <c r="B4581" s="16" t="inlineStr">
        <is>
          <t>PO-128-11457410289271885</t>
        </is>
      </c>
      <c r="C4581" s="16" t="inlineStr">
        <is>
          <t>Delivered</t>
        </is>
      </c>
      <c r="D4581" s="16" t="inlineStr">
        <is>
          <t>128-11457368346231885</t>
        </is>
      </c>
      <c r="E4581" s="16" t="inlineStr">
        <is>
          <t>Delivered</t>
        </is>
      </c>
      <c r="F4581" s="16" t="inlineStr">
        <is>
          <t>TL1455N20B</t>
        </is>
      </c>
      <c r="G4581" s="16" t="inlineStr">
        <is>
          <t>LINK BITS Soporte para TV 14 A 55 Pulgadas, Base para TV Pantalla Articulado Inclinable y Giratorio, MAX VESA 400×400 mm, Soporta hasta 18kg (Acero Reforzado)</t>
        </is>
      </c>
      <c r="H4581" s="16" t="inlineStr">
        <is>
          <t>TL1455N20B</t>
        </is>
      </c>
      <c r="I4581" s="16" t="n">
        <v>1</v>
      </c>
      <c r="J4581" s="17" t="n">
        <v>61</v>
      </c>
      <c r="K4581" s="17" t="n">
        <v>73.55</v>
      </c>
      <c r="L4581" s="17" t="n">
        <v>25.86</v>
      </c>
      <c r="M4581" s="17" t="n">
        <v>0</v>
      </c>
      <c r="N4581" s="17">
        <f>K4581*0.08+L4581*0.08</f>
        <v/>
      </c>
      <c r="O4581" s="17">
        <f>-(K4581*0.025+L4581*0.025)</f>
        <v/>
      </c>
      <c r="P4581" s="17">
        <f>32</f>
        <v/>
      </c>
      <c r="Q4581" s="17">
        <f>J4581+L4581+N4581+O4581-P4581-M4581</f>
        <v/>
      </c>
    </row>
    <row r="4582">
      <c r="A4582" s="16" t="inlineStr">
        <is>
          <t>5.8-5.14</t>
        </is>
      </c>
      <c r="B4582" s="16" t="inlineStr">
        <is>
          <t>PO-128-11279352151672816</t>
        </is>
      </c>
      <c r="C4582" s="16" t="inlineStr">
        <is>
          <t>Delivered</t>
        </is>
      </c>
      <c r="D4582" s="16" t="inlineStr">
        <is>
          <t>128-11279357394552816</t>
        </is>
      </c>
      <c r="E4582" s="16" t="inlineStr">
        <is>
          <t>Delivered</t>
        </is>
      </c>
      <c r="F4582" s="16" t="inlineStr">
        <is>
          <t>B03W10-10PZS</t>
        </is>
      </c>
      <c r="G4582"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82" s="16" t="inlineStr">
        <is>
          <t>B03W10</t>
        </is>
      </c>
      <c r="I4582" s="16" t="n">
        <v>1</v>
      </c>
      <c r="J4582" s="17" t="n">
        <v>70</v>
      </c>
      <c r="K4582" s="17" t="n">
        <v>77.56</v>
      </c>
      <c r="L4582" s="17" t="n">
        <v>25.86</v>
      </c>
      <c r="M4582" s="17" t="n">
        <v>0</v>
      </c>
      <c r="N4582" s="17">
        <f>K4582*0.08+L4582*0.08</f>
        <v/>
      </c>
      <c r="O4582" s="17">
        <f>-(K4582*0.025+L4582*0.025)</f>
        <v/>
      </c>
      <c r="P4582" s="17">
        <f>32</f>
        <v/>
      </c>
      <c r="Q4582" s="17">
        <f>J4582+L4582+N4582+O4582-P4582-M4582</f>
        <v/>
      </c>
    </row>
    <row r="4583">
      <c r="A4583" s="16" t="inlineStr">
        <is>
          <t>5.8-5.14</t>
        </is>
      </c>
      <c r="B4583" s="16" t="inlineStr">
        <is>
          <t>PO-128-11110513741433889</t>
        </is>
      </c>
      <c r="C4583" s="16" t="inlineStr">
        <is>
          <t>Delivered</t>
        </is>
      </c>
      <c r="D4583" s="16" t="inlineStr">
        <is>
          <t>128-11110471798393889</t>
        </is>
      </c>
      <c r="E4583" s="16" t="inlineStr">
        <is>
          <t>Delivered</t>
        </is>
      </c>
      <c r="F4583" s="16" t="inlineStr">
        <is>
          <t>B03W10-10PZS</t>
        </is>
      </c>
      <c r="G4583"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83" s="16" t="inlineStr">
        <is>
          <t>B03W10</t>
        </is>
      </c>
      <c r="I4583" s="16" t="n">
        <v>1</v>
      </c>
      <c r="J4583" s="17" t="n">
        <v>70</v>
      </c>
      <c r="K4583" s="17" t="n">
        <v>62.05</v>
      </c>
      <c r="L4583" s="17" t="n">
        <v>25.86</v>
      </c>
      <c r="M4583" s="17" t="n">
        <v>0</v>
      </c>
      <c r="N4583" s="17">
        <f>K4583*0.08+L4583*0.08</f>
        <v/>
      </c>
      <c r="O4583" s="17">
        <f>-(K4583*0.025+L4583*0.025)</f>
        <v/>
      </c>
      <c r="P4583" s="17">
        <f>32</f>
        <v/>
      </c>
      <c r="Q4583" s="17">
        <f>J4583+L4583+N4583+O4583-P4583-M4583</f>
        <v/>
      </c>
    </row>
    <row r="4584">
      <c r="A4584" s="16" t="inlineStr">
        <is>
          <t>5.8-5.14</t>
        </is>
      </c>
      <c r="B4584" s="16" t="inlineStr">
        <is>
          <t>PO-128-11210513554552205</t>
        </is>
      </c>
      <c r="C4584" s="16" t="inlineStr">
        <is>
          <t>Delivered</t>
        </is>
      </c>
      <c r="D4584" s="16" t="inlineStr">
        <is>
          <t>128-11210471611512205</t>
        </is>
      </c>
      <c r="E4584" s="16" t="inlineStr">
        <is>
          <t>Delivered</t>
        </is>
      </c>
      <c r="F4584" s="16" t="inlineStr">
        <is>
          <t>KTS-2031</t>
        </is>
      </c>
      <c r="G4584" s="16" t="inlineStr">
        <is>
          <t>Bocina inalámbrica de 3 pulgadas con linterna multifuncional y panel solar integrado.Altavoz Portátil con Linterna LED 4 Modos, Radio FM, Bluetooth, Carga Solar, Ideal para Apagones, Emergencias, Campo y Exteriores</t>
        </is>
      </c>
      <c r="H4584" s="16" t="inlineStr">
        <is>
          <t>NEGRO</t>
        </is>
      </c>
      <c r="I4584" s="16" t="n">
        <v>1</v>
      </c>
      <c r="J4584" s="17" t="n">
        <v>78</v>
      </c>
      <c r="K4584" s="17" t="n">
        <v>1.02</v>
      </c>
      <c r="L4584" s="17" t="n">
        <v>25.86</v>
      </c>
      <c r="M4584" s="17" t="n">
        <v>0</v>
      </c>
      <c r="N4584" s="17">
        <f>K4584*0.08+L4584*0.08</f>
        <v/>
      </c>
      <c r="O4584" s="17">
        <f>-(K4584*0.025+L4584*0.025)</f>
        <v/>
      </c>
      <c r="P4584" s="17">
        <f>32</f>
        <v/>
      </c>
      <c r="Q4584" s="17">
        <f>J4584+L4584+N4584+O4584-P4584-M4584</f>
        <v/>
      </c>
    </row>
    <row r="4585">
      <c r="A4585" s="16" t="inlineStr">
        <is>
          <t>5.8-5.14</t>
        </is>
      </c>
      <c r="B4585" s="16" t="inlineStr">
        <is>
          <t>PO-128-11601247309430898</t>
        </is>
      </c>
      <c r="C4585" s="16" t="inlineStr">
        <is>
          <t>Delivered</t>
        </is>
      </c>
      <c r="D4585" s="16" t="inlineStr">
        <is>
          <t>128-11601205366390898</t>
        </is>
      </c>
      <c r="E4585" s="16" t="inlineStr">
        <is>
          <t>Delivered</t>
        </is>
      </c>
      <c r="F4585" s="16" t="inlineStr">
        <is>
          <t>BSC07</t>
        </is>
      </c>
      <c r="G4585" s="16" t="inlineStr">
        <is>
          <t>TIANLAI Báscula Digital BSC04/BSC07, Alta Precisión, Fácil Operación, Ligera y Portátil, Función Tara, Unidad Dual oz/g, Ideal para Cocina, Control de Porciones, Sellos y Objetos Pequeños, Uso en Hogar y Viaje</t>
        </is>
      </c>
      <c r="H4585" s="16" t="inlineStr">
        <is>
          <t>1g/White</t>
        </is>
      </c>
      <c r="I4585" s="16" t="n">
        <v>1</v>
      </c>
      <c r="J4585" s="17" t="n">
        <v>38</v>
      </c>
      <c r="K4585" s="17" t="n">
        <v>7.11</v>
      </c>
      <c r="L4585" s="17" t="n">
        <v>25.86</v>
      </c>
      <c r="M4585" s="17" t="n">
        <v>0</v>
      </c>
      <c r="N4585" s="17">
        <f>K4585*0.08+L4585*0.08</f>
        <v/>
      </c>
      <c r="O4585" s="17">
        <f>-(K4585*0.025+L4585*0.025)</f>
        <v/>
      </c>
      <c r="P4585" s="17">
        <f>32</f>
        <v/>
      </c>
      <c r="Q4585" s="17">
        <f>J4585+L4585+N4585+O4585-P4585-M4585</f>
        <v/>
      </c>
    </row>
    <row r="4586">
      <c r="A4586" s="16" t="inlineStr">
        <is>
          <t>5.8-5.14</t>
        </is>
      </c>
      <c r="B4586" s="16" t="inlineStr">
        <is>
          <t>PO-128-11261672607352986</t>
        </is>
      </c>
      <c r="C4586" s="16" t="inlineStr">
        <is>
          <t>Delivered</t>
        </is>
      </c>
      <c r="D4586" s="16" t="inlineStr">
        <is>
          <t>128-11261630664312986</t>
        </is>
      </c>
      <c r="E4586" s="16" t="inlineStr">
        <is>
          <t>Delivered</t>
        </is>
      </c>
      <c r="F4586" s="16" t="inlineStr">
        <is>
          <t>TL1412N17C</t>
        </is>
      </c>
      <c r="G4586" s="16" t="inlineStr">
        <is>
          <t>Linkbits, Soporte de Pared Fijo para TV y Monitor de 14"-43", Ultra Delgado 2.3cm, Fuerte Capacidad de Peso de 25KG, Fácil Instalación con Accesorios Completos</t>
        </is>
      </c>
      <c r="H4586" s="16" t="inlineStr">
        <is>
          <t>NEGRO</t>
        </is>
      </c>
      <c r="I4586" s="16" t="n">
        <v>1</v>
      </c>
      <c r="J4586" s="17" t="n">
        <v>36.84</v>
      </c>
      <c r="K4586" s="17" t="n">
        <v>48.55</v>
      </c>
      <c r="L4586" s="17" t="n">
        <v>25.86</v>
      </c>
      <c r="M4586" s="17" t="n">
        <v>0</v>
      </c>
      <c r="N4586" s="17">
        <f>K4586*0.08+L4586*0.08</f>
        <v/>
      </c>
      <c r="O4586" s="17">
        <f>-(K4586*0.025+L4586*0.025)</f>
        <v/>
      </c>
      <c r="P4586" s="17">
        <f>32</f>
        <v/>
      </c>
      <c r="Q4586" s="17">
        <f>J4586+L4586+N4586+O4586-P4586-M4586</f>
        <v/>
      </c>
    </row>
    <row r="4587">
      <c r="A4587" s="16" t="inlineStr">
        <is>
          <t>5.8-5.14</t>
        </is>
      </c>
      <c r="B4587" s="16" t="inlineStr">
        <is>
          <t>PO-128-11509132311671641</t>
        </is>
      </c>
      <c r="C4587" s="16" t="inlineStr">
        <is>
          <t>Delivered</t>
        </is>
      </c>
      <c r="D4587" s="16" t="inlineStr">
        <is>
          <t>128-11509155904631641</t>
        </is>
      </c>
      <c r="E4587" s="16" t="inlineStr">
        <is>
          <t>Delivered</t>
        </is>
      </c>
      <c r="F4587" s="16" t="inlineStr">
        <is>
          <t>B03W10-10PZS</t>
        </is>
      </c>
      <c r="G4587"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587" s="16" t="inlineStr">
        <is>
          <t>B03W10</t>
        </is>
      </c>
      <c r="I4587" s="16" t="n">
        <v>1</v>
      </c>
      <c r="J4587" s="17" t="n">
        <v>70</v>
      </c>
      <c r="K4587" s="17" t="n">
        <v>59.51</v>
      </c>
      <c r="L4587" s="17" t="n">
        <v>25.86</v>
      </c>
      <c r="M4587" s="17" t="n">
        <v>0</v>
      </c>
      <c r="N4587" s="17">
        <f>K4587*0.08+L4587*0.08</f>
        <v/>
      </c>
      <c r="O4587" s="17">
        <f>-(K4587*0.025+L4587*0.025)</f>
        <v/>
      </c>
      <c r="P4587" s="17">
        <f>32</f>
        <v/>
      </c>
      <c r="Q4587" s="17">
        <f>J4587+L4587+N4587+O4587-P4587-M4587</f>
        <v/>
      </c>
    </row>
    <row r="4588">
      <c r="A4588" s="16" t="inlineStr">
        <is>
          <t>5.8-5.14</t>
        </is>
      </c>
      <c r="B4588" s="16" t="inlineStr">
        <is>
          <t>PO-128-11490797202551556</t>
        </is>
      </c>
      <c r="C4588" s="16" t="inlineStr">
        <is>
          <t>Delivered</t>
        </is>
      </c>
      <c r="D4588" s="16" t="inlineStr">
        <is>
          <t>128-11490776231031556</t>
        </is>
      </c>
      <c r="E4588" s="16" t="inlineStr">
        <is>
          <t>Delivered</t>
        </is>
      </c>
      <c r="F4588" s="16" t="inlineStr">
        <is>
          <t>VB349T</t>
        </is>
      </c>
      <c r="G4588" s="16" t="inlineStr">
        <is>
          <t>LINKBITS Altavoz Portátil de Doble Altavoz - 3 Pulgadas, Sonido HD, Emparejamiento Rápido de Bluetooth, Conectividad TWS, Reproducción Multimodo (Micro SD/USB/Radio FM) - Perfecto para Oficina, Viajes y Espacios Pequeños</t>
        </is>
      </c>
      <c r="H4588" s="16" t="inlineStr">
        <is>
          <t>NEGRO</t>
        </is>
      </c>
      <c r="I4588" s="16" t="n">
        <v>1</v>
      </c>
      <c r="J4588" s="17" t="n">
        <v>81</v>
      </c>
      <c r="K4588" s="17" t="n">
        <v>56.56</v>
      </c>
      <c r="L4588" s="17" t="n">
        <v>25.86</v>
      </c>
      <c r="M4588" s="17" t="n">
        <v>0</v>
      </c>
      <c r="N4588" s="17">
        <f>K4588*0.08+L4588*0.08</f>
        <v/>
      </c>
      <c r="O4588" s="17">
        <f>-(K4588*0.025+L4588*0.025)</f>
        <v/>
      </c>
      <c r="P4588" s="17">
        <f>32</f>
        <v/>
      </c>
      <c r="Q4588" s="17">
        <f>J4588+L4588+N4588+O4588-P4588-M4588</f>
        <v/>
      </c>
    </row>
    <row r="4589">
      <c r="A4589" s="16" t="inlineStr">
        <is>
          <t>5.8-5.14</t>
        </is>
      </c>
      <c r="B4589" s="16" t="inlineStr">
        <is>
          <t>PO-128-11439309560951993</t>
        </is>
      </c>
      <c r="C4589" s="16" t="inlineStr">
        <is>
          <t>Delivered</t>
        </is>
      </c>
      <c r="D4589" s="16" t="inlineStr">
        <is>
          <t>128-11439325289591993</t>
        </is>
      </c>
      <c r="E4589" s="16" t="inlineStr">
        <is>
          <t>Delivered</t>
        </is>
      </c>
      <c r="F4589" s="16" t="inlineStr">
        <is>
          <t>BG-115-P</t>
        </is>
      </c>
      <c r="G4589" s="16" t="inlineStr">
        <is>
          <t>LINK BITS Audífonos Inalámbricos con Luces Multicolor, Recargables y en Adorable Forma de Orejas de Gato - Conecta a Celulares y PCs, Tiene Radio FM, Tarjeta TF y AUX - 7 Horas de Reproducción, Plegables y Perfectos para Trabajo, Juegos y Estudio</t>
        </is>
      </c>
      <c r="H4589" s="16" t="inlineStr">
        <is>
          <t>rosa</t>
        </is>
      </c>
      <c r="I4589" s="16" t="n">
        <v>1</v>
      </c>
      <c r="J4589" s="17" t="n">
        <v>85</v>
      </c>
      <c r="K4589" s="17" t="n">
        <v>87.28</v>
      </c>
      <c r="L4589" s="17" t="n">
        <v>25.86</v>
      </c>
      <c r="M4589" s="17" t="n">
        <v>0</v>
      </c>
      <c r="N4589" s="17">
        <f>K4589*0.08+L4589*0.08</f>
        <v/>
      </c>
      <c r="O4589" s="17">
        <f>-(K4589*0.025+L4589*0.025)</f>
        <v/>
      </c>
      <c r="P4589" s="17">
        <f>32</f>
        <v/>
      </c>
      <c r="Q4589" s="17">
        <f>J4589+L4589+N4589+O4589-P4589-M4589</f>
        <v/>
      </c>
    </row>
    <row r="4590">
      <c r="A4590" s="16" t="inlineStr">
        <is>
          <t>5.8-5.14</t>
        </is>
      </c>
      <c r="B4590" s="16" t="inlineStr">
        <is>
          <t>PO-128-11274423844472846</t>
        </is>
      </c>
      <c r="C4590" s="16" t="inlineStr">
        <is>
          <t>Delivered</t>
        </is>
      </c>
      <c r="D4590" s="16" t="inlineStr">
        <is>
          <t>128-11274450058872846</t>
        </is>
      </c>
      <c r="E4590" s="16" t="inlineStr">
        <is>
          <t>Delivered</t>
        </is>
      </c>
      <c r="F4590" s="16" t="inlineStr">
        <is>
          <t>LV54W25</t>
        </is>
      </c>
      <c r="G4590" s="16" t="inlineStr">
        <is>
          <t>TIANLAI Lámpara Ventilador E27 2 en 1, Silenciosa, LED Alta Luminosidad 180°, Instalación Rápida, Ahorro Energético para Dormitorio y Interiores Pequeños</t>
        </is>
      </c>
      <c r="H4590" s="16" t="inlineStr">
        <is>
          <t>1 Pieza</t>
        </is>
      </c>
      <c r="I4590" s="16" t="n">
        <v>1</v>
      </c>
      <c r="J4590" s="17" t="n">
        <v>79</v>
      </c>
      <c r="K4590" s="17" t="n">
        <v>66.18000000000001</v>
      </c>
      <c r="L4590" s="17" t="n">
        <v>25.86</v>
      </c>
      <c r="M4590" s="17" t="n">
        <v>0</v>
      </c>
      <c r="N4590" s="17">
        <f>K4590*0.08+L4590*0.08</f>
        <v/>
      </c>
      <c r="O4590" s="17">
        <f>-(K4590*0.025+L4590*0.025)</f>
        <v/>
      </c>
      <c r="P4590" s="17">
        <f>32</f>
        <v/>
      </c>
      <c r="Q4590" s="17">
        <f>J4590+L4590+N4590+O4590-P4590-M4590</f>
        <v/>
      </c>
    </row>
    <row r="4591">
      <c r="A4591" s="16" t="inlineStr">
        <is>
          <t>5.8-5.14</t>
        </is>
      </c>
      <c r="B4591" s="16" t="inlineStr">
        <is>
          <t>PO-128-11117277138553910</t>
        </is>
      </c>
      <c r="C4591" s="16" t="inlineStr">
        <is>
          <t>Delivered</t>
        </is>
      </c>
      <c r="D4591" s="16" t="inlineStr">
        <is>
          <t>128-11117273206393910</t>
        </is>
      </c>
      <c r="E4591" s="16" t="inlineStr">
        <is>
          <t>Delivered</t>
        </is>
      </c>
      <c r="F4591" s="16" t="inlineStr">
        <is>
          <t>LV54W25</t>
        </is>
      </c>
      <c r="G4591" s="16" t="inlineStr">
        <is>
          <t>TIANLAI Lámpara Ventilador E27 2 en 1, Silenciosa, LED Alta Luminosidad 180°, Instalación Rápida, Ahorro Energético para Dormitorio y Interiores Pequeños</t>
        </is>
      </c>
      <c r="H4591" s="16" t="inlineStr">
        <is>
          <t>1 Pieza</t>
        </is>
      </c>
      <c r="I4591" s="16" t="n">
        <v>3</v>
      </c>
      <c r="J4591" s="17" t="n">
        <v>237</v>
      </c>
      <c r="K4591" s="17" t="n">
        <v>210.96</v>
      </c>
      <c r="L4591" s="17" t="n">
        <v>0</v>
      </c>
      <c r="M4591" s="17" t="n">
        <v>0</v>
      </c>
      <c r="N4591" s="17">
        <f>K4591*0.08+L4591*0.08</f>
        <v/>
      </c>
      <c r="O4591" s="17">
        <f>-(K4591*0.025+L4591*0.025)</f>
        <v/>
      </c>
      <c r="P4591" s="17">
        <f>32</f>
        <v/>
      </c>
      <c r="Q4591" s="17">
        <f>J4591+L4591+N4591+O4591-P4591-M4591</f>
        <v/>
      </c>
    </row>
    <row r="4592">
      <c r="A4592" s="16" t="inlineStr">
        <is>
          <t>5.8-5.14</t>
        </is>
      </c>
      <c r="B4592" s="16" t="inlineStr">
        <is>
          <t>PO-128-11398806346871272</t>
        </is>
      </c>
      <c r="C4592" s="16" t="inlineStr">
        <is>
          <t>Delivered</t>
        </is>
      </c>
      <c r="D4592" s="16" t="inlineStr">
        <is>
          <t>128-11398869261431272</t>
        </is>
      </c>
      <c r="E4592" s="16" t="inlineStr">
        <is>
          <t>Delivered</t>
        </is>
      </c>
      <c r="F4592" s="16" t="inlineStr">
        <is>
          <t>TL2663N18C</t>
        </is>
      </c>
      <c r="G4592" s="16" t="inlineStr">
        <is>
          <t>Linkbits，Soporte de pared fijo para televisores de 26"-63", Ultra-Delgado Compatible con VESA 400x400mm, Capacidad de Peso Fuerte de 25KG, Instalación Fácil Sin Electricidad</t>
        </is>
      </c>
      <c r="H4592" s="16" t="inlineStr">
        <is>
          <t>NEGRO</t>
        </is>
      </c>
      <c r="I4592" s="16" t="n">
        <v>1</v>
      </c>
      <c r="J4592" s="17" t="n">
        <v>55.5</v>
      </c>
      <c r="K4592" s="17" t="n">
        <v>52.11</v>
      </c>
      <c r="L4592" s="17" t="n">
        <v>11.03</v>
      </c>
      <c r="M4592" s="17" t="n">
        <v>0</v>
      </c>
      <c r="N4592" s="17">
        <f>K4592*0.08+L4592*0.08</f>
        <v/>
      </c>
      <c r="O4592" s="17">
        <f>-(K4592*0.025+L4592*0.025)</f>
        <v/>
      </c>
      <c r="P4592" s="17">
        <f>32</f>
        <v/>
      </c>
      <c r="Q4592" s="17">
        <f>J4592+L4592+N4592+O4592-P4592-M4592</f>
        <v/>
      </c>
    </row>
    <row r="4593">
      <c r="A4593" s="16" t="inlineStr">
        <is>
          <t>5.8-5.14</t>
        </is>
      </c>
      <c r="B4593" s="16" t="inlineStr">
        <is>
          <t>PO-128-11398806346871272</t>
        </is>
      </c>
      <c r="C4593" s="16" t="inlineStr">
        <is>
          <t>Delivered</t>
        </is>
      </c>
      <c r="D4593" s="16" t="inlineStr">
        <is>
          <t>128-11398911204471272</t>
        </is>
      </c>
      <c r="E4593" s="16" t="inlineStr">
        <is>
          <t>Delivered</t>
        </is>
      </c>
      <c r="F4593" s="16" t="inlineStr">
        <is>
          <t>TL1455N20B</t>
        </is>
      </c>
      <c r="G4593" s="16" t="inlineStr">
        <is>
          <t>LINK BITS Soporte para TV 14 A 55 Pulgadas, Base para TV Pantalla Articulado Inclinable y Giratorio, MAX VESA 400×400 mm, Soporta hasta 18kg (Acero Reforzado)</t>
        </is>
      </c>
      <c r="H4593" s="16" t="inlineStr">
        <is>
          <t>TL1455N20B</t>
        </is>
      </c>
      <c r="I4593" s="16" t="n">
        <v>1</v>
      </c>
      <c r="J4593" s="17" t="n">
        <v>72</v>
      </c>
      <c r="K4593" s="17" t="n">
        <v>70.12</v>
      </c>
      <c r="L4593" s="17" t="n">
        <v>14.84</v>
      </c>
      <c r="M4593" s="17" t="n">
        <v>0</v>
      </c>
      <c r="N4593" s="17">
        <f>K4593*0.08+L4593*0.08</f>
        <v/>
      </c>
      <c r="O4593" s="17">
        <f>-(K4593*0.025+L4593*0.025)</f>
        <v/>
      </c>
      <c r="P4593" s="17">
        <f>32</f>
        <v/>
      </c>
      <c r="Q4593" s="17">
        <f>J4593+L4593+N4593+O4593-P4593-M4593</f>
        <v/>
      </c>
    </row>
    <row r="4594">
      <c r="A4594" s="16" t="inlineStr">
        <is>
          <t>5.8-5.14</t>
        </is>
      </c>
      <c r="B4594" s="16" t="inlineStr">
        <is>
          <t>PO-128-11517405494390439</t>
        </is>
      </c>
      <c r="C4594" s="16" t="inlineStr">
        <is>
          <t>Delivered</t>
        </is>
      </c>
      <c r="D4594" s="16" t="inlineStr">
        <is>
          <t>128-11517415980150439</t>
        </is>
      </c>
      <c r="E4594" s="16" t="inlineStr">
        <is>
          <t>Delivered</t>
        </is>
      </c>
      <c r="F4594" s="16" t="inlineStr">
        <is>
          <t>LV54W25</t>
        </is>
      </c>
      <c r="G4594" s="16" t="inlineStr">
        <is>
          <t>TIANLAI Lámpara Ventilador E27 2 en 1, Silenciosa, LED Alta Luminosidad 180°, Instalación Rápida, Ahorro Energético para Dormitorio y Interiores Pequeños</t>
        </is>
      </c>
      <c r="H4594" s="16" t="inlineStr">
        <is>
          <t>1 Pieza</t>
        </is>
      </c>
      <c r="I4594" s="16" t="n">
        <v>1</v>
      </c>
      <c r="J4594" s="17" t="n">
        <v>79</v>
      </c>
      <c r="K4594" s="17" t="n">
        <v>74.73</v>
      </c>
      <c r="L4594" s="17" t="n">
        <v>25.86</v>
      </c>
      <c r="M4594" s="17" t="n">
        <v>0</v>
      </c>
      <c r="N4594" s="17">
        <f>K4594*0.08+L4594*0.08</f>
        <v/>
      </c>
      <c r="O4594" s="17">
        <f>-(K4594*0.025+L4594*0.025)</f>
        <v/>
      </c>
      <c r="P4594" s="17">
        <f>32</f>
        <v/>
      </c>
      <c r="Q4594" s="17">
        <f>J4594+L4594+N4594+O4594-P4594-M4594</f>
        <v/>
      </c>
    </row>
    <row r="4595">
      <c r="A4595" s="16" t="inlineStr">
        <is>
          <t>5.8-5.14</t>
        </is>
      </c>
      <c r="B4595" s="16" t="inlineStr">
        <is>
          <t>PO-128-11195014631032361</t>
        </is>
      </c>
      <c r="C4595" s="16" t="inlineStr">
        <is>
          <t>Delivered</t>
        </is>
      </c>
      <c r="D4595" s="16" t="inlineStr">
        <is>
          <t>128-11194972687992361</t>
        </is>
      </c>
      <c r="E4595" s="16" t="inlineStr">
        <is>
          <t>Delivered</t>
        </is>
      </c>
      <c r="F4595" s="16" t="inlineStr">
        <is>
          <t>VB349T</t>
        </is>
      </c>
      <c r="G4595" s="16" t="inlineStr">
        <is>
          <t>LINKBITS Altavoz Portátil de Doble Altavoz - 3 Pulgadas, Sonido HD, Emparejamiento Rápido de Bluetooth, Conectividad TWS, Reproducción Multimodo (Micro SD/USB/Radio FM) - Perfecto para Oficina, Viajes y Espacios Pequeños</t>
        </is>
      </c>
      <c r="H4595" s="16" t="inlineStr">
        <is>
          <t>NEGRO</t>
        </is>
      </c>
      <c r="I4595" s="16" t="n">
        <v>1</v>
      </c>
      <c r="J4595" s="17" t="n">
        <v>81</v>
      </c>
      <c r="K4595" s="17" t="n">
        <v>94.27</v>
      </c>
      <c r="L4595" s="17" t="n">
        <v>25.86</v>
      </c>
      <c r="M4595" s="17" t="n">
        <v>0</v>
      </c>
      <c r="N4595" s="17">
        <f>K4595*0.08+L4595*0.08</f>
        <v/>
      </c>
      <c r="O4595" s="17">
        <f>-(K4595*0.025+L4595*0.025)</f>
        <v/>
      </c>
      <c r="P4595" s="17">
        <f>32</f>
        <v/>
      </c>
      <c r="Q4595" s="17">
        <f>J4595+L4595+N4595+O4595-P4595-M4595</f>
        <v/>
      </c>
    </row>
    <row r="4596">
      <c r="A4596" s="16" t="inlineStr">
        <is>
          <t>5.8-5.14</t>
        </is>
      </c>
      <c r="B4596" s="16" t="inlineStr">
        <is>
          <t>PO-128-11220566441592209</t>
        </is>
      </c>
      <c r="C4596" s="16" t="inlineStr">
        <is>
          <t>Delivered</t>
        </is>
      </c>
      <c r="D4596" s="16" t="inlineStr">
        <is>
          <t>128-11220524498552209</t>
        </is>
      </c>
      <c r="E4596" s="16" t="inlineStr">
        <is>
          <t>Delivered</t>
        </is>
      </c>
      <c r="F4596" s="16" t="inlineStr">
        <is>
          <t>TL1455N20B</t>
        </is>
      </c>
      <c r="G4596" s="16" t="inlineStr">
        <is>
          <t>LINK BITS Soporte para TV 14 A 55 Pulgadas, Base para TV Pantalla Articulado Inclinable y Giratorio, MAX VESA 400×400 mm, Soporta hasta 18kg (Acero Reforzado)</t>
        </is>
      </c>
      <c r="H4596" s="16" t="inlineStr">
        <is>
          <t>TL1455N20B</t>
        </is>
      </c>
      <c r="I4596" s="16" t="n">
        <v>1</v>
      </c>
      <c r="J4596" s="17" t="n">
        <v>72</v>
      </c>
      <c r="K4596" s="17" t="n">
        <v>94.84</v>
      </c>
      <c r="L4596" s="17" t="n">
        <v>25.86</v>
      </c>
      <c r="M4596" s="17" t="n">
        <v>0</v>
      </c>
      <c r="N4596" s="17">
        <f>K4596*0.08+L4596*0.08</f>
        <v/>
      </c>
      <c r="O4596" s="17">
        <f>-(K4596*0.025+L4596*0.025)</f>
        <v/>
      </c>
      <c r="P4596" s="17">
        <f>32</f>
        <v/>
      </c>
      <c r="Q4596" s="17">
        <f>J4596+L4596+N4596+O4596-P4596-M4596</f>
        <v/>
      </c>
    </row>
    <row r="4597">
      <c r="A4597" s="16" t="inlineStr">
        <is>
          <t>5.8-5.14</t>
        </is>
      </c>
      <c r="B4597" s="16" t="inlineStr">
        <is>
          <t>PO-128-11623561966710831</t>
        </is>
      </c>
      <c r="C4597" s="16" t="inlineStr">
        <is>
          <t>Delivered</t>
        </is>
      </c>
      <c r="D4597" s="16" t="inlineStr">
        <is>
          <t>128-11623520023670831</t>
        </is>
      </c>
      <c r="E4597" s="16" t="inlineStr">
        <is>
          <t>Delivered</t>
        </is>
      </c>
      <c r="F4597" s="16" t="inlineStr">
        <is>
          <t>KTS-2031</t>
        </is>
      </c>
      <c r="G4597" s="16" t="inlineStr">
        <is>
          <t>Bocina inalámbrica de 3 pulgadas con linterna multifuncional y panel solar integrado.Altavoz Portátil con Linterna LED 4 Modos, Radio FM, Bluetooth, Carga Solar, Ideal para Apagones, Emergencias, Campo y Exteriores</t>
        </is>
      </c>
      <c r="H4597" s="16" t="inlineStr">
        <is>
          <t>NEGRO</t>
        </is>
      </c>
      <c r="I4597" s="16" t="n">
        <v>1</v>
      </c>
      <c r="J4597" s="17" t="n">
        <v>78</v>
      </c>
      <c r="K4597" s="17" t="n">
        <v>87.23</v>
      </c>
      <c r="L4597" s="17" t="n">
        <v>25.86</v>
      </c>
      <c r="M4597" s="17" t="n">
        <v>0</v>
      </c>
      <c r="N4597" s="17">
        <f>K4597*0.08+L4597*0.08</f>
        <v/>
      </c>
      <c r="O4597" s="17">
        <f>-(K4597*0.025+L4597*0.025)</f>
        <v/>
      </c>
      <c r="P4597" s="17">
        <f>32</f>
        <v/>
      </c>
      <c r="Q4597" s="17">
        <f>J4597+L4597+N4597+O4597-P4597-M4597</f>
        <v/>
      </c>
    </row>
    <row r="4598">
      <c r="A4598" s="16" t="inlineStr">
        <is>
          <t>5.8-5.14</t>
        </is>
      </c>
      <c r="B4598" s="16" t="inlineStr">
        <is>
          <t>PO-128-11468036214391692</t>
        </is>
      </c>
      <c r="C4598" s="16" t="inlineStr">
        <is>
          <t>Delivered</t>
        </is>
      </c>
      <c r="D4598" s="16" t="inlineStr">
        <is>
          <t>128-11467994271351692</t>
        </is>
      </c>
      <c r="E4598" s="16" t="inlineStr">
        <is>
          <t>Delivered</t>
        </is>
      </c>
      <c r="F4598" s="16" t="inlineStr">
        <is>
          <t>LV54W25</t>
        </is>
      </c>
      <c r="G4598" s="16" t="inlineStr">
        <is>
          <t>TIANLAI Lámpara Ventilador E27 2 en 1, Silenciosa, LED Alta Luminosidad 180°, Instalación Rápida, Ahorro Energético para Dormitorio y Interiores Pequeños</t>
        </is>
      </c>
      <c r="H4598" s="16" t="inlineStr">
        <is>
          <t>1 Pieza</t>
        </is>
      </c>
      <c r="I4598" s="16" t="n">
        <v>1</v>
      </c>
      <c r="J4598" s="17" t="n">
        <v>79</v>
      </c>
      <c r="K4598" s="17" t="n">
        <v>29.28</v>
      </c>
      <c r="L4598" s="17" t="n">
        <v>25.86</v>
      </c>
      <c r="M4598" s="17" t="n">
        <v>0</v>
      </c>
      <c r="N4598" s="17">
        <f>K4598*0.08+L4598*0.08</f>
        <v/>
      </c>
      <c r="O4598" s="17">
        <f>-(K4598*0.025+L4598*0.025)</f>
        <v/>
      </c>
      <c r="P4598" s="17">
        <f>32</f>
        <v/>
      </c>
      <c r="Q4598" s="17">
        <f>J4598+L4598+N4598+O4598-P4598-M4598</f>
        <v/>
      </c>
    </row>
    <row r="4599">
      <c r="A4599" s="16" t="inlineStr">
        <is>
          <t>5.8-5.14</t>
        </is>
      </c>
      <c r="B4599" s="16" t="inlineStr">
        <is>
          <t>PO-128-11024441756793376</t>
        </is>
      </c>
      <c r="C4599" s="16" t="inlineStr">
        <is>
          <t>Delivered</t>
        </is>
      </c>
      <c r="D4599" s="16" t="inlineStr">
        <is>
          <t>128-11024399813753376</t>
        </is>
      </c>
      <c r="E4599" s="16" t="inlineStr">
        <is>
          <t>Delivered</t>
        </is>
      </c>
      <c r="F4599" s="16" t="inlineStr">
        <is>
          <t>LV54W25</t>
        </is>
      </c>
      <c r="G4599" s="16" t="inlineStr">
        <is>
          <t>TIANLAI Lámpara Ventilador E27 2 en 1, Silenciosa, LED Alta Luminosidad 180°, Instalación Rápida, Ahorro Energético para Dormitorio y Interiores Pequeños</t>
        </is>
      </c>
      <c r="H4599" s="16" t="inlineStr">
        <is>
          <t>1 Pieza</t>
        </is>
      </c>
      <c r="I4599" s="16" t="n">
        <v>2</v>
      </c>
      <c r="J4599" s="17" t="n">
        <v>158</v>
      </c>
      <c r="K4599" s="17" t="n">
        <v>120.45</v>
      </c>
      <c r="L4599" s="17" t="n">
        <v>25.86</v>
      </c>
      <c r="M4599" s="17" t="n">
        <v>0</v>
      </c>
      <c r="N4599" s="17">
        <f>K4599*0.08+L4599*0.08</f>
        <v/>
      </c>
      <c r="O4599" s="17">
        <f>-(K4599*0.025+L4599*0.025)</f>
        <v/>
      </c>
      <c r="P4599" s="17">
        <f>32</f>
        <v/>
      </c>
      <c r="Q4599" s="17">
        <f>J4599+L4599+N4599+O4599-P4599-M4599</f>
        <v/>
      </c>
    </row>
    <row r="4600">
      <c r="A4600" s="16" t="inlineStr">
        <is>
          <t>5.8-5.14</t>
        </is>
      </c>
      <c r="B4600" s="16" t="inlineStr">
        <is>
          <t>PO-128-11607963139190986</t>
        </is>
      </c>
      <c r="C4600" s="16" t="inlineStr">
        <is>
          <t>Delivered</t>
        </is>
      </c>
      <c r="D4600" s="16" t="inlineStr">
        <is>
          <t>128-11607921196150986</t>
        </is>
      </c>
      <c r="E4600" s="16" t="inlineStr">
        <is>
          <t>Delivered</t>
        </is>
      </c>
      <c r="F4600" s="16" t="inlineStr">
        <is>
          <t>KTS-2031</t>
        </is>
      </c>
      <c r="G4600" s="16" t="inlineStr">
        <is>
          <t>Bocina inalámbrica de 3 pulgadas con linterna multifuncional y panel solar integrado.Altavoz Portátil con Linterna LED 4 Modos, Radio FM, Bluetooth, Carga Solar, Ideal para Apagones, Emergencias, Campo y Exteriores</t>
        </is>
      </c>
      <c r="H4600" s="16" t="inlineStr">
        <is>
          <t>NEGRO</t>
        </is>
      </c>
      <c r="I4600" s="16" t="n">
        <v>1</v>
      </c>
      <c r="J4600" s="17" t="n">
        <v>78</v>
      </c>
      <c r="K4600" s="17" t="n">
        <v>74.15000000000001</v>
      </c>
      <c r="L4600" s="17" t="n">
        <v>25.86</v>
      </c>
      <c r="M4600" s="17" t="n">
        <v>0</v>
      </c>
      <c r="N4600" s="17">
        <f>K4600*0.08+L4600*0.08</f>
        <v/>
      </c>
      <c r="O4600" s="17">
        <f>-(K4600*0.025+L4600*0.025)</f>
        <v/>
      </c>
      <c r="P4600" s="17">
        <f>32</f>
        <v/>
      </c>
      <c r="Q4600" s="17">
        <f>J4600+L4600+N4600+O4600-P4600-M4600</f>
        <v/>
      </c>
    </row>
    <row r="4601">
      <c r="A4601" s="16" t="inlineStr">
        <is>
          <t>5.8-5.14</t>
        </is>
      </c>
      <c r="B4601" s="16" t="inlineStr">
        <is>
          <t>PO-128-11415398034551111</t>
        </is>
      </c>
      <c r="C4601" s="16" t="inlineStr">
        <is>
          <t>Delivered</t>
        </is>
      </c>
      <c r="D4601" s="16" t="inlineStr">
        <is>
          <t>128-11415408520311111</t>
        </is>
      </c>
      <c r="E4601" s="16" t="inlineStr">
        <is>
          <t>Delivered</t>
        </is>
      </c>
      <c r="F4601" s="16" t="inlineStr">
        <is>
          <t>BSC04</t>
        </is>
      </c>
      <c r="G4601" s="16" t="inlineStr">
        <is>
          <t>TIANLAI Báscula Digital BSC04/BSC07, Alta Precisión, Fácil Operación, Ligera y Portátil, Función Tara, Unidad Dual oz/g, Ideal para Cocina, Control de Porciones, Sellos y Objetos Pequeños, Uso en Hogar y Viaje</t>
        </is>
      </c>
      <c r="H4601" s="16" t="inlineStr">
        <is>
          <t>5g/White</t>
        </is>
      </c>
      <c r="I4601" s="16" t="n">
        <v>1</v>
      </c>
      <c r="J4601" s="17" t="n">
        <v>58</v>
      </c>
      <c r="K4601" s="17" t="n">
        <v>66.34</v>
      </c>
      <c r="L4601" s="17" t="n">
        <v>25.86</v>
      </c>
      <c r="M4601" s="17" t="n">
        <v>0</v>
      </c>
      <c r="N4601" s="17">
        <f>K4601*0.08+L4601*0.08</f>
        <v/>
      </c>
      <c r="O4601" s="17">
        <f>-(K4601*0.025+L4601*0.025)</f>
        <v/>
      </c>
      <c r="P4601" s="17">
        <f>32</f>
        <v/>
      </c>
      <c r="Q4601" s="17">
        <f>J4601+L4601+N4601+O4601-P4601-M4601</f>
        <v/>
      </c>
    </row>
    <row r="4602">
      <c r="A4602" s="16" t="inlineStr">
        <is>
          <t>5.8-5.14</t>
        </is>
      </c>
      <c r="B4602" s="16" t="inlineStr">
        <is>
          <t>PO-128-11297446382712708</t>
        </is>
      </c>
      <c r="C4602" s="16" t="inlineStr">
        <is>
          <t>Delivered</t>
        </is>
      </c>
      <c r="D4602" s="16" t="inlineStr">
        <is>
          <t>128-11297469975672708</t>
        </is>
      </c>
      <c r="E4602" s="16" t="inlineStr">
        <is>
          <t>Delivered</t>
        </is>
      </c>
      <c r="F4602" s="16" t="inlineStr">
        <is>
          <t>KTS-2031</t>
        </is>
      </c>
      <c r="G4602" s="16" t="inlineStr">
        <is>
          <t>Bocina inalámbrica de 3 pulgadas con linterna multifuncional y panel solar integrado.Altavoz Portátil con Linterna LED 4 Modos, Radio FM, Bluetooth, Carga Solar, Ideal para Apagones, Emergencias, Campo y Exteriores</t>
        </is>
      </c>
      <c r="H4602" s="16" t="inlineStr">
        <is>
          <t>NEGRO</t>
        </is>
      </c>
      <c r="I4602" s="16" t="n">
        <v>2</v>
      </c>
      <c r="J4602" s="17" t="n">
        <v>156</v>
      </c>
      <c r="K4602" s="17" t="n">
        <v>164.07</v>
      </c>
      <c r="L4602" s="17" t="n">
        <v>25.86</v>
      </c>
      <c r="M4602" s="17" t="n">
        <v>5.68</v>
      </c>
      <c r="N4602" s="17">
        <f>K4602*0.08+L4602*0.08</f>
        <v/>
      </c>
      <c r="O4602" s="17">
        <f>-(K4602*0.025+L4602*0.025)</f>
        <v/>
      </c>
      <c r="P4602" s="17">
        <f>32</f>
        <v/>
      </c>
      <c r="Q4602" s="17">
        <f>J4602+L4602+N4602+O4602-P4602-M4602</f>
        <v/>
      </c>
    </row>
    <row r="4603">
      <c r="A4603" s="16" t="inlineStr">
        <is>
          <t>5.8-5.14</t>
        </is>
      </c>
      <c r="B4603" s="16" t="inlineStr">
        <is>
          <t>PO-128-11646113485430694</t>
        </is>
      </c>
      <c r="C4603" s="16" t="inlineStr">
        <is>
          <t>Delivered</t>
        </is>
      </c>
      <c r="D4603" s="16" t="inlineStr">
        <is>
          <t>128-11646218343030694</t>
        </is>
      </c>
      <c r="E4603" s="16" t="inlineStr">
        <is>
          <t>Delivered</t>
        </is>
      </c>
      <c r="F4603" s="16" t="inlineStr">
        <is>
          <t>LV54W25</t>
        </is>
      </c>
      <c r="G4603" s="16" t="inlineStr">
        <is>
          <t>TIANLAI Lámpara Ventilador E27 2 en 1, Silenciosa, LED Alta Luminosidad 180°, Instalación Rápida, Ahorro Energético para Dormitorio y Interiores Pequeños</t>
        </is>
      </c>
      <c r="H4603" s="16" t="inlineStr">
        <is>
          <t>1 Pieza</t>
        </is>
      </c>
      <c r="I4603" s="16" t="n">
        <v>3</v>
      </c>
      <c r="J4603" s="17" t="n">
        <v>237</v>
      </c>
      <c r="K4603" s="17" t="n">
        <v>248.19</v>
      </c>
      <c r="L4603" s="17" t="n">
        <v>0</v>
      </c>
      <c r="M4603" s="17" t="n">
        <v>0</v>
      </c>
      <c r="N4603" s="17">
        <f>K4603*0.08+L4603*0.08</f>
        <v/>
      </c>
      <c r="O4603" s="17">
        <f>-(K4603*0.025+L4603*0.025)</f>
        <v/>
      </c>
      <c r="P4603" s="17">
        <f>32</f>
        <v/>
      </c>
      <c r="Q4603" s="17">
        <f>J4603+L4603+N4603+O4603-P4603-M4603</f>
        <v/>
      </c>
    </row>
    <row r="4604">
      <c r="A4604" s="16" t="inlineStr">
        <is>
          <t>5.8-5.14</t>
        </is>
      </c>
      <c r="B4604" s="16" t="inlineStr">
        <is>
          <t>PO-128-11391895706231186</t>
        </is>
      </c>
      <c r="C4604" s="16" t="inlineStr">
        <is>
          <t>Delivered</t>
        </is>
      </c>
      <c r="D4604" s="16" t="inlineStr">
        <is>
          <t>128-11391890463351186</t>
        </is>
      </c>
      <c r="E4604" s="16" t="inlineStr">
        <is>
          <t>Delivered</t>
        </is>
      </c>
      <c r="F4604" s="16" t="inlineStr">
        <is>
          <t>LV54W25</t>
        </is>
      </c>
      <c r="G4604" s="16" t="inlineStr">
        <is>
          <t>TIANLAI Lámpara Ventilador E27 2 en 1, Silenciosa, LED Alta Luminosidad 180°, Instalación Rápida, Ahorro Energético para Dormitorio y Interiores Pequeños</t>
        </is>
      </c>
      <c r="H4604" s="16" t="inlineStr">
        <is>
          <t>1 Pieza</t>
        </is>
      </c>
      <c r="I4604" s="16" t="n">
        <v>1</v>
      </c>
      <c r="J4604" s="17" t="n">
        <v>79</v>
      </c>
      <c r="K4604" s="17" t="n">
        <v>82.73</v>
      </c>
      <c r="L4604" s="17" t="n">
        <v>25.86</v>
      </c>
      <c r="M4604" s="17" t="n">
        <v>0</v>
      </c>
      <c r="N4604" s="17">
        <f>K4604*0.08+L4604*0.08</f>
        <v/>
      </c>
      <c r="O4604" s="17">
        <f>-(K4604*0.025+L4604*0.025)</f>
        <v/>
      </c>
      <c r="P4604" s="17">
        <f>32</f>
        <v/>
      </c>
      <c r="Q4604" s="17">
        <f>J4604+L4604+N4604+O4604-P4604-M4604</f>
        <v/>
      </c>
    </row>
    <row r="4605">
      <c r="A4605" s="16" t="inlineStr">
        <is>
          <t>5.8-5.14</t>
        </is>
      </c>
      <c r="B4605" s="16" t="inlineStr">
        <is>
          <t>PO-128-11322055680632562</t>
        </is>
      </c>
      <c r="C4605" s="16" t="inlineStr">
        <is>
          <t>Delivered</t>
        </is>
      </c>
      <c r="D4605" s="16" t="inlineStr">
        <is>
          <t>128-11322066166392562</t>
        </is>
      </c>
      <c r="E4605" s="16" t="inlineStr">
        <is>
          <t>Delivered</t>
        </is>
      </c>
      <c r="F4605" s="16" t="inlineStr">
        <is>
          <t>i12-B</t>
        </is>
      </c>
      <c r="G4605" s="16" t="inlineStr">
        <is>
          <t>Auriculares Inalámbricos TWS - Ideales para Usuarios Android e iPhone, Entusiastas del Deporte &amp; Música, Controles Táctiles, Audífonos Para Correr y Jugar</t>
        </is>
      </c>
      <c r="H4605" s="16" t="inlineStr">
        <is>
          <t>Blanco</t>
        </is>
      </c>
      <c r="I4605" s="16" t="n">
        <v>1</v>
      </c>
      <c r="J4605" s="17" t="n">
        <v>44.8</v>
      </c>
      <c r="K4605" s="17" t="n">
        <v>60.98</v>
      </c>
      <c r="L4605" s="17" t="n">
        <v>25.86</v>
      </c>
      <c r="M4605" s="17" t="n">
        <v>0</v>
      </c>
      <c r="N4605" s="17">
        <f>K4605*0.08+L4605*0.08</f>
        <v/>
      </c>
      <c r="O4605" s="17">
        <f>-(K4605*0.025+L4605*0.025)</f>
        <v/>
      </c>
      <c r="P4605" s="17">
        <f>32</f>
        <v/>
      </c>
      <c r="Q4605" s="17">
        <f>J4605+L4605+N4605+O4605-P4605-M4605</f>
        <v/>
      </c>
    </row>
    <row r="4606">
      <c r="A4606" s="16" t="inlineStr">
        <is>
          <t>5.8-5.14</t>
        </is>
      </c>
      <c r="B4606" s="16" t="inlineStr">
        <is>
          <t>PO-128-11008454001273537</t>
        </is>
      </c>
      <c r="C4606" s="16" t="inlineStr">
        <is>
          <t>Delivered</t>
        </is>
      </c>
      <c r="D4606" s="16" t="inlineStr">
        <is>
          <t>128-11008401572473537</t>
        </is>
      </c>
      <c r="E4606" s="16" t="inlineStr">
        <is>
          <t>Delivered</t>
        </is>
      </c>
      <c r="F4606" s="16" t="inlineStr">
        <is>
          <t>B03W10-10PZS</t>
        </is>
      </c>
      <c r="G4606" s="16" t="inlineStr">
        <is>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is>
      </c>
      <c r="H4606" s="16" t="inlineStr">
        <is>
          <t>B03W10</t>
        </is>
      </c>
      <c r="I4606" s="16" t="n">
        <v>1</v>
      </c>
      <c r="J4606" s="17" t="n">
        <v>70</v>
      </c>
      <c r="K4606" s="17" t="n">
        <v>90.18000000000001</v>
      </c>
      <c r="L4606" s="17" t="n">
        <v>25.86</v>
      </c>
      <c r="M4606" s="17" t="n">
        <v>0</v>
      </c>
      <c r="N4606" s="17">
        <f>K4606*0.08+L4606*0.08</f>
        <v/>
      </c>
      <c r="O4606" s="17">
        <f>-(K4606*0.025+L4606*0.025)</f>
        <v/>
      </c>
      <c r="P4606" s="17">
        <f>32</f>
        <v/>
      </c>
      <c r="Q4606" s="17">
        <f>J4606+L4606+N4606+O4606-P4606-M4606</f>
        <v/>
      </c>
    </row>
    <row r="4607">
      <c r="A4607" s="16" t="inlineStr">
        <is>
          <t>5.8-5.14</t>
        </is>
      </c>
      <c r="B4607" s="16" t="inlineStr">
        <is>
          <t>PO-128-00364525755511506</t>
        </is>
      </c>
      <c r="C4607" s="16" t="inlineStr">
        <is>
          <t>Delivered</t>
        </is>
      </c>
      <c r="D4607" s="16" t="inlineStr">
        <is>
          <t>128-00364546727031506</t>
        </is>
      </c>
      <c r="E4607" s="16" t="inlineStr">
        <is>
          <t>Delivered</t>
        </is>
      </c>
      <c r="F4607" s="16" t="inlineStr">
        <is>
          <t>TL1455N20B</t>
        </is>
      </c>
      <c r="G4607" s="16" t="inlineStr">
        <is>
          <t>LINK BITS Soporte para TV 14 A 55 Pulgadas, Base para TV Pantalla Articulado Inclinable y Giratorio, MAX VESA 400×400 mm, Soporta hasta 18kg, adaptarse a la mayoría de los televisores de 14 Pulgadas/20 Pulgadas/32 Pulgadas/42 Pulgadas/55 pulgadas</t>
        </is>
      </c>
      <c r="H4607" s="16" t="inlineStr">
        <is>
          <t>TL1455N20B</t>
        </is>
      </c>
      <c r="I4607" s="16" t="n">
        <v>3</v>
      </c>
      <c r="J4607" s="17" t="n">
        <v>216</v>
      </c>
      <c r="K4607" s="17" t="n">
        <v>246.58</v>
      </c>
      <c r="L4607" s="17" t="n">
        <v>0</v>
      </c>
      <c r="M4607" s="17" t="n">
        <v>7.89</v>
      </c>
      <c r="N4607" s="17">
        <f>K4607*0.08+L4607*0.08</f>
        <v/>
      </c>
      <c r="O4607" s="17">
        <f>-(K4607*0.025+L4607*0.025)</f>
        <v/>
      </c>
      <c r="P4607" s="17">
        <f>32</f>
        <v/>
      </c>
      <c r="Q4607" s="17">
        <f>J4607+L4607+N4607+O4607-P4607-M4607</f>
        <v/>
      </c>
    </row>
    <row r="4608">
      <c r="A4608" s="16" t="inlineStr">
        <is>
          <t>5.8-5.14</t>
        </is>
      </c>
      <c r="B4608" s="16" t="inlineStr">
        <is>
          <t>PO-128-00199938944632361</t>
        </is>
      </c>
      <c r="C4608" s="16" t="inlineStr">
        <is>
          <t>Delivered</t>
        </is>
      </c>
      <c r="D4608" s="16" t="inlineStr">
        <is>
          <t>128-00199959916152361</t>
        </is>
      </c>
      <c r="E4608" s="16" t="inlineStr">
        <is>
          <t>Delivered</t>
        </is>
      </c>
      <c r="F4608" s="16" t="inlineStr">
        <is>
          <t>SA428T</t>
        </is>
      </c>
      <c r="G4608" s="16" t="inlineStr">
        <is>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is>
      </c>
      <c r="H4608" s="16" t="inlineStr">
        <is>
          <t>SA428T</t>
        </is>
      </c>
      <c r="I4608" s="16" t="n">
        <v>1</v>
      </c>
      <c r="J4608" s="17" t="n">
        <v>86.22</v>
      </c>
      <c r="K4608" s="17" t="n">
        <v>81.34999999999999</v>
      </c>
      <c r="L4608" s="17" t="n">
        <v>25.86</v>
      </c>
      <c r="M4608" s="17" t="n">
        <v>0.03</v>
      </c>
      <c r="N4608" s="17">
        <f>K4608*0.08+L4608*0.08</f>
        <v/>
      </c>
      <c r="O4608" s="17">
        <f>-(K4608*0.025+L4608*0.025)</f>
        <v/>
      </c>
      <c r="P4608" s="17">
        <f>32</f>
        <v/>
      </c>
      <c r="Q4608" s="17">
        <f>J4608+L4608+N4608+O4608-P4608-M4608</f>
        <v/>
      </c>
    </row>
    <row r="4609">
      <c r="A4609" s="16" t="inlineStr">
        <is>
          <t>5.8-5.14</t>
        </is>
      </c>
      <c r="B4609" s="16" t="inlineStr">
        <is>
          <t>PO-128-00470565770871898</t>
        </is>
      </c>
      <c r="C4609" s="16" t="inlineStr">
        <is>
          <t>Delivered</t>
        </is>
      </c>
      <c r="D4609" s="16" t="inlineStr">
        <is>
          <t>128-00470523827831898</t>
        </is>
      </c>
      <c r="E4609" s="16" t="inlineStr">
        <is>
          <t>Delivered</t>
        </is>
      </c>
      <c r="F4609" s="16" t="inlineStr">
        <is>
          <t>LV64W25</t>
        </is>
      </c>
      <c r="G4609"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09" s="16" t="inlineStr">
        <is>
          <t>Blanco</t>
        </is>
      </c>
      <c r="I4609" s="16" t="n">
        <v>1</v>
      </c>
      <c r="J4609" s="17" t="n">
        <v>125</v>
      </c>
      <c r="K4609" s="17" t="n">
        <v>128.95</v>
      </c>
      <c r="L4609" s="17" t="n">
        <v>25.86</v>
      </c>
      <c r="M4609" s="17" t="n">
        <v>0</v>
      </c>
      <c r="N4609" s="17">
        <f>K4609*0.08+L4609*0.08</f>
        <v/>
      </c>
      <c r="O4609" s="17">
        <f>-(K4609*0.025+L4609*0.025)</f>
        <v/>
      </c>
      <c r="P4609" s="17">
        <f>32</f>
        <v/>
      </c>
      <c r="Q4609" s="17">
        <f>J4609+L4609+N4609+O4609-P4609-M4609</f>
        <v/>
      </c>
    </row>
    <row r="4610">
      <c r="A4610" s="16" t="inlineStr">
        <is>
          <t>5.8-5.14</t>
        </is>
      </c>
      <c r="B4610" s="16" t="inlineStr">
        <is>
          <t>PO-128-00173027471992457</t>
        </is>
      </c>
      <c r="C4610" s="16" t="inlineStr">
        <is>
          <t>Delivered</t>
        </is>
      </c>
      <c r="D4610" s="16" t="inlineStr">
        <is>
          <t>128-00173069415032457</t>
        </is>
      </c>
      <c r="E4610" s="16" t="inlineStr">
        <is>
          <t>Delivered</t>
        </is>
      </c>
      <c r="F4610" s="16" t="inlineStr">
        <is>
          <t>LV64W25</t>
        </is>
      </c>
      <c r="G4610"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10" s="16" t="inlineStr">
        <is>
          <t>Blanco</t>
        </is>
      </c>
      <c r="I4610" s="16" t="n">
        <v>3</v>
      </c>
      <c r="J4610" s="17" t="n">
        <v>375</v>
      </c>
      <c r="K4610" s="17" t="n">
        <v>343.75</v>
      </c>
      <c r="L4610" s="17" t="n">
        <v>0</v>
      </c>
      <c r="M4610" s="17" t="n">
        <v>0</v>
      </c>
      <c r="N4610" s="17">
        <f>K4610*0.08+L4610*0.08</f>
        <v/>
      </c>
      <c r="O4610" s="17">
        <f>-(K4610*0.025+L4610*0.025)</f>
        <v/>
      </c>
      <c r="P4610" s="17">
        <f>32</f>
        <v/>
      </c>
      <c r="Q4610" s="17">
        <f>J4610+L4610+N4610+O4610-P4610-M4610</f>
        <v/>
      </c>
    </row>
    <row r="4611">
      <c r="A4611" s="16" t="inlineStr">
        <is>
          <t>5.8-5.14</t>
        </is>
      </c>
      <c r="B4611" s="16" t="inlineStr">
        <is>
          <t>PO-128-00509443953271602</t>
        </is>
      </c>
      <c r="C4611" s="16" t="inlineStr">
        <is>
          <t>Delivered</t>
        </is>
      </c>
      <c r="D4611" s="16" t="inlineStr">
        <is>
          <t>128-00509519975031602</t>
        </is>
      </c>
      <c r="E4611" s="16" t="inlineStr">
        <is>
          <t>Delivered</t>
        </is>
      </c>
      <c r="F4611" s="16" t="inlineStr">
        <is>
          <t>BG-115-P</t>
        </is>
      </c>
      <c r="G4611" s="16" t="inlineStr">
        <is>
          <t>LINK BITS Audífonos Inalámbricos con Luces Multicolor, Recargables y en Adorable Forma de Orejas de Gato - Conecta a Celulares y PCs, Tiene Radio FM, Tarjeta TF y AUX - 7 Horas de Reproducción, Plegables y Perfectos para Trabajo, Juegos y Estudio</t>
        </is>
      </c>
      <c r="H4611" s="16" t="inlineStr">
        <is>
          <t>rosa</t>
        </is>
      </c>
      <c r="I4611" s="16" t="n">
        <v>1</v>
      </c>
      <c r="J4611" s="17" t="n">
        <v>85</v>
      </c>
      <c r="K4611" s="17" t="n">
        <v>95.73999999999999</v>
      </c>
      <c r="L4611" s="17" t="n">
        <v>25.86</v>
      </c>
      <c r="M4611" s="17" t="n">
        <v>0</v>
      </c>
      <c r="N4611" s="17">
        <f>K4611*0.08+L4611*0.08</f>
        <v/>
      </c>
      <c r="O4611" s="17">
        <f>-(K4611*0.025+L4611*0.025)</f>
        <v/>
      </c>
      <c r="P4611" s="17">
        <f>32</f>
        <v/>
      </c>
      <c r="Q4611" s="17">
        <f>J4611+L4611+N4611+O4611-P4611-M4611</f>
        <v/>
      </c>
    </row>
    <row r="4612">
      <c r="A4612" s="16" t="inlineStr">
        <is>
          <t>5.8-5.14</t>
        </is>
      </c>
      <c r="B4612" s="16" t="inlineStr">
        <is>
          <t>PO-128-19334853064314018</t>
        </is>
      </c>
      <c r="C4612" s="16" t="inlineStr">
        <is>
          <t>Delivered</t>
        </is>
      </c>
      <c r="D4612" s="16" t="inlineStr">
        <is>
          <t>128-19334874035834018</t>
        </is>
      </c>
      <c r="E4612" s="16" t="inlineStr">
        <is>
          <t>Delivered</t>
        </is>
      </c>
      <c r="F4612" s="16" t="inlineStr">
        <is>
          <t>LV64W25</t>
        </is>
      </c>
      <c r="G4612"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12" s="16" t="inlineStr">
        <is>
          <t>Blanco</t>
        </is>
      </c>
      <c r="I4612" s="16" t="n">
        <v>2</v>
      </c>
      <c r="J4612" s="17" t="n">
        <v>250</v>
      </c>
      <c r="K4612" s="17" t="n">
        <v>257.9</v>
      </c>
      <c r="L4612" s="17" t="n">
        <v>0</v>
      </c>
      <c r="M4612" s="17" t="n">
        <v>0</v>
      </c>
      <c r="N4612" s="17">
        <f>K4612*0.08+L4612*0.08</f>
        <v/>
      </c>
      <c r="O4612" s="17">
        <f>-(K4612*0.025+L4612*0.025)</f>
        <v/>
      </c>
      <c r="P4612" s="17">
        <f>32</f>
        <v/>
      </c>
      <c r="Q4612" s="17">
        <f>J4612+L4612+N4612+O4612-P4612-M4612</f>
        <v/>
      </c>
    </row>
    <row r="4613">
      <c r="A4613" s="16" t="inlineStr">
        <is>
          <t>5.8-5.14</t>
        </is>
      </c>
      <c r="B4613" s="16" t="inlineStr">
        <is>
          <t>PO-128-19661995336311108</t>
        </is>
      </c>
      <c r="C4613" s="16" t="inlineStr">
        <is>
          <t>Delivered</t>
        </is>
      </c>
      <c r="D4613" s="16" t="inlineStr">
        <is>
          <t>128-19662047765111108</t>
        </is>
      </c>
      <c r="E4613" s="16" t="inlineStr">
        <is>
          <t>Delivered</t>
        </is>
      </c>
      <c r="F4613" s="16" t="inlineStr">
        <is>
          <t>LV64W25</t>
        </is>
      </c>
      <c r="G4613"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13" s="16" t="inlineStr">
        <is>
          <t>Blanco</t>
        </is>
      </c>
      <c r="I4613" s="16" t="n">
        <v>2</v>
      </c>
      <c r="J4613" s="17" t="n">
        <v>250</v>
      </c>
      <c r="K4613" s="17" t="n">
        <v>260.78</v>
      </c>
      <c r="L4613" s="17" t="n">
        <v>0</v>
      </c>
      <c r="M4613" s="17" t="n">
        <v>0</v>
      </c>
      <c r="N4613" s="17">
        <f>K4613*0.08+L4613*0.08</f>
        <v/>
      </c>
      <c r="O4613" s="17">
        <f>-(K4613*0.025+L4613*0.025)</f>
        <v/>
      </c>
      <c r="P4613" s="17">
        <f>32</f>
        <v/>
      </c>
      <c r="Q4613" s="17">
        <f>J4613+L4613+N4613+O4613-P4613-M4613</f>
        <v/>
      </c>
    </row>
    <row r="4614">
      <c r="A4614" s="16" t="inlineStr">
        <is>
          <t>5.8-5.14</t>
        </is>
      </c>
      <c r="B4614" s="16" t="inlineStr">
        <is>
          <t>PO-128-19911406285430519</t>
        </is>
      </c>
      <c r="C4614" s="16" t="inlineStr">
        <is>
          <t>Delivered</t>
        </is>
      </c>
      <c r="D4614" s="16" t="inlineStr">
        <is>
          <t>128-19911511143030519</t>
        </is>
      </c>
      <c r="E4614" s="16" t="inlineStr">
        <is>
          <t>Delivered</t>
        </is>
      </c>
      <c r="F4614" s="16" t="inlineStr">
        <is>
          <t>LV64W25</t>
        </is>
      </c>
      <c r="G4614" s="16" t="inlineStr">
        <is>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is>
      </c>
      <c r="H4614" s="16" t="inlineStr">
        <is>
          <t>Blanco</t>
        </is>
      </c>
      <c r="I4614" s="16" t="n">
        <v>2</v>
      </c>
      <c r="J4614" s="17" t="n">
        <v>250</v>
      </c>
      <c r="K4614" s="17" t="n">
        <v>286.56</v>
      </c>
      <c r="L4614" s="17" t="n">
        <v>0</v>
      </c>
      <c r="M4614" s="17" t="n">
        <v>286.56</v>
      </c>
      <c r="N4614" s="17">
        <f>K4614*0.08+L4614*0.08</f>
        <v/>
      </c>
      <c r="O4614" s="17">
        <f>-(K4614*0.025+L4614*0.025)</f>
        <v/>
      </c>
      <c r="P4614" s="17">
        <f>32</f>
        <v/>
      </c>
      <c r="Q4614" s="17">
        <f>J4614+L4614+N4614+O4614-P4614-M4614</f>
        <v/>
      </c>
    </row>
    <row r="4615">
      <c r="A4615" s="16" t="inlineStr">
        <is>
          <t>5.8-5.14</t>
        </is>
      </c>
      <c r="B4615" s="16" t="inlineStr">
        <is>
          <t>PO-128-08859182572150986</t>
        </is>
      </c>
      <c r="C4615" s="16" t="inlineStr">
        <is>
          <t>Delivered</t>
        </is>
      </c>
      <c r="D4615" s="16" t="inlineStr">
        <is>
          <t>128-08859140629110986</t>
        </is>
      </c>
      <c r="E4615" s="16" t="inlineStr">
        <is>
          <t>Delivered</t>
        </is>
      </c>
      <c r="F4615" s="16" t="inlineStr">
        <is>
          <t>KTS-2031</t>
        </is>
      </c>
      <c r="G4615" s="16" t="inlineStr">
        <is>
          <t>Bocina inalámbrica de 3 pulgadas con linterna multifuncional y panel solar integrado.Altavoz Portátil con Linterna LED 4 Modos, Radio FM, Bluetooth, Carga Solar, Ideal para Apagones, Emergencias, Campo y Exteriores</t>
        </is>
      </c>
      <c r="H4615" s="16" t="inlineStr">
        <is>
          <t>NEGRO</t>
        </is>
      </c>
      <c r="I4615" s="16" t="n">
        <v>1</v>
      </c>
      <c r="J4615" s="17" t="n">
        <v>105.26</v>
      </c>
      <c r="K4615" s="17" t="n">
        <v>97.33</v>
      </c>
      <c r="L4615" s="17" t="n">
        <v>25.86</v>
      </c>
      <c r="M4615" s="17" t="n">
        <v>0</v>
      </c>
      <c r="N4615" s="17">
        <f>K4615*0.08+L4615*0.08</f>
        <v/>
      </c>
      <c r="O4615" s="17">
        <f>-(K4615*0.025+L4615*0.025)</f>
        <v/>
      </c>
      <c r="P4615" s="17">
        <f>32</f>
        <v/>
      </c>
      <c r="Q4615" s="17">
        <f>J4615+L4615+N4615+O4615-P4615-M4615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c r="A1" s="5" t="inlineStr">
        <is>
          <t>项目</t>
        </is>
      </c>
      <c r="B1" s="19" t="inlineStr">
        <is>
          <t>公式/口径</t>
        </is>
      </c>
    </row>
    <row r="2">
      <c r="A2" s="16" t="inlineStr">
        <is>
          <t>返还VAT（应收）</t>
        </is>
      </c>
      <c r="B2" s="16" t="inlineStr">
        <is>
          <t>Retail price total after discounts(tax excl.)*0.08 + Shipping total(tax excl.)*0.08</t>
        </is>
      </c>
    </row>
    <row r="3">
      <c r="A3" s="16" t="inlineStr">
        <is>
          <t>ISR预扣（应扣）</t>
        </is>
      </c>
      <c r="B3" s="16" t="inlineStr">
        <is>
          <t>-(Retail price total after discounts(tax excl.)*0.025 + Shipping total(tax excl.)*0.025)</t>
        </is>
      </c>
    </row>
    <row r="4">
      <c r="A4" s="16" t="inlineStr">
        <is>
          <t>尾程预估（应扣）</t>
        </is>
      </c>
      <c r="B4" s="16" t="inlineStr">
        <is>
          <t>每个订单行固定 32</t>
        </is>
      </c>
    </row>
    <row r="5">
      <c r="A5" s="16" t="inlineStr">
        <is>
          <t>GMV</t>
        </is>
      </c>
      <c r="B5" s="16" t="inlineStr">
        <is>
          <t>Base price total + Shipping total(tax excl.) + 返还VAT（应收） + ISR预扣（应扣） - 尾程预估（应扣） - Product refund</t>
        </is>
      </c>
    </row>
    <row r="6">
      <c r="A6" s="16" t="inlineStr">
        <is>
          <t>数据范围</t>
        </is>
      </c>
      <c r="B6" s="16" t="inlineStr">
        <is>
          <t>5.1-5.7, 5.8-5.14, 5.15-5.21, 5.22-5.28, 5.29-6.4 订单导出文件；原始 4,772 行，已剔除取消订单 158 行，纳入分析 4,614 行。</t>
        </is>
      </c>
    </row>
    <row r="7">
      <c r="A7" s="16" t="inlineStr">
        <is>
          <t>客单价</t>
        </is>
      </c>
      <c r="B7" s="16" t="inlineStr">
        <is>
          <t>GMV / 去重订单数</t>
        </is>
      </c>
    </row>
    <row r="8">
      <c r="A8" s="16" t="inlineStr">
        <is>
          <t>件单价</t>
        </is>
      </c>
      <c r="B8" s="16" t="inlineStr">
        <is>
          <t>GMV / 销量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2026-06-07T02:46:18Z</dcterms:created>
  <dcterms:modified xsi:type="dcterms:W3CDTF">2026-06-07T02:46:20Z</dcterms:modified>
</cp:coreProperties>
</file>